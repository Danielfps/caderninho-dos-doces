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ício" sheetId="1" state="visible" r:id="rId3"/>
    <sheet name="Resumo" sheetId="2" state="visible" r:id="rId4"/>
    <sheet name="Vendas" sheetId="3" state="visible" r:id="rId5"/>
    <sheet name="Recebi" sheetId="4" state="visible" r:id="rId6"/>
    <sheet name="Clientes" sheetId="5" state="visible" r:id="rId7"/>
    <sheet name="Produtos" sheetId="6" state="visible" r:id="rId8"/>
    <sheet name="Receitas" sheetId="7" state="visible" r:id="rId9"/>
    <sheet name="Ingredientes" sheetId="8" state="visible" r:id="rId10"/>
    <sheet name="Meu Mês" sheetId="9" state="visible" r:id="rId11"/>
  </sheets>
  <definedNames>
    <definedName function="false" hidden="false" name="ContasFixas" vbProcedure="false">'Meu Mês'!$C$21</definedName>
    <definedName function="false" hidden="false" name="LucroDesejado" vbProcedure="false">'Meu Mês'!$C$35</definedName>
    <definedName function="false" hidden="false" name="MetaVendas" vbProcedure="false">Resumo!$C$25</definedName>
    <definedName function="false" hidden="false" name="Perdas" vbProcedure="false">'Meu Mês'!$C$34</definedName>
    <definedName function="false" hidden="false" name="Salario" vbProcedure="false">'Meu Mês'!$C$24</definedName>
    <definedName function="false" hidden="false" name="Taxas" vbProcedure="false">'Meu Mês'!$C$33</definedName>
    <definedName function="false" hidden="false" name="ValorHora" vbProcedure="false">'Meu Mês'!$C$30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<sst xmlns="http://schemas.openxmlformats.org/spreadsheetml/2006/main" count="442" uniqueCount="241">
  <si>
    <t xml:space="preserve">Caderninho dos Doces</t>
  </si>
  <si>
    <t xml:space="preserve">Planilha de custos, preços e fiado. Serve para doces, salgados, marmitas, bolos, artesanato: tudo que você vende e recebe depois.</t>
  </si>
  <si>
    <t xml:space="preserve">Na primeira vez, preencha nesta ordem:</t>
  </si>
  <si>
    <t xml:space="preserve">Meu Mês</t>
  </si>
  <si>
    <t xml:space="preserve">Suas contas fixas, quanto você precisa para viver e quantas horas trabalha. A planilha calcula quanto vale a sua hora.</t>
  </si>
  <si>
    <t xml:space="preserve">Ingredientes</t>
  </si>
  <si>
    <t xml:space="preserve">Tudo que você compra: ingredientes e embalagens, com o tamanho do pacote e o preço que pagou.</t>
  </si>
  <si>
    <t xml:space="preserve">Produtos</t>
  </si>
  <si>
    <t xml:space="preserve">O nome de cada coisa que você vende, quanto a receita rende e quanto tempo leva.</t>
  </si>
  <si>
    <t xml:space="preserve">Receitas</t>
  </si>
  <si>
    <t xml:space="preserve">O que vai em cada produto e quanto vai. O custo aparece sozinho, e o preço sugerido aparece em Produtos.</t>
  </si>
  <si>
    <t xml:space="preserve">Clientes</t>
  </si>
  <si>
    <t xml:space="preserve">Quem compra de você.</t>
  </si>
  <si>
    <t xml:space="preserve">No dia a dia:</t>
  </si>
  <si>
    <t xml:space="preserve">•</t>
  </si>
  <si>
    <t xml:space="preserve">Vendas</t>
  </si>
  <si>
    <t xml:space="preserve">Quem pegou o quê, quantos e por quanto.</t>
  </si>
  <si>
    <t xml:space="preserve">Recebi</t>
  </si>
  <si>
    <t xml:space="preserve">Quem te pagou, quanto e como (Pix, dinheiro, cartão).</t>
  </si>
  <si>
    <t xml:space="preserve">Resumo</t>
  </si>
  <si>
    <t xml:space="preserve">Quanto vendeu, quanto já recebeu, quem deve e se o mês pagou suas contas e o seu salário.</t>
  </si>
  <si>
    <t xml:space="preserve">As cores</t>
  </si>
  <si>
    <t xml:space="preserve">Rosinha</t>
  </si>
  <si>
    <t xml:space="preserve">Você preenche. Pode escrever por cima à vontade.</t>
  </si>
  <si>
    <t xml:space="preserve">Branco</t>
  </si>
  <si>
    <t xml:space="preserve">A planilha calcula sozinha. Não precisa mexer.</t>
  </si>
  <si>
    <t xml:space="preserve">Verde</t>
  </si>
  <si>
    <t xml:space="preserve">Os números mais importantes.</t>
  </si>
  <si>
    <t xml:space="preserve">Laranja</t>
  </si>
  <si>
    <t xml:space="preserve">Atenção: alguém devendo ou um preço que dá prejuízo.</t>
  </si>
  <si>
    <t xml:space="preserve">Como a planilha chega no preço</t>
  </si>
  <si>
    <t xml:space="preserve">1</t>
  </si>
  <si>
    <t xml:space="preserve">Custo da unidade</t>
  </si>
  <si>
    <t xml:space="preserve">Ingredientes + embalagem da receita, mais as perdas, dividido por quantas unidades rende.</t>
  </si>
  <si>
    <t xml:space="preserve">2</t>
  </si>
  <si>
    <t xml:space="preserve">Seu tempo e contas</t>
  </si>
  <si>
    <t xml:space="preserve">Horas para fazer a receita × quanto vale a sua hora, dividido pelo rendimento. É isso que paga o gás, a luz e o seu salário.</t>
  </si>
  <si>
    <t xml:space="preserve">3</t>
  </si>
  <si>
    <t xml:space="preserve">Preço sugerido</t>
  </si>
  <si>
    <t xml:space="preserve">Custo completo, mais as taxas e o lucro que você quer. Arredondado para cima.</t>
  </si>
  <si>
    <t xml:space="preserve">4</t>
  </si>
  <si>
    <t xml:space="preserve">Como está</t>
  </si>
  <si>
    <t xml:space="preserve">Compara com o preço que você cobra hoje: Preço bom, Abaixo do sugerido, Não paga o seu tempo ou Prejuízo.</t>
  </si>
  <si>
    <t xml:space="preserve">Dicas</t>
  </si>
  <si>
    <t xml:space="preserve">As linhas que já vêm preenchidas são exemplos. Escreva por cima ou apague.</t>
  </si>
  <si>
    <t xml:space="preserve">Quilo vira gramas e litro vira ml: 1 kg = 1000 g, 1 litro = 1000 ml. Ovos, potes e colheres são em unidades (un).</t>
  </si>
  <si>
    <t xml:space="preserve">Mudou o preço de um ingrediente? Mude só na aba Ingredientes: receitas, custos e preços sugeridos se atualizam sozinhos.</t>
  </si>
  <si>
    <t xml:space="preserve">Na aba Vendas, escreva o preço que você cobrou. Assim, se mudar o preço depois, as vendas antigas não mudam.</t>
  </si>
  <si>
    <t xml:space="preserve">Em breve o app Caderninho dos Doces vai preencher esta planilha sozinho.</t>
  </si>
  <si>
    <t xml:space="preserve">Quanto você vendeu, quanto já entrou, quem está devendo e se o mês pagou as suas contas e o seu salário.</t>
  </si>
  <si>
    <t xml:space="preserve">Mês que quero ver</t>
  </si>
  <si>
    <t xml:space="preserve">Começa no mês de hoje. Para ver outro, escreva a data (ex.: 01/09/2026).</t>
  </si>
  <si>
    <t xml:space="preserve">Dinheiro na rua</t>
  </si>
  <si>
    <t xml:space="preserve">Falta receber de todo mundo</t>
  </si>
  <si>
    <t xml:space="preserve">Veja quem na aba Clientes.</t>
  </si>
  <si>
    <t xml:space="preserve">Neste mês</t>
  </si>
  <si>
    <t xml:space="preserve">Desde o começo</t>
  </si>
  <si>
    <t xml:space="preserve">Vendi</t>
  </si>
  <si>
    <t xml:space="preserve">Tudo que as pessoas pegaram, pago ou fiado.</t>
  </si>
  <si>
    <t xml:space="preserve">Já recebi</t>
  </si>
  <si>
    <t xml:space="preserve">O dinheiro que já entrou.</t>
  </si>
  <si>
    <t xml:space="preserve">Gastei com ingredientes e embalagens</t>
  </si>
  <si>
    <t xml:space="preserve">Pelo custo de cada produto (aba Produtos).</t>
  </si>
  <si>
    <t xml:space="preserve">Taxas (maquininha, app)</t>
  </si>
  <si>
    <t xml:space="preserve">Uma estimativa, pela % da aba Meu Mês.</t>
  </si>
  <si>
    <t xml:space="preserve">Sobrou das vendas</t>
  </si>
  <si>
    <t xml:space="preserve">O que fica para pagar as contas e o seu salário.</t>
  </si>
  <si>
    <t xml:space="preserve">O mês pagou as contas e o seu salário?</t>
  </si>
  <si>
    <t xml:space="preserve">Contas fixas do mês</t>
  </si>
  <si>
    <t xml:space="preserve">Da aba Meu Mês.</t>
  </si>
  <si>
    <t xml:space="preserve">Ficou para mim</t>
  </si>
  <si>
    <t xml:space="preserve">Sobrou das vendas menos as contas fixas (contando o fiado que ainda vai entrar).</t>
  </si>
  <si>
    <t xml:space="preserve">Meu salário</t>
  </si>
  <si>
    <t xml:space="preserve">O que você quer tirar por mês (aba Meu Mês).</t>
  </si>
  <si>
    <t xml:space="preserve">Meta do mês</t>
  </si>
  <si>
    <t xml:space="preserve">De cada R$ 1,00 que vendo, sobra</t>
  </si>
  <si>
    <t xml:space="preserve">Para pagar contas e salário. Quanto maior, melhor.</t>
  </si>
  <si>
    <t xml:space="preserve">Para pagar contas + salário, preciso vender</t>
  </si>
  <si>
    <t xml:space="preserve">Por mês.</t>
  </si>
  <si>
    <t xml:space="preserve">Já vendi da meta</t>
  </si>
  <si>
    <t xml:space="preserve">Por produto, neste mês</t>
  </si>
  <si>
    <t xml:space="preserve">Produto</t>
  </si>
  <si>
    <t xml:space="preserve">Unidades</t>
  </si>
  <si>
    <t xml:space="preserve">Sobrou</t>
  </si>
  <si>
    <t xml:space="preserve">Quem pegou o quê. Uma linha para cada produto. Se deixar o preço em branco, usa o preço da aba Produtos.</t>
  </si>
  <si>
    <t xml:space="preserve">Data</t>
  </si>
  <si>
    <t xml:space="preserve">Cliente</t>
  </si>
  <si>
    <t xml:space="preserve">Quantas</t>
  </si>
  <si>
    <t xml:space="preserve">Preço da unidade</t>
  </si>
  <si>
    <t xml:space="preserve">Total</t>
  </si>
  <si>
    <t xml:space="preserve">Custo para fazer</t>
  </si>
  <si>
    <t xml:space="preserve">Pagou na hora?</t>
  </si>
  <si>
    <t xml:space="preserve">Ana (RH)</t>
  </si>
  <si>
    <t xml:space="preserve">Bolo de pote de chocolate</t>
  </si>
  <si>
    <t xml:space="preserve">Bruno da portaria</t>
  </si>
  <si>
    <t xml:space="preserve">Brigadeiro</t>
  </si>
  <si>
    <t xml:space="preserve">Sim</t>
  </si>
  <si>
    <t xml:space="preserve">Carla</t>
  </si>
  <si>
    <t xml:space="preserve">Palha italiana</t>
  </si>
  <si>
    <t xml:space="preserve">Dona Lúcia</t>
  </si>
  <si>
    <t xml:space="preserve">Coxinha de frango</t>
  </si>
  <si>
    <t xml:space="preserve">João vizinho</t>
  </si>
  <si>
    <t xml:space="preserve">Cada vez que alguém te pagar, uma linha aqui. Pode ser tudo ou só uma parte do que a pessoa deve.</t>
  </si>
  <si>
    <t xml:space="preserve">Quanto</t>
  </si>
  <si>
    <t xml:space="preserve">Como pagou</t>
  </si>
  <si>
    <t xml:space="preserve">Observação</t>
  </si>
  <si>
    <t xml:space="preserve">Pix</t>
  </si>
  <si>
    <t xml:space="preserve">Dinheiro</t>
  </si>
  <si>
    <t xml:space="preserve">Pagou uma parte</t>
  </si>
  <si>
    <t xml:space="preserve">Cartão</t>
  </si>
  <si>
    <t xml:space="preserve">Quem compra de você. O quanto cada um pegou, pagou e ainda deve aparece sozinho, pelas abas Vendas e Recebi.</t>
  </si>
  <si>
    <t xml:space="preserve">Nome</t>
  </si>
  <si>
    <t xml:space="preserve">WhatsApp</t>
  </si>
  <si>
    <t xml:space="preserve">Já pegou</t>
  </si>
  <si>
    <t xml:space="preserve">Já pagou</t>
  </si>
  <si>
    <t xml:space="preserve">Está devendo</t>
  </si>
  <si>
    <t xml:space="preserve">Última compra</t>
  </si>
  <si>
    <t xml:space="preserve">Situação</t>
  </si>
  <si>
    <t xml:space="preserve">(11) 90000-0001</t>
  </si>
  <si>
    <t xml:space="preserve">(11) 90000-0002</t>
  </si>
  <si>
    <t xml:space="preserve">(11) 90000-0003</t>
  </si>
  <si>
    <t xml:space="preserve">(11) 90000-0004</t>
  </si>
  <si>
    <t xml:space="preserve">(11) 90000-0005</t>
  </si>
  <si>
    <t xml:space="preserve">Produtos e preços</t>
  </si>
  <si>
    <t xml:space="preserve">Quanto custa cada unidade e quanto você deveria cobrar. Preencha as colunas rosinha; o resto a planilha calcula.</t>
  </si>
  <si>
    <t xml:space="preserve">A receita rende
(unidades)</t>
  </si>
  <si>
    <t xml:space="preserve">Tempo para fazer a receita (horas)</t>
  </si>
  <si>
    <t xml:space="preserve">Ingredientes e embalagem da receita</t>
  </si>
  <si>
    <t xml:space="preserve">Custo por unidade
(ingredientes, embalagem, perdas)</t>
  </si>
  <si>
    <t xml:space="preserve">Seu tempo e contas por unidade</t>
  </si>
  <si>
    <t xml:space="preserve">Custo completo por unidade</t>
  </si>
  <si>
    <t xml:space="preserve">Preço mínimo
(sem prejuízo)</t>
  </si>
  <si>
    <t xml:space="preserve">Preço que eu cobro</t>
  </si>
  <si>
    <t xml:space="preserve">Lucro por unidade</t>
  </si>
  <si>
    <t xml:space="preserve">Margem de lucro</t>
  </si>
  <si>
    <t xml:space="preserve">O que vai em cada produto e quanto vai. Inclua as embalagens (potes, colheres, adesivos). Linhas do mesmo produto ficam juntas.</t>
  </si>
  <si>
    <t xml:space="preserve">O que vai</t>
  </si>
  <si>
    <t xml:space="preserve">Quanto vai</t>
  </si>
  <si>
    <t xml:space="preserve">Medida</t>
  </si>
  <si>
    <t xml:space="preserve">Custo</t>
  </si>
  <si>
    <t xml:space="preserve">Farinha de trigo</t>
  </si>
  <si>
    <t xml:space="preserve">massa</t>
  </si>
  <si>
    <t xml:space="preserve">Açúcar refinado</t>
  </si>
  <si>
    <t xml:space="preserve">Chocolate em pó 50%</t>
  </si>
  <si>
    <t xml:space="preserve">massa e recheio</t>
  </si>
  <si>
    <t xml:space="preserve">Ovos</t>
  </si>
  <si>
    <t xml:space="preserve">Leite</t>
  </si>
  <si>
    <t xml:space="preserve">Óleo</t>
  </si>
  <si>
    <t xml:space="preserve">Fermento em pó</t>
  </si>
  <si>
    <t xml:space="preserve">Leite condensado</t>
  </si>
  <si>
    <t xml:space="preserve">recheio (2 latas)</t>
  </si>
  <si>
    <t xml:space="preserve">Creme de leite</t>
  </si>
  <si>
    <t xml:space="preserve">recheio</t>
  </si>
  <si>
    <t xml:space="preserve">Manteiga</t>
  </si>
  <si>
    <t xml:space="preserve">Chocolate granulado</t>
  </si>
  <si>
    <t xml:space="preserve">cobertura</t>
  </si>
  <si>
    <t xml:space="preserve">Pote 250 ml com tampa</t>
  </si>
  <si>
    <t xml:space="preserve">Colher descartável</t>
  </si>
  <si>
    <t xml:space="preserve">Adesivo com meu nome</t>
  </si>
  <si>
    <t xml:space="preserve">Biscoito maisena</t>
  </si>
  <si>
    <t xml:space="preserve">para passar por fora</t>
  </si>
  <si>
    <t xml:space="preserve">Saquinho de celofane</t>
  </si>
  <si>
    <t xml:space="preserve">Forminha nº 4</t>
  </si>
  <si>
    <t xml:space="preserve">Peito de frango</t>
  </si>
  <si>
    <t xml:space="preserve">Requeijão cremoso</t>
  </si>
  <si>
    <t xml:space="preserve">Cebola</t>
  </si>
  <si>
    <t xml:space="preserve">Sal</t>
  </si>
  <si>
    <t xml:space="preserve">empanar</t>
  </si>
  <si>
    <t xml:space="preserve">Farinha de rosca</t>
  </si>
  <si>
    <t xml:space="preserve">fritura</t>
  </si>
  <si>
    <t xml:space="preserve">Caixa para salgado</t>
  </si>
  <si>
    <t xml:space="preserve">Ingredientes e embalagens</t>
  </si>
  <si>
    <t xml:space="preserve">Tudo que você compra: o tamanho do pacote e quanto pagou. Quilo vira gramas (1 kg = 1000 g) e litro vira ml (1 L = 1000 ml).</t>
  </si>
  <si>
    <t xml:space="preserve">O que é</t>
  </si>
  <si>
    <t xml:space="preserve">Tipo</t>
  </si>
  <si>
    <t xml:space="preserve">Medida
(g, ml ou un)</t>
  </si>
  <si>
    <t xml:space="preserve">Quanto vem no pacote</t>
  </si>
  <si>
    <t xml:space="preserve">Quanto paguei</t>
  </si>
  <si>
    <t xml:space="preserve">Sai por</t>
  </si>
  <si>
    <t xml:space="preserve">Onde comprei</t>
  </si>
  <si>
    <t xml:space="preserve">Atualizado em</t>
  </si>
  <si>
    <t xml:space="preserve">Ingrediente</t>
  </si>
  <si>
    <t xml:space="preserve">g</t>
  </si>
  <si>
    <t xml:space="preserve">Mercado</t>
  </si>
  <si>
    <t xml:space="preserve">Chocolate meio amargo</t>
  </si>
  <si>
    <t xml:space="preserve">Atacado</t>
  </si>
  <si>
    <t xml:space="preserve">Loja de festa</t>
  </si>
  <si>
    <t xml:space="preserve">un</t>
  </si>
  <si>
    <t xml:space="preserve">Feira</t>
  </si>
  <si>
    <t xml:space="preserve">ml</t>
  </si>
  <si>
    <t xml:space="preserve">Coco ralado</t>
  </si>
  <si>
    <t xml:space="preserve">Açougue</t>
  </si>
  <si>
    <t xml:space="preserve">Embalagem</t>
  </si>
  <si>
    <t xml:space="preserve">Loja de embalagem</t>
  </si>
  <si>
    <t xml:space="preserve">Gráfica</t>
  </si>
  <si>
    <t xml:space="preserve">Quanto custa manter o seu negócio e quanto você precisa ganhar. Preencha uma vez e mude quando algo mudar.</t>
  </si>
  <si>
    <t xml:space="preserve">1. Contas fixas do mês  (o que você paga todo mês, vendendo ou não)</t>
  </si>
  <si>
    <t xml:space="preserve">Conta</t>
  </si>
  <si>
    <t xml:space="preserve">Valor por mês</t>
  </si>
  <si>
    <t xml:space="preserve">Gás de cozinha</t>
  </si>
  <si>
    <t xml:space="preserve">A parte do botijão que vai para os doces/salgados</t>
  </si>
  <si>
    <t xml:space="preserve">Luz</t>
  </si>
  <si>
    <t xml:space="preserve">Só a parte da cozinha e da geladeira, se der para separar</t>
  </si>
  <si>
    <t xml:space="preserve">Água</t>
  </si>
  <si>
    <t xml:space="preserve">Internet e celular</t>
  </si>
  <si>
    <t xml:space="preserve">MEI (DAS)</t>
  </si>
  <si>
    <t xml:space="preserve">Se for MEI, o boleto do mês</t>
  </si>
  <si>
    <t xml:space="preserve">Transporte e entregas</t>
  </si>
  <si>
    <t xml:space="preserve">Gasolina, ônibus, motoboy</t>
  </si>
  <si>
    <t xml:space="preserve">Manutenção de batedeira, forno, panelas</t>
  </si>
  <si>
    <t xml:space="preserve">Guarde um pouco por mês para quando quebrar</t>
  </si>
  <si>
    <t xml:space="preserve">Material de limpeza</t>
  </si>
  <si>
    <t xml:space="preserve">Detergente, esponja, pano</t>
  </si>
  <si>
    <t xml:space="preserve">Divulgação</t>
  </si>
  <si>
    <t xml:space="preserve">Impressão de cardápio, anúncio</t>
  </si>
  <si>
    <t xml:space="preserve">Mensalidade da maquininha</t>
  </si>
  <si>
    <t xml:space="preserve">Aluguel (a parte do espaço que usa)</t>
  </si>
  <si>
    <t xml:space="preserve">Total das contas fixas</t>
  </si>
  <si>
    <t xml:space="preserve">A planilha soma sozinha.</t>
  </si>
  <si>
    <t xml:space="preserve">2. Você</t>
  </si>
  <si>
    <t xml:space="preserve">Quanto preciso para viver por mês (meu salário)</t>
  </si>
  <si>
    <t xml:space="preserve">O que você quer tirar para você, todo mês, para pagar as suas contas de casa.</t>
  </si>
  <si>
    <t xml:space="preserve">3. Seu tempo</t>
  </si>
  <si>
    <t xml:space="preserve">Dias que trabalho no mês</t>
  </si>
  <si>
    <t xml:space="preserve">Contando os dias de comprar, fazer e entregar.</t>
  </si>
  <si>
    <t xml:space="preserve">Horas por dia</t>
  </si>
  <si>
    <t xml:space="preserve">Fazendo, comprando, embalando, entregando e cobrando.</t>
  </si>
  <si>
    <t xml:space="preserve">Horas no mês</t>
  </si>
  <si>
    <t xml:space="preserve">Quanto vale a minha hora</t>
  </si>
  <si>
    <t xml:space="preserve">Contas fixas + seu salário, divididos pelas horas. Entra no preço de cada produto.</t>
  </si>
  <si>
    <t xml:space="preserve">4. Porcentagens</t>
  </si>
  <si>
    <t xml:space="preserve">Taxas sobre a venda</t>
  </si>
  <si>
    <t xml:space="preserve">Maquininha, app de entrega. Se só uma parte paga no cartão, use uma média.</t>
  </si>
  <si>
    <t xml:space="preserve">Perdas e desperdício</t>
  </si>
  <si>
    <t xml:space="preserve">O que sobra na panela, quebra, prova ou vira brinde.</t>
  </si>
  <si>
    <t xml:space="preserve">Lucro que eu quero</t>
  </si>
  <si>
    <t xml:space="preserve">Além do seu salário: para guardar, comprar equipamento e crescer.</t>
  </si>
  <si>
    <t xml:space="preserve">Resultado</t>
  </si>
  <si>
    <t xml:space="preserve">Preciso ganhar por mês (contas + meu salário)</t>
  </si>
  <si>
    <t xml:space="preserve">Para isso, preciso vender por mês mais ou menos</t>
  </si>
  <si>
    <t xml:space="preserve">Depende dos seus preços. Veja os detalhes no Resumo.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</si>
</sst>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/yyyy"/>
    <numFmt numFmtId="166" formatCode="&quot;R$ &quot;#,##0.00"/>
    <numFmt numFmtId="167" formatCode="General"/>
    <numFmt numFmtId="168" formatCode="0%"/>
    <numFmt numFmtId="169" formatCode="dd/mm/yyyy"/>
    <numFmt numFmtId="170" formatCode="@"/>
    <numFmt numFmtId="171" formatCode="0.0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1"/>
      <color rgb="FF7A5F59"/>
      <name val="Arial"/>
      <family val="0"/>
      <charset val="1"/>
    </font>
    <font>
      <b val="true"/>
      <sz val="14"/>
      <color rgb="FF5A342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5A3426"/>
      <name val="Arial"/>
      <family val="0"/>
      <charset val="1"/>
    </font>
    <font>
      <sz val="11"/>
      <color rgb="FF3B2420"/>
      <name val="Arial"/>
      <family val="0"/>
      <charset val="1"/>
    </font>
    <font>
      <b val="true"/>
      <sz val="11"/>
      <color rgb="FF3B2420"/>
      <name val="Arial"/>
      <family val="0"/>
      <charset val="1"/>
    </font>
    <font>
      <b val="true"/>
      <sz val="11"/>
      <color rgb="FF2B7A4B"/>
      <name val="Arial"/>
      <family val="0"/>
      <charset val="1"/>
    </font>
    <font>
      <b val="true"/>
      <sz val="11"/>
      <color rgb="FFBF3F0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5A3426"/>
      <name val="Arial"/>
      <family val="0"/>
      <charset val="1"/>
    </font>
    <font>
      <b val="true"/>
      <sz val="13"/>
      <color rgb="FFD6456F"/>
      <name val="Arial"/>
      <family val="0"/>
      <charset val="1"/>
    </font>
    <font>
      <b val="true"/>
      <sz val="12"/>
      <color rgb="FF3B2420"/>
      <name val="Arial"/>
      <family val="0"/>
      <charset val="1"/>
    </font>
    <font>
      <sz val="11"/>
      <color rgb="FF7A5F59"/>
      <name val="Arial"/>
      <family val="0"/>
      <charset val="1"/>
    </font>
    <font>
      <b val="true"/>
      <sz val="13"/>
      <color rgb="FFBF3F0A"/>
      <name val="Arial"/>
      <family val="0"/>
      <charset val="1"/>
    </font>
    <font>
      <b val="true"/>
      <sz val="13"/>
      <color rgb="FF2B7A4B"/>
      <name val="Arial"/>
      <family val="0"/>
      <charset val="1"/>
    </font>
    <font>
      <b val="true"/>
      <sz val="13"/>
      <color rgb="FF5A3426"/>
      <name val="Arial"/>
      <family val="0"/>
      <charset val="1"/>
    </font>
    <font>
      <sz val="13"/>
      <color rgb="FFD6456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6456F"/>
        <bgColor rgb="FFBF3F0A"/>
      </patternFill>
    </fill>
    <fill>
      <patternFill patternType="solid">
        <fgColor rgb="FFF8E9EC"/>
        <bgColor rgb="FFFBE0E8"/>
      </patternFill>
    </fill>
    <fill>
      <patternFill patternType="solid">
        <fgColor rgb="FFFFFFFF"/>
        <bgColor rgb="FFFFF3D6"/>
      </patternFill>
    </fill>
    <fill>
      <patternFill patternType="solid">
        <fgColor rgb="FFFBE0E8"/>
        <bgColor rgb="FFFDE6D8"/>
      </patternFill>
    </fill>
    <fill>
      <patternFill patternType="solid">
        <fgColor rgb="FFE0F2E6"/>
        <bgColor rgb="FFF8E9EC"/>
      </patternFill>
    </fill>
    <fill>
      <patternFill patternType="solid">
        <fgColor rgb="FFFDE6D8"/>
        <bgColor rgb="FFFBE0E8"/>
      </patternFill>
    </fill>
    <fill>
      <patternFill patternType="solid">
        <fgColor rgb="FF5A3426"/>
        <bgColor rgb="FF3B242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CD6DA"/>
      </left>
      <right style="thin">
        <color rgb="FFECD6DA"/>
      </right>
      <top style="thin">
        <color rgb="FFECD6DA"/>
      </top>
      <bottom style="thin">
        <color rgb="FFECD6DA"/>
      </bottom>
      <diagonal/>
    </border>
    <border diagonalUp="false" diagonalDown="false">
      <left style="thin">
        <color rgb="FFECD6DA"/>
      </left>
      <right/>
      <top style="thin">
        <color rgb="FFECD6DA"/>
      </top>
      <bottom style="thin">
        <color rgb="FFECD6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BF3F0A"/>
      </font>
      <fill>
        <patternFill>
          <bgColor rgb="FFFDE6D8"/>
        </patternFill>
      </fill>
    </dxf>
    <dxf>
      <font>
        <b val="1"/>
        <color rgb="FF2B7A4B"/>
      </font>
      <fill>
        <patternFill>
          <bgColor rgb="FFE0F2E6"/>
        </patternFill>
      </fill>
    </dxf>
    <dxf>
      <font>
        <b val="1"/>
        <color rgb="FFBF3F0A"/>
      </font>
    </dxf>
    <dxf>
      <font>
        <b val="1"/>
        <color rgb="FF8A5A00"/>
      </font>
      <fill>
        <patternFill>
          <bgColor rgb="FFFFF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D6456F"/>
      <rgbColor rgb="FFFFF3D6"/>
      <rgbColor rgb="FFE0F2E6"/>
      <rgbColor rgb="FF660066"/>
      <rgbColor rgb="FFFF8080"/>
      <rgbColor rgb="FF0066CC"/>
      <rgbColor rgb="FFEC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9EC"/>
      <rgbColor rgb="FFCCFFCC"/>
      <rgbColor rgb="FFFDE6D8"/>
      <rgbColor rgb="FF99CCFF"/>
      <rgbColor rgb="FFFF99CC"/>
      <rgbColor rgb="FFCC99FF"/>
      <rgbColor rgb="FFFBE0E8"/>
      <rgbColor rgb="FF3366FF"/>
      <rgbColor rgb="FF33CCCC"/>
      <rgbColor rgb="FF99CC00"/>
      <rgbColor rgb="FFFFCC00"/>
      <rgbColor rgb="FFFF9900"/>
      <rgbColor rgb="FFFF6600"/>
      <rgbColor rgb="FF7A5F59"/>
      <rgbColor rgb="FF969696"/>
      <rgbColor rgb="FF003366"/>
      <rgbColor rgb="FF2B7A4B"/>
      <rgbColor rgb="FF003300"/>
      <rgbColor rgb="FF5A3426"/>
      <rgbColor rgb="FFBF3F0A"/>
      <rgbColor rgb="FF993366"/>
      <rgbColor rgb="FF333399"/>
      <rgbColor rgb="FF3B24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6F"/>
    <pageSetUpPr fitToPage="true"/>
  </sheetPr>
  <dimension ref="B1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86"/>
  </cols>
  <sheetData>
    <row r="1" customFormat="false" ht="39.75" hidden="false" customHeight="true" outlineLevel="0" collapsed="false">
      <c r="B1" s="1" t="s">
        <v>0</v>
      </c>
      <c r="C1" s="1"/>
      <c r="D1" s="1"/>
    </row>
    <row r="2" customFormat="false" ht="36" hidden="false" customHeight="true" outlineLevel="0" collapsed="false">
      <c r="B2" s="2" t="s">
        <v>1</v>
      </c>
      <c r="C2" s="2"/>
      <c r="D2" s="2"/>
    </row>
    <row r="3" customFormat="false" ht="9.75" hidden="false" customHeight="true" outlineLevel="0" collapsed="false"/>
    <row r="4" customFormat="false" ht="27.75" hidden="false" customHeight="true" outlineLevel="0" collapsed="false">
      <c r="B4" s="3" t="s">
        <v>2</v>
      </c>
      <c r="C4" s="3"/>
      <c r="D4" s="3"/>
    </row>
    <row r="5" customFormat="false" ht="33.75" hidden="false" customHeight="true" outlineLevel="0" collapsed="false">
      <c r="B5" s="4" t="n">
        <v>1</v>
      </c>
      <c r="C5" s="5" t="s">
        <v>3</v>
      </c>
      <c r="D5" s="6" t="s">
        <v>4</v>
      </c>
    </row>
    <row r="6" customFormat="false" ht="33.75" hidden="false" customHeight="true" outlineLevel="0" collapsed="false">
      <c r="B6" s="4" t="n">
        <v>2</v>
      </c>
      <c r="C6" s="5" t="s">
        <v>5</v>
      </c>
      <c r="D6" s="6" t="s">
        <v>6</v>
      </c>
    </row>
    <row r="7" customFormat="false" ht="33.75" hidden="false" customHeight="true" outlineLevel="0" collapsed="false">
      <c r="B7" s="4" t="n">
        <v>3</v>
      </c>
      <c r="C7" s="5" t="s">
        <v>7</v>
      </c>
      <c r="D7" s="6" t="s">
        <v>8</v>
      </c>
    </row>
    <row r="8" customFormat="false" ht="33.75" hidden="false" customHeight="true" outlineLevel="0" collapsed="false">
      <c r="B8" s="4" t="n">
        <v>4</v>
      </c>
      <c r="C8" s="5" t="s">
        <v>9</v>
      </c>
      <c r="D8" s="6" t="s">
        <v>10</v>
      </c>
    </row>
    <row r="9" customFormat="false" ht="33.75" hidden="false" customHeight="true" outlineLevel="0" collapsed="false">
      <c r="B9" s="4" t="n">
        <v>5</v>
      </c>
      <c r="C9" s="5" t="s">
        <v>11</v>
      </c>
      <c r="D9" s="6" t="s">
        <v>12</v>
      </c>
    </row>
    <row r="11" customFormat="false" ht="27.75" hidden="false" customHeight="true" outlineLevel="0" collapsed="false">
      <c r="B11" s="3" t="s">
        <v>13</v>
      </c>
      <c r="C11" s="3"/>
      <c r="D11" s="3"/>
    </row>
    <row r="12" customFormat="false" ht="33.75" hidden="false" customHeight="true" outlineLevel="0" collapsed="false">
      <c r="B12" s="4" t="s">
        <v>14</v>
      </c>
      <c r="C12" s="5" t="s">
        <v>15</v>
      </c>
      <c r="D12" s="6" t="s">
        <v>16</v>
      </c>
    </row>
    <row r="13" customFormat="false" ht="33.75" hidden="false" customHeight="true" outlineLevel="0" collapsed="false">
      <c r="B13" s="4" t="s">
        <v>14</v>
      </c>
      <c r="C13" s="5" t="s">
        <v>17</v>
      </c>
      <c r="D13" s="6" t="s">
        <v>18</v>
      </c>
    </row>
    <row r="14" customFormat="false" ht="33.75" hidden="false" customHeight="true" outlineLevel="0" collapsed="false">
      <c r="B14" s="4" t="s">
        <v>14</v>
      </c>
      <c r="C14" s="5" t="s">
        <v>19</v>
      </c>
      <c r="D14" s="6" t="s">
        <v>20</v>
      </c>
    </row>
    <row r="16" customFormat="false" ht="27.75" hidden="false" customHeight="true" outlineLevel="0" collapsed="false">
      <c r="B16" s="3" t="s">
        <v>21</v>
      </c>
      <c r="C16" s="3"/>
      <c r="D16" s="3"/>
    </row>
    <row r="17" customFormat="false" ht="25.5" hidden="false" customHeight="true" outlineLevel="0" collapsed="false">
      <c r="B17" s="7"/>
      <c r="C17" s="8" t="s">
        <v>22</v>
      </c>
      <c r="D17" s="6" t="s">
        <v>23</v>
      </c>
    </row>
    <row r="18" customFormat="false" ht="25.5" hidden="false" customHeight="true" outlineLevel="0" collapsed="false">
      <c r="B18" s="6"/>
      <c r="C18" s="9" t="s">
        <v>24</v>
      </c>
      <c r="D18" s="6" t="s">
        <v>25</v>
      </c>
    </row>
    <row r="19" customFormat="false" ht="25.5" hidden="false" customHeight="true" outlineLevel="0" collapsed="false">
      <c r="B19" s="10"/>
      <c r="C19" s="11" t="s">
        <v>26</v>
      </c>
      <c r="D19" s="6" t="s">
        <v>27</v>
      </c>
    </row>
    <row r="20" customFormat="false" ht="25.5" hidden="false" customHeight="true" outlineLevel="0" collapsed="false">
      <c r="B20" s="12"/>
      <c r="C20" s="13" t="s">
        <v>28</v>
      </c>
      <c r="D20" s="6" t="s">
        <v>29</v>
      </c>
    </row>
    <row r="22" customFormat="false" ht="27.75" hidden="false" customHeight="true" outlineLevel="0" collapsed="false">
      <c r="B22" s="3" t="s">
        <v>30</v>
      </c>
      <c r="C22" s="3"/>
      <c r="D22" s="3"/>
    </row>
    <row r="23" customFormat="false" ht="33.75" hidden="false" customHeight="true" outlineLevel="0" collapsed="false">
      <c r="B23" s="14" t="s">
        <v>31</v>
      </c>
      <c r="C23" s="15" t="s">
        <v>32</v>
      </c>
      <c r="D23" s="6" t="s">
        <v>33</v>
      </c>
    </row>
    <row r="24" customFormat="false" ht="33.75" hidden="false" customHeight="true" outlineLevel="0" collapsed="false">
      <c r="B24" s="14" t="s">
        <v>34</v>
      </c>
      <c r="C24" s="15" t="s">
        <v>35</v>
      </c>
      <c r="D24" s="6" t="s">
        <v>36</v>
      </c>
    </row>
    <row r="25" customFormat="false" ht="33.75" hidden="false" customHeight="true" outlineLevel="0" collapsed="false">
      <c r="B25" s="14" t="s">
        <v>37</v>
      </c>
      <c r="C25" s="15" t="s">
        <v>38</v>
      </c>
      <c r="D25" s="6" t="s">
        <v>39</v>
      </c>
    </row>
    <row r="26" customFormat="false" ht="33.75" hidden="false" customHeight="true" outlineLevel="0" collapsed="false">
      <c r="B26" s="14" t="s">
        <v>40</v>
      </c>
      <c r="C26" s="15" t="s">
        <v>41</v>
      </c>
      <c r="D26" s="6" t="s">
        <v>42</v>
      </c>
    </row>
    <row r="28" customFormat="false" ht="27.75" hidden="false" customHeight="true" outlineLevel="0" collapsed="false">
      <c r="B28" s="3" t="s">
        <v>43</v>
      </c>
      <c r="C28" s="3"/>
      <c r="D28" s="3"/>
    </row>
    <row r="29" customFormat="false" ht="30" hidden="false" customHeight="true" outlineLevel="0" collapsed="false">
      <c r="B29" s="16" t="s">
        <v>14</v>
      </c>
      <c r="C29" s="17" t="s">
        <v>44</v>
      </c>
      <c r="D29" s="17"/>
    </row>
    <row r="30" customFormat="false" ht="30" hidden="false" customHeight="true" outlineLevel="0" collapsed="false">
      <c r="B30" s="16" t="s">
        <v>14</v>
      </c>
      <c r="C30" s="17" t="s">
        <v>45</v>
      </c>
      <c r="D30" s="17"/>
    </row>
    <row r="31" customFormat="false" ht="30" hidden="false" customHeight="true" outlineLevel="0" collapsed="false">
      <c r="B31" s="16" t="s">
        <v>14</v>
      </c>
      <c r="C31" s="17" t="s">
        <v>46</v>
      </c>
      <c r="D31" s="17"/>
    </row>
    <row r="32" customFormat="false" ht="30" hidden="false" customHeight="true" outlineLevel="0" collapsed="false">
      <c r="B32" s="16" t="s">
        <v>14</v>
      </c>
      <c r="C32" s="17" t="s">
        <v>47</v>
      </c>
      <c r="D32" s="17"/>
    </row>
    <row r="33" customFormat="false" ht="30" hidden="false" customHeight="true" outlineLevel="0" collapsed="false">
      <c r="B33" s="16" t="s">
        <v>14</v>
      </c>
      <c r="C33" s="17" t="s">
        <v>48</v>
      </c>
      <c r="D33" s="17"/>
    </row>
  </sheetData>
  <mergeCells count="12">
    <mergeCell ref="B1:D1"/>
    <mergeCell ref="B2:D2"/>
    <mergeCell ref="B4:D4"/>
    <mergeCell ref="B11:D11"/>
    <mergeCell ref="B16:D16"/>
    <mergeCell ref="B22:D22"/>
    <mergeCell ref="B28:D28"/>
    <mergeCell ref="C29:D29"/>
    <mergeCell ref="C30:D30"/>
    <mergeCell ref="C31:D31"/>
    <mergeCell ref="C32:D32"/>
    <mergeCell ref="C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6F"/>
    <pageSetUpPr fitToPage="true"/>
  </sheetPr>
  <dimension ref="B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6"/>
    <col collapsed="false" customWidth="true" hidden="false" outlineLevel="0" max="4" min="3" style="0" width="17"/>
    <col collapsed="false" customWidth="true" hidden="false" outlineLevel="0" max="5" min="5" style="0" width="50"/>
  </cols>
  <sheetData>
    <row r="1" customFormat="false" ht="39.75" hidden="false" customHeight="true" outlineLevel="0" collapsed="false">
      <c r="B1" s="1" t="s">
        <v>19</v>
      </c>
      <c r="C1" s="1"/>
      <c r="D1" s="1"/>
      <c r="E1" s="1"/>
    </row>
    <row r="2" customFormat="false" ht="36" hidden="false" customHeight="true" outlineLevel="0" collapsed="false">
      <c r="B2" s="2" t="s">
        <v>49</v>
      </c>
      <c r="C2" s="2"/>
      <c r="D2" s="2"/>
      <c r="E2" s="2"/>
    </row>
    <row r="3" customFormat="false" ht="9.75" hidden="false" customHeight="true" outlineLevel="0" collapsed="false"/>
    <row r="4" customFormat="false" ht="30" hidden="false" customHeight="true" outlineLevel="0" collapsed="false">
      <c r="B4" s="18" t="s">
        <v>50</v>
      </c>
      <c r="C4" s="19" t="n">
        <f aca="true">DATE(YEAR(TODAY()),MONTH(TODAY()),1)</f>
        <v>46296</v>
      </c>
      <c r="D4" s="20" t="s">
        <v>51</v>
      </c>
      <c r="E4" s="20"/>
    </row>
    <row r="6" customFormat="false" ht="27.75" hidden="false" customHeight="true" outlineLevel="0" collapsed="false">
      <c r="B6" s="3" t="s">
        <v>52</v>
      </c>
      <c r="C6" s="3"/>
      <c r="D6" s="3"/>
      <c r="E6" s="3"/>
    </row>
    <row r="7" customFormat="false" ht="30" hidden="false" customHeight="true" outlineLevel="0" collapsed="false">
      <c r="B7" s="21" t="s">
        <v>53</v>
      </c>
      <c r="C7" s="22" t="n">
        <f aca="false">SUMIF(Clientes!$F$5:$F$204,"&gt;0")</f>
        <v>69</v>
      </c>
      <c r="D7" s="13" t="str">
        <f aca="false">COUNTIF(Clientes!$F$5:$F$204,"&gt;0.005")&amp;" devendo"</f>
        <v>3 devendo</v>
      </c>
      <c r="E7" s="23" t="s">
        <v>54</v>
      </c>
    </row>
    <row r="9" customFormat="false" ht="27.75" hidden="false" customHeight="true" outlineLevel="0" collapsed="false">
      <c r="B9" s="3" t="s">
        <v>15</v>
      </c>
      <c r="C9" s="3"/>
      <c r="D9" s="3"/>
      <c r="E9" s="3"/>
    </row>
    <row r="10" customFormat="false" ht="26.85" hidden="false" customHeight="false" outlineLevel="0" collapsed="false">
      <c r="B10" s="14"/>
      <c r="C10" s="14" t="s">
        <v>55</v>
      </c>
      <c r="D10" s="14" t="s">
        <v>56</v>
      </c>
      <c r="E10" s="14"/>
    </row>
    <row r="11" customFormat="false" ht="25.5" hidden="false" customHeight="true" outlineLevel="0" collapsed="false">
      <c r="B11" s="9" t="s">
        <v>57</v>
      </c>
      <c r="C11" s="24" t="n">
        <f aca="false">SUMIFS(Vendas!$G$5:$G$2004,Vendas!$B$5:$B$2004,"&gt;="&amp;$C$4,Vendas!$B$5:$B$2004,"&lt;="&amp;EOMONTH($C$4,0))</f>
        <v>205</v>
      </c>
      <c r="D11" s="24" t="n">
        <f aca="false">SUM(Vendas!$G$5:$G$2004)</f>
        <v>205</v>
      </c>
      <c r="E11" s="20" t="s">
        <v>58</v>
      </c>
    </row>
    <row r="12" customFormat="false" ht="25.5" hidden="false" customHeight="true" outlineLevel="0" collapsed="false">
      <c r="B12" s="9" t="s">
        <v>59</v>
      </c>
      <c r="C12" s="24" t="n">
        <f aca="false">SUMIFS(Recebi!$D$5:$D$2004,Recebi!$B$5:$B$2004,"&gt;="&amp;$C$4,Recebi!$B$5:$B$2004,"&lt;="&amp;EOMONTH($C$4,0))+SUMIFS(Vendas!$G$5:$G$2004,Vendas!$J$5:$J$2004,"Sim",Vendas!$B$5:$B$2004,"&gt;="&amp;$C$4,Vendas!$B$5:$B$2004,"&lt;="&amp;EOMONTH($C$4,0))</f>
        <v>136</v>
      </c>
      <c r="D12" s="24" t="n">
        <f aca="false">SUM(Recebi!$D$5:$D$2004)+SUMIFS(Vendas!$G$5:$G$2004,Vendas!$J$5:$J$2004,"Sim")</f>
        <v>136</v>
      </c>
      <c r="E12" s="20" t="s">
        <v>60</v>
      </c>
    </row>
    <row r="13" customFormat="false" ht="25.5" hidden="false" customHeight="true" outlineLevel="0" collapsed="false">
      <c r="B13" s="9" t="s">
        <v>61</v>
      </c>
      <c r="C13" s="24" t="n">
        <f aca="false">SUMIFS(Vendas!$H$5:$H$2004,Vendas!$B$5:$B$2004,"&gt;="&amp;$C$4,Vendas!$B$5:$B$2004,"&lt;="&amp;EOMONTH($C$4,0))</f>
        <v>68.1853526666667</v>
      </c>
      <c r="D13" s="24" t="n">
        <f aca="false">SUM(Vendas!$H$5:$H$2004)</f>
        <v>68.1853526666667</v>
      </c>
      <c r="E13" s="20" t="s">
        <v>62</v>
      </c>
    </row>
    <row r="14" customFormat="false" ht="25.5" hidden="false" customHeight="true" outlineLevel="0" collapsed="false">
      <c r="B14" s="9" t="s">
        <v>63</v>
      </c>
      <c r="C14" s="24" t="n">
        <f aca="false">C11*Taxas</f>
        <v>6.15</v>
      </c>
      <c r="D14" s="24" t="n">
        <f aca="false">D11*Taxas</f>
        <v>6.15</v>
      </c>
      <c r="E14" s="20" t="s">
        <v>64</v>
      </c>
    </row>
    <row r="15" customFormat="false" ht="25.5" hidden="false" customHeight="true" outlineLevel="0" collapsed="false">
      <c r="B15" s="11" t="s">
        <v>65</v>
      </c>
      <c r="C15" s="25" t="n">
        <f aca="false">C11-C13-C14</f>
        <v>130.664647333333</v>
      </c>
      <c r="D15" s="25" t="n">
        <f aca="false">D11-D13-D14</f>
        <v>130.664647333333</v>
      </c>
      <c r="E15" s="26" t="s">
        <v>66</v>
      </c>
    </row>
    <row r="17" customFormat="false" ht="27.75" hidden="false" customHeight="true" outlineLevel="0" collapsed="false">
      <c r="B17" s="3" t="s">
        <v>67</v>
      </c>
      <c r="C17" s="3"/>
      <c r="D17" s="3"/>
      <c r="E17" s="3"/>
    </row>
    <row r="18" customFormat="false" ht="25.5" hidden="false" customHeight="true" outlineLevel="0" collapsed="false">
      <c r="B18" s="9" t="s">
        <v>68</v>
      </c>
      <c r="C18" s="24" t="n">
        <f aca="false">ContasFixas</f>
        <v>407</v>
      </c>
      <c r="D18" s="6"/>
      <c r="E18" s="20" t="s">
        <v>69</v>
      </c>
    </row>
    <row r="19" customFormat="false" ht="25.5" hidden="false" customHeight="true" outlineLevel="0" collapsed="false">
      <c r="B19" s="27" t="s">
        <v>70</v>
      </c>
      <c r="C19" s="28" t="n">
        <f aca="false">C15-C18</f>
        <v>-276.335352666667</v>
      </c>
      <c r="D19" s="10"/>
      <c r="E19" s="26" t="s">
        <v>71</v>
      </c>
    </row>
    <row r="20" customFormat="false" ht="25.5" hidden="false" customHeight="true" outlineLevel="0" collapsed="false">
      <c r="B20" s="9" t="s">
        <v>72</v>
      </c>
      <c r="C20" s="24" t="n">
        <f aca="false">Salario</f>
        <v>1500</v>
      </c>
      <c r="D20" s="6"/>
      <c r="E20" s="20" t="s">
        <v>73</v>
      </c>
    </row>
    <row r="21" customFormat="false" ht="33.75" hidden="false" customHeight="true" outlineLevel="0" collapsed="false">
      <c r="B21" s="29" t="str">
        <f aca="false">IF(C11=0,"Ainda não tem vendas neste mês.",IF(C19&gt;=C20,"Bateu o seu salário! E ainda sobrou "&amp;"R$ "&amp;FIXED(C19-C20,2)&amp;" de lucro.",IF(C19&gt;0,"Faltam "&amp;"R$ "&amp;FIXED(C20-C19,2)&amp;" para chegar no seu salário.","As vendas ainda não pagaram as contas fixas do mês.")))</f>
        <v>As vendas ainda não pagaram as contas fixas do mês.</v>
      </c>
      <c r="C21" s="29"/>
      <c r="D21" s="29"/>
      <c r="E21" s="29"/>
    </row>
    <row r="23" customFormat="false" ht="27.75" hidden="false" customHeight="true" outlineLevel="0" collapsed="false">
      <c r="B23" s="3" t="s">
        <v>74</v>
      </c>
      <c r="C23" s="3"/>
      <c r="D23" s="3"/>
      <c r="E23" s="3"/>
    </row>
    <row r="24" customFormat="false" ht="25.5" hidden="false" customHeight="true" outlineLevel="0" collapsed="false">
      <c r="B24" s="9" t="s">
        <v>75</v>
      </c>
      <c r="C24" s="30" t="n">
        <f aca="false">IF(C11&gt;0,(C11-C13)/C11-Taxas,IFERROR(AVERAGE(Produtos!$O$5:$O$54),0))</f>
        <v>0.637388523577236</v>
      </c>
      <c r="D24" s="6"/>
      <c r="E24" s="20" t="s">
        <v>76</v>
      </c>
    </row>
    <row r="25" customFormat="false" ht="25.5" hidden="false" customHeight="true" outlineLevel="0" collapsed="false">
      <c r="B25" s="11" t="s">
        <v>77</v>
      </c>
      <c r="C25" s="25" t="n">
        <f aca="false">IF(C24&gt;0,(ContasFixas+Salario)/C24,"")</f>
        <v>2991.89572679672</v>
      </c>
      <c r="D25" s="10"/>
      <c r="E25" s="26" t="s">
        <v>78</v>
      </c>
    </row>
    <row r="26" customFormat="false" ht="25.5" hidden="false" customHeight="true" outlineLevel="0" collapsed="false">
      <c r="B26" s="9" t="str">
        <f aca="false">"Para ter também "&amp;TEXT(LucroDesejado,"0%")&amp;" de lucro, preciso vender"</f>
        <v>Para ter também 15% de lucro, preciso vender</v>
      </c>
      <c r="C26" s="31" t="n">
        <f aca="false">IF(C24-LucroDesejado&gt;0,(ContasFixas+Salario)/(C24-LucroDesejado),"")</f>
        <v>3912.6895848991</v>
      </c>
      <c r="D26" s="6"/>
      <c r="E26" s="20" t="str">
        <f aca="false">IF(C26="","Com os preços de hoje não dá esse lucro. Veja a aba Produtos.","Por mês.")</f>
        <v>Por mês.</v>
      </c>
    </row>
    <row r="27" customFormat="false" ht="25.5" hidden="false" customHeight="true" outlineLevel="0" collapsed="false">
      <c r="B27" s="9" t="s">
        <v>79</v>
      </c>
      <c r="C27" s="32" t="n">
        <f aca="false">IF(N(C25)=0,"",C11/C25)</f>
        <v>0.0685184306939346</v>
      </c>
      <c r="D27" s="33" t="str">
        <f aca="false">IF(C27="","",REPT("■",MIN(10,ROUND(C27*10,0)))&amp;REPT("□",10-MIN(10,ROUND(C27*10,0))))</f>
        <v>■□□□□□□□□□</v>
      </c>
      <c r="E27" s="20" t="str">
        <f aca="false">IF(C27="","",IF(C11&gt;=C25,"Meta batida!","Faltam "&amp;"R$ "&amp;FIXED(C25-C11,2)&amp;" em vendas."))</f>
        <v>Faltam R$ 2,786.90 em vendas.</v>
      </c>
    </row>
    <row r="29" customFormat="false" ht="27.75" hidden="false" customHeight="true" outlineLevel="0" collapsed="false">
      <c r="B29" s="3" t="s">
        <v>80</v>
      </c>
      <c r="C29" s="3"/>
      <c r="D29" s="3"/>
      <c r="E29" s="3"/>
    </row>
    <row r="30" customFormat="false" ht="15" hidden="false" customHeight="false" outlineLevel="0" collapsed="false">
      <c r="B30" s="14" t="s">
        <v>81</v>
      </c>
      <c r="C30" s="14" t="s">
        <v>82</v>
      </c>
      <c r="D30" s="14" t="s">
        <v>57</v>
      </c>
      <c r="E30" s="14" t="s">
        <v>83</v>
      </c>
    </row>
    <row r="31" customFormat="false" ht="15" hidden="false" customHeight="false" outlineLevel="0" collapsed="false">
      <c r="B31" s="6" t="str">
        <f aca="false">IF(Produtos!B5="","",Produtos!B5)</f>
        <v>Bolo de pote de chocolate</v>
      </c>
      <c r="C31" s="34" t="n">
        <f aca="false">IF(B31="","",SUMIFS(Vendas!$E$5:$E$2004,Vendas!$D$5:$D$2004,B31,Vendas!$B$5:$B$2004,"&gt;="&amp;$C$4,Vendas!$B$5:$B$2004,"&lt;="&amp;EOMONTH($C$4,0)))</f>
        <v>5</v>
      </c>
      <c r="D31" s="24" t="n">
        <f aca="false">IF(B31="","",SUMIFS(Vendas!$G$5:$G$2004,Vendas!$D$5:$D$2004,B31,Vendas!$B$5:$B$2004,"&gt;="&amp;$C$4,Vendas!$B$5:$B$2004,"&lt;="&amp;EOMONTH($C$4,0)))</f>
        <v>60</v>
      </c>
      <c r="E31" s="24" t="n">
        <f aca="false">IF(B31="","",SUMIFS(Vendas!$I$5:$I$2004,Vendas!$D$5:$D$2004,B31,Vendas!$B$5:$B$2004,"&gt;="&amp;$C$4,Vendas!$B$5:$B$2004,"&lt;="&amp;EOMONTH($C$4,0)))</f>
        <v>39.9588395833333</v>
      </c>
    </row>
    <row r="32" customFormat="false" ht="15" hidden="false" customHeight="false" outlineLevel="0" collapsed="false">
      <c r="B32" s="6" t="str">
        <f aca="false">IF(Produtos!B6="","",Produtos!B6)</f>
        <v>Palha italiana</v>
      </c>
      <c r="C32" s="34" t="n">
        <f aca="false">IF(B32="","",SUMIFS(Vendas!$E$5:$E$2004,Vendas!$D$5:$D$2004,B32,Vendas!$B$5:$B$2004,"&gt;="&amp;$C$4,Vendas!$B$5:$B$2004,"&lt;="&amp;EOMONTH($C$4,0)))</f>
        <v>5</v>
      </c>
      <c r="D32" s="24" t="n">
        <f aca="false">IF(B32="","",SUMIFS(Vendas!$G$5:$G$2004,Vendas!$D$5:$D$2004,B32,Vendas!$B$5:$B$2004,"&gt;="&amp;$C$4,Vendas!$B$5:$B$2004,"&lt;="&amp;EOMONTH($C$4,0)))</f>
        <v>25</v>
      </c>
      <c r="E32" s="24" t="n">
        <f aca="false">IF(B32="","",SUMIFS(Vendas!$I$5:$I$2004,Vendas!$D$5:$D$2004,B32,Vendas!$B$5:$B$2004,"&gt;="&amp;$C$4,Vendas!$B$5:$B$2004,"&lt;="&amp;EOMONTH($C$4,0)))</f>
        <v>17.6455375</v>
      </c>
    </row>
    <row r="33" customFormat="false" ht="15" hidden="false" customHeight="false" outlineLevel="0" collapsed="false">
      <c r="B33" s="6" t="str">
        <f aca="false">IF(Produtos!B7="","",Produtos!B7)</f>
        <v>Brigadeiro</v>
      </c>
      <c r="C33" s="34" t="n">
        <f aca="false">IF(B33="","",SUMIFS(Vendas!$E$5:$E$2004,Vendas!$D$5:$D$2004,B33,Vendas!$B$5:$B$2004,"&gt;="&amp;$C$4,Vendas!$B$5:$B$2004,"&lt;="&amp;EOMONTH($C$4,0)))</f>
        <v>20</v>
      </c>
      <c r="D33" s="24" t="n">
        <f aca="false">IF(B33="","",SUMIFS(Vendas!$G$5:$G$2004,Vendas!$D$5:$D$2004,B33,Vendas!$B$5:$B$2004,"&gt;="&amp;$C$4,Vendas!$B$5:$B$2004,"&lt;="&amp;EOMONTH($C$4,0)))</f>
        <v>50</v>
      </c>
      <c r="E33" s="24" t="n">
        <f aca="false">IF(B33="","",SUMIFS(Vendas!$I$5:$I$2004,Vendas!$D$5:$D$2004,B33,Vendas!$B$5:$B$2004,"&gt;="&amp;$C$4,Vendas!$B$5:$B$2004,"&lt;="&amp;EOMONTH($C$4,0)))</f>
        <v>40.4702</v>
      </c>
    </row>
    <row r="34" customFormat="false" ht="15" hidden="false" customHeight="false" outlineLevel="0" collapsed="false">
      <c r="B34" s="6" t="str">
        <f aca="false">IF(Produtos!B8="","",Produtos!B8)</f>
        <v>Coxinha de frango</v>
      </c>
      <c r="C34" s="34" t="n">
        <f aca="false">IF(B34="","",SUMIFS(Vendas!$E$5:$E$2004,Vendas!$D$5:$D$2004,B34,Vendas!$B$5:$B$2004,"&gt;="&amp;$C$4,Vendas!$B$5:$B$2004,"&lt;="&amp;EOMONTH($C$4,0)))</f>
        <v>14</v>
      </c>
      <c r="D34" s="24" t="n">
        <f aca="false">IF(B34="","",SUMIFS(Vendas!$G$5:$G$2004,Vendas!$D$5:$D$2004,B34,Vendas!$B$5:$B$2004,"&gt;="&amp;$C$4,Vendas!$B$5:$B$2004,"&lt;="&amp;EOMONTH($C$4,0)))</f>
        <v>70</v>
      </c>
      <c r="E34" s="24" t="n">
        <f aca="false">IF(B34="","",SUMIFS(Vendas!$I$5:$I$2004,Vendas!$D$5:$D$2004,B34,Vendas!$B$5:$B$2004,"&gt;="&amp;$C$4,Vendas!$B$5:$B$2004,"&lt;="&amp;EOMONTH($C$4,0)))</f>
        <v>38.74007025</v>
      </c>
    </row>
    <row r="35" customFormat="false" ht="15" hidden="false" customHeight="false" outlineLevel="0" collapsed="false">
      <c r="B35" s="6" t="str">
        <f aca="false">IF(Produtos!B9="","",Produtos!B9)</f>
        <v/>
      </c>
      <c r="C35" s="34" t="str">
        <f aca="false">IF(B35="","",SUMIFS(Vendas!$E$5:$E$2004,Vendas!$D$5:$D$2004,B35,Vendas!$B$5:$B$2004,"&gt;="&amp;$C$4,Vendas!$B$5:$B$2004,"&lt;="&amp;EOMONTH($C$4,0)))</f>
        <v/>
      </c>
      <c r="D35" s="24" t="str">
        <f aca="false">IF(B35="","",SUMIFS(Vendas!$G$5:$G$2004,Vendas!$D$5:$D$2004,B35,Vendas!$B$5:$B$2004,"&gt;="&amp;$C$4,Vendas!$B$5:$B$2004,"&lt;="&amp;EOMONTH($C$4,0)))</f>
        <v/>
      </c>
      <c r="E35" s="24" t="str">
        <f aca="false">IF(B35="","",SUMIFS(Vendas!$I$5:$I$2004,Vendas!$D$5:$D$2004,B35,Vendas!$B$5:$B$2004,"&gt;="&amp;$C$4,Vendas!$B$5:$B$2004,"&lt;="&amp;EOMONTH($C$4,0)))</f>
        <v/>
      </c>
    </row>
    <row r="36" customFormat="false" ht="15" hidden="false" customHeight="false" outlineLevel="0" collapsed="false">
      <c r="B36" s="6" t="str">
        <f aca="false">IF(Produtos!B10="","",Produtos!B10)</f>
        <v/>
      </c>
      <c r="C36" s="34" t="str">
        <f aca="false">IF(B36="","",SUMIFS(Vendas!$E$5:$E$2004,Vendas!$D$5:$D$2004,B36,Vendas!$B$5:$B$2004,"&gt;="&amp;$C$4,Vendas!$B$5:$B$2004,"&lt;="&amp;EOMONTH($C$4,0)))</f>
        <v/>
      </c>
      <c r="D36" s="24" t="str">
        <f aca="false">IF(B36="","",SUMIFS(Vendas!$G$5:$G$2004,Vendas!$D$5:$D$2004,B36,Vendas!$B$5:$B$2004,"&gt;="&amp;$C$4,Vendas!$B$5:$B$2004,"&lt;="&amp;EOMONTH($C$4,0)))</f>
        <v/>
      </c>
      <c r="E36" s="24" t="str">
        <f aca="false">IF(B36="","",SUMIFS(Vendas!$I$5:$I$2004,Vendas!$D$5:$D$2004,B36,Vendas!$B$5:$B$2004,"&gt;="&amp;$C$4,Vendas!$B$5:$B$2004,"&lt;="&amp;EOMONTH($C$4,0)))</f>
        <v/>
      </c>
    </row>
    <row r="37" customFormat="false" ht="15" hidden="false" customHeight="false" outlineLevel="0" collapsed="false">
      <c r="B37" s="6" t="str">
        <f aca="false">IF(Produtos!B11="","",Produtos!B11)</f>
        <v/>
      </c>
      <c r="C37" s="34" t="str">
        <f aca="false">IF(B37="","",SUMIFS(Vendas!$E$5:$E$2004,Vendas!$D$5:$D$2004,B37,Vendas!$B$5:$B$2004,"&gt;="&amp;$C$4,Vendas!$B$5:$B$2004,"&lt;="&amp;EOMONTH($C$4,0)))</f>
        <v/>
      </c>
      <c r="D37" s="24" t="str">
        <f aca="false">IF(B37="","",SUMIFS(Vendas!$G$5:$G$2004,Vendas!$D$5:$D$2004,B37,Vendas!$B$5:$B$2004,"&gt;="&amp;$C$4,Vendas!$B$5:$B$2004,"&lt;="&amp;EOMONTH($C$4,0)))</f>
        <v/>
      </c>
      <c r="E37" s="24" t="str">
        <f aca="false">IF(B37="","",SUMIFS(Vendas!$I$5:$I$2004,Vendas!$D$5:$D$2004,B37,Vendas!$B$5:$B$2004,"&gt;="&amp;$C$4,Vendas!$B$5:$B$2004,"&lt;="&amp;EOMONTH($C$4,0)))</f>
        <v/>
      </c>
    </row>
    <row r="38" customFormat="false" ht="15" hidden="false" customHeight="false" outlineLevel="0" collapsed="false">
      <c r="B38" s="6" t="str">
        <f aca="false">IF(Produtos!B12="","",Produtos!B12)</f>
        <v/>
      </c>
      <c r="C38" s="34" t="str">
        <f aca="false">IF(B38="","",SUMIFS(Vendas!$E$5:$E$2004,Vendas!$D$5:$D$2004,B38,Vendas!$B$5:$B$2004,"&gt;="&amp;$C$4,Vendas!$B$5:$B$2004,"&lt;="&amp;EOMONTH($C$4,0)))</f>
        <v/>
      </c>
      <c r="D38" s="24" t="str">
        <f aca="false">IF(B38="","",SUMIFS(Vendas!$G$5:$G$2004,Vendas!$D$5:$D$2004,B38,Vendas!$B$5:$B$2004,"&gt;="&amp;$C$4,Vendas!$B$5:$B$2004,"&lt;="&amp;EOMONTH($C$4,0)))</f>
        <v/>
      </c>
      <c r="E38" s="24" t="str">
        <f aca="false">IF(B38="","",SUMIFS(Vendas!$I$5:$I$2004,Vendas!$D$5:$D$2004,B38,Vendas!$B$5:$B$2004,"&gt;="&amp;$C$4,Vendas!$B$5:$B$2004,"&lt;="&amp;EOMONTH($C$4,0)))</f>
        <v/>
      </c>
    </row>
    <row r="39" customFormat="false" ht="15" hidden="false" customHeight="false" outlineLevel="0" collapsed="false">
      <c r="B39" s="6" t="str">
        <f aca="false">IF(Produtos!B13="","",Produtos!B13)</f>
        <v/>
      </c>
      <c r="C39" s="34" t="str">
        <f aca="false">IF(B39="","",SUMIFS(Vendas!$E$5:$E$2004,Vendas!$D$5:$D$2004,B39,Vendas!$B$5:$B$2004,"&gt;="&amp;$C$4,Vendas!$B$5:$B$2004,"&lt;="&amp;EOMONTH($C$4,0)))</f>
        <v/>
      </c>
      <c r="D39" s="24" t="str">
        <f aca="false">IF(B39="","",SUMIFS(Vendas!$G$5:$G$2004,Vendas!$D$5:$D$2004,B39,Vendas!$B$5:$B$2004,"&gt;="&amp;$C$4,Vendas!$B$5:$B$2004,"&lt;="&amp;EOMONTH($C$4,0)))</f>
        <v/>
      </c>
      <c r="E39" s="24" t="str">
        <f aca="false">IF(B39="","",SUMIFS(Vendas!$I$5:$I$2004,Vendas!$D$5:$D$2004,B39,Vendas!$B$5:$B$2004,"&gt;="&amp;$C$4,Vendas!$B$5:$B$2004,"&lt;="&amp;EOMONTH($C$4,0)))</f>
        <v/>
      </c>
    </row>
    <row r="40" customFormat="false" ht="15" hidden="false" customHeight="false" outlineLevel="0" collapsed="false">
      <c r="B40" s="6" t="str">
        <f aca="false">IF(Produtos!B14="","",Produtos!B14)</f>
        <v/>
      </c>
      <c r="C40" s="34" t="str">
        <f aca="false">IF(B40="","",SUMIFS(Vendas!$E$5:$E$2004,Vendas!$D$5:$D$2004,B40,Vendas!$B$5:$B$2004,"&gt;="&amp;$C$4,Vendas!$B$5:$B$2004,"&lt;="&amp;EOMONTH($C$4,0)))</f>
        <v/>
      </c>
      <c r="D40" s="24" t="str">
        <f aca="false">IF(B40="","",SUMIFS(Vendas!$G$5:$G$2004,Vendas!$D$5:$D$2004,B40,Vendas!$B$5:$B$2004,"&gt;="&amp;$C$4,Vendas!$B$5:$B$2004,"&lt;="&amp;EOMONTH($C$4,0)))</f>
        <v/>
      </c>
      <c r="E40" s="24" t="str">
        <f aca="false">IF(B40="","",SUMIFS(Vendas!$I$5:$I$2004,Vendas!$D$5:$D$2004,B40,Vendas!$B$5:$B$2004,"&gt;="&amp;$C$4,Vendas!$B$5:$B$2004,"&lt;="&amp;EOMONTH($C$4,0)))</f>
        <v/>
      </c>
    </row>
    <row r="41" customFormat="false" ht="15" hidden="false" customHeight="false" outlineLevel="0" collapsed="false">
      <c r="B41" s="6" t="str">
        <f aca="false">IF(Produtos!B15="","",Produtos!B15)</f>
        <v/>
      </c>
      <c r="C41" s="34" t="str">
        <f aca="false">IF(B41="","",SUMIFS(Vendas!$E$5:$E$2004,Vendas!$D$5:$D$2004,B41,Vendas!$B$5:$B$2004,"&gt;="&amp;$C$4,Vendas!$B$5:$B$2004,"&lt;="&amp;EOMONTH($C$4,0)))</f>
        <v/>
      </c>
      <c r="D41" s="24" t="str">
        <f aca="false">IF(B41="","",SUMIFS(Vendas!$G$5:$G$2004,Vendas!$D$5:$D$2004,B41,Vendas!$B$5:$B$2004,"&gt;="&amp;$C$4,Vendas!$B$5:$B$2004,"&lt;="&amp;EOMONTH($C$4,0)))</f>
        <v/>
      </c>
      <c r="E41" s="24" t="str">
        <f aca="false">IF(B41="","",SUMIFS(Vendas!$I$5:$I$2004,Vendas!$D$5:$D$2004,B41,Vendas!$B$5:$B$2004,"&gt;="&amp;$C$4,Vendas!$B$5:$B$2004,"&lt;="&amp;EOMONTH($C$4,0)))</f>
        <v/>
      </c>
    </row>
    <row r="42" customFormat="false" ht="15" hidden="false" customHeight="false" outlineLevel="0" collapsed="false">
      <c r="B42" s="6" t="str">
        <f aca="false">IF(Produtos!B16="","",Produtos!B16)</f>
        <v/>
      </c>
      <c r="C42" s="34" t="str">
        <f aca="false">IF(B42="","",SUMIFS(Vendas!$E$5:$E$2004,Vendas!$D$5:$D$2004,B42,Vendas!$B$5:$B$2004,"&gt;="&amp;$C$4,Vendas!$B$5:$B$2004,"&lt;="&amp;EOMONTH($C$4,0)))</f>
        <v/>
      </c>
      <c r="D42" s="24" t="str">
        <f aca="false">IF(B42="","",SUMIFS(Vendas!$G$5:$G$2004,Vendas!$D$5:$D$2004,B42,Vendas!$B$5:$B$2004,"&gt;="&amp;$C$4,Vendas!$B$5:$B$2004,"&lt;="&amp;EOMONTH($C$4,0)))</f>
        <v/>
      </c>
      <c r="E42" s="24" t="str">
        <f aca="false">IF(B42="","",SUMIFS(Vendas!$I$5:$I$2004,Vendas!$D$5:$D$2004,B42,Vendas!$B$5:$B$2004,"&gt;="&amp;$C$4,Vendas!$B$5:$B$2004,"&lt;="&amp;EOMONTH($C$4,0)))</f>
        <v/>
      </c>
    </row>
    <row r="43" customFormat="false" ht="15" hidden="false" customHeight="false" outlineLevel="0" collapsed="false">
      <c r="B43" s="6" t="str">
        <f aca="false">IF(Produtos!B17="","",Produtos!B17)</f>
        <v/>
      </c>
      <c r="C43" s="34" t="str">
        <f aca="false">IF(B43="","",SUMIFS(Vendas!$E$5:$E$2004,Vendas!$D$5:$D$2004,B43,Vendas!$B$5:$B$2004,"&gt;="&amp;$C$4,Vendas!$B$5:$B$2004,"&lt;="&amp;EOMONTH($C$4,0)))</f>
        <v/>
      </c>
      <c r="D43" s="24" t="str">
        <f aca="false">IF(B43="","",SUMIFS(Vendas!$G$5:$G$2004,Vendas!$D$5:$D$2004,B43,Vendas!$B$5:$B$2004,"&gt;="&amp;$C$4,Vendas!$B$5:$B$2004,"&lt;="&amp;EOMONTH($C$4,0)))</f>
        <v/>
      </c>
      <c r="E43" s="24" t="str">
        <f aca="false">IF(B43="","",SUMIFS(Vendas!$I$5:$I$2004,Vendas!$D$5:$D$2004,B43,Vendas!$B$5:$B$2004,"&gt;="&amp;$C$4,Vendas!$B$5:$B$2004,"&lt;="&amp;EOMONTH($C$4,0)))</f>
        <v/>
      </c>
    </row>
    <row r="44" customFormat="false" ht="15" hidden="false" customHeight="false" outlineLevel="0" collapsed="false">
      <c r="B44" s="6" t="str">
        <f aca="false">IF(Produtos!B18="","",Produtos!B18)</f>
        <v/>
      </c>
      <c r="C44" s="34" t="str">
        <f aca="false">IF(B44="","",SUMIFS(Vendas!$E$5:$E$2004,Vendas!$D$5:$D$2004,B44,Vendas!$B$5:$B$2004,"&gt;="&amp;$C$4,Vendas!$B$5:$B$2004,"&lt;="&amp;EOMONTH($C$4,0)))</f>
        <v/>
      </c>
      <c r="D44" s="24" t="str">
        <f aca="false">IF(B44="","",SUMIFS(Vendas!$G$5:$G$2004,Vendas!$D$5:$D$2004,B44,Vendas!$B$5:$B$2004,"&gt;="&amp;$C$4,Vendas!$B$5:$B$2004,"&lt;="&amp;EOMONTH($C$4,0)))</f>
        <v/>
      </c>
      <c r="E44" s="24" t="str">
        <f aca="false">IF(B44="","",SUMIFS(Vendas!$I$5:$I$2004,Vendas!$D$5:$D$2004,B44,Vendas!$B$5:$B$2004,"&gt;="&amp;$C$4,Vendas!$B$5:$B$2004,"&lt;="&amp;EOMONTH($C$4,0)))</f>
        <v/>
      </c>
    </row>
    <row r="45" customFormat="false" ht="15" hidden="false" customHeight="false" outlineLevel="0" collapsed="false">
      <c r="B45" s="6" t="str">
        <f aca="false">IF(Produtos!B19="","",Produtos!B19)</f>
        <v/>
      </c>
      <c r="C45" s="34" t="str">
        <f aca="false">IF(B45="","",SUMIFS(Vendas!$E$5:$E$2004,Vendas!$D$5:$D$2004,B45,Vendas!$B$5:$B$2004,"&gt;="&amp;$C$4,Vendas!$B$5:$B$2004,"&lt;="&amp;EOMONTH($C$4,0)))</f>
        <v/>
      </c>
      <c r="D45" s="24" t="str">
        <f aca="false">IF(B45="","",SUMIFS(Vendas!$G$5:$G$2004,Vendas!$D$5:$D$2004,B45,Vendas!$B$5:$B$2004,"&gt;="&amp;$C$4,Vendas!$B$5:$B$2004,"&lt;="&amp;EOMONTH($C$4,0)))</f>
        <v/>
      </c>
      <c r="E45" s="24" t="str">
        <f aca="false">IF(B45="","",SUMIFS(Vendas!$I$5:$I$2004,Vendas!$D$5:$D$2004,B45,Vendas!$B$5:$B$2004,"&gt;="&amp;$C$4,Vendas!$B$5:$B$2004,"&lt;="&amp;EOMONTH($C$4,0)))</f>
        <v/>
      </c>
    </row>
    <row r="46" customFormat="false" ht="15" hidden="false" customHeight="false" outlineLevel="0" collapsed="false">
      <c r="B46" s="6" t="str">
        <f aca="false">IF(Produtos!B20="","",Produtos!B20)</f>
        <v/>
      </c>
      <c r="C46" s="34" t="str">
        <f aca="false">IF(B46="","",SUMIFS(Vendas!$E$5:$E$2004,Vendas!$D$5:$D$2004,B46,Vendas!$B$5:$B$2004,"&gt;="&amp;$C$4,Vendas!$B$5:$B$2004,"&lt;="&amp;EOMONTH($C$4,0)))</f>
        <v/>
      </c>
      <c r="D46" s="24" t="str">
        <f aca="false">IF(B46="","",SUMIFS(Vendas!$G$5:$G$2004,Vendas!$D$5:$D$2004,B46,Vendas!$B$5:$B$2004,"&gt;="&amp;$C$4,Vendas!$B$5:$B$2004,"&lt;="&amp;EOMONTH($C$4,0)))</f>
        <v/>
      </c>
      <c r="E46" s="24" t="str">
        <f aca="false">IF(B46="","",SUMIFS(Vendas!$I$5:$I$2004,Vendas!$D$5:$D$2004,B46,Vendas!$B$5:$B$2004,"&gt;="&amp;$C$4,Vendas!$B$5:$B$2004,"&lt;="&amp;EOMONTH($C$4,0)))</f>
        <v/>
      </c>
    </row>
    <row r="47" customFormat="false" ht="15" hidden="false" customHeight="false" outlineLevel="0" collapsed="false">
      <c r="B47" s="6" t="str">
        <f aca="false">IF(Produtos!B21="","",Produtos!B21)</f>
        <v/>
      </c>
      <c r="C47" s="34" t="str">
        <f aca="false">IF(B47="","",SUMIFS(Vendas!$E$5:$E$2004,Vendas!$D$5:$D$2004,B47,Vendas!$B$5:$B$2004,"&gt;="&amp;$C$4,Vendas!$B$5:$B$2004,"&lt;="&amp;EOMONTH($C$4,0)))</f>
        <v/>
      </c>
      <c r="D47" s="24" t="str">
        <f aca="false">IF(B47="","",SUMIFS(Vendas!$G$5:$G$2004,Vendas!$D$5:$D$2004,B47,Vendas!$B$5:$B$2004,"&gt;="&amp;$C$4,Vendas!$B$5:$B$2004,"&lt;="&amp;EOMONTH($C$4,0)))</f>
        <v/>
      </c>
      <c r="E47" s="24" t="str">
        <f aca="false">IF(B47="","",SUMIFS(Vendas!$I$5:$I$2004,Vendas!$D$5:$D$2004,B47,Vendas!$B$5:$B$2004,"&gt;="&amp;$C$4,Vendas!$B$5:$B$2004,"&lt;="&amp;EOMONTH($C$4,0)))</f>
        <v/>
      </c>
    </row>
    <row r="48" customFormat="false" ht="15" hidden="false" customHeight="false" outlineLevel="0" collapsed="false">
      <c r="B48" s="6" t="str">
        <f aca="false">IF(Produtos!B22="","",Produtos!B22)</f>
        <v/>
      </c>
      <c r="C48" s="34" t="str">
        <f aca="false">IF(B48="","",SUMIFS(Vendas!$E$5:$E$2004,Vendas!$D$5:$D$2004,B48,Vendas!$B$5:$B$2004,"&gt;="&amp;$C$4,Vendas!$B$5:$B$2004,"&lt;="&amp;EOMONTH($C$4,0)))</f>
        <v/>
      </c>
      <c r="D48" s="24" t="str">
        <f aca="false">IF(B48="","",SUMIFS(Vendas!$G$5:$G$2004,Vendas!$D$5:$D$2004,B48,Vendas!$B$5:$B$2004,"&gt;="&amp;$C$4,Vendas!$B$5:$B$2004,"&lt;="&amp;EOMONTH($C$4,0)))</f>
        <v/>
      </c>
      <c r="E48" s="24" t="str">
        <f aca="false">IF(B48="","",SUMIFS(Vendas!$I$5:$I$2004,Vendas!$D$5:$D$2004,B48,Vendas!$B$5:$B$2004,"&gt;="&amp;$C$4,Vendas!$B$5:$B$2004,"&lt;="&amp;EOMONTH($C$4,0)))</f>
        <v/>
      </c>
    </row>
    <row r="49" customFormat="false" ht="15" hidden="false" customHeight="false" outlineLevel="0" collapsed="false">
      <c r="B49" s="6" t="str">
        <f aca="false">IF(Produtos!B23="","",Produtos!B23)</f>
        <v/>
      </c>
      <c r="C49" s="34" t="str">
        <f aca="false">IF(B49="","",SUMIFS(Vendas!$E$5:$E$2004,Vendas!$D$5:$D$2004,B49,Vendas!$B$5:$B$2004,"&gt;="&amp;$C$4,Vendas!$B$5:$B$2004,"&lt;="&amp;EOMONTH($C$4,0)))</f>
        <v/>
      </c>
      <c r="D49" s="24" t="str">
        <f aca="false">IF(B49="","",SUMIFS(Vendas!$G$5:$G$2004,Vendas!$D$5:$D$2004,B49,Vendas!$B$5:$B$2004,"&gt;="&amp;$C$4,Vendas!$B$5:$B$2004,"&lt;="&amp;EOMONTH($C$4,0)))</f>
        <v/>
      </c>
      <c r="E49" s="24" t="str">
        <f aca="false">IF(B49="","",SUMIFS(Vendas!$I$5:$I$2004,Vendas!$D$5:$D$2004,B49,Vendas!$B$5:$B$2004,"&gt;="&amp;$C$4,Vendas!$B$5:$B$2004,"&lt;="&amp;EOMONTH($C$4,0)))</f>
        <v/>
      </c>
    </row>
    <row r="50" customFormat="false" ht="15" hidden="false" customHeight="false" outlineLevel="0" collapsed="false">
      <c r="B50" s="6" t="str">
        <f aca="false">IF(Produtos!B24="","",Produtos!B24)</f>
        <v/>
      </c>
      <c r="C50" s="34" t="str">
        <f aca="false">IF(B50="","",SUMIFS(Vendas!$E$5:$E$2004,Vendas!$D$5:$D$2004,B50,Vendas!$B$5:$B$2004,"&gt;="&amp;$C$4,Vendas!$B$5:$B$2004,"&lt;="&amp;EOMONTH($C$4,0)))</f>
        <v/>
      </c>
      <c r="D50" s="24" t="str">
        <f aca="false">IF(B50="","",SUMIFS(Vendas!$G$5:$G$2004,Vendas!$D$5:$D$2004,B50,Vendas!$B$5:$B$2004,"&gt;="&amp;$C$4,Vendas!$B$5:$B$2004,"&lt;="&amp;EOMONTH($C$4,0)))</f>
        <v/>
      </c>
      <c r="E50" s="24" t="str">
        <f aca="false">IF(B50="","",SUMIFS(Vendas!$I$5:$I$2004,Vendas!$D$5:$D$2004,B50,Vendas!$B$5:$B$2004,"&gt;="&amp;$C$4,Vendas!$B$5:$B$2004,"&lt;="&amp;EOMONTH($C$4,0)))</f>
        <v/>
      </c>
    </row>
    <row r="51" customFormat="false" ht="15" hidden="false" customHeight="false" outlineLevel="0" collapsed="false">
      <c r="B51" s="6" t="str">
        <f aca="false">IF(Produtos!B25="","",Produtos!B25)</f>
        <v/>
      </c>
      <c r="C51" s="34" t="str">
        <f aca="false">IF(B51="","",SUMIFS(Vendas!$E$5:$E$2004,Vendas!$D$5:$D$2004,B51,Vendas!$B$5:$B$2004,"&gt;="&amp;$C$4,Vendas!$B$5:$B$2004,"&lt;="&amp;EOMONTH($C$4,0)))</f>
        <v/>
      </c>
      <c r="D51" s="24" t="str">
        <f aca="false">IF(B51="","",SUMIFS(Vendas!$G$5:$G$2004,Vendas!$D$5:$D$2004,B51,Vendas!$B$5:$B$2004,"&gt;="&amp;$C$4,Vendas!$B$5:$B$2004,"&lt;="&amp;EOMONTH($C$4,0)))</f>
        <v/>
      </c>
      <c r="E51" s="24" t="str">
        <f aca="false">IF(B51="","",SUMIFS(Vendas!$I$5:$I$2004,Vendas!$D$5:$D$2004,B51,Vendas!$B$5:$B$2004,"&gt;="&amp;$C$4,Vendas!$B$5:$B$2004,"&lt;="&amp;EOMONTH($C$4,0)))</f>
        <v/>
      </c>
    </row>
    <row r="52" customFormat="false" ht="15" hidden="false" customHeight="false" outlineLevel="0" collapsed="false">
      <c r="B52" s="6" t="str">
        <f aca="false">IF(Produtos!B26="","",Produtos!B26)</f>
        <v/>
      </c>
      <c r="C52" s="34" t="str">
        <f aca="false">IF(B52="","",SUMIFS(Vendas!$E$5:$E$2004,Vendas!$D$5:$D$2004,B52,Vendas!$B$5:$B$2004,"&gt;="&amp;$C$4,Vendas!$B$5:$B$2004,"&lt;="&amp;EOMONTH($C$4,0)))</f>
        <v/>
      </c>
      <c r="D52" s="24" t="str">
        <f aca="false">IF(B52="","",SUMIFS(Vendas!$G$5:$G$2004,Vendas!$D$5:$D$2004,B52,Vendas!$B$5:$B$2004,"&gt;="&amp;$C$4,Vendas!$B$5:$B$2004,"&lt;="&amp;EOMONTH($C$4,0)))</f>
        <v/>
      </c>
      <c r="E52" s="24" t="str">
        <f aca="false">IF(B52="","",SUMIFS(Vendas!$I$5:$I$2004,Vendas!$D$5:$D$2004,B52,Vendas!$B$5:$B$2004,"&gt;="&amp;$C$4,Vendas!$B$5:$B$2004,"&lt;="&amp;EOMONTH($C$4,0)))</f>
        <v/>
      </c>
    </row>
    <row r="53" customFormat="false" ht="15" hidden="false" customHeight="false" outlineLevel="0" collapsed="false">
      <c r="B53" s="6" t="str">
        <f aca="false">IF(Produtos!B27="","",Produtos!B27)</f>
        <v/>
      </c>
      <c r="C53" s="34" t="str">
        <f aca="false">IF(B53="","",SUMIFS(Vendas!$E$5:$E$2004,Vendas!$D$5:$D$2004,B53,Vendas!$B$5:$B$2004,"&gt;="&amp;$C$4,Vendas!$B$5:$B$2004,"&lt;="&amp;EOMONTH($C$4,0)))</f>
        <v/>
      </c>
      <c r="D53" s="24" t="str">
        <f aca="false">IF(B53="","",SUMIFS(Vendas!$G$5:$G$2004,Vendas!$D$5:$D$2004,B53,Vendas!$B$5:$B$2004,"&gt;="&amp;$C$4,Vendas!$B$5:$B$2004,"&lt;="&amp;EOMONTH($C$4,0)))</f>
        <v/>
      </c>
      <c r="E53" s="24" t="str">
        <f aca="false">IF(B53="","",SUMIFS(Vendas!$I$5:$I$2004,Vendas!$D$5:$D$2004,B53,Vendas!$B$5:$B$2004,"&gt;="&amp;$C$4,Vendas!$B$5:$B$2004,"&lt;="&amp;EOMONTH($C$4,0)))</f>
        <v/>
      </c>
    </row>
    <row r="54" customFormat="false" ht="15" hidden="false" customHeight="false" outlineLevel="0" collapsed="false">
      <c r="B54" s="6" t="str">
        <f aca="false">IF(Produtos!B28="","",Produtos!B28)</f>
        <v/>
      </c>
      <c r="C54" s="34" t="str">
        <f aca="false">IF(B54="","",SUMIFS(Vendas!$E$5:$E$2004,Vendas!$D$5:$D$2004,B54,Vendas!$B$5:$B$2004,"&gt;="&amp;$C$4,Vendas!$B$5:$B$2004,"&lt;="&amp;EOMONTH($C$4,0)))</f>
        <v/>
      </c>
      <c r="D54" s="24" t="str">
        <f aca="false">IF(B54="","",SUMIFS(Vendas!$G$5:$G$2004,Vendas!$D$5:$D$2004,B54,Vendas!$B$5:$B$2004,"&gt;="&amp;$C$4,Vendas!$B$5:$B$2004,"&lt;="&amp;EOMONTH($C$4,0)))</f>
        <v/>
      </c>
      <c r="E54" s="24" t="str">
        <f aca="false">IF(B54="","",SUMIFS(Vendas!$I$5:$I$2004,Vendas!$D$5:$D$2004,B54,Vendas!$B$5:$B$2004,"&gt;="&amp;$C$4,Vendas!$B$5:$B$2004,"&lt;="&amp;EOMONTH($C$4,0)))</f>
        <v/>
      </c>
    </row>
    <row r="55" customFormat="false" ht="15" hidden="false" customHeight="false" outlineLevel="0" collapsed="false">
      <c r="B55" s="6" t="str">
        <f aca="false">IF(Produtos!B29="","",Produtos!B29)</f>
        <v/>
      </c>
      <c r="C55" s="34" t="str">
        <f aca="false">IF(B55="","",SUMIFS(Vendas!$E$5:$E$2004,Vendas!$D$5:$D$2004,B55,Vendas!$B$5:$B$2004,"&gt;="&amp;$C$4,Vendas!$B$5:$B$2004,"&lt;="&amp;EOMONTH($C$4,0)))</f>
        <v/>
      </c>
      <c r="D55" s="24" t="str">
        <f aca="false">IF(B55="","",SUMIFS(Vendas!$G$5:$G$2004,Vendas!$D$5:$D$2004,B55,Vendas!$B$5:$B$2004,"&gt;="&amp;$C$4,Vendas!$B$5:$B$2004,"&lt;="&amp;EOMONTH($C$4,0)))</f>
        <v/>
      </c>
      <c r="E55" s="24" t="str">
        <f aca="false">IF(B55="","",SUMIFS(Vendas!$I$5:$I$2004,Vendas!$D$5:$D$2004,B55,Vendas!$B$5:$B$2004,"&gt;="&amp;$C$4,Vendas!$B$5:$B$2004,"&lt;="&amp;EOMONTH($C$4,0)))</f>
        <v/>
      </c>
    </row>
    <row r="56" customFormat="false" ht="15" hidden="false" customHeight="false" outlineLevel="0" collapsed="false">
      <c r="B56" s="6" t="str">
        <f aca="false">IF(Produtos!B30="","",Produtos!B30)</f>
        <v/>
      </c>
      <c r="C56" s="34" t="str">
        <f aca="false">IF(B56="","",SUMIFS(Vendas!$E$5:$E$2004,Vendas!$D$5:$D$2004,B56,Vendas!$B$5:$B$2004,"&gt;="&amp;$C$4,Vendas!$B$5:$B$2004,"&lt;="&amp;EOMONTH($C$4,0)))</f>
        <v/>
      </c>
      <c r="D56" s="24" t="str">
        <f aca="false">IF(B56="","",SUMIFS(Vendas!$G$5:$G$2004,Vendas!$D$5:$D$2004,B56,Vendas!$B$5:$B$2004,"&gt;="&amp;$C$4,Vendas!$B$5:$B$2004,"&lt;="&amp;EOMONTH($C$4,0)))</f>
        <v/>
      </c>
      <c r="E56" s="24" t="str">
        <f aca="false">IF(B56="","",SUMIFS(Vendas!$I$5:$I$2004,Vendas!$D$5:$D$2004,B56,Vendas!$B$5:$B$2004,"&gt;="&amp;$C$4,Vendas!$B$5:$B$2004,"&lt;="&amp;EOMONTH($C$4,0)))</f>
        <v/>
      </c>
    </row>
    <row r="57" customFormat="false" ht="15" hidden="false" customHeight="false" outlineLevel="0" collapsed="false">
      <c r="B57" s="6" t="str">
        <f aca="false">IF(Produtos!B31="","",Produtos!B31)</f>
        <v/>
      </c>
      <c r="C57" s="34" t="str">
        <f aca="false">IF(B57="","",SUMIFS(Vendas!$E$5:$E$2004,Vendas!$D$5:$D$2004,B57,Vendas!$B$5:$B$2004,"&gt;="&amp;$C$4,Vendas!$B$5:$B$2004,"&lt;="&amp;EOMONTH($C$4,0)))</f>
        <v/>
      </c>
      <c r="D57" s="24" t="str">
        <f aca="false">IF(B57="","",SUMIFS(Vendas!$G$5:$G$2004,Vendas!$D$5:$D$2004,B57,Vendas!$B$5:$B$2004,"&gt;="&amp;$C$4,Vendas!$B$5:$B$2004,"&lt;="&amp;EOMONTH($C$4,0)))</f>
        <v/>
      </c>
      <c r="E57" s="24" t="str">
        <f aca="false">IF(B57="","",SUMIFS(Vendas!$I$5:$I$2004,Vendas!$D$5:$D$2004,B57,Vendas!$B$5:$B$2004,"&gt;="&amp;$C$4,Vendas!$B$5:$B$2004,"&lt;="&amp;EOMONTH($C$4,0)))</f>
        <v/>
      </c>
    </row>
    <row r="58" customFormat="false" ht="15" hidden="false" customHeight="false" outlineLevel="0" collapsed="false">
      <c r="B58" s="6" t="str">
        <f aca="false">IF(Produtos!B32="","",Produtos!B32)</f>
        <v/>
      </c>
      <c r="C58" s="34" t="str">
        <f aca="false">IF(B58="","",SUMIFS(Vendas!$E$5:$E$2004,Vendas!$D$5:$D$2004,B58,Vendas!$B$5:$B$2004,"&gt;="&amp;$C$4,Vendas!$B$5:$B$2004,"&lt;="&amp;EOMONTH($C$4,0)))</f>
        <v/>
      </c>
      <c r="D58" s="24" t="str">
        <f aca="false">IF(B58="","",SUMIFS(Vendas!$G$5:$G$2004,Vendas!$D$5:$D$2004,B58,Vendas!$B$5:$B$2004,"&gt;="&amp;$C$4,Vendas!$B$5:$B$2004,"&lt;="&amp;EOMONTH($C$4,0)))</f>
        <v/>
      </c>
      <c r="E58" s="24" t="str">
        <f aca="false">IF(B58="","",SUMIFS(Vendas!$I$5:$I$2004,Vendas!$D$5:$D$2004,B58,Vendas!$B$5:$B$2004,"&gt;="&amp;$C$4,Vendas!$B$5:$B$2004,"&lt;="&amp;EOMONTH($C$4,0)))</f>
        <v/>
      </c>
    </row>
    <row r="59" customFormat="false" ht="15" hidden="false" customHeight="false" outlineLevel="0" collapsed="false">
      <c r="B59" s="6" t="str">
        <f aca="false">IF(Produtos!B33="","",Produtos!B33)</f>
        <v/>
      </c>
      <c r="C59" s="34" t="str">
        <f aca="false">IF(B59="","",SUMIFS(Vendas!$E$5:$E$2004,Vendas!$D$5:$D$2004,B59,Vendas!$B$5:$B$2004,"&gt;="&amp;$C$4,Vendas!$B$5:$B$2004,"&lt;="&amp;EOMONTH($C$4,0)))</f>
        <v/>
      </c>
      <c r="D59" s="24" t="str">
        <f aca="false">IF(B59="","",SUMIFS(Vendas!$G$5:$G$2004,Vendas!$D$5:$D$2004,B59,Vendas!$B$5:$B$2004,"&gt;="&amp;$C$4,Vendas!$B$5:$B$2004,"&lt;="&amp;EOMONTH($C$4,0)))</f>
        <v/>
      </c>
      <c r="E59" s="24" t="str">
        <f aca="false">IF(B59="","",SUMIFS(Vendas!$I$5:$I$2004,Vendas!$D$5:$D$2004,B59,Vendas!$B$5:$B$2004,"&gt;="&amp;$C$4,Vendas!$B$5:$B$2004,"&lt;="&amp;EOMONTH($C$4,0)))</f>
        <v/>
      </c>
    </row>
    <row r="60" customFormat="false" ht="15" hidden="false" customHeight="false" outlineLevel="0" collapsed="false">
      <c r="B60" s="6" t="str">
        <f aca="false">IF(Produtos!B34="","",Produtos!B34)</f>
        <v/>
      </c>
      <c r="C60" s="34" t="str">
        <f aca="false">IF(B60="","",SUMIFS(Vendas!$E$5:$E$2004,Vendas!$D$5:$D$2004,B60,Vendas!$B$5:$B$2004,"&gt;="&amp;$C$4,Vendas!$B$5:$B$2004,"&lt;="&amp;EOMONTH($C$4,0)))</f>
        <v/>
      </c>
      <c r="D60" s="24" t="str">
        <f aca="false">IF(B60="","",SUMIFS(Vendas!$G$5:$G$2004,Vendas!$D$5:$D$2004,B60,Vendas!$B$5:$B$2004,"&gt;="&amp;$C$4,Vendas!$B$5:$B$2004,"&lt;="&amp;EOMONTH($C$4,0)))</f>
        <v/>
      </c>
      <c r="E60" s="24" t="str">
        <f aca="false">IF(B60="","",SUMIFS(Vendas!$I$5:$I$2004,Vendas!$D$5:$D$2004,B60,Vendas!$B$5:$B$2004,"&gt;="&amp;$C$4,Vendas!$B$5:$B$2004,"&lt;="&amp;EOMONTH($C$4,0)))</f>
        <v/>
      </c>
    </row>
    <row r="61" customFormat="false" ht="15" hidden="false" customHeight="false" outlineLevel="0" collapsed="false">
      <c r="B61" s="6" t="str">
        <f aca="false">IF(Produtos!B35="","",Produtos!B35)</f>
        <v/>
      </c>
      <c r="C61" s="34" t="str">
        <f aca="false">IF(B61="","",SUMIFS(Vendas!$E$5:$E$2004,Vendas!$D$5:$D$2004,B61,Vendas!$B$5:$B$2004,"&gt;="&amp;$C$4,Vendas!$B$5:$B$2004,"&lt;="&amp;EOMONTH($C$4,0)))</f>
        <v/>
      </c>
      <c r="D61" s="24" t="str">
        <f aca="false">IF(B61="","",SUMIFS(Vendas!$G$5:$G$2004,Vendas!$D$5:$D$2004,B61,Vendas!$B$5:$B$2004,"&gt;="&amp;$C$4,Vendas!$B$5:$B$2004,"&lt;="&amp;EOMONTH($C$4,0)))</f>
        <v/>
      </c>
      <c r="E61" s="24" t="str">
        <f aca="false">IF(B61="","",SUMIFS(Vendas!$I$5:$I$2004,Vendas!$D$5:$D$2004,B61,Vendas!$B$5:$B$2004,"&gt;="&amp;$C$4,Vendas!$B$5:$B$2004,"&lt;="&amp;EOMONTH($C$4,0)))</f>
        <v/>
      </c>
    </row>
    <row r="62" customFormat="false" ht="15" hidden="false" customHeight="false" outlineLevel="0" collapsed="false">
      <c r="B62" s="6" t="str">
        <f aca="false">IF(Produtos!B36="","",Produtos!B36)</f>
        <v/>
      </c>
      <c r="C62" s="34" t="str">
        <f aca="false">IF(B62="","",SUMIFS(Vendas!$E$5:$E$2004,Vendas!$D$5:$D$2004,B62,Vendas!$B$5:$B$2004,"&gt;="&amp;$C$4,Vendas!$B$5:$B$2004,"&lt;="&amp;EOMONTH($C$4,0)))</f>
        <v/>
      </c>
      <c r="D62" s="24" t="str">
        <f aca="false">IF(B62="","",SUMIFS(Vendas!$G$5:$G$2004,Vendas!$D$5:$D$2004,B62,Vendas!$B$5:$B$2004,"&gt;="&amp;$C$4,Vendas!$B$5:$B$2004,"&lt;="&amp;EOMONTH($C$4,0)))</f>
        <v/>
      </c>
      <c r="E62" s="24" t="str">
        <f aca="false">IF(B62="","",SUMIFS(Vendas!$I$5:$I$2004,Vendas!$D$5:$D$2004,B62,Vendas!$B$5:$B$2004,"&gt;="&amp;$C$4,Vendas!$B$5:$B$2004,"&lt;="&amp;EOMONTH($C$4,0)))</f>
        <v/>
      </c>
    </row>
    <row r="63" customFormat="false" ht="15" hidden="false" customHeight="false" outlineLevel="0" collapsed="false">
      <c r="B63" s="6" t="str">
        <f aca="false">IF(Produtos!B37="","",Produtos!B37)</f>
        <v/>
      </c>
      <c r="C63" s="34" t="str">
        <f aca="false">IF(B63="","",SUMIFS(Vendas!$E$5:$E$2004,Vendas!$D$5:$D$2004,B63,Vendas!$B$5:$B$2004,"&gt;="&amp;$C$4,Vendas!$B$5:$B$2004,"&lt;="&amp;EOMONTH($C$4,0)))</f>
        <v/>
      </c>
      <c r="D63" s="24" t="str">
        <f aca="false">IF(B63="","",SUMIFS(Vendas!$G$5:$G$2004,Vendas!$D$5:$D$2004,B63,Vendas!$B$5:$B$2004,"&gt;="&amp;$C$4,Vendas!$B$5:$B$2004,"&lt;="&amp;EOMONTH($C$4,0)))</f>
        <v/>
      </c>
      <c r="E63" s="24" t="str">
        <f aca="false">IF(B63="","",SUMIFS(Vendas!$I$5:$I$2004,Vendas!$D$5:$D$2004,B63,Vendas!$B$5:$B$2004,"&gt;="&amp;$C$4,Vendas!$B$5:$B$2004,"&lt;="&amp;EOMONTH($C$4,0)))</f>
        <v/>
      </c>
    </row>
    <row r="64" customFormat="false" ht="15" hidden="false" customHeight="false" outlineLevel="0" collapsed="false">
      <c r="B64" s="6" t="str">
        <f aca="false">IF(Produtos!B38="","",Produtos!B38)</f>
        <v/>
      </c>
      <c r="C64" s="34" t="str">
        <f aca="false">IF(B64="","",SUMIFS(Vendas!$E$5:$E$2004,Vendas!$D$5:$D$2004,B64,Vendas!$B$5:$B$2004,"&gt;="&amp;$C$4,Vendas!$B$5:$B$2004,"&lt;="&amp;EOMONTH($C$4,0)))</f>
        <v/>
      </c>
      <c r="D64" s="24" t="str">
        <f aca="false">IF(B64="","",SUMIFS(Vendas!$G$5:$G$2004,Vendas!$D$5:$D$2004,B64,Vendas!$B$5:$B$2004,"&gt;="&amp;$C$4,Vendas!$B$5:$B$2004,"&lt;="&amp;EOMONTH($C$4,0)))</f>
        <v/>
      </c>
      <c r="E64" s="24" t="str">
        <f aca="false">IF(B64="","",SUMIFS(Vendas!$I$5:$I$2004,Vendas!$D$5:$D$2004,B64,Vendas!$B$5:$B$2004,"&gt;="&amp;$C$4,Vendas!$B$5:$B$2004,"&lt;="&amp;EOMONTH($C$4,0)))</f>
        <v/>
      </c>
    </row>
    <row r="65" customFormat="false" ht="15" hidden="false" customHeight="false" outlineLevel="0" collapsed="false">
      <c r="B65" s="6" t="str">
        <f aca="false">IF(Produtos!B39="","",Produtos!B39)</f>
        <v/>
      </c>
      <c r="C65" s="34" t="str">
        <f aca="false">IF(B65="","",SUMIFS(Vendas!$E$5:$E$2004,Vendas!$D$5:$D$2004,B65,Vendas!$B$5:$B$2004,"&gt;="&amp;$C$4,Vendas!$B$5:$B$2004,"&lt;="&amp;EOMONTH($C$4,0)))</f>
        <v/>
      </c>
      <c r="D65" s="24" t="str">
        <f aca="false">IF(B65="","",SUMIFS(Vendas!$G$5:$G$2004,Vendas!$D$5:$D$2004,B65,Vendas!$B$5:$B$2004,"&gt;="&amp;$C$4,Vendas!$B$5:$B$2004,"&lt;="&amp;EOMONTH($C$4,0)))</f>
        <v/>
      </c>
      <c r="E65" s="24" t="str">
        <f aca="false">IF(B65="","",SUMIFS(Vendas!$I$5:$I$2004,Vendas!$D$5:$D$2004,B65,Vendas!$B$5:$B$2004,"&gt;="&amp;$C$4,Vendas!$B$5:$B$2004,"&lt;="&amp;EOMONTH($C$4,0)))</f>
        <v/>
      </c>
    </row>
    <row r="66" customFormat="false" ht="15" hidden="false" customHeight="false" outlineLevel="0" collapsed="false">
      <c r="B66" s="6" t="str">
        <f aca="false">IF(Produtos!B40="","",Produtos!B40)</f>
        <v/>
      </c>
      <c r="C66" s="34" t="str">
        <f aca="false">IF(B66="","",SUMIFS(Vendas!$E$5:$E$2004,Vendas!$D$5:$D$2004,B66,Vendas!$B$5:$B$2004,"&gt;="&amp;$C$4,Vendas!$B$5:$B$2004,"&lt;="&amp;EOMONTH($C$4,0)))</f>
        <v/>
      </c>
      <c r="D66" s="24" t="str">
        <f aca="false">IF(B66="","",SUMIFS(Vendas!$G$5:$G$2004,Vendas!$D$5:$D$2004,B66,Vendas!$B$5:$B$2004,"&gt;="&amp;$C$4,Vendas!$B$5:$B$2004,"&lt;="&amp;EOMONTH($C$4,0)))</f>
        <v/>
      </c>
      <c r="E66" s="24" t="str">
        <f aca="false">IF(B66="","",SUMIFS(Vendas!$I$5:$I$2004,Vendas!$D$5:$D$2004,B66,Vendas!$B$5:$B$2004,"&gt;="&amp;$C$4,Vendas!$B$5:$B$2004,"&lt;="&amp;EOMONTH($C$4,0)))</f>
        <v/>
      </c>
    </row>
    <row r="67" customFormat="false" ht="15" hidden="false" customHeight="false" outlineLevel="0" collapsed="false">
      <c r="B67" s="6" t="str">
        <f aca="false">IF(Produtos!B41="","",Produtos!B41)</f>
        <v/>
      </c>
      <c r="C67" s="34" t="str">
        <f aca="false">IF(B67="","",SUMIFS(Vendas!$E$5:$E$2004,Vendas!$D$5:$D$2004,B67,Vendas!$B$5:$B$2004,"&gt;="&amp;$C$4,Vendas!$B$5:$B$2004,"&lt;="&amp;EOMONTH($C$4,0)))</f>
        <v/>
      </c>
      <c r="D67" s="24" t="str">
        <f aca="false">IF(B67="","",SUMIFS(Vendas!$G$5:$G$2004,Vendas!$D$5:$D$2004,B67,Vendas!$B$5:$B$2004,"&gt;="&amp;$C$4,Vendas!$B$5:$B$2004,"&lt;="&amp;EOMONTH($C$4,0)))</f>
        <v/>
      </c>
      <c r="E67" s="24" t="str">
        <f aca="false">IF(B67="","",SUMIFS(Vendas!$I$5:$I$2004,Vendas!$D$5:$D$2004,B67,Vendas!$B$5:$B$2004,"&gt;="&amp;$C$4,Vendas!$B$5:$B$2004,"&lt;="&amp;EOMONTH($C$4,0)))</f>
        <v/>
      </c>
    </row>
    <row r="68" customFormat="false" ht="15" hidden="false" customHeight="false" outlineLevel="0" collapsed="false">
      <c r="B68" s="6" t="str">
        <f aca="false">IF(Produtos!B42="","",Produtos!B42)</f>
        <v/>
      </c>
      <c r="C68" s="34" t="str">
        <f aca="false">IF(B68="","",SUMIFS(Vendas!$E$5:$E$2004,Vendas!$D$5:$D$2004,B68,Vendas!$B$5:$B$2004,"&gt;="&amp;$C$4,Vendas!$B$5:$B$2004,"&lt;="&amp;EOMONTH($C$4,0)))</f>
        <v/>
      </c>
      <c r="D68" s="24" t="str">
        <f aca="false">IF(B68="","",SUMIFS(Vendas!$G$5:$G$2004,Vendas!$D$5:$D$2004,B68,Vendas!$B$5:$B$2004,"&gt;="&amp;$C$4,Vendas!$B$5:$B$2004,"&lt;="&amp;EOMONTH($C$4,0)))</f>
        <v/>
      </c>
      <c r="E68" s="24" t="str">
        <f aca="false">IF(B68="","",SUMIFS(Vendas!$I$5:$I$2004,Vendas!$D$5:$D$2004,B68,Vendas!$B$5:$B$2004,"&gt;="&amp;$C$4,Vendas!$B$5:$B$2004,"&lt;="&amp;EOMONTH($C$4,0)))</f>
        <v/>
      </c>
    </row>
    <row r="69" customFormat="false" ht="15" hidden="false" customHeight="false" outlineLevel="0" collapsed="false">
      <c r="B69" s="6" t="str">
        <f aca="false">IF(Produtos!B43="","",Produtos!B43)</f>
        <v/>
      </c>
      <c r="C69" s="34" t="str">
        <f aca="false">IF(B69="","",SUMIFS(Vendas!$E$5:$E$2004,Vendas!$D$5:$D$2004,B69,Vendas!$B$5:$B$2004,"&gt;="&amp;$C$4,Vendas!$B$5:$B$2004,"&lt;="&amp;EOMONTH($C$4,0)))</f>
        <v/>
      </c>
      <c r="D69" s="24" t="str">
        <f aca="false">IF(B69="","",SUMIFS(Vendas!$G$5:$G$2004,Vendas!$D$5:$D$2004,B69,Vendas!$B$5:$B$2004,"&gt;="&amp;$C$4,Vendas!$B$5:$B$2004,"&lt;="&amp;EOMONTH($C$4,0)))</f>
        <v/>
      </c>
      <c r="E69" s="24" t="str">
        <f aca="false">IF(B69="","",SUMIFS(Vendas!$I$5:$I$2004,Vendas!$D$5:$D$2004,B69,Vendas!$B$5:$B$2004,"&gt;="&amp;$C$4,Vendas!$B$5:$B$2004,"&lt;="&amp;EOMONTH($C$4,0)))</f>
        <v/>
      </c>
    </row>
    <row r="70" customFormat="false" ht="15" hidden="false" customHeight="false" outlineLevel="0" collapsed="false">
      <c r="B70" s="6" t="str">
        <f aca="false">IF(Produtos!B44="","",Produtos!B44)</f>
        <v/>
      </c>
      <c r="C70" s="34" t="str">
        <f aca="false">IF(B70="","",SUMIFS(Vendas!$E$5:$E$2004,Vendas!$D$5:$D$2004,B70,Vendas!$B$5:$B$2004,"&gt;="&amp;$C$4,Vendas!$B$5:$B$2004,"&lt;="&amp;EOMONTH($C$4,0)))</f>
        <v/>
      </c>
      <c r="D70" s="24" t="str">
        <f aca="false">IF(B70="","",SUMIFS(Vendas!$G$5:$G$2004,Vendas!$D$5:$D$2004,B70,Vendas!$B$5:$B$2004,"&gt;="&amp;$C$4,Vendas!$B$5:$B$2004,"&lt;="&amp;EOMONTH($C$4,0)))</f>
        <v/>
      </c>
      <c r="E70" s="24" t="str">
        <f aca="false">IF(B70="","",SUMIFS(Vendas!$I$5:$I$2004,Vendas!$D$5:$D$2004,B70,Vendas!$B$5:$B$2004,"&gt;="&amp;$C$4,Vendas!$B$5:$B$2004,"&lt;="&amp;EOMONTH($C$4,0)))</f>
        <v/>
      </c>
    </row>
    <row r="71" customFormat="false" ht="15" hidden="false" customHeight="false" outlineLevel="0" collapsed="false">
      <c r="B71" s="6" t="str">
        <f aca="false">IF(Produtos!B45="","",Produtos!B45)</f>
        <v/>
      </c>
      <c r="C71" s="34" t="str">
        <f aca="false">IF(B71="","",SUMIFS(Vendas!$E$5:$E$2004,Vendas!$D$5:$D$2004,B71,Vendas!$B$5:$B$2004,"&gt;="&amp;$C$4,Vendas!$B$5:$B$2004,"&lt;="&amp;EOMONTH($C$4,0)))</f>
        <v/>
      </c>
      <c r="D71" s="24" t="str">
        <f aca="false">IF(B71="","",SUMIFS(Vendas!$G$5:$G$2004,Vendas!$D$5:$D$2004,B71,Vendas!$B$5:$B$2004,"&gt;="&amp;$C$4,Vendas!$B$5:$B$2004,"&lt;="&amp;EOMONTH($C$4,0)))</f>
        <v/>
      </c>
      <c r="E71" s="24" t="str">
        <f aca="false">IF(B71="","",SUMIFS(Vendas!$I$5:$I$2004,Vendas!$D$5:$D$2004,B71,Vendas!$B$5:$B$2004,"&gt;="&amp;$C$4,Vendas!$B$5:$B$2004,"&lt;="&amp;EOMONTH($C$4,0)))</f>
        <v/>
      </c>
    </row>
    <row r="72" customFormat="false" ht="15" hidden="false" customHeight="false" outlineLevel="0" collapsed="false">
      <c r="B72" s="6" t="str">
        <f aca="false">IF(Produtos!B46="","",Produtos!B46)</f>
        <v/>
      </c>
      <c r="C72" s="34" t="str">
        <f aca="false">IF(B72="","",SUMIFS(Vendas!$E$5:$E$2004,Vendas!$D$5:$D$2004,B72,Vendas!$B$5:$B$2004,"&gt;="&amp;$C$4,Vendas!$B$5:$B$2004,"&lt;="&amp;EOMONTH($C$4,0)))</f>
        <v/>
      </c>
      <c r="D72" s="24" t="str">
        <f aca="false">IF(B72="","",SUMIFS(Vendas!$G$5:$G$2004,Vendas!$D$5:$D$2004,B72,Vendas!$B$5:$B$2004,"&gt;="&amp;$C$4,Vendas!$B$5:$B$2004,"&lt;="&amp;EOMONTH($C$4,0)))</f>
        <v/>
      </c>
      <c r="E72" s="24" t="str">
        <f aca="false">IF(B72="","",SUMIFS(Vendas!$I$5:$I$2004,Vendas!$D$5:$D$2004,B72,Vendas!$B$5:$B$2004,"&gt;="&amp;$C$4,Vendas!$B$5:$B$2004,"&lt;="&amp;EOMONTH($C$4,0)))</f>
        <v/>
      </c>
    </row>
    <row r="73" customFormat="false" ht="15" hidden="false" customHeight="false" outlineLevel="0" collapsed="false">
      <c r="B73" s="6" t="str">
        <f aca="false">IF(Produtos!B47="","",Produtos!B47)</f>
        <v/>
      </c>
      <c r="C73" s="34" t="str">
        <f aca="false">IF(B73="","",SUMIFS(Vendas!$E$5:$E$2004,Vendas!$D$5:$D$2004,B73,Vendas!$B$5:$B$2004,"&gt;="&amp;$C$4,Vendas!$B$5:$B$2004,"&lt;="&amp;EOMONTH($C$4,0)))</f>
        <v/>
      </c>
      <c r="D73" s="24" t="str">
        <f aca="false">IF(B73="","",SUMIFS(Vendas!$G$5:$G$2004,Vendas!$D$5:$D$2004,B73,Vendas!$B$5:$B$2004,"&gt;="&amp;$C$4,Vendas!$B$5:$B$2004,"&lt;="&amp;EOMONTH($C$4,0)))</f>
        <v/>
      </c>
      <c r="E73" s="24" t="str">
        <f aca="false">IF(B73="","",SUMIFS(Vendas!$I$5:$I$2004,Vendas!$D$5:$D$2004,B73,Vendas!$B$5:$B$2004,"&gt;="&amp;$C$4,Vendas!$B$5:$B$2004,"&lt;="&amp;EOMONTH($C$4,0)))</f>
        <v/>
      </c>
    </row>
    <row r="74" customFormat="false" ht="15" hidden="false" customHeight="false" outlineLevel="0" collapsed="false">
      <c r="B74" s="6" t="str">
        <f aca="false">IF(Produtos!B48="","",Produtos!B48)</f>
        <v/>
      </c>
      <c r="C74" s="34" t="str">
        <f aca="false">IF(B74="","",SUMIFS(Vendas!$E$5:$E$2004,Vendas!$D$5:$D$2004,B74,Vendas!$B$5:$B$2004,"&gt;="&amp;$C$4,Vendas!$B$5:$B$2004,"&lt;="&amp;EOMONTH($C$4,0)))</f>
        <v/>
      </c>
      <c r="D74" s="24" t="str">
        <f aca="false">IF(B74="","",SUMIFS(Vendas!$G$5:$G$2004,Vendas!$D$5:$D$2004,B74,Vendas!$B$5:$B$2004,"&gt;="&amp;$C$4,Vendas!$B$5:$B$2004,"&lt;="&amp;EOMONTH($C$4,0)))</f>
        <v/>
      </c>
      <c r="E74" s="24" t="str">
        <f aca="false">IF(B74="","",SUMIFS(Vendas!$I$5:$I$2004,Vendas!$D$5:$D$2004,B74,Vendas!$B$5:$B$2004,"&gt;="&amp;$C$4,Vendas!$B$5:$B$2004,"&lt;="&amp;EOMONTH($C$4,0)))</f>
        <v/>
      </c>
    </row>
    <row r="75" customFormat="false" ht="15" hidden="false" customHeight="false" outlineLevel="0" collapsed="false">
      <c r="B75" s="6" t="str">
        <f aca="false">IF(Produtos!B49="","",Produtos!B49)</f>
        <v/>
      </c>
      <c r="C75" s="34" t="str">
        <f aca="false">IF(B75="","",SUMIFS(Vendas!$E$5:$E$2004,Vendas!$D$5:$D$2004,B75,Vendas!$B$5:$B$2004,"&gt;="&amp;$C$4,Vendas!$B$5:$B$2004,"&lt;="&amp;EOMONTH($C$4,0)))</f>
        <v/>
      </c>
      <c r="D75" s="24" t="str">
        <f aca="false">IF(B75="","",SUMIFS(Vendas!$G$5:$G$2004,Vendas!$D$5:$D$2004,B75,Vendas!$B$5:$B$2004,"&gt;="&amp;$C$4,Vendas!$B$5:$B$2004,"&lt;="&amp;EOMONTH($C$4,0)))</f>
        <v/>
      </c>
      <c r="E75" s="24" t="str">
        <f aca="false">IF(B75="","",SUMIFS(Vendas!$I$5:$I$2004,Vendas!$D$5:$D$2004,B75,Vendas!$B$5:$B$2004,"&gt;="&amp;$C$4,Vendas!$B$5:$B$2004,"&lt;="&amp;EOMONTH($C$4,0)))</f>
        <v/>
      </c>
    </row>
    <row r="76" customFormat="false" ht="15" hidden="false" customHeight="false" outlineLevel="0" collapsed="false">
      <c r="B76" s="6" t="str">
        <f aca="false">IF(Produtos!B50="","",Produtos!B50)</f>
        <v/>
      </c>
      <c r="C76" s="34" t="str">
        <f aca="false">IF(B76="","",SUMIFS(Vendas!$E$5:$E$2004,Vendas!$D$5:$D$2004,B76,Vendas!$B$5:$B$2004,"&gt;="&amp;$C$4,Vendas!$B$5:$B$2004,"&lt;="&amp;EOMONTH($C$4,0)))</f>
        <v/>
      </c>
      <c r="D76" s="24" t="str">
        <f aca="false">IF(B76="","",SUMIFS(Vendas!$G$5:$G$2004,Vendas!$D$5:$D$2004,B76,Vendas!$B$5:$B$2004,"&gt;="&amp;$C$4,Vendas!$B$5:$B$2004,"&lt;="&amp;EOMONTH($C$4,0)))</f>
        <v/>
      </c>
      <c r="E76" s="24" t="str">
        <f aca="false">IF(B76="","",SUMIFS(Vendas!$I$5:$I$2004,Vendas!$D$5:$D$2004,B76,Vendas!$B$5:$B$2004,"&gt;="&amp;$C$4,Vendas!$B$5:$B$2004,"&lt;="&amp;EOMONTH($C$4,0)))</f>
        <v/>
      </c>
    </row>
    <row r="77" customFormat="false" ht="15" hidden="false" customHeight="false" outlineLevel="0" collapsed="false">
      <c r="B77" s="6" t="str">
        <f aca="false">IF(Produtos!B51="","",Produtos!B51)</f>
        <v/>
      </c>
      <c r="C77" s="34" t="str">
        <f aca="false">IF(B77="","",SUMIFS(Vendas!$E$5:$E$2004,Vendas!$D$5:$D$2004,B77,Vendas!$B$5:$B$2004,"&gt;="&amp;$C$4,Vendas!$B$5:$B$2004,"&lt;="&amp;EOMONTH($C$4,0)))</f>
        <v/>
      </c>
      <c r="D77" s="24" t="str">
        <f aca="false">IF(B77="","",SUMIFS(Vendas!$G$5:$G$2004,Vendas!$D$5:$D$2004,B77,Vendas!$B$5:$B$2004,"&gt;="&amp;$C$4,Vendas!$B$5:$B$2004,"&lt;="&amp;EOMONTH($C$4,0)))</f>
        <v/>
      </c>
      <c r="E77" s="24" t="str">
        <f aca="false">IF(B77="","",SUMIFS(Vendas!$I$5:$I$2004,Vendas!$D$5:$D$2004,B77,Vendas!$B$5:$B$2004,"&gt;="&amp;$C$4,Vendas!$B$5:$B$2004,"&lt;="&amp;EOMONTH($C$4,0)))</f>
        <v/>
      </c>
    </row>
    <row r="78" customFormat="false" ht="15" hidden="false" customHeight="false" outlineLevel="0" collapsed="false">
      <c r="B78" s="6" t="str">
        <f aca="false">IF(Produtos!B52="","",Produtos!B52)</f>
        <v/>
      </c>
      <c r="C78" s="34" t="str">
        <f aca="false">IF(B78="","",SUMIFS(Vendas!$E$5:$E$2004,Vendas!$D$5:$D$2004,B78,Vendas!$B$5:$B$2004,"&gt;="&amp;$C$4,Vendas!$B$5:$B$2004,"&lt;="&amp;EOMONTH($C$4,0)))</f>
        <v/>
      </c>
      <c r="D78" s="24" t="str">
        <f aca="false">IF(B78="","",SUMIFS(Vendas!$G$5:$G$2004,Vendas!$D$5:$D$2004,B78,Vendas!$B$5:$B$2004,"&gt;="&amp;$C$4,Vendas!$B$5:$B$2004,"&lt;="&amp;EOMONTH($C$4,0)))</f>
        <v/>
      </c>
      <c r="E78" s="24" t="str">
        <f aca="false">IF(B78="","",SUMIFS(Vendas!$I$5:$I$2004,Vendas!$D$5:$D$2004,B78,Vendas!$B$5:$B$2004,"&gt;="&amp;$C$4,Vendas!$B$5:$B$2004,"&lt;="&amp;EOMONTH($C$4,0)))</f>
        <v/>
      </c>
    </row>
    <row r="79" customFormat="false" ht="15" hidden="false" customHeight="false" outlineLevel="0" collapsed="false">
      <c r="B79" s="6" t="str">
        <f aca="false">IF(Produtos!B53="","",Produtos!B53)</f>
        <v/>
      </c>
      <c r="C79" s="34" t="str">
        <f aca="false">IF(B79="","",SUMIFS(Vendas!$E$5:$E$2004,Vendas!$D$5:$D$2004,B79,Vendas!$B$5:$B$2004,"&gt;="&amp;$C$4,Vendas!$B$5:$B$2004,"&lt;="&amp;EOMONTH($C$4,0)))</f>
        <v/>
      </c>
      <c r="D79" s="24" t="str">
        <f aca="false">IF(B79="","",SUMIFS(Vendas!$G$5:$G$2004,Vendas!$D$5:$D$2004,B79,Vendas!$B$5:$B$2004,"&gt;="&amp;$C$4,Vendas!$B$5:$B$2004,"&lt;="&amp;EOMONTH($C$4,0)))</f>
        <v/>
      </c>
      <c r="E79" s="24" t="str">
        <f aca="false">IF(B79="","",SUMIFS(Vendas!$I$5:$I$2004,Vendas!$D$5:$D$2004,B79,Vendas!$B$5:$B$2004,"&gt;="&amp;$C$4,Vendas!$B$5:$B$2004,"&lt;="&amp;EOMONTH($C$4,0)))</f>
        <v/>
      </c>
    </row>
    <row r="80" customFormat="false" ht="15" hidden="false" customHeight="false" outlineLevel="0" collapsed="false">
      <c r="B80" s="6" t="str">
        <f aca="false">IF(Produtos!B54="","",Produtos!B54)</f>
        <v/>
      </c>
      <c r="C80" s="34" t="str">
        <f aca="false">IF(B80="","",SUMIFS(Vendas!$E$5:$E$2004,Vendas!$D$5:$D$2004,B80,Vendas!$B$5:$B$2004,"&gt;="&amp;$C$4,Vendas!$B$5:$B$2004,"&lt;="&amp;EOMONTH($C$4,0)))</f>
        <v/>
      </c>
      <c r="D80" s="24" t="str">
        <f aca="false">IF(B80="","",SUMIFS(Vendas!$G$5:$G$2004,Vendas!$D$5:$D$2004,B80,Vendas!$B$5:$B$2004,"&gt;="&amp;$C$4,Vendas!$B$5:$B$2004,"&lt;="&amp;EOMONTH($C$4,0)))</f>
        <v/>
      </c>
      <c r="E80" s="24" t="str">
        <f aca="false">IF(B80="","",SUMIFS(Vendas!$I$5:$I$2004,Vendas!$D$5:$D$2004,B80,Vendas!$B$5:$B$2004,"&gt;="&amp;$C$4,Vendas!$B$5:$B$2004,"&lt;="&amp;EOMONTH($C$4,0)))</f>
        <v/>
      </c>
    </row>
  </sheetData>
  <mergeCells count="9">
    <mergeCell ref="B1:E1"/>
    <mergeCell ref="B2:E2"/>
    <mergeCell ref="D4:E4"/>
    <mergeCell ref="B6:E6"/>
    <mergeCell ref="B9:E9"/>
    <mergeCell ref="B17:E17"/>
    <mergeCell ref="B21:E21"/>
    <mergeCell ref="B23:E23"/>
    <mergeCell ref="B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6F"/>
    <pageSetUpPr fitToPage="true"/>
  </sheetPr>
  <dimension ref="B1:J2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9" min="6" style="0" width="13"/>
    <col collapsed="false" customWidth="true" hidden="false" outlineLevel="0" max="10" min="10" style="0" width="11"/>
  </cols>
  <sheetData>
    <row r="1" customFormat="false" ht="39.75" hidden="false" customHeight="true" outlineLevel="0" collapsed="false">
      <c r="B1" s="1" t="s">
        <v>15</v>
      </c>
      <c r="C1" s="1"/>
      <c r="D1" s="1"/>
      <c r="E1" s="1"/>
      <c r="F1" s="1"/>
      <c r="G1" s="1"/>
      <c r="H1" s="1"/>
      <c r="I1" s="1"/>
      <c r="J1" s="1"/>
    </row>
    <row r="2" customFormat="false" ht="36" hidden="false" customHeight="true" outlineLevel="0" collapsed="false">
      <c r="B2" s="2" t="s">
        <v>84</v>
      </c>
      <c r="C2" s="2"/>
      <c r="D2" s="2"/>
      <c r="E2" s="2"/>
      <c r="F2" s="2"/>
      <c r="G2" s="2"/>
      <c r="H2" s="2"/>
      <c r="I2" s="2"/>
      <c r="J2" s="2"/>
    </row>
    <row r="3" customFormat="false" ht="9.75" hidden="false" customHeight="true" outlineLevel="0" collapsed="false"/>
    <row r="4" customFormat="false" ht="43.5" hidden="false" customHeight="true" outlineLevel="0" collapsed="false">
      <c r="B4" s="35" t="s">
        <v>85</v>
      </c>
      <c r="C4" s="35" t="s">
        <v>86</v>
      </c>
      <c r="D4" s="35" t="s">
        <v>81</v>
      </c>
      <c r="E4" s="35" t="s">
        <v>87</v>
      </c>
      <c r="F4" s="35" t="s">
        <v>88</v>
      </c>
      <c r="G4" s="14" t="s">
        <v>89</v>
      </c>
      <c r="H4" s="14" t="s">
        <v>90</v>
      </c>
      <c r="I4" s="14" t="s">
        <v>83</v>
      </c>
      <c r="J4" s="35" t="s">
        <v>91</v>
      </c>
    </row>
    <row r="5" customFormat="false" ht="21" hidden="false" customHeight="true" outlineLevel="0" collapsed="false">
      <c r="B5" s="36" t="n">
        <v>46297</v>
      </c>
      <c r="C5" s="7" t="s">
        <v>92</v>
      </c>
      <c r="D5" s="7" t="s">
        <v>93</v>
      </c>
      <c r="E5" s="37" t="n">
        <v>2</v>
      </c>
      <c r="F5" s="38" t="n">
        <v>12</v>
      </c>
      <c r="G5" s="24" t="n">
        <f aca="false">IF(OR(C5="",D5="",N(E5)=0),"",E5*IF(F5="",IFERROR(N(INDEX(Produtos!$K$5:$K$54,MATCH(D5,Produtos!$B$5:$B$54,0))),0),F5))</f>
        <v>24</v>
      </c>
      <c r="H5" s="24" t="n">
        <f aca="false">IF(G5="","",E5*IFERROR(N(INDEX(Produtos!$F$5:$F$54,MATCH(D5,Produtos!$B$5:$B$54,0))),0))</f>
        <v>8.01646416666667</v>
      </c>
      <c r="I5" s="24" t="n">
        <f aca="false">IF(G5="","",G5-H5)</f>
        <v>15.9835358333333</v>
      </c>
      <c r="J5" s="37"/>
    </row>
    <row r="6" customFormat="false" ht="21" hidden="false" customHeight="true" outlineLevel="0" collapsed="false">
      <c r="B6" s="36" t="n">
        <v>46297</v>
      </c>
      <c r="C6" s="7" t="s">
        <v>94</v>
      </c>
      <c r="D6" s="7" t="s">
        <v>95</v>
      </c>
      <c r="E6" s="37" t="n">
        <v>6</v>
      </c>
      <c r="F6" s="38" t="n">
        <v>2.5</v>
      </c>
      <c r="G6" s="24" t="n">
        <f aca="false">IF(OR(C6="",D6="",N(E6)=0),"",E6*IF(F6="",IFERROR(N(INDEX(Produtos!$K$5:$K$54,MATCH(D6,Produtos!$B$5:$B$54,0))),0),F6))</f>
        <v>15</v>
      </c>
      <c r="H6" s="24" t="n">
        <f aca="false">IF(G6="","",E6*IFERROR(N(INDEX(Produtos!$F$5:$F$54,MATCH(D6,Produtos!$B$5:$B$54,0))),0))</f>
        <v>2.85894</v>
      </c>
      <c r="I6" s="24" t="n">
        <f aca="false">IF(G6="","",G6-H6)</f>
        <v>12.14106</v>
      </c>
      <c r="J6" s="37" t="s">
        <v>96</v>
      </c>
    </row>
    <row r="7" customFormat="false" ht="21" hidden="false" customHeight="true" outlineLevel="0" collapsed="false">
      <c r="B7" s="36" t="n">
        <v>46301</v>
      </c>
      <c r="C7" s="7" t="s">
        <v>97</v>
      </c>
      <c r="D7" s="7" t="s">
        <v>98</v>
      </c>
      <c r="E7" s="37" t="n">
        <v>3</v>
      </c>
      <c r="F7" s="38" t="n">
        <v>5</v>
      </c>
      <c r="G7" s="24" t="n">
        <f aca="false">IF(OR(C7="",D7="",N(E7)=0),"",E7*IF(F7="",IFERROR(N(INDEX(Produtos!$K$5:$K$54,MATCH(D7,Produtos!$B$5:$B$54,0))),0),F7))</f>
        <v>15</v>
      </c>
      <c r="H7" s="24" t="n">
        <f aca="false">IF(G7="","",E7*IFERROR(N(INDEX(Produtos!$F$5:$F$54,MATCH(D7,Produtos!$B$5:$B$54,0))),0))</f>
        <v>4.4126775</v>
      </c>
      <c r="I7" s="24" t="n">
        <f aca="false">IF(G7="","",G7-H7)</f>
        <v>10.5873225</v>
      </c>
      <c r="J7" s="37"/>
    </row>
    <row r="8" customFormat="false" ht="21" hidden="false" customHeight="true" outlineLevel="0" collapsed="false">
      <c r="B8" s="36" t="n">
        <v>46304</v>
      </c>
      <c r="C8" s="7" t="s">
        <v>99</v>
      </c>
      <c r="D8" s="7" t="s">
        <v>100</v>
      </c>
      <c r="E8" s="37" t="n">
        <v>10</v>
      </c>
      <c r="F8" s="38" t="n">
        <v>5</v>
      </c>
      <c r="G8" s="24" t="n">
        <f aca="false">IF(OR(C8="",D8="",N(E8)=0),"",E8*IF(F8="",IFERROR(N(INDEX(Produtos!$K$5:$K$54,MATCH(D8,Produtos!$B$5:$B$54,0))),0),F8))</f>
        <v>50</v>
      </c>
      <c r="H8" s="24" t="n">
        <f aca="false">IF(G8="","",E8*IFERROR(N(INDEX(Produtos!$F$5:$F$54,MATCH(D8,Produtos!$B$5:$B$54,0))),0))</f>
        <v>22.32852125</v>
      </c>
      <c r="I8" s="24" t="n">
        <f aca="false">IF(G8="","",G8-H8)</f>
        <v>27.67147875</v>
      </c>
      <c r="J8" s="37"/>
    </row>
    <row r="9" customFormat="false" ht="21" hidden="false" customHeight="true" outlineLevel="0" collapsed="false">
      <c r="B9" s="36" t="n">
        <v>46304</v>
      </c>
      <c r="C9" s="7" t="s">
        <v>99</v>
      </c>
      <c r="D9" s="7" t="s">
        <v>95</v>
      </c>
      <c r="E9" s="37" t="n">
        <v>10</v>
      </c>
      <c r="F9" s="38" t="n">
        <v>2.5</v>
      </c>
      <c r="G9" s="24" t="n">
        <f aca="false">IF(OR(C9="",D9="",N(E9)=0),"",E9*IF(F9="",IFERROR(N(INDEX(Produtos!$K$5:$K$54,MATCH(D9,Produtos!$B$5:$B$54,0))),0),F9))</f>
        <v>25</v>
      </c>
      <c r="H9" s="24" t="n">
        <f aca="false">IF(G9="","",E9*IFERROR(N(INDEX(Produtos!$F$5:$F$54,MATCH(D9,Produtos!$B$5:$B$54,0))),0))</f>
        <v>4.7649</v>
      </c>
      <c r="I9" s="24" t="n">
        <f aca="false">IF(G9="","",G9-H9)</f>
        <v>20.2351</v>
      </c>
      <c r="J9" s="37"/>
    </row>
    <row r="10" customFormat="false" ht="21" hidden="false" customHeight="true" outlineLevel="0" collapsed="false">
      <c r="B10" s="36" t="n">
        <v>46309</v>
      </c>
      <c r="C10" s="7" t="s">
        <v>92</v>
      </c>
      <c r="D10" s="7" t="s">
        <v>98</v>
      </c>
      <c r="E10" s="37" t="n">
        <v>2</v>
      </c>
      <c r="F10" s="38" t="n">
        <v>5</v>
      </c>
      <c r="G10" s="24" t="n">
        <f aca="false">IF(OR(C10="",D10="",N(E10)=0),"",E10*IF(F10="",IFERROR(N(INDEX(Produtos!$K$5:$K$54,MATCH(D10,Produtos!$B$5:$B$54,0))),0),F10))</f>
        <v>10</v>
      </c>
      <c r="H10" s="24" t="n">
        <f aca="false">IF(G10="","",E10*IFERROR(N(INDEX(Produtos!$F$5:$F$54,MATCH(D10,Produtos!$B$5:$B$54,0))),0))</f>
        <v>2.941785</v>
      </c>
      <c r="I10" s="24" t="n">
        <f aca="false">IF(G10="","",G10-H10)</f>
        <v>7.058215</v>
      </c>
      <c r="J10" s="37"/>
    </row>
    <row r="11" customFormat="false" ht="21" hidden="false" customHeight="true" outlineLevel="0" collapsed="false">
      <c r="B11" s="36" t="n">
        <v>46311</v>
      </c>
      <c r="C11" s="7" t="s">
        <v>101</v>
      </c>
      <c r="D11" s="7" t="s">
        <v>93</v>
      </c>
      <c r="E11" s="37" t="n">
        <v>1</v>
      </c>
      <c r="F11" s="38" t="n">
        <v>12</v>
      </c>
      <c r="G11" s="24" t="n">
        <f aca="false">IF(OR(C11="",D11="",N(E11)=0),"",E11*IF(F11="",IFERROR(N(INDEX(Produtos!$K$5:$K$54,MATCH(D11,Produtos!$B$5:$B$54,0))),0),F11))</f>
        <v>12</v>
      </c>
      <c r="H11" s="24" t="n">
        <f aca="false">IF(G11="","",E11*IFERROR(N(INDEX(Produtos!$F$5:$F$54,MATCH(D11,Produtos!$B$5:$B$54,0))),0))</f>
        <v>4.00823208333333</v>
      </c>
      <c r="I11" s="24" t="n">
        <f aca="false">IF(G11="","",G11-H11)</f>
        <v>7.99176791666667</v>
      </c>
      <c r="J11" s="37" t="s">
        <v>96</v>
      </c>
    </row>
    <row r="12" customFormat="false" ht="21" hidden="false" customHeight="true" outlineLevel="0" collapsed="false">
      <c r="B12" s="36" t="n">
        <v>46316</v>
      </c>
      <c r="C12" s="7" t="s">
        <v>97</v>
      </c>
      <c r="D12" s="7" t="s">
        <v>93</v>
      </c>
      <c r="E12" s="37" t="n">
        <v>2</v>
      </c>
      <c r="F12" s="38" t="n">
        <v>12</v>
      </c>
      <c r="G12" s="24" t="n">
        <f aca="false">IF(OR(C12="",D12="",N(E12)=0),"",E12*IF(F12="",IFERROR(N(INDEX(Produtos!$K$5:$K$54,MATCH(D12,Produtos!$B$5:$B$54,0))),0),F12))</f>
        <v>24</v>
      </c>
      <c r="H12" s="24" t="n">
        <f aca="false">IF(G12="","",E12*IFERROR(N(INDEX(Produtos!$F$5:$F$54,MATCH(D12,Produtos!$B$5:$B$54,0))),0))</f>
        <v>8.01646416666667</v>
      </c>
      <c r="I12" s="24" t="n">
        <f aca="false">IF(G12="","",G12-H12)</f>
        <v>15.9835358333333</v>
      </c>
      <c r="J12" s="37"/>
    </row>
    <row r="13" customFormat="false" ht="21" hidden="false" customHeight="true" outlineLevel="0" collapsed="false">
      <c r="B13" s="36" t="n">
        <v>46318</v>
      </c>
      <c r="C13" s="7" t="s">
        <v>94</v>
      </c>
      <c r="D13" s="7" t="s">
        <v>100</v>
      </c>
      <c r="E13" s="37" t="n">
        <v>4</v>
      </c>
      <c r="F13" s="38" t="n">
        <v>5</v>
      </c>
      <c r="G13" s="24" t="n">
        <f aca="false">IF(OR(C13="",D13="",N(E13)=0),"",E13*IF(F13="",IFERROR(N(INDEX(Produtos!$K$5:$K$54,MATCH(D13,Produtos!$B$5:$B$54,0))),0),F13))</f>
        <v>20</v>
      </c>
      <c r="H13" s="24" t="n">
        <f aca="false">IF(G13="","",E13*IFERROR(N(INDEX(Produtos!$F$5:$F$54,MATCH(D13,Produtos!$B$5:$B$54,0))),0))</f>
        <v>8.9314085</v>
      </c>
      <c r="I13" s="24" t="n">
        <f aca="false">IF(G13="","",G13-H13)</f>
        <v>11.0685915</v>
      </c>
      <c r="J13" s="37"/>
    </row>
    <row r="14" customFormat="false" ht="21" hidden="false" customHeight="true" outlineLevel="0" collapsed="false">
      <c r="B14" s="36" t="n">
        <v>46323</v>
      </c>
      <c r="C14" s="7" t="s">
        <v>92</v>
      </c>
      <c r="D14" s="7" t="s">
        <v>95</v>
      </c>
      <c r="E14" s="37" t="n">
        <v>4</v>
      </c>
      <c r="F14" s="38" t="n">
        <v>2.5</v>
      </c>
      <c r="G14" s="24" t="n">
        <f aca="false">IF(OR(C14="",D14="",N(E14)=0),"",E14*IF(F14="",IFERROR(N(INDEX(Produtos!$K$5:$K$54,MATCH(D14,Produtos!$B$5:$B$54,0))),0),F14))</f>
        <v>10</v>
      </c>
      <c r="H14" s="24" t="n">
        <f aca="false">IF(G14="","",E14*IFERROR(N(INDEX(Produtos!$F$5:$F$54,MATCH(D14,Produtos!$B$5:$B$54,0))),0))</f>
        <v>1.90596</v>
      </c>
      <c r="I14" s="24" t="n">
        <f aca="false">IF(G14="","",G14-H14)</f>
        <v>8.09404</v>
      </c>
      <c r="J14" s="37"/>
    </row>
    <row r="15" customFormat="false" ht="21" hidden="false" customHeight="true" outlineLevel="0" collapsed="false">
      <c r="B15" s="36"/>
      <c r="C15" s="7"/>
      <c r="D15" s="7"/>
      <c r="E15" s="37"/>
      <c r="F15" s="38"/>
      <c r="G15" s="24" t="str">
        <f aca="false">IF(OR(C15="",D15="",N(E15)=0),"",E15*IF(F15="",IFERROR(N(INDEX(Produtos!$K$5:$K$54,MATCH(D15,Produtos!$B$5:$B$54,0))),0),F15))</f>
        <v/>
      </c>
      <c r="H15" s="24" t="str">
        <f aca="false">IF(G15="","",E15*IFERROR(N(INDEX(Produtos!$F$5:$F$54,MATCH(D15,Produtos!$B$5:$B$54,0))),0))</f>
        <v/>
      </c>
      <c r="I15" s="24" t="str">
        <f aca="false">IF(G15="","",G15-H15)</f>
        <v/>
      </c>
      <c r="J15" s="37"/>
    </row>
    <row r="16" customFormat="false" ht="21" hidden="false" customHeight="true" outlineLevel="0" collapsed="false">
      <c r="B16" s="36"/>
      <c r="C16" s="7"/>
      <c r="D16" s="7"/>
      <c r="E16" s="37"/>
      <c r="F16" s="38"/>
      <c r="G16" s="24" t="str">
        <f aca="false">IF(OR(C16="",D16="",N(E16)=0),"",E16*IF(F16="",IFERROR(N(INDEX(Produtos!$K$5:$K$54,MATCH(D16,Produtos!$B$5:$B$54,0))),0),F16))</f>
        <v/>
      </c>
      <c r="H16" s="24" t="str">
        <f aca="false">IF(G16="","",E16*IFERROR(N(INDEX(Produtos!$F$5:$F$54,MATCH(D16,Produtos!$B$5:$B$54,0))),0))</f>
        <v/>
      </c>
      <c r="I16" s="24" t="str">
        <f aca="false">IF(G16="","",G16-H16)</f>
        <v/>
      </c>
      <c r="J16" s="37"/>
    </row>
    <row r="17" customFormat="false" ht="21" hidden="false" customHeight="true" outlineLevel="0" collapsed="false">
      <c r="B17" s="36"/>
      <c r="C17" s="7"/>
      <c r="D17" s="7"/>
      <c r="E17" s="37"/>
      <c r="F17" s="38"/>
      <c r="G17" s="24" t="str">
        <f aca="false">IF(OR(C17="",D17="",N(E17)=0),"",E17*IF(F17="",IFERROR(N(INDEX(Produtos!$K$5:$K$54,MATCH(D17,Produtos!$B$5:$B$54,0))),0),F17))</f>
        <v/>
      </c>
      <c r="H17" s="24" t="str">
        <f aca="false">IF(G17="","",E17*IFERROR(N(INDEX(Produtos!$F$5:$F$54,MATCH(D17,Produtos!$B$5:$B$54,0))),0))</f>
        <v/>
      </c>
      <c r="I17" s="24" t="str">
        <f aca="false">IF(G17="","",G17-H17)</f>
        <v/>
      </c>
      <c r="J17" s="37"/>
    </row>
    <row r="18" customFormat="false" ht="21" hidden="false" customHeight="true" outlineLevel="0" collapsed="false">
      <c r="B18" s="36"/>
      <c r="C18" s="7"/>
      <c r="D18" s="7"/>
      <c r="E18" s="37"/>
      <c r="F18" s="38"/>
      <c r="G18" s="24" t="str">
        <f aca="false">IF(OR(C18="",D18="",N(E18)=0),"",E18*IF(F18="",IFERROR(N(INDEX(Produtos!$K$5:$K$54,MATCH(D18,Produtos!$B$5:$B$54,0))),0),F18))</f>
        <v/>
      </c>
      <c r="H18" s="24" t="str">
        <f aca="false">IF(G18="","",E18*IFERROR(N(INDEX(Produtos!$F$5:$F$54,MATCH(D18,Produtos!$B$5:$B$54,0))),0))</f>
        <v/>
      </c>
      <c r="I18" s="24" t="str">
        <f aca="false">IF(G18="","",G18-H18)</f>
        <v/>
      </c>
      <c r="J18" s="37"/>
    </row>
    <row r="19" customFormat="false" ht="21" hidden="false" customHeight="true" outlineLevel="0" collapsed="false">
      <c r="B19" s="36"/>
      <c r="C19" s="7"/>
      <c r="D19" s="7"/>
      <c r="E19" s="37"/>
      <c r="F19" s="38"/>
      <c r="G19" s="24" t="str">
        <f aca="false">IF(OR(C19="",D19="",N(E19)=0),"",E19*IF(F19="",IFERROR(N(INDEX(Produtos!$K$5:$K$54,MATCH(D19,Produtos!$B$5:$B$54,0))),0),F19))</f>
        <v/>
      </c>
      <c r="H19" s="24" t="str">
        <f aca="false">IF(G19="","",E19*IFERROR(N(INDEX(Produtos!$F$5:$F$54,MATCH(D19,Produtos!$B$5:$B$54,0))),0))</f>
        <v/>
      </c>
      <c r="I19" s="24" t="str">
        <f aca="false">IF(G19="","",G19-H19)</f>
        <v/>
      </c>
      <c r="J19" s="37"/>
    </row>
    <row r="20" customFormat="false" ht="21" hidden="false" customHeight="true" outlineLevel="0" collapsed="false">
      <c r="B20" s="36"/>
      <c r="C20" s="7"/>
      <c r="D20" s="7"/>
      <c r="E20" s="37"/>
      <c r="F20" s="38"/>
      <c r="G20" s="24" t="str">
        <f aca="false">IF(OR(C20="",D20="",N(E20)=0),"",E20*IF(F20="",IFERROR(N(INDEX(Produtos!$K$5:$K$54,MATCH(D20,Produtos!$B$5:$B$54,0))),0),F20))</f>
        <v/>
      </c>
      <c r="H20" s="24" t="str">
        <f aca="false">IF(G20="","",E20*IFERROR(N(INDEX(Produtos!$F$5:$F$54,MATCH(D20,Produtos!$B$5:$B$54,0))),0))</f>
        <v/>
      </c>
      <c r="I20" s="24" t="str">
        <f aca="false">IF(G20="","",G20-H20)</f>
        <v/>
      </c>
      <c r="J20" s="37"/>
    </row>
    <row r="21" customFormat="false" ht="21" hidden="false" customHeight="true" outlineLevel="0" collapsed="false">
      <c r="B21" s="36"/>
      <c r="C21" s="7"/>
      <c r="D21" s="7"/>
      <c r="E21" s="37"/>
      <c r="F21" s="38"/>
      <c r="G21" s="24" t="str">
        <f aca="false">IF(OR(C21="",D21="",N(E21)=0),"",E21*IF(F21="",IFERROR(N(INDEX(Produtos!$K$5:$K$54,MATCH(D21,Produtos!$B$5:$B$54,0))),0),F21))</f>
        <v/>
      </c>
      <c r="H21" s="24" t="str">
        <f aca="false">IF(G21="","",E21*IFERROR(N(INDEX(Produtos!$F$5:$F$54,MATCH(D21,Produtos!$B$5:$B$54,0))),0))</f>
        <v/>
      </c>
      <c r="I21" s="24" t="str">
        <f aca="false">IF(G21="","",G21-H21)</f>
        <v/>
      </c>
      <c r="J21" s="37"/>
    </row>
    <row r="22" customFormat="false" ht="21" hidden="false" customHeight="true" outlineLevel="0" collapsed="false">
      <c r="B22" s="36"/>
      <c r="C22" s="7"/>
      <c r="D22" s="7"/>
      <c r="E22" s="37"/>
      <c r="F22" s="38"/>
      <c r="G22" s="24" t="str">
        <f aca="false">IF(OR(C22="",D22="",N(E22)=0),"",E22*IF(F22="",IFERROR(N(INDEX(Produtos!$K$5:$K$54,MATCH(D22,Produtos!$B$5:$B$54,0))),0),F22))</f>
        <v/>
      </c>
      <c r="H22" s="24" t="str">
        <f aca="false">IF(G22="","",E22*IFERROR(N(INDEX(Produtos!$F$5:$F$54,MATCH(D22,Produtos!$B$5:$B$54,0))),0))</f>
        <v/>
      </c>
      <c r="I22" s="24" t="str">
        <f aca="false">IF(G22="","",G22-H22)</f>
        <v/>
      </c>
      <c r="J22" s="37"/>
    </row>
    <row r="23" customFormat="false" ht="21" hidden="false" customHeight="true" outlineLevel="0" collapsed="false">
      <c r="B23" s="36"/>
      <c r="C23" s="7"/>
      <c r="D23" s="7"/>
      <c r="E23" s="37"/>
      <c r="F23" s="38"/>
      <c r="G23" s="24" t="str">
        <f aca="false">IF(OR(C23="",D23="",N(E23)=0),"",E23*IF(F23="",IFERROR(N(INDEX(Produtos!$K$5:$K$54,MATCH(D23,Produtos!$B$5:$B$54,0))),0),F23))</f>
        <v/>
      </c>
      <c r="H23" s="24" t="str">
        <f aca="false">IF(G23="","",E23*IFERROR(N(INDEX(Produtos!$F$5:$F$54,MATCH(D23,Produtos!$B$5:$B$54,0))),0))</f>
        <v/>
      </c>
      <c r="I23" s="24" t="str">
        <f aca="false">IF(G23="","",G23-H23)</f>
        <v/>
      </c>
      <c r="J23" s="37"/>
    </row>
    <row r="24" customFormat="false" ht="21" hidden="false" customHeight="true" outlineLevel="0" collapsed="false">
      <c r="B24" s="36"/>
      <c r="C24" s="7"/>
      <c r="D24" s="7"/>
      <c r="E24" s="37"/>
      <c r="F24" s="38"/>
      <c r="G24" s="24" t="str">
        <f aca="false">IF(OR(C24="",D24="",N(E24)=0),"",E24*IF(F24="",IFERROR(N(INDEX(Produtos!$K$5:$K$54,MATCH(D24,Produtos!$B$5:$B$54,0))),0),F24))</f>
        <v/>
      </c>
      <c r="H24" s="24" t="str">
        <f aca="false">IF(G24="","",E24*IFERROR(N(INDEX(Produtos!$F$5:$F$54,MATCH(D24,Produtos!$B$5:$B$54,0))),0))</f>
        <v/>
      </c>
      <c r="I24" s="24" t="str">
        <f aca="false">IF(G24="","",G24-H24)</f>
        <v/>
      </c>
      <c r="J24" s="37"/>
    </row>
    <row r="25" customFormat="false" ht="21" hidden="false" customHeight="true" outlineLevel="0" collapsed="false">
      <c r="B25" s="36"/>
      <c r="C25" s="7"/>
      <c r="D25" s="7"/>
      <c r="E25" s="37"/>
      <c r="F25" s="38"/>
      <c r="G25" s="24" t="str">
        <f aca="false">IF(OR(C25="",D25="",N(E25)=0),"",E25*IF(F25="",IFERROR(N(INDEX(Produtos!$K$5:$K$54,MATCH(D25,Produtos!$B$5:$B$54,0))),0),F25))</f>
        <v/>
      </c>
      <c r="H25" s="24" t="str">
        <f aca="false">IF(G25="","",E25*IFERROR(N(INDEX(Produtos!$F$5:$F$54,MATCH(D25,Produtos!$B$5:$B$54,0))),0))</f>
        <v/>
      </c>
      <c r="I25" s="24" t="str">
        <f aca="false">IF(G25="","",G25-H25)</f>
        <v/>
      </c>
      <c r="J25" s="37"/>
    </row>
    <row r="26" customFormat="false" ht="21" hidden="false" customHeight="true" outlineLevel="0" collapsed="false">
      <c r="B26" s="36"/>
      <c r="C26" s="7"/>
      <c r="D26" s="7"/>
      <c r="E26" s="37"/>
      <c r="F26" s="38"/>
      <c r="G26" s="24" t="str">
        <f aca="false">IF(OR(C26="",D26="",N(E26)=0),"",E26*IF(F26="",IFERROR(N(INDEX(Produtos!$K$5:$K$54,MATCH(D26,Produtos!$B$5:$B$54,0))),0),F26))</f>
        <v/>
      </c>
      <c r="H26" s="24" t="str">
        <f aca="false">IF(G26="","",E26*IFERROR(N(INDEX(Produtos!$F$5:$F$54,MATCH(D26,Produtos!$B$5:$B$54,0))),0))</f>
        <v/>
      </c>
      <c r="I26" s="24" t="str">
        <f aca="false">IF(G26="","",G26-H26)</f>
        <v/>
      </c>
      <c r="J26" s="37"/>
    </row>
    <row r="27" customFormat="false" ht="21" hidden="false" customHeight="true" outlineLevel="0" collapsed="false">
      <c r="B27" s="36"/>
      <c r="C27" s="7"/>
      <c r="D27" s="7"/>
      <c r="E27" s="37"/>
      <c r="F27" s="38"/>
      <c r="G27" s="24" t="str">
        <f aca="false">IF(OR(C27="",D27="",N(E27)=0),"",E27*IF(F27="",IFERROR(N(INDEX(Produtos!$K$5:$K$54,MATCH(D27,Produtos!$B$5:$B$54,0))),0),F27))</f>
        <v/>
      </c>
      <c r="H27" s="24" t="str">
        <f aca="false">IF(G27="","",E27*IFERROR(N(INDEX(Produtos!$F$5:$F$54,MATCH(D27,Produtos!$B$5:$B$54,0))),0))</f>
        <v/>
      </c>
      <c r="I27" s="24" t="str">
        <f aca="false">IF(G27="","",G27-H27)</f>
        <v/>
      </c>
      <c r="J27" s="37"/>
    </row>
    <row r="28" customFormat="false" ht="21" hidden="false" customHeight="true" outlineLevel="0" collapsed="false">
      <c r="B28" s="36"/>
      <c r="C28" s="7"/>
      <c r="D28" s="7"/>
      <c r="E28" s="37"/>
      <c r="F28" s="38"/>
      <c r="G28" s="24" t="str">
        <f aca="false">IF(OR(C28="",D28="",N(E28)=0),"",E28*IF(F28="",IFERROR(N(INDEX(Produtos!$K$5:$K$54,MATCH(D28,Produtos!$B$5:$B$54,0))),0),F28))</f>
        <v/>
      </c>
      <c r="H28" s="24" t="str">
        <f aca="false">IF(G28="","",E28*IFERROR(N(INDEX(Produtos!$F$5:$F$54,MATCH(D28,Produtos!$B$5:$B$54,0))),0))</f>
        <v/>
      </c>
      <c r="I28" s="24" t="str">
        <f aca="false">IF(G28="","",G28-H28)</f>
        <v/>
      </c>
      <c r="J28" s="37"/>
    </row>
    <row r="29" customFormat="false" ht="21" hidden="false" customHeight="true" outlineLevel="0" collapsed="false">
      <c r="B29" s="36"/>
      <c r="C29" s="7"/>
      <c r="D29" s="7"/>
      <c r="E29" s="37"/>
      <c r="F29" s="38"/>
      <c r="G29" s="24" t="str">
        <f aca="false">IF(OR(C29="",D29="",N(E29)=0),"",E29*IF(F29="",IFERROR(N(INDEX(Produtos!$K$5:$K$54,MATCH(D29,Produtos!$B$5:$B$54,0))),0),F29))</f>
        <v/>
      </c>
      <c r="H29" s="24" t="str">
        <f aca="false">IF(G29="","",E29*IFERROR(N(INDEX(Produtos!$F$5:$F$54,MATCH(D29,Produtos!$B$5:$B$54,0))),0))</f>
        <v/>
      </c>
      <c r="I29" s="24" t="str">
        <f aca="false">IF(G29="","",G29-H29)</f>
        <v/>
      </c>
      <c r="J29" s="37"/>
    </row>
    <row r="30" customFormat="false" ht="21" hidden="false" customHeight="true" outlineLevel="0" collapsed="false">
      <c r="B30" s="36"/>
      <c r="C30" s="7"/>
      <c r="D30" s="7"/>
      <c r="E30" s="37"/>
      <c r="F30" s="38"/>
      <c r="G30" s="24" t="str">
        <f aca="false">IF(OR(C30="",D30="",N(E30)=0),"",E30*IF(F30="",IFERROR(N(INDEX(Produtos!$K$5:$K$54,MATCH(D30,Produtos!$B$5:$B$54,0))),0),F30))</f>
        <v/>
      </c>
      <c r="H30" s="24" t="str">
        <f aca="false">IF(G30="","",E30*IFERROR(N(INDEX(Produtos!$F$5:$F$54,MATCH(D30,Produtos!$B$5:$B$54,0))),0))</f>
        <v/>
      </c>
      <c r="I30" s="24" t="str">
        <f aca="false">IF(G30="","",G30-H30)</f>
        <v/>
      </c>
      <c r="J30" s="37"/>
    </row>
    <row r="31" customFormat="false" ht="21" hidden="false" customHeight="true" outlineLevel="0" collapsed="false">
      <c r="B31" s="36"/>
      <c r="C31" s="7"/>
      <c r="D31" s="7"/>
      <c r="E31" s="37"/>
      <c r="F31" s="38"/>
      <c r="G31" s="24" t="str">
        <f aca="false">IF(OR(C31="",D31="",N(E31)=0),"",E31*IF(F31="",IFERROR(N(INDEX(Produtos!$K$5:$K$54,MATCH(D31,Produtos!$B$5:$B$54,0))),0),F31))</f>
        <v/>
      </c>
      <c r="H31" s="24" t="str">
        <f aca="false">IF(G31="","",E31*IFERROR(N(INDEX(Produtos!$F$5:$F$54,MATCH(D31,Produtos!$B$5:$B$54,0))),0))</f>
        <v/>
      </c>
      <c r="I31" s="24" t="str">
        <f aca="false">IF(G31="","",G31-H31)</f>
        <v/>
      </c>
      <c r="J31" s="37"/>
    </row>
    <row r="32" customFormat="false" ht="21" hidden="false" customHeight="true" outlineLevel="0" collapsed="false">
      <c r="B32" s="36"/>
      <c r="C32" s="7"/>
      <c r="D32" s="7"/>
      <c r="E32" s="37"/>
      <c r="F32" s="38"/>
      <c r="G32" s="24" t="str">
        <f aca="false">IF(OR(C32="",D32="",N(E32)=0),"",E32*IF(F32="",IFERROR(N(INDEX(Produtos!$K$5:$K$54,MATCH(D32,Produtos!$B$5:$B$54,0))),0),F32))</f>
        <v/>
      </c>
      <c r="H32" s="24" t="str">
        <f aca="false">IF(G32="","",E32*IFERROR(N(INDEX(Produtos!$F$5:$F$54,MATCH(D32,Produtos!$B$5:$B$54,0))),0))</f>
        <v/>
      </c>
      <c r="I32" s="24" t="str">
        <f aca="false">IF(G32="","",G32-H32)</f>
        <v/>
      </c>
      <c r="J32" s="37"/>
    </row>
    <row r="33" customFormat="false" ht="21" hidden="false" customHeight="true" outlineLevel="0" collapsed="false">
      <c r="B33" s="36"/>
      <c r="C33" s="7"/>
      <c r="D33" s="7"/>
      <c r="E33" s="37"/>
      <c r="F33" s="38"/>
      <c r="G33" s="24" t="str">
        <f aca="false">IF(OR(C33="",D33="",N(E33)=0),"",E33*IF(F33="",IFERROR(N(INDEX(Produtos!$K$5:$K$54,MATCH(D33,Produtos!$B$5:$B$54,0))),0),F33))</f>
        <v/>
      </c>
      <c r="H33" s="24" t="str">
        <f aca="false">IF(G33="","",E33*IFERROR(N(INDEX(Produtos!$F$5:$F$54,MATCH(D33,Produtos!$B$5:$B$54,0))),0))</f>
        <v/>
      </c>
      <c r="I33" s="24" t="str">
        <f aca="false">IF(G33="","",G33-H33)</f>
        <v/>
      </c>
      <c r="J33" s="37"/>
    </row>
    <row r="34" customFormat="false" ht="21" hidden="false" customHeight="true" outlineLevel="0" collapsed="false">
      <c r="B34" s="36"/>
      <c r="C34" s="7"/>
      <c r="D34" s="7"/>
      <c r="E34" s="37"/>
      <c r="F34" s="38"/>
      <c r="G34" s="24" t="str">
        <f aca="false">IF(OR(C34="",D34="",N(E34)=0),"",E34*IF(F34="",IFERROR(N(INDEX(Produtos!$K$5:$K$54,MATCH(D34,Produtos!$B$5:$B$54,0))),0),F34))</f>
        <v/>
      </c>
      <c r="H34" s="24" t="str">
        <f aca="false">IF(G34="","",E34*IFERROR(N(INDEX(Produtos!$F$5:$F$54,MATCH(D34,Produtos!$B$5:$B$54,0))),0))</f>
        <v/>
      </c>
      <c r="I34" s="24" t="str">
        <f aca="false">IF(G34="","",G34-H34)</f>
        <v/>
      </c>
      <c r="J34" s="37"/>
    </row>
    <row r="35" customFormat="false" ht="21" hidden="false" customHeight="true" outlineLevel="0" collapsed="false">
      <c r="B35" s="36"/>
      <c r="C35" s="7"/>
      <c r="D35" s="7"/>
      <c r="E35" s="37"/>
      <c r="F35" s="38"/>
      <c r="G35" s="24" t="str">
        <f aca="false">IF(OR(C35="",D35="",N(E35)=0),"",E35*IF(F35="",IFERROR(N(INDEX(Produtos!$K$5:$K$54,MATCH(D35,Produtos!$B$5:$B$54,0))),0),F35))</f>
        <v/>
      </c>
      <c r="H35" s="24" t="str">
        <f aca="false">IF(G35="","",E35*IFERROR(N(INDEX(Produtos!$F$5:$F$54,MATCH(D35,Produtos!$B$5:$B$54,0))),0))</f>
        <v/>
      </c>
      <c r="I35" s="24" t="str">
        <f aca="false">IF(G35="","",G35-H35)</f>
        <v/>
      </c>
      <c r="J35" s="37"/>
    </row>
    <row r="36" customFormat="false" ht="21" hidden="false" customHeight="true" outlineLevel="0" collapsed="false">
      <c r="B36" s="36"/>
      <c r="C36" s="7"/>
      <c r="D36" s="7"/>
      <c r="E36" s="37"/>
      <c r="F36" s="38"/>
      <c r="G36" s="24" t="str">
        <f aca="false">IF(OR(C36="",D36="",N(E36)=0),"",E36*IF(F36="",IFERROR(N(INDEX(Produtos!$K$5:$K$54,MATCH(D36,Produtos!$B$5:$B$54,0))),0),F36))</f>
        <v/>
      </c>
      <c r="H36" s="24" t="str">
        <f aca="false">IF(G36="","",E36*IFERROR(N(INDEX(Produtos!$F$5:$F$54,MATCH(D36,Produtos!$B$5:$B$54,0))),0))</f>
        <v/>
      </c>
      <c r="I36" s="24" t="str">
        <f aca="false">IF(G36="","",G36-H36)</f>
        <v/>
      </c>
      <c r="J36" s="37"/>
    </row>
    <row r="37" customFormat="false" ht="21" hidden="false" customHeight="true" outlineLevel="0" collapsed="false">
      <c r="B37" s="36"/>
      <c r="C37" s="7"/>
      <c r="D37" s="7"/>
      <c r="E37" s="37"/>
      <c r="F37" s="38"/>
      <c r="G37" s="24" t="str">
        <f aca="false">IF(OR(C37="",D37="",N(E37)=0),"",E37*IF(F37="",IFERROR(N(INDEX(Produtos!$K$5:$K$54,MATCH(D37,Produtos!$B$5:$B$54,0))),0),F37))</f>
        <v/>
      </c>
      <c r="H37" s="24" t="str">
        <f aca="false">IF(G37="","",E37*IFERROR(N(INDEX(Produtos!$F$5:$F$54,MATCH(D37,Produtos!$B$5:$B$54,0))),0))</f>
        <v/>
      </c>
      <c r="I37" s="24" t="str">
        <f aca="false">IF(G37="","",G37-H37)</f>
        <v/>
      </c>
      <c r="J37" s="37"/>
    </row>
    <row r="38" customFormat="false" ht="21" hidden="false" customHeight="true" outlineLevel="0" collapsed="false">
      <c r="B38" s="36"/>
      <c r="C38" s="7"/>
      <c r="D38" s="7"/>
      <c r="E38" s="37"/>
      <c r="F38" s="38"/>
      <c r="G38" s="24" t="str">
        <f aca="false">IF(OR(C38="",D38="",N(E38)=0),"",E38*IF(F38="",IFERROR(N(INDEX(Produtos!$K$5:$K$54,MATCH(D38,Produtos!$B$5:$B$54,0))),0),F38))</f>
        <v/>
      </c>
      <c r="H38" s="24" t="str">
        <f aca="false">IF(G38="","",E38*IFERROR(N(INDEX(Produtos!$F$5:$F$54,MATCH(D38,Produtos!$B$5:$B$54,0))),0))</f>
        <v/>
      </c>
      <c r="I38" s="24" t="str">
        <f aca="false">IF(G38="","",G38-H38)</f>
        <v/>
      </c>
      <c r="J38" s="37"/>
    </row>
    <row r="39" customFormat="false" ht="21" hidden="false" customHeight="true" outlineLevel="0" collapsed="false">
      <c r="B39" s="36"/>
      <c r="C39" s="7"/>
      <c r="D39" s="7"/>
      <c r="E39" s="37"/>
      <c r="F39" s="38"/>
      <c r="G39" s="24" t="str">
        <f aca="false">IF(OR(C39="",D39="",N(E39)=0),"",E39*IF(F39="",IFERROR(N(INDEX(Produtos!$K$5:$K$54,MATCH(D39,Produtos!$B$5:$B$54,0))),0),F39))</f>
        <v/>
      </c>
      <c r="H39" s="24" t="str">
        <f aca="false">IF(G39="","",E39*IFERROR(N(INDEX(Produtos!$F$5:$F$54,MATCH(D39,Produtos!$B$5:$B$54,0))),0))</f>
        <v/>
      </c>
      <c r="I39" s="24" t="str">
        <f aca="false">IF(G39="","",G39-H39)</f>
        <v/>
      </c>
      <c r="J39" s="37"/>
    </row>
    <row r="40" customFormat="false" ht="21" hidden="false" customHeight="true" outlineLevel="0" collapsed="false">
      <c r="B40" s="36"/>
      <c r="C40" s="7"/>
      <c r="D40" s="7"/>
      <c r="E40" s="37"/>
      <c r="F40" s="38"/>
      <c r="G40" s="24" t="str">
        <f aca="false">IF(OR(C40="",D40="",N(E40)=0),"",E40*IF(F40="",IFERROR(N(INDEX(Produtos!$K$5:$K$54,MATCH(D40,Produtos!$B$5:$B$54,0))),0),F40))</f>
        <v/>
      </c>
      <c r="H40" s="24" t="str">
        <f aca="false">IF(G40="","",E40*IFERROR(N(INDEX(Produtos!$F$5:$F$54,MATCH(D40,Produtos!$B$5:$B$54,0))),0))</f>
        <v/>
      </c>
      <c r="I40" s="24" t="str">
        <f aca="false">IF(G40="","",G40-H40)</f>
        <v/>
      </c>
      <c r="J40" s="37"/>
    </row>
    <row r="41" customFormat="false" ht="21" hidden="false" customHeight="true" outlineLevel="0" collapsed="false">
      <c r="B41" s="36"/>
      <c r="C41" s="7"/>
      <c r="D41" s="7"/>
      <c r="E41" s="37"/>
      <c r="F41" s="38"/>
      <c r="G41" s="24" t="str">
        <f aca="false">IF(OR(C41="",D41="",N(E41)=0),"",E41*IF(F41="",IFERROR(N(INDEX(Produtos!$K$5:$K$54,MATCH(D41,Produtos!$B$5:$B$54,0))),0),F41))</f>
        <v/>
      </c>
      <c r="H41" s="24" t="str">
        <f aca="false">IF(G41="","",E41*IFERROR(N(INDEX(Produtos!$F$5:$F$54,MATCH(D41,Produtos!$B$5:$B$54,0))),0))</f>
        <v/>
      </c>
      <c r="I41" s="24" t="str">
        <f aca="false">IF(G41="","",G41-H41)</f>
        <v/>
      </c>
      <c r="J41" s="37"/>
    </row>
    <row r="42" customFormat="false" ht="21" hidden="false" customHeight="true" outlineLevel="0" collapsed="false">
      <c r="B42" s="36"/>
      <c r="C42" s="7"/>
      <c r="D42" s="7"/>
      <c r="E42" s="37"/>
      <c r="F42" s="38"/>
      <c r="G42" s="24" t="str">
        <f aca="false">IF(OR(C42="",D42="",N(E42)=0),"",E42*IF(F42="",IFERROR(N(INDEX(Produtos!$K$5:$K$54,MATCH(D42,Produtos!$B$5:$B$54,0))),0),F42))</f>
        <v/>
      </c>
      <c r="H42" s="24" t="str">
        <f aca="false">IF(G42="","",E42*IFERROR(N(INDEX(Produtos!$F$5:$F$54,MATCH(D42,Produtos!$B$5:$B$54,0))),0))</f>
        <v/>
      </c>
      <c r="I42" s="24" t="str">
        <f aca="false">IF(G42="","",G42-H42)</f>
        <v/>
      </c>
      <c r="J42" s="37"/>
    </row>
    <row r="43" customFormat="false" ht="21" hidden="false" customHeight="true" outlineLevel="0" collapsed="false">
      <c r="B43" s="36"/>
      <c r="C43" s="7"/>
      <c r="D43" s="7"/>
      <c r="E43" s="37"/>
      <c r="F43" s="38"/>
      <c r="G43" s="24" t="str">
        <f aca="false">IF(OR(C43="",D43="",N(E43)=0),"",E43*IF(F43="",IFERROR(N(INDEX(Produtos!$K$5:$K$54,MATCH(D43,Produtos!$B$5:$B$54,0))),0),F43))</f>
        <v/>
      </c>
      <c r="H43" s="24" t="str">
        <f aca="false">IF(G43="","",E43*IFERROR(N(INDEX(Produtos!$F$5:$F$54,MATCH(D43,Produtos!$B$5:$B$54,0))),0))</f>
        <v/>
      </c>
      <c r="I43" s="24" t="str">
        <f aca="false">IF(G43="","",G43-H43)</f>
        <v/>
      </c>
      <c r="J43" s="37"/>
    </row>
    <row r="44" customFormat="false" ht="21" hidden="false" customHeight="true" outlineLevel="0" collapsed="false">
      <c r="B44" s="36"/>
      <c r="C44" s="7"/>
      <c r="D44" s="7"/>
      <c r="E44" s="37"/>
      <c r="F44" s="38"/>
      <c r="G44" s="24" t="str">
        <f aca="false">IF(OR(C44="",D44="",N(E44)=0),"",E44*IF(F44="",IFERROR(N(INDEX(Produtos!$K$5:$K$54,MATCH(D44,Produtos!$B$5:$B$54,0))),0),F44))</f>
        <v/>
      </c>
      <c r="H44" s="24" t="str">
        <f aca="false">IF(G44="","",E44*IFERROR(N(INDEX(Produtos!$F$5:$F$54,MATCH(D44,Produtos!$B$5:$B$54,0))),0))</f>
        <v/>
      </c>
      <c r="I44" s="24" t="str">
        <f aca="false">IF(G44="","",G44-H44)</f>
        <v/>
      </c>
      <c r="J44" s="37"/>
    </row>
    <row r="45" customFormat="false" ht="21" hidden="false" customHeight="true" outlineLevel="0" collapsed="false">
      <c r="B45" s="36"/>
      <c r="C45" s="7"/>
      <c r="D45" s="7"/>
      <c r="E45" s="37"/>
      <c r="F45" s="38"/>
      <c r="G45" s="24" t="str">
        <f aca="false">IF(OR(C45="",D45="",N(E45)=0),"",E45*IF(F45="",IFERROR(N(INDEX(Produtos!$K$5:$K$54,MATCH(D45,Produtos!$B$5:$B$54,0))),0),F45))</f>
        <v/>
      </c>
      <c r="H45" s="24" t="str">
        <f aca="false">IF(G45="","",E45*IFERROR(N(INDEX(Produtos!$F$5:$F$54,MATCH(D45,Produtos!$B$5:$B$54,0))),0))</f>
        <v/>
      </c>
      <c r="I45" s="24" t="str">
        <f aca="false">IF(G45="","",G45-H45)</f>
        <v/>
      </c>
      <c r="J45" s="37"/>
    </row>
    <row r="46" customFormat="false" ht="21" hidden="false" customHeight="true" outlineLevel="0" collapsed="false">
      <c r="B46" s="36"/>
      <c r="C46" s="7"/>
      <c r="D46" s="7"/>
      <c r="E46" s="37"/>
      <c r="F46" s="38"/>
      <c r="G46" s="24" t="str">
        <f aca="false">IF(OR(C46="",D46="",N(E46)=0),"",E46*IF(F46="",IFERROR(N(INDEX(Produtos!$K$5:$K$54,MATCH(D46,Produtos!$B$5:$B$54,0))),0),F46))</f>
        <v/>
      </c>
      <c r="H46" s="24" t="str">
        <f aca="false">IF(G46="","",E46*IFERROR(N(INDEX(Produtos!$F$5:$F$54,MATCH(D46,Produtos!$B$5:$B$54,0))),0))</f>
        <v/>
      </c>
      <c r="I46" s="24" t="str">
        <f aca="false">IF(G46="","",G46-H46)</f>
        <v/>
      </c>
      <c r="J46" s="37"/>
    </row>
    <row r="47" customFormat="false" ht="21" hidden="false" customHeight="true" outlineLevel="0" collapsed="false">
      <c r="B47" s="36"/>
      <c r="C47" s="7"/>
      <c r="D47" s="7"/>
      <c r="E47" s="37"/>
      <c r="F47" s="38"/>
      <c r="G47" s="24" t="str">
        <f aca="false">IF(OR(C47="",D47="",N(E47)=0),"",E47*IF(F47="",IFERROR(N(INDEX(Produtos!$K$5:$K$54,MATCH(D47,Produtos!$B$5:$B$54,0))),0),F47))</f>
        <v/>
      </c>
      <c r="H47" s="24" t="str">
        <f aca="false">IF(G47="","",E47*IFERROR(N(INDEX(Produtos!$F$5:$F$54,MATCH(D47,Produtos!$B$5:$B$54,0))),0))</f>
        <v/>
      </c>
      <c r="I47" s="24" t="str">
        <f aca="false">IF(G47="","",G47-H47)</f>
        <v/>
      </c>
      <c r="J47" s="37"/>
    </row>
    <row r="48" customFormat="false" ht="21" hidden="false" customHeight="true" outlineLevel="0" collapsed="false">
      <c r="B48" s="36"/>
      <c r="C48" s="7"/>
      <c r="D48" s="7"/>
      <c r="E48" s="37"/>
      <c r="F48" s="38"/>
      <c r="G48" s="24" t="str">
        <f aca="false">IF(OR(C48="",D48="",N(E48)=0),"",E48*IF(F48="",IFERROR(N(INDEX(Produtos!$K$5:$K$54,MATCH(D48,Produtos!$B$5:$B$54,0))),0),F48))</f>
        <v/>
      </c>
      <c r="H48" s="24" t="str">
        <f aca="false">IF(G48="","",E48*IFERROR(N(INDEX(Produtos!$F$5:$F$54,MATCH(D48,Produtos!$B$5:$B$54,0))),0))</f>
        <v/>
      </c>
      <c r="I48" s="24" t="str">
        <f aca="false">IF(G48="","",G48-H48)</f>
        <v/>
      </c>
      <c r="J48" s="37"/>
    </row>
    <row r="49" customFormat="false" ht="21" hidden="false" customHeight="true" outlineLevel="0" collapsed="false">
      <c r="B49" s="36"/>
      <c r="C49" s="7"/>
      <c r="D49" s="7"/>
      <c r="E49" s="37"/>
      <c r="F49" s="38"/>
      <c r="G49" s="24" t="str">
        <f aca="false">IF(OR(C49="",D49="",N(E49)=0),"",E49*IF(F49="",IFERROR(N(INDEX(Produtos!$K$5:$K$54,MATCH(D49,Produtos!$B$5:$B$54,0))),0),F49))</f>
        <v/>
      </c>
      <c r="H49" s="24" t="str">
        <f aca="false">IF(G49="","",E49*IFERROR(N(INDEX(Produtos!$F$5:$F$54,MATCH(D49,Produtos!$B$5:$B$54,0))),0))</f>
        <v/>
      </c>
      <c r="I49" s="24" t="str">
        <f aca="false">IF(G49="","",G49-H49)</f>
        <v/>
      </c>
      <c r="J49" s="37"/>
    </row>
    <row r="50" customFormat="false" ht="21" hidden="false" customHeight="true" outlineLevel="0" collapsed="false">
      <c r="B50" s="36"/>
      <c r="C50" s="7"/>
      <c r="D50" s="7"/>
      <c r="E50" s="37"/>
      <c r="F50" s="38"/>
      <c r="G50" s="24" t="str">
        <f aca="false">IF(OR(C50="",D50="",N(E50)=0),"",E50*IF(F50="",IFERROR(N(INDEX(Produtos!$K$5:$K$54,MATCH(D50,Produtos!$B$5:$B$54,0))),0),F50))</f>
        <v/>
      </c>
      <c r="H50" s="24" t="str">
        <f aca="false">IF(G50="","",E50*IFERROR(N(INDEX(Produtos!$F$5:$F$54,MATCH(D50,Produtos!$B$5:$B$54,0))),0))</f>
        <v/>
      </c>
      <c r="I50" s="24" t="str">
        <f aca="false">IF(G50="","",G50-H50)</f>
        <v/>
      </c>
      <c r="J50" s="37"/>
    </row>
    <row r="51" customFormat="false" ht="21" hidden="false" customHeight="true" outlineLevel="0" collapsed="false">
      <c r="B51" s="36"/>
      <c r="C51" s="7"/>
      <c r="D51" s="7"/>
      <c r="E51" s="37"/>
      <c r="F51" s="38"/>
      <c r="G51" s="24" t="str">
        <f aca="false">IF(OR(C51="",D51="",N(E51)=0),"",E51*IF(F51="",IFERROR(N(INDEX(Produtos!$K$5:$K$54,MATCH(D51,Produtos!$B$5:$B$54,0))),0),F51))</f>
        <v/>
      </c>
      <c r="H51" s="24" t="str">
        <f aca="false">IF(G51="","",E51*IFERROR(N(INDEX(Produtos!$F$5:$F$54,MATCH(D51,Produtos!$B$5:$B$54,0))),0))</f>
        <v/>
      </c>
      <c r="I51" s="24" t="str">
        <f aca="false">IF(G51="","",G51-H51)</f>
        <v/>
      </c>
      <c r="J51" s="37"/>
    </row>
    <row r="52" customFormat="false" ht="21" hidden="false" customHeight="true" outlineLevel="0" collapsed="false">
      <c r="B52" s="36"/>
      <c r="C52" s="7"/>
      <c r="D52" s="7"/>
      <c r="E52" s="37"/>
      <c r="F52" s="38"/>
      <c r="G52" s="24" t="str">
        <f aca="false">IF(OR(C52="",D52="",N(E52)=0),"",E52*IF(F52="",IFERROR(N(INDEX(Produtos!$K$5:$K$54,MATCH(D52,Produtos!$B$5:$B$54,0))),0),F52))</f>
        <v/>
      </c>
      <c r="H52" s="24" t="str">
        <f aca="false">IF(G52="","",E52*IFERROR(N(INDEX(Produtos!$F$5:$F$54,MATCH(D52,Produtos!$B$5:$B$54,0))),0))</f>
        <v/>
      </c>
      <c r="I52" s="24" t="str">
        <f aca="false">IF(G52="","",G52-H52)</f>
        <v/>
      </c>
      <c r="J52" s="37"/>
    </row>
    <row r="53" customFormat="false" ht="21" hidden="false" customHeight="true" outlineLevel="0" collapsed="false">
      <c r="B53" s="36"/>
      <c r="C53" s="7"/>
      <c r="D53" s="7"/>
      <c r="E53" s="37"/>
      <c r="F53" s="38"/>
      <c r="G53" s="24" t="str">
        <f aca="false">IF(OR(C53="",D53="",N(E53)=0),"",E53*IF(F53="",IFERROR(N(INDEX(Produtos!$K$5:$K$54,MATCH(D53,Produtos!$B$5:$B$54,0))),0),F53))</f>
        <v/>
      </c>
      <c r="H53" s="24" t="str">
        <f aca="false">IF(G53="","",E53*IFERROR(N(INDEX(Produtos!$F$5:$F$54,MATCH(D53,Produtos!$B$5:$B$54,0))),0))</f>
        <v/>
      </c>
      <c r="I53" s="24" t="str">
        <f aca="false">IF(G53="","",G53-H53)</f>
        <v/>
      </c>
      <c r="J53" s="37"/>
    </row>
    <row r="54" customFormat="false" ht="21" hidden="false" customHeight="true" outlineLevel="0" collapsed="false">
      <c r="B54" s="36"/>
      <c r="C54" s="7"/>
      <c r="D54" s="7"/>
      <c r="E54" s="37"/>
      <c r="F54" s="38"/>
      <c r="G54" s="24" t="str">
        <f aca="false">IF(OR(C54="",D54="",N(E54)=0),"",E54*IF(F54="",IFERROR(N(INDEX(Produtos!$K$5:$K$54,MATCH(D54,Produtos!$B$5:$B$54,0))),0),F54))</f>
        <v/>
      </c>
      <c r="H54" s="24" t="str">
        <f aca="false">IF(G54="","",E54*IFERROR(N(INDEX(Produtos!$F$5:$F$54,MATCH(D54,Produtos!$B$5:$B$54,0))),0))</f>
        <v/>
      </c>
      <c r="I54" s="24" t="str">
        <f aca="false">IF(G54="","",G54-H54)</f>
        <v/>
      </c>
      <c r="J54" s="37"/>
    </row>
    <row r="55" customFormat="false" ht="21" hidden="false" customHeight="true" outlineLevel="0" collapsed="false">
      <c r="B55" s="36"/>
      <c r="C55" s="7"/>
      <c r="D55" s="7"/>
      <c r="E55" s="37"/>
      <c r="F55" s="38"/>
      <c r="G55" s="24" t="str">
        <f aca="false">IF(OR(C55="",D55="",N(E55)=0),"",E55*IF(F55="",IFERROR(N(INDEX(Produtos!$K$5:$K$54,MATCH(D55,Produtos!$B$5:$B$54,0))),0),F55))</f>
        <v/>
      </c>
      <c r="H55" s="24" t="str">
        <f aca="false">IF(G55="","",E55*IFERROR(N(INDEX(Produtos!$F$5:$F$54,MATCH(D55,Produtos!$B$5:$B$54,0))),0))</f>
        <v/>
      </c>
      <c r="I55" s="24" t="str">
        <f aca="false">IF(G55="","",G55-H55)</f>
        <v/>
      </c>
      <c r="J55" s="37"/>
    </row>
    <row r="56" customFormat="false" ht="21" hidden="false" customHeight="true" outlineLevel="0" collapsed="false">
      <c r="B56" s="36"/>
      <c r="C56" s="7"/>
      <c r="D56" s="7"/>
      <c r="E56" s="37"/>
      <c r="F56" s="38"/>
      <c r="G56" s="24" t="str">
        <f aca="false">IF(OR(C56="",D56="",N(E56)=0),"",E56*IF(F56="",IFERROR(N(INDEX(Produtos!$K$5:$K$54,MATCH(D56,Produtos!$B$5:$B$54,0))),0),F56))</f>
        <v/>
      </c>
      <c r="H56" s="24" t="str">
        <f aca="false">IF(G56="","",E56*IFERROR(N(INDEX(Produtos!$F$5:$F$54,MATCH(D56,Produtos!$B$5:$B$54,0))),0))</f>
        <v/>
      </c>
      <c r="I56" s="24" t="str">
        <f aca="false">IF(G56="","",G56-H56)</f>
        <v/>
      </c>
      <c r="J56" s="37"/>
    </row>
    <row r="57" customFormat="false" ht="21" hidden="false" customHeight="true" outlineLevel="0" collapsed="false">
      <c r="B57" s="36"/>
      <c r="C57" s="7"/>
      <c r="D57" s="7"/>
      <c r="E57" s="37"/>
      <c r="F57" s="38"/>
      <c r="G57" s="24" t="str">
        <f aca="false">IF(OR(C57="",D57="",N(E57)=0),"",E57*IF(F57="",IFERROR(N(INDEX(Produtos!$K$5:$K$54,MATCH(D57,Produtos!$B$5:$B$54,0))),0),F57))</f>
        <v/>
      </c>
      <c r="H57" s="24" t="str">
        <f aca="false">IF(G57="","",E57*IFERROR(N(INDEX(Produtos!$F$5:$F$54,MATCH(D57,Produtos!$B$5:$B$54,0))),0))</f>
        <v/>
      </c>
      <c r="I57" s="24" t="str">
        <f aca="false">IF(G57="","",G57-H57)</f>
        <v/>
      </c>
      <c r="J57" s="37"/>
    </row>
    <row r="58" customFormat="false" ht="21" hidden="false" customHeight="true" outlineLevel="0" collapsed="false">
      <c r="B58" s="36"/>
      <c r="C58" s="7"/>
      <c r="D58" s="7"/>
      <c r="E58" s="37"/>
      <c r="F58" s="38"/>
      <c r="G58" s="24" t="str">
        <f aca="false">IF(OR(C58="",D58="",N(E58)=0),"",E58*IF(F58="",IFERROR(N(INDEX(Produtos!$K$5:$K$54,MATCH(D58,Produtos!$B$5:$B$54,0))),0),F58))</f>
        <v/>
      </c>
      <c r="H58" s="24" t="str">
        <f aca="false">IF(G58="","",E58*IFERROR(N(INDEX(Produtos!$F$5:$F$54,MATCH(D58,Produtos!$B$5:$B$54,0))),0))</f>
        <v/>
      </c>
      <c r="I58" s="24" t="str">
        <f aca="false">IF(G58="","",G58-H58)</f>
        <v/>
      </c>
      <c r="J58" s="37"/>
    </row>
    <row r="59" customFormat="false" ht="21" hidden="false" customHeight="true" outlineLevel="0" collapsed="false">
      <c r="B59" s="36"/>
      <c r="C59" s="7"/>
      <c r="D59" s="7"/>
      <c r="E59" s="37"/>
      <c r="F59" s="38"/>
      <c r="G59" s="24" t="str">
        <f aca="false">IF(OR(C59="",D59="",N(E59)=0),"",E59*IF(F59="",IFERROR(N(INDEX(Produtos!$K$5:$K$54,MATCH(D59,Produtos!$B$5:$B$54,0))),0),F59))</f>
        <v/>
      </c>
      <c r="H59" s="24" t="str">
        <f aca="false">IF(G59="","",E59*IFERROR(N(INDEX(Produtos!$F$5:$F$54,MATCH(D59,Produtos!$B$5:$B$54,0))),0))</f>
        <v/>
      </c>
      <c r="I59" s="24" t="str">
        <f aca="false">IF(G59="","",G59-H59)</f>
        <v/>
      </c>
      <c r="J59" s="37"/>
    </row>
    <row r="60" customFormat="false" ht="21" hidden="false" customHeight="true" outlineLevel="0" collapsed="false">
      <c r="B60" s="36"/>
      <c r="C60" s="7"/>
      <c r="D60" s="7"/>
      <c r="E60" s="37"/>
      <c r="F60" s="38"/>
      <c r="G60" s="24" t="str">
        <f aca="false">IF(OR(C60="",D60="",N(E60)=0),"",E60*IF(F60="",IFERROR(N(INDEX(Produtos!$K$5:$K$54,MATCH(D60,Produtos!$B$5:$B$54,0))),0),F60))</f>
        <v/>
      </c>
      <c r="H60" s="24" t="str">
        <f aca="false">IF(G60="","",E60*IFERROR(N(INDEX(Produtos!$F$5:$F$54,MATCH(D60,Produtos!$B$5:$B$54,0))),0))</f>
        <v/>
      </c>
      <c r="I60" s="24" t="str">
        <f aca="false">IF(G60="","",G60-H60)</f>
        <v/>
      </c>
      <c r="J60" s="37"/>
    </row>
    <row r="61" customFormat="false" ht="21" hidden="false" customHeight="true" outlineLevel="0" collapsed="false">
      <c r="B61" s="36"/>
      <c r="C61" s="7"/>
      <c r="D61" s="7"/>
      <c r="E61" s="37"/>
      <c r="F61" s="38"/>
      <c r="G61" s="24" t="str">
        <f aca="false">IF(OR(C61="",D61="",N(E61)=0),"",E61*IF(F61="",IFERROR(N(INDEX(Produtos!$K$5:$K$54,MATCH(D61,Produtos!$B$5:$B$54,0))),0),F61))</f>
        <v/>
      </c>
      <c r="H61" s="24" t="str">
        <f aca="false">IF(G61="","",E61*IFERROR(N(INDEX(Produtos!$F$5:$F$54,MATCH(D61,Produtos!$B$5:$B$54,0))),0))</f>
        <v/>
      </c>
      <c r="I61" s="24" t="str">
        <f aca="false">IF(G61="","",G61-H61)</f>
        <v/>
      </c>
      <c r="J61" s="37"/>
    </row>
    <row r="62" customFormat="false" ht="21" hidden="false" customHeight="true" outlineLevel="0" collapsed="false">
      <c r="B62" s="36"/>
      <c r="C62" s="7"/>
      <c r="D62" s="7"/>
      <c r="E62" s="37"/>
      <c r="F62" s="38"/>
      <c r="G62" s="24" t="str">
        <f aca="false">IF(OR(C62="",D62="",N(E62)=0),"",E62*IF(F62="",IFERROR(N(INDEX(Produtos!$K$5:$K$54,MATCH(D62,Produtos!$B$5:$B$54,0))),0),F62))</f>
        <v/>
      </c>
      <c r="H62" s="24" t="str">
        <f aca="false">IF(G62="","",E62*IFERROR(N(INDEX(Produtos!$F$5:$F$54,MATCH(D62,Produtos!$B$5:$B$54,0))),0))</f>
        <v/>
      </c>
      <c r="I62" s="24" t="str">
        <f aca="false">IF(G62="","",G62-H62)</f>
        <v/>
      </c>
      <c r="J62" s="37"/>
    </row>
    <row r="63" customFormat="false" ht="21" hidden="false" customHeight="true" outlineLevel="0" collapsed="false">
      <c r="B63" s="36"/>
      <c r="C63" s="7"/>
      <c r="D63" s="7"/>
      <c r="E63" s="37"/>
      <c r="F63" s="38"/>
      <c r="G63" s="24" t="str">
        <f aca="false">IF(OR(C63="",D63="",N(E63)=0),"",E63*IF(F63="",IFERROR(N(INDEX(Produtos!$K$5:$K$54,MATCH(D63,Produtos!$B$5:$B$54,0))),0),F63))</f>
        <v/>
      </c>
      <c r="H63" s="24" t="str">
        <f aca="false">IF(G63="","",E63*IFERROR(N(INDEX(Produtos!$F$5:$F$54,MATCH(D63,Produtos!$B$5:$B$54,0))),0))</f>
        <v/>
      </c>
      <c r="I63" s="24" t="str">
        <f aca="false">IF(G63="","",G63-H63)</f>
        <v/>
      </c>
      <c r="J63" s="37"/>
    </row>
    <row r="64" customFormat="false" ht="21" hidden="false" customHeight="true" outlineLevel="0" collapsed="false">
      <c r="B64" s="36"/>
      <c r="C64" s="7"/>
      <c r="D64" s="7"/>
      <c r="E64" s="37"/>
      <c r="F64" s="38"/>
      <c r="G64" s="24" t="str">
        <f aca="false">IF(OR(C64="",D64="",N(E64)=0),"",E64*IF(F64="",IFERROR(N(INDEX(Produtos!$K$5:$K$54,MATCH(D64,Produtos!$B$5:$B$54,0))),0),F64))</f>
        <v/>
      </c>
      <c r="H64" s="24" t="str">
        <f aca="false">IF(G64="","",E64*IFERROR(N(INDEX(Produtos!$F$5:$F$54,MATCH(D64,Produtos!$B$5:$B$54,0))),0))</f>
        <v/>
      </c>
      <c r="I64" s="24" t="str">
        <f aca="false">IF(G64="","",G64-H64)</f>
        <v/>
      </c>
      <c r="J64" s="37"/>
    </row>
    <row r="65" customFormat="false" ht="21" hidden="false" customHeight="true" outlineLevel="0" collapsed="false">
      <c r="B65" s="36"/>
      <c r="C65" s="7"/>
      <c r="D65" s="7"/>
      <c r="E65" s="37"/>
      <c r="F65" s="38"/>
      <c r="G65" s="24" t="str">
        <f aca="false">IF(OR(C65="",D65="",N(E65)=0),"",E65*IF(F65="",IFERROR(N(INDEX(Produtos!$K$5:$K$54,MATCH(D65,Produtos!$B$5:$B$54,0))),0),F65))</f>
        <v/>
      </c>
      <c r="H65" s="24" t="str">
        <f aca="false">IF(G65="","",E65*IFERROR(N(INDEX(Produtos!$F$5:$F$54,MATCH(D65,Produtos!$B$5:$B$54,0))),0))</f>
        <v/>
      </c>
      <c r="I65" s="24" t="str">
        <f aca="false">IF(G65="","",G65-H65)</f>
        <v/>
      </c>
      <c r="J65" s="37"/>
    </row>
    <row r="66" customFormat="false" ht="21" hidden="false" customHeight="true" outlineLevel="0" collapsed="false">
      <c r="B66" s="36"/>
      <c r="C66" s="7"/>
      <c r="D66" s="7"/>
      <c r="E66" s="37"/>
      <c r="F66" s="38"/>
      <c r="G66" s="24" t="str">
        <f aca="false">IF(OR(C66="",D66="",N(E66)=0),"",E66*IF(F66="",IFERROR(N(INDEX(Produtos!$K$5:$K$54,MATCH(D66,Produtos!$B$5:$B$54,0))),0),F66))</f>
        <v/>
      </c>
      <c r="H66" s="24" t="str">
        <f aca="false">IF(G66="","",E66*IFERROR(N(INDEX(Produtos!$F$5:$F$54,MATCH(D66,Produtos!$B$5:$B$54,0))),0))</f>
        <v/>
      </c>
      <c r="I66" s="24" t="str">
        <f aca="false">IF(G66="","",G66-H66)</f>
        <v/>
      </c>
      <c r="J66" s="37"/>
    </row>
    <row r="67" customFormat="false" ht="21" hidden="false" customHeight="true" outlineLevel="0" collapsed="false">
      <c r="B67" s="36"/>
      <c r="C67" s="7"/>
      <c r="D67" s="7"/>
      <c r="E67" s="37"/>
      <c r="F67" s="38"/>
      <c r="G67" s="24" t="str">
        <f aca="false">IF(OR(C67="",D67="",N(E67)=0),"",E67*IF(F67="",IFERROR(N(INDEX(Produtos!$K$5:$K$54,MATCH(D67,Produtos!$B$5:$B$54,0))),0),F67))</f>
        <v/>
      </c>
      <c r="H67" s="24" t="str">
        <f aca="false">IF(G67="","",E67*IFERROR(N(INDEX(Produtos!$F$5:$F$54,MATCH(D67,Produtos!$B$5:$B$54,0))),0))</f>
        <v/>
      </c>
      <c r="I67" s="24" t="str">
        <f aca="false">IF(G67="","",G67-H67)</f>
        <v/>
      </c>
      <c r="J67" s="37"/>
    </row>
    <row r="68" customFormat="false" ht="21" hidden="false" customHeight="true" outlineLevel="0" collapsed="false">
      <c r="B68" s="36"/>
      <c r="C68" s="7"/>
      <c r="D68" s="7"/>
      <c r="E68" s="37"/>
      <c r="F68" s="38"/>
      <c r="G68" s="24" t="str">
        <f aca="false">IF(OR(C68="",D68="",N(E68)=0),"",E68*IF(F68="",IFERROR(N(INDEX(Produtos!$K$5:$K$54,MATCH(D68,Produtos!$B$5:$B$54,0))),0),F68))</f>
        <v/>
      </c>
      <c r="H68" s="24" t="str">
        <f aca="false">IF(G68="","",E68*IFERROR(N(INDEX(Produtos!$F$5:$F$54,MATCH(D68,Produtos!$B$5:$B$54,0))),0))</f>
        <v/>
      </c>
      <c r="I68" s="24" t="str">
        <f aca="false">IF(G68="","",G68-H68)</f>
        <v/>
      </c>
      <c r="J68" s="37"/>
    </row>
    <row r="69" customFormat="false" ht="21" hidden="false" customHeight="true" outlineLevel="0" collapsed="false">
      <c r="B69" s="36"/>
      <c r="C69" s="7"/>
      <c r="D69" s="7"/>
      <c r="E69" s="37"/>
      <c r="F69" s="38"/>
      <c r="G69" s="24" t="str">
        <f aca="false">IF(OR(C69="",D69="",N(E69)=0),"",E69*IF(F69="",IFERROR(N(INDEX(Produtos!$K$5:$K$54,MATCH(D69,Produtos!$B$5:$B$54,0))),0),F69))</f>
        <v/>
      </c>
      <c r="H69" s="24" t="str">
        <f aca="false">IF(G69="","",E69*IFERROR(N(INDEX(Produtos!$F$5:$F$54,MATCH(D69,Produtos!$B$5:$B$54,0))),0))</f>
        <v/>
      </c>
      <c r="I69" s="24" t="str">
        <f aca="false">IF(G69="","",G69-H69)</f>
        <v/>
      </c>
      <c r="J69" s="37"/>
    </row>
    <row r="70" customFormat="false" ht="21" hidden="false" customHeight="true" outlineLevel="0" collapsed="false">
      <c r="B70" s="36"/>
      <c r="C70" s="7"/>
      <c r="D70" s="7"/>
      <c r="E70" s="37"/>
      <c r="F70" s="38"/>
      <c r="G70" s="24" t="str">
        <f aca="false">IF(OR(C70="",D70="",N(E70)=0),"",E70*IF(F70="",IFERROR(N(INDEX(Produtos!$K$5:$K$54,MATCH(D70,Produtos!$B$5:$B$54,0))),0),F70))</f>
        <v/>
      </c>
      <c r="H70" s="24" t="str">
        <f aca="false">IF(G70="","",E70*IFERROR(N(INDEX(Produtos!$F$5:$F$54,MATCH(D70,Produtos!$B$5:$B$54,0))),0))</f>
        <v/>
      </c>
      <c r="I70" s="24" t="str">
        <f aca="false">IF(G70="","",G70-H70)</f>
        <v/>
      </c>
      <c r="J70" s="37"/>
    </row>
    <row r="71" customFormat="false" ht="21" hidden="false" customHeight="true" outlineLevel="0" collapsed="false">
      <c r="B71" s="36"/>
      <c r="C71" s="7"/>
      <c r="D71" s="7"/>
      <c r="E71" s="37"/>
      <c r="F71" s="38"/>
      <c r="G71" s="24" t="str">
        <f aca="false">IF(OR(C71="",D71="",N(E71)=0),"",E71*IF(F71="",IFERROR(N(INDEX(Produtos!$K$5:$K$54,MATCH(D71,Produtos!$B$5:$B$54,0))),0),F71))</f>
        <v/>
      </c>
      <c r="H71" s="24" t="str">
        <f aca="false">IF(G71="","",E71*IFERROR(N(INDEX(Produtos!$F$5:$F$54,MATCH(D71,Produtos!$B$5:$B$54,0))),0))</f>
        <v/>
      </c>
      <c r="I71" s="24" t="str">
        <f aca="false">IF(G71="","",G71-H71)</f>
        <v/>
      </c>
      <c r="J71" s="37"/>
    </row>
    <row r="72" customFormat="false" ht="21" hidden="false" customHeight="true" outlineLevel="0" collapsed="false">
      <c r="B72" s="36"/>
      <c r="C72" s="7"/>
      <c r="D72" s="7"/>
      <c r="E72" s="37"/>
      <c r="F72" s="38"/>
      <c r="G72" s="24" t="str">
        <f aca="false">IF(OR(C72="",D72="",N(E72)=0),"",E72*IF(F72="",IFERROR(N(INDEX(Produtos!$K$5:$K$54,MATCH(D72,Produtos!$B$5:$B$54,0))),0),F72))</f>
        <v/>
      </c>
      <c r="H72" s="24" t="str">
        <f aca="false">IF(G72="","",E72*IFERROR(N(INDEX(Produtos!$F$5:$F$54,MATCH(D72,Produtos!$B$5:$B$54,0))),0))</f>
        <v/>
      </c>
      <c r="I72" s="24" t="str">
        <f aca="false">IF(G72="","",G72-H72)</f>
        <v/>
      </c>
      <c r="J72" s="37"/>
    </row>
    <row r="73" customFormat="false" ht="21" hidden="false" customHeight="true" outlineLevel="0" collapsed="false">
      <c r="B73" s="36"/>
      <c r="C73" s="7"/>
      <c r="D73" s="7"/>
      <c r="E73" s="37"/>
      <c r="F73" s="38"/>
      <c r="G73" s="24" t="str">
        <f aca="false">IF(OR(C73="",D73="",N(E73)=0),"",E73*IF(F73="",IFERROR(N(INDEX(Produtos!$K$5:$K$54,MATCH(D73,Produtos!$B$5:$B$54,0))),0),F73))</f>
        <v/>
      </c>
      <c r="H73" s="24" t="str">
        <f aca="false">IF(G73="","",E73*IFERROR(N(INDEX(Produtos!$F$5:$F$54,MATCH(D73,Produtos!$B$5:$B$54,0))),0))</f>
        <v/>
      </c>
      <c r="I73" s="24" t="str">
        <f aca="false">IF(G73="","",G73-H73)</f>
        <v/>
      </c>
      <c r="J73" s="37"/>
    </row>
    <row r="74" customFormat="false" ht="21" hidden="false" customHeight="true" outlineLevel="0" collapsed="false">
      <c r="B74" s="36"/>
      <c r="C74" s="7"/>
      <c r="D74" s="7"/>
      <c r="E74" s="37"/>
      <c r="F74" s="38"/>
      <c r="G74" s="24" t="str">
        <f aca="false">IF(OR(C74="",D74="",N(E74)=0),"",E74*IF(F74="",IFERROR(N(INDEX(Produtos!$K$5:$K$54,MATCH(D74,Produtos!$B$5:$B$54,0))),0),F74))</f>
        <v/>
      </c>
      <c r="H74" s="24" t="str">
        <f aca="false">IF(G74="","",E74*IFERROR(N(INDEX(Produtos!$F$5:$F$54,MATCH(D74,Produtos!$B$5:$B$54,0))),0))</f>
        <v/>
      </c>
      <c r="I74" s="24" t="str">
        <f aca="false">IF(G74="","",G74-H74)</f>
        <v/>
      </c>
      <c r="J74" s="37"/>
    </row>
    <row r="75" customFormat="false" ht="21" hidden="false" customHeight="true" outlineLevel="0" collapsed="false">
      <c r="B75" s="36"/>
      <c r="C75" s="7"/>
      <c r="D75" s="7"/>
      <c r="E75" s="37"/>
      <c r="F75" s="38"/>
      <c r="G75" s="24" t="str">
        <f aca="false">IF(OR(C75="",D75="",N(E75)=0),"",E75*IF(F75="",IFERROR(N(INDEX(Produtos!$K$5:$K$54,MATCH(D75,Produtos!$B$5:$B$54,0))),0),F75))</f>
        <v/>
      </c>
      <c r="H75" s="24" t="str">
        <f aca="false">IF(G75="","",E75*IFERROR(N(INDEX(Produtos!$F$5:$F$54,MATCH(D75,Produtos!$B$5:$B$54,0))),0))</f>
        <v/>
      </c>
      <c r="I75" s="24" t="str">
        <f aca="false">IF(G75="","",G75-H75)</f>
        <v/>
      </c>
      <c r="J75" s="37"/>
    </row>
    <row r="76" customFormat="false" ht="21" hidden="false" customHeight="true" outlineLevel="0" collapsed="false">
      <c r="B76" s="36"/>
      <c r="C76" s="7"/>
      <c r="D76" s="7"/>
      <c r="E76" s="37"/>
      <c r="F76" s="38"/>
      <c r="G76" s="24" t="str">
        <f aca="false">IF(OR(C76="",D76="",N(E76)=0),"",E76*IF(F76="",IFERROR(N(INDEX(Produtos!$K$5:$K$54,MATCH(D76,Produtos!$B$5:$B$54,0))),0),F76))</f>
        <v/>
      </c>
      <c r="H76" s="24" t="str">
        <f aca="false">IF(G76="","",E76*IFERROR(N(INDEX(Produtos!$F$5:$F$54,MATCH(D76,Produtos!$B$5:$B$54,0))),0))</f>
        <v/>
      </c>
      <c r="I76" s="24" t="str">
        <f aca="false">IF(G76="","",G76-H76)</f>
        <v/>
      </c>
      <c r="J76" s="37"/>
    </row>
    <row r="77" customFormat="false" ht="21" hidden="false" customHeight="true" outlineLevel="0" collapsed="false">
      <c r="B77" s="36"/>
      <c r="C77" s="7"/>
      <c r="D77" s="7"/>
      <c r="E77" s="37"/>
      <c r="F77" s="38"/>
      <c r="G77" s="24" t="str">
        <f aca="false">IF(OR(C77="",D77="",N(E77)=0),"",E77*IF(F77="",IFERROR(N(INDEX(Produtos!$K$5:$K$54,MATCH(D77,Produtos!$B$5:$B$54,0))),0),F77))</f>
        <v/>
      </c>
      <c r="H77" s="24" t="str">
        <f aca="false">IF(G77="","",E77*IFERROR(N(INDEX(Produtos!$F$5:$F$54,MATCH(D77,Produtos!$B$5:$B$54,0))),0))</f>
        <v/>
      </c>
      <c r="I77" s="24" t="str">
        <f aca="false">IF(G77="","",G77-H77)</f>
        <v/>
      </c>
      <c r="J77" s="37"/>
    </row>
    <row r="78" customFormat="false" ht="21" hidden="false" customHeight="true" outlineLevel="0" collapsed="false">
      <c r="B78" s="36"/>
      <c r="C78" s="7"/>
      <c r="D78" s="7"/>
      <c r="E78" s="37"/>
      <c r="F78" s="38"/>
      <c r="G78" s="24" t="str">
        <f aca="false">IF(OR(C78="",D78="",N(E78)=0),"",E78*IF(F78="",IFERROR(N(INDEX(Produtos!$K$5:$K$54,MATCH(D78,Produtos!$B$5:$B$54,0))),0),F78))</f>
        <v/>
      </c>
      <c r="H78" s="24" t="str">
        <f aca="false">IF(G78="","",E78*IFERROR(N(INDEX(Produtos!$F$5:$F$54,MATCH(D78,Produtos!$B$5:$B$54,0))),0))</f>
        <v/>
      </c>
      <c r="I78" s="24" t="str">
        <f aca="false">IF(G78="","",G78-H78)</f>
        <v/>
      </c>
      <c r="J78" s="37"/>
    </row>
    <row r="79" customFormat="false" ht="21" hidden="false" customHeight="true" outlineLevel="0" collapsed="false">
      <c r="B79" s="36"/>
      <c r="C79" s="7"/>
      <c r="D79" s="7"/>
      <c r="E79" s="37"/>
      <c r="F79" s="38"/>
      <c r="G79" s="24" t="str">
        <f aca="false">IF(OR(C79="",D79="",N(E79)=0),"",E79*IF(F79="",IFERROR(N(INDEX(Produtos!$K$5:$K$54,MATCH(D79,Produtos!$B$5:$B$54,0))),0),F79))</f>
        <v/>
      </c>
      <c r="H79" s="24" t="str">
        <f aca="false">IF(G79="","",E79*IFERROR(N(INDEX(Produtos!$F$5:$F$54,MATCH(D79,Produtos!$B$5:$B$54,0))),0))</f>
        <v/>
      </c>
      <c r="I79" s="24" t="str">
        <f aca="false">IF(G79="","",G79-H79)</f>
        <v/>
      </c>
      <c r="J79" s="37"/>
    </row>
    <row r="80" customFormat="false" ht="21" hidden="false" customHeight="true" outlineLevel="0" collapsed="false">
      <c r="B80" s="36"/>
      <c r="C80" s="7"/>
      <c r="D80" s="7"/>
      <c r="E80" s="37"/>
      <c r="F80" s="38"/>
      <c r="G80" s="24" t="str">
        <f aca="false">IF(OR(C80="",D80="",N(E80)=0),"",E80*IF(F80="",IFERROR(N(INDEX(Produtos!$K$5:$K$54,MATCH(D80,Produtos!$B$5:$B$54,0))),0),F80))</f>
        <v/>
      </c>
      <c r="H80" s="24" t="str">
        <f aca="false">IF(G80="","",E80*IFERROR(N(INDEX(Produtos!$F$5:$F$54,MATCH(D80,Produtos!$B$5:$B$54,0))),0))</f>
        <v/>
      </c>
      <c r="I80" s="24" t="str">
        <f aca="false">IF(G80="","",G80-H80)</f>
        <v/>
      </c>
      <c r="J80" s="37"/>
    </row>
    <row r="81" customFormat="false" ht="21" hidden="false" customHeight="true" outlineLevel="0" collapsed="false">
      <c r="B81" s="36"/>
      <c r="C81" s="7"/>
      <c r="D81" s="7"/>
      <c r="E81" s="37"/>
      <c r="F81" s="38"/>
      <c r="G81" s="24" t="str">
        <f aca="false">IF(OR(C81="",D81="",N(E81)=0),"",E81*IF(F81="",IFERROR(N(INDEX(Produtos!$K$5:$K$54,MATCH(D81,Produtos!$B$5:$B$54,0))),0),F81))</f>
        <v/>
      </c>
      <c r="H81" s="24" t="str">
        <f aca="false">IF(G81="","",E81*IFERROR(N(INDEX(Produtos!$F$5:$F$54,MATCH(D81,Produtos!$B$5:$B$54,0))),0))</f>
        <v/>
      </c>
      <c r="I81" s="24" t="str">
        <f aca="false">IF(G81="","",G81-H81)</f>
        <v/>
      </c>
      <c r="J81" s="37"/>
    </row>
    <row r="82" customFormat="false" ht="21" hidden="false" customHeight="true" outlineLevel="0" collapsed="false">
      <c r="B82" s="36"/>
      <c r="C82" s="7"/>
      <c r="D82" s="7"/>
      <c r="E82" s="37"/>
      <c r="F82" s="38"/>
      <c r="G82" s="24" t="str">
        <f aca="false">IF(OR(C82="",D82="",N(E82)=0),"",E82*IF(F82="",IFERROR(N(INDEX(Produtos!$K$5:$K$54,MATCH(D82,Produtos!$B$5:$B$54,0))),0),F82))</f>
        <v/>
      </c>
      <c r="H82" s="24" t="str">
        <f aca="false">IF(G82="","",E82*IFERROR(N(INDEX(Produtos!$F$5:$F$54,MATCH(D82,Produtos!$B$5:$B$54,0))),0))</f>
        <v/>
      </c>
      <c r="I82" s="24" t="str">
        <f aca="false">IF(G82="","",G82-H82)</f>
        <v/>
      </c>
      <c r="J82" s="37"/>
    </row>
    <row r="83" customFormat="false" ht="21" hidden="false" customHeight="true" outlineLevel="0" collapsed="false">
      <c r="B83" s="36"/>
      <c r="C83" s="7"/>
      <c r="D83" s="7"/>
      <c r="E83" s="37"/>
      <c r="F83" s="38"/>
      <c r="G83" s="24" t="str">
        <f aca="false">IF(OR(C83="",D83="",N(E83)=0),"",E83*IF(F83="",IFERROR(N(INDEX(Produtos!$K$5:$K$54,MATCH(D83,Produtos!$B$5:$B$54,0))),0),F83))</f>
        <v/>
      </c>
      <c r="H83" s="24" t="str">
        <f aca="false">IF(G83="","",E83*IFERROR(N(INDEX(Produtos!$F$5:$F$54,MATCH(D83,Produtos!$B$5:$B$54,0))),0))</f>
        <v/>
      </c>
      <c r="I83" s="24" t="str">
        <f aca="false">IF(G83="","",G83-H83)</f>
        <v/>
      </c>
      <c r="J83" s="37"/>
    </row>
    <row r="84" customFormat="false" ht="21" hidden="false" customHeight="true" outlineLevel="0" collapsed="false">
      <c r="B84" s="36"/>
      <c r="C84" s="7"/>
      <c r="D84" s="7"/>
      <c r="E84" s="37"/>
      <c r="F84" s="38"/>
      <c r="G84" s="24" t="str">
        <f aca="false">IF(OR(C84="",D84="",N(E84)=0),"",E84*IF(F84="",IFERROR(N(INDEX(Produtos!$K$5:$K$54,MATCH(D84,Produtos!$B$5:$B$54,0))),0),F84))</f>
        <v/>
      </c>
      <c r="H84" s="24" t="str">
        <f aca="false">IF(G84="","",E84*IFERROR(N(INDEX(Produtos!$F$5:$F$54,MATCH(D84,Produtos!$B$5:$B$54,0))),0))</f>
        <v/>
      </c>
      <c r="I84" s="24" t="str">
        <f aca="false">IF(G84="","",G84-H84)</f>
        <v/>
      </c>
      <c r="J84" s="37"/>
    </row>
    <row r="85" customFormat="false" ht="21" hidden="false" customHeight="true" outlineLevel="0" collapsed="false">
      <c r="B85" s="36"/>
      <c r="C85" s="7"/>
      <c r="D85" s="7"/>
      <c r="E85" s="37"/>
      <c r="F85" s="38"/>
      <c r="G85" s="24" t="str">
        <f aca="false">IF(OR(C85="",D85="",N(E85)=0),"",E85*IF(F85="",IFERROR(N(INDEX(Produtos!$K$5:$K$54,MATCH(D85,Produtos!$B$5:$B$54,0))),0),F85))</f>
        <v/>
      </c>
      <c r="H85" s="24" t="str">
        <f aca="false">IF(G85="","",E85*IFERROR(N(INDEX(Produtos!$F$5:$F$54,MATCH(D85,Produtos!$B$5:$B$54,0))),0))</f>
        <v/>
      </c>
      <c r="I85" s="24" t="str">
        <f aca="false">IF(G85="","",G85-H85)</f>
        <v/>
      </c>
      <c r="J85" s="37"/>
    </row>
    <row r="86" customFormat="false" ht="21" hidden="false" customHeight="true" outlineLevel="0" collapsed="false">
      <c r="B86" s="36"/>
      <c r="C86" s="7"/>
      <c r="D86" s="7"/>
      <c r="E86" s="37"/>
      <c r="F86" s="38"/>
      <c r="G86" s="24" t="str">
        <f aca="false">IF(OR(C86="",D86="",N(E86)=0),"",E86*IF(F86="",IFERROR(N(INDEX(Produtos!$K$5:$K$54,MATCH(D86,Produtos!$B$5:$B$54,0))),0),F86))</f>
        <v/>
      </c>
      <c r="H86" s="24" t="str">
        <f aca="false">IF(G86="","",E86*IFERROR(N(INDEX(Produtos!$F$5:$F$54,MATCH(D86,Produtos!$B$5:$B$54,0))),0))</f>
        <v/>
      </c>
      <c r="I86" s="24" t="str">
        <f aca="false">IF(G86="","",G86-H86)</f>
        <v/>
      </c>
      <c r="J86" s="37"/>
    </row>
    <row r="87" customFormat="false" ht="21" hidden="false" customHeight="true" outlineLevel="0" collapsed="false">
      <c r="B87" s="36"/>
      <c r="C87" s="7"/>
      <c r="D87" s="7"/>
      <c r="E87" s="37"/>
      <c r="F87" s="38"/>
      <c r="G87" s="24" t="str">
        <f aca="false">IF(OR(C87="",D87="",N(E87)=0),"",E87*IF(F87="",IFERROR(N(INDEX(Produtos!$K$5:$K$54,MATCH(D87,Produtos!$B$5:$B$54,0))),0),F87))</f>
        <v/>
      </c>
      <c r="H87" s="24" t="str">
        <f aca="false">IF(G87="","",E87*IFERROR(N(INDEX(Produtos!$F$5:$F$54,MATCH(D87,Produtos!$B$5:$B$54,0))),0))</f>
        <v/>
      </c>
      <c r="I87" s="24" t="str">
        <f aca="false">IF(G87="","",G87-H87)</f>
        <v/>
      </c>
      <c r="J87" s="37"/>
    </row>
    <row r="88" customFormat="false" ht="21" hidden="false" customHeight="true" outlineLevel="0" collapsed="false">
      <c r="B88" s="36"/>
      <c r="C88" s="7"/>
      <c r="D88" s="7"/>
      <c r="E88" s="37"/>
      <c r="F88" s="38"/>
      <c r="G88" s="24" t="str">
        <f aca="false">IF(OR(C88="",D88="",N(E88)=0),"",E88*IF(F88="",IFERROR(N(INDEX(Produtos!$K$5:$K$54,MATCH(D88,Produtos!$B$5:$B$54,0))),0),F88))</f>
        <v/>
      </c>
      <c r="H88" s="24" t="str">
        <f aca="false">IF(G88="","",E88*IFERROR(N(INDEX(Produtos!$F$5:$F$54,MATCH(D88,Produtos!$B$5:$B$54,0))),0))</f>
        <v/>
      </c>
      <c r="I88" s="24" t="str">
        <f aca="false">IF(G88="","",G88-H88)</f>
        <v/>
      </c>
      <c r="J88" s="37"/>
    </row>
    <row r="89" customFormat="false" ht="21" hidden="false" customHeight="true" outlineLevel="0" collapsed="false">
      <c r="B89" s="36"/>
      <c r="C89" s="7"/>
      <c r="D89" s="7"/>
      <c r="E89" s="37"/>
      <c r="F89" s="38"/>
      <c r="G89" s="24" t="str">
        <f aca="false">IF(OR(C89="",D89="",N(E89)=0),"",E89*IF(F89="",IFERROR(N(INDEX(Produtos!$K$5:$K$54,MATCH(D89,Produtos!$B$5:$B$54,0))),0),F89))</f>
        <v/>
      </c>
      <c r="H89" s="24" t="str">
        <f aca="false">IF(G89="","",E89*IFERROR(N(INDEX(Produtos!$F$5:$F$54,MATCH(D89,Produtos!$B$5:$B$54,0))),0))</f>
        <v/>
      </c>
      <c r="I89" s="24" t="str">
        <f aca="false">IF(G89="","",G89-H89)</f>
        <v/>
      </c>
      <c r="J89" s="37"/>
    </row>
    <row r="90" customFormat="false" ht="21" hidden="false" customHeight="true" outlineLevel="0" collapsed="false">
      <c r="B90" s="36"/>
      <c r="C90" s="7"/>
      <c r="D90" s="7"/>
      <c r="E90" s="37"/>
      <c r="F90" s="38"/>
      <c r="G90" s="24" t="str">
        <f aca="false">IF(OR(C90="",D90="",N(E90)=0),"",E90*IF(F90="",IFERROR(N(INDEX(Produtos!$K$5:$K$54,MATCH(D90,Produtos!$B$5:$B$54,0))),0),F90))</f>
        <v/>
      </c>
      <c r="H90" s="24" t="str">
        <f aca="false">IF(G90="","",E90*IFERROR(N(INDEX(Produtos!$F$5:$F$54,MATCH(D90,Produtos!$B$5:$B$54,0))),0))</f>
        <v/>
      </c>
      <c r="I90" s="24" t="str">
        <f aca="false">IF(G90="","",G90-H90)</f>
        <v/>
      </c>
      <c r="J90" s="37"/>
    </row>
    <row r="91" customFormat="false" ht="21" hidden="false" customHeight="true" outlineLevel="0" collapsed="false">
      <c r="B91" s="36"/>
      <c r="C91" s="7"/>
      <c r="D91" s="7"/>
      <c r="E91" s="37"/>
      <c r="F91" s="38"/>
      <c r="G91" s="24" t="str">
        <f aca="false">IF(OR(C91="",D91="",N(E91)=0),"",E91*IF(F91="",IFERROR(N(INDEX(Produtos!$K$5:$K$54,MATCH(D91,Produtos!$B$5:$B$54,0))),0),F91))</f>
        <v/>
      </c>
      <c r="H91" s="24" t="str">
        <f aca="false">IF(G91="","",E91*IFERROR(N(INDEX(Produtos!$F$5:$F$54,MATCH(D91,Produtos!$B$5:$B$54,0))),0))</f>
        <v/>
      </c>
      <c r="I91" s="24" t="str">
        <f aca="false">IF(G91="","",G91-H91)</f>
        <v/>
      </c>
      <c r="J91" s="37"/>
    </row>
    <row r="92" customFormat="false" ht="21" hidden="false" customHeight="true" outlineLevel="0" collapsed="false">
      <c r="B92" s="36"/>
      <c r="C92" s="7"/>
      <c r="D92" s="7"/>
      <c r="E92" s="37"/>
      <c r="F92" s="38"/>
      <c r="G92" s="24" t="str">
        <f aca="false">IF(OR(C92="",D92="",N(E92)=0),"",E92*IF(F92="",IFERROR(N(INDEX(Produtos!$K$5:$K$54,MATCH(D92,Produtos!$B$5:$B$54,0))),0),F92))</f>
        <v/>
      </c>
      <c r="H92" s="24" t="str">
        <f aca="false">IF(G92="","",E92*IFERROR(N(INDEX(Produtos!$F$5:$F$54,MATCH(D92,Produtos!$B$5:$B$54,0))),0))</f>
        <v/>
      </c>
      <c r="I92" s="24" t="str">
        <f aca="false">IF(G92="","",G92-H92)</f>
        <v/>
      </c>
      <c r="J92" s="37"/>
    </row>
    <row r="93" customFormat="false" ht="21" hidden="false" customHeight="true" outlineLevel="0" collapsed="false">
      <c r="B93" s="36"/>
      <c r="C93" s="7"/>
      <c r="D93" s="7"/>
      <c r="E93" s="37"/>
      <c r="F93" s="38"/>
      <c r="G93" s="24" t="str">
        <f aca="false">IF(OR(C93="",D93="",N(E93)=0),"",E93*IF(F93="",IFERROR(N(INDEX(Produtos!$K$5:$K$54,MATCH(D93,Produtos!$B$5:$B$54,0))),0),F93))</f>
        <v/>
      </c>
      <c r="H93" s="24" t="str">
        <f aca="false">IF(G93="","",E93*IFERROR(N(INDEX(Produtos!$F$5:$F$54,MATCH(D93,Produtos!$B$5:$B$54,0))),0))</f>
        <v/>
      </c>
      <c r="I93" s="24" t="str">
        <f aca="false">IF(G93="","",G93-H93)</f>
        <v/>
      </c>
      <c r="J93" s="37"/>
    </row>
    <row r="94" customFormat="false" ht="21" hidden="false" customHeight="true" outlineLevel="0" collapsed="false">
      <c r="B94" s="36"/>
      <c r="C94" s="7"/>
      <c r="D94" s="7"/>
      <c r="E94" s="37"/>
      <c r="F94" s="38"/>
      <c r="G94" s="24" t="str">
        <f aca="false">IF(OR(C94="",D94="",N(E94)=0),"",E94*IF(F94="",IFERROR(N(INDEX(Produtos!$K$5:$K$54,MATCH(D94,Produtos!$B$5:$B$54,0))),0),F94))</f>
        <v/>
      </c>
      <c r="H94" s="24" t="str">
        <f aca="false">IF(G94="","",E94*IFERROR(N(INDEX(Produtos!$F$5:$F$54,MATCH(D94,Produtos!$B$5:$B$54,0))),0))</f>
        <v/>
      </c>
      <c r="I94" s="24" t="str">
        <f aca="false">IF(G94="","",G94-H94)</f>
        <v/>
      </c>
      <c r="J94" s="37"/>
    </row>
    <row r="95" customFormat="false" ht="21" hidden="false" customHeight="true" outlineLevel="0" collapsed="false">
      <c r="B95" s="36"/>
      <c r="C95" s="7"/>
      <c r="D95" s="7"/>
      <c r="E95" s="37"/>
      <c r="F95" s="38"/>
      <c r="G95" s="24" t="str">
        <f aca="false">IF(OR(C95="",D95="",N(E95)=0),"",E95*IF(F95="",IFERROR(N(INDEX(Produtos!$K$5:$K$54,MATCH(D95,Produtos!$B$5:$B$54,0))),0),F95))</f>
        <v/>
      </c>
      <c r="H95" s="24" t="str">
        <f aca="false">IF(G95="","",E95*IFERROR(N(INDEX(Produtos!$F$5:$F$54,MATCH(D95,Produtos!$B$5:$B$54,0))),0))</f>
        <v/>
      </c>
      <c r="I95" s="24" t="str">
        <f aca="false">IF(G95="","",G95-H95)</f>
        <v/>
      </c>
      <c r="J95" s="37"/>
    </row>
    <row r="96" customFormat="false" ht="21" hidden="false" customHeight="true" outlineLevel="0" collapsed="false">
      <c r="B96" s="36"/>
      <c r="C96" s="7"/>
      <c r="D96" s="7"/>
      <c r="E96" s="37"/>
      <c r="F96" s="38"/>
      <c r="G96" s="24" t="str">
        <f aca="false">IF(OR(C96="",D96="",N(E96)=0),"",E96*IF(F96="",IFERROR(N(INDEX(Produtos!$K$5:$K$54,MATCH(D96,Produtos!$B$5:$B$54,0))),0),F96))</f>
        <v/>
      </c>
      <c r="H96" s="24" t="str">
        <f aca="false">IF(G96="","",E96*IFERROR(N(INDEX(Produtos!$F$5:$F$54,MATCH(D96,Produtos!$B$5:$B$54,0))),0))</f>
        <v/>
      </c>
      <c r="I96" s="24" t="str">
        <f aca="false">IF(G96="","",G96-H96)</f>
        <v/>
      </c>
      <c r="J96" s="37"/>
    </row>
    <row r="97" customFormat="false" ht="21" hidden="false" customHeight="true" outlineLevel="0" collapsed="false">
      <c r="B97" s="36"/>
      <c r="C97" s="7"/>
      <c r="D97" s="7"/>
      <c r="E97" s="37"/>
      <c r="F97" s="38"/>
      <c r="G97" s="24" t="str">
        <f aca="false">IF(OR(C97="",D97="",N(E97)=0),"",E97*IF(F97="",IFERROR(N(INDEX(Produtos!$K$5:$K$54,MATCH(D97,Produtos!$B$5:$B$54,0))),0),F97))</f>
        <v/>
      </c>
      <c r="H97" s="24" t="str">
        <f aca="false">IF(G97="","",E97*IFERROR(N(INDEX(Produtos!$F$5:$F$54,MATCH(D97,Produtos!$B$5:$B$54,0))),0))</f>
        <v/>
      </c>
      <c r="I97" s="24" t="str">
        <f aca="false">IF(G97="","",G97-H97)</f>
        <v/>
      </c>
      <c r="J97" s="37"/>
    </row>
    <row r="98" customFormat="false" ht="21" hidden="false" customHeight="true" outlineLevel="0" collapsed="false">
      <c r="B98" s="36"/>
      <c r="C98" s="7"/>
      <c r="D98" s="7"/>
      <c r="E98" s="37"/>
      <c r="F98" s="38"/>
      <c r="G98" s="24" t="str">
        <f aca="false">IF(OR(C98="",D98="",N(E98)=0),"",E98*IF(F98="",IFERROR(N(INDEX(Produtos!$K$5:$K$54,MATCH(D98,Produtos!$B$5:$B$54,0))),0),F98))</f>
        <v/>
      </c>
      <c r="H98" s="24" t="str">
        <f aca="false">IF(G98="","",E98*IFERROR(N(INDEX(Produtos!$F$5:$F$54,MATCH(D98,Produtos!$B$5:$B$54,0))),0))</f>
        <v/>
      </c>
      <c r="I98" s="24" t="str">
        <f aca="false">IF(G98="","",G98-H98)</f>
        <v/>
      </c>
      <c r="J98" s="37"/>
    </row>
    <row r="99" customFormat="false" ht="21" hidden="false" customHeight="true" outlineLevel="0" collapsed="false">
      <c r="B99" s="36"/>
      <c r="C99" s="7"/>
      <c r="D99" s="7"/>
      <c r="E99" s="37"/>
      <c r="F99" s="38"/>
      <c r="G99" s="24" t="str">
        <f aca="false">IF(OR(C99="",D99="",N(E99)=0),"",E99*IF(F99="",IFERROR(N(INDEX(Produtos!$K$5:$K$54,MATCH(D99,Produtos!$B$5:$B$54,0))),0),F99))</f>
        <v/>
      </c>
      <c r="H99" s="24" t="str">
        <f aca="false">IF(G99="","",E99*IFERROR(N(INDEX(Produtos!$F$5:$F$54,MATCH(D99,Produtos!$B$5:$B$54,0))),0))</f>
        <v/>
      </c>
      <c r="I99" s="24" t="str">
        <f aca="false">IF(G99="","",G99-H99)</f>
        <v/>
      </c>
      <c r="J99" s="37"/>
    </row>
    <row r="100" customFormat="false" ht="21" hidden="false" customHeight="true" outlineLevel="0" collapsed="false">
      <c r="B100" s="36"/>
      <c r="C100" s="7"/>
      <c r="D100" s="7"/>
      <c r="E100" s="37"/>
      <c r="F100" s="38"/>
      <c r="G100" s="24" t="str">
        <f aca="false">IF(OR(C100="",D100="",N(E100)=0),"",E100*IF(F100="",IFERROR(N(INDEX(Produtos!$K$5:$K$54,MATCH(D100,Produtos!$B$5:$B$54,0))),0),F100))</f>
        <v/>
      </c>
      <c r="H100" s="24" t="str">
        <f aca="false">IF(G100="","",E100*IFERROR(N(INDEX(Produtos!$F$5:$F$54,MATCH(D100,Produtos!$B$5:$B$54,0))),0))</f>
        <v/>
      </c>
      <c r="I100" s="24" t="str">
        <f aca="false">IF(G100="","",G100-H100)</f>
        <v/>
      </c>
      <c r="J100" s="37"/>
    </row>
    <row r="101" customFormat="false" ht="21" hidden="false" customHeight="true" outlineLevel="0" collapsed="false">
      <c r="B101" s="36"/>
      <c r="C101" s="7"/>
      <c r="D101" s="7"/>
      <c r="E101" s="37"/>
      <c r="F101" s="38"/>
      <c r="G101" s="24" t="str">
        <f aca="false">IF(OR(C101="",D101="",N(E101)=0),"",E101*IF(F101="",IFERROR(N(INDEX(Produtos!$K$5:$K$54,MATCH(D101,Produtos!$B$5:$B$54,0))),0),F101))</f>
        <v/>
      </c>
      <c r="H101" s="24" t="str">
        <f aca="false">IF(G101="","",E101*IFERROR(N(INDEX(Produtos!$F$5:$F$54,MATCH(D101,Produtos!$B$5:$B$54,0))),0))</f>
        <v/>
      </c>
      <c r="I101" s="24" t="str">
        <f aca="false">IF(G101="","",G101-H101)</f>
        <v/>
      </c>
      <c r="J101" s="37"/>
    </row>
    <row r="102" customFormat="false" ht="21" hidden="false" customHeight="true" outlineLevel="0" collapsed="false">
      <c r="B102" s="36"/>
      <c r="C102" s="7"/>
      <c r="D102" s="7"/>
      <c r="E102" s="37"/>
      <c r="F102" s="38"/>
      <c r="G102" s="24" t="str">
        <f aca="false">IF(OR(C102="",D102="",N(E102)=0),"",E102*IF(F102="",IFERROR(N(INDEX(Produtos!$K$5:$K$54,MATCH(D102,Produtos!$B$5:$B$54,0))),0),F102))</f>
        <v/>
      </c>
      <c r="H102" s="24" t="str">
        <f aca="false">IF(G102="","",E102*IFERROR(N(INDEX(Produtos!$F$5:$F$54,MATCH(D102,Produtos!$B$5:$B$54,0))),0))</f>
        <v/>
      </c>
      <c r="I102" s="24" t="str">
        <f aca="false">IF(G102="","",G102-H102)</f>
        <v/>
      </c>
      <c r="J102" s="37"/>
    </row>
    <row r="103" customFormat="false" ht="21" hidden="false" customHeight="true" outlineLevel="0" collapsed="false">
      <c r="B103" s="36"/>
      <c r="C103" s="7"/>
      <c r="D103" s="7"/>
      <c r="E103" s="37"/>
      <c r="F103" s="38"/>
      <c r="G103" s="24" t="str">
        <f aca="false">IF(OR(C103="",D103="",N(E103)=0),"",E103*IF(F103="",IFERROR(N(INDEX(Produtos!$K$5:$K$54,MATCH(D103,Produtos!$B$5:$B$54,0))),0),F103))</f>
        <v/>
      </c>
      <c r="H103" s="24" t="str">
        <f aca="false">IF(G103="","",E103*IFERROR(N(INDEX(Produtos!$F$5:$F$54,MATCH(D103,Produtos!$B$5:$B$54,0))),0))</f>
        <v/>
      </c>
      <c r="I103" s="24" t="str">
        <f aca="false">IF(G103="","",G103-H103)</f>
        <v/>
      </c>
      <c r="J103" s="37"/>
    </row>
    <row r="104" customFormat="false" ht="21" hidden="false" customHeight="true" outlineLevel="0" collapsed="false">
      <c r="B104" s="36"/>
      <c r="C104" s="7"/>
      <c r="D104" s="7"/>
      <c r="E104" s="37"/>
      <c r="F104" s="38"/>
      <c r="G104" s="24" t="str">
        <f aca="false">IF(OR(C104="",D104="",N(E104)=0),"",E104*IF(F104="",IFERROR(N(INDEX(Produtos!$K$5:$K$54,MATCH(D104,Produtos!$B$5:$B$54,0))),0),F104))</f>
        <v/>
      </c>
      <c r="H104" s="24" t="str">
        <f aca="false">IF(G104="","",E104*IFERROR(N(INDEX(Produtos!$F$5:$F$54,MATCH(D104,Produtos!$B$5:$B$54,0))),0))</f>
        <v/>
      </c>
      <c r="I104" s="24" t="str">
        <f aca="false">IF(G104="","",G104-H104)</f>
        <v/>
      </c>
      <c r="J104" s="37"/>
    </row>
    <row r="105" customFormat="false" ht="21" hidden="false" customHeight="true" outlineLevel="0" collapsed="false">
      <c r="B105" s="36"/>
      <c r="C105" s="7"/>
      <c r="D105" s="7"/>
      <c r="E105" s="37"/>
      <c r="F105" s="38"/>
      <c r="G105" s="24" t="str">
        <f aca="false">IF(OR(C105="",D105="",N(E105)=0),"",E105*IF(F105="",IFERROR(N(INDEX(Produtos!$K$5:$K$54,MATCH(D105,Produtos!$B$5:$B$54,0))),0),F105))</f>
        <v/>
      </c>
      <c r="H105" s="24" t="str">
        <f aca="false">IF(G105="","",E105*IFERROR(N(INDEX(Produtos!$F$5:$F$54,MATCH(D105,Produtos!$B$5:$B$54,0))),0))</f>
        <v/>
      </c>
      <c r="I105" s="24" t="str">
        <f aca="false">IF(G105="","",G105-H105)</f>
        <v/>
      </c>
      <c r="J105" s="37"/>
    </row>
    <row r="106" customFormat="false" ht="21" hidden="false" customHeight="true" outlineLevel="0" collapsed="false">
      <c r="B106" s="36"/>
      <c r="C106" s="7"/>
      <c r="D106" s="7"/>
      <c r="E106" s="37"/>
      <c r="F106" s="38"/>
      <c r="G106" s="24" t="str">
        <f aca="false">IF(OR(C106="",D106="",N(E106)=0),"",E106*IF(F106="",IFERROR(N(INDEX(Produtos!$K$5:$K$54,MATCH(D106,Produtos!$B$5:$B$54,0))),0),F106))</f>
        <v/>
      </c>
      <c r="H106" s="24" t="str">
        <f aca="false">IF(G106="","",E106*IFERROR(N(INDEX(Produtos!$F$5:$F$54,MATCH(D106,Produtos!$B$5:$B$54,0))),0))</f>
        <v/>
      </c>
      <c r="I106" s="24" t="str">
        <f aca="false">IF(G106="","",G106-H106)</f>
        <v/>
      </c>
      <c r="J106" s="37"/>
    </row>
    <row r="107" customFormat="false" ht="21" hidden="false" customHeight="true" outlineLevel="0" collapsed="false">
      <c r="B107" s="36"/>
      <c r="C107" s="7"/>
      <c r="D107" s="7"/>
      <c r="E107" s="37"/>
      <c r="F107" s="38"/>
      <c r="G107" s="24" t="str">
        <f aca="false">IF(OR(C107="",D107="",N(E107)=0),"",E107*IF(F107="",IFERROR(N(INDEX(Produtos!$K$5:$K$54,MATCH(D107,Produtos!$B$5:$B$54,0))),0),F107))</f>
        <v/>
      </c>
      <c r="H107" s="24" t="str">
        <f aca="false">IF(G107="","",E107*IFERROR(N(INDEX(Produtos!$F$5:$F$54,MATCH(D107,Produtos!$B$5:$B$54,0))),0))</f>
        <v/>
      </c>
      <c r="I107" s="24" t="str">
        <f aca="false">IF(G107="","",G107-H107)</f>
        <v/>
      </c>
      <c r="J107" s="37"/>
    </row>
    <row r="108" customFormat="false" ht="21" hidden="false" customHeight="true" outlineLevel="0" collapsed="false">
      <c r="B108" s="36"/>
      <c r="C108" s="7"/>
      <c r="D108" s="7"/>
      <c r="E108" s="37"/>
      <c r="F108" s="38"/>
      <c r="G108" s="24" t="str">
        <f aca="false">IF(OR(C108="",D108="",N(E108)=0),"",E108*IF(F108="",IFERROR(N(INDEX(Produtos!$K$5:$K$54,MATCH(D108,Produtos!$B$5:$B$54,0))),0),F108))</f>
        <v/>
      </c>
      <c r="H108" s="24" t="str">
        <f aca="false">IF(G108="","",E108*IFERROR(N(INDEX(Produtos!$F$5:$F$54,MATCH(D108,Produtos!$B$5:$B$54,0))),0))</f>
        <v/>
      </c>
      <c r="I108" s="24" t="str">
        <f aca="false">IF(G108="","",G108-H108)</f>
        <v/>
      </c>
      <c r="J108" s="37"/>
    </row>
    <row r="109" customFormat="false" ht="21" hidden="false" customHeight="true" outlineLevel="0" collapsed="false">
      <c r="B109" s="36"/>
      <c r="C109" s="7"/>
      <c r="D109" s="7"/>
      <c r="E109" s="37"/>
      <c r="F109" s="38"/>
      <c r="G109" s="24" t="str">
        <f aca="false">IF(OR(C109="",D109="",N(E109)=0),"",E109*IF(F109="",IFERROR(N(INDEX(Produtos!$K$5:$K$54,MATCH(D109,Produtos!$B$5:$B$54,0))),0),F109))</f>
        <v/>
      </c>
      <c r="H109" s="24" t="str">
        <f aca="false">IF(G109="","",E109*IFERROR(N(INDEX(Produtos!$F$5:$F$54,MATCH(D109,Produtos!$B$5:$B$54,0))),0))</f>
        <v/>
      </c>
      <c r="I109" s="24" t="str">
        <f aca="false">IF(G109="","",G109-H109)</f>
        <v/>
      </c>
      <c r="J109" s="37"/>
    </row>
    <row r="110" customFormat="false" ht="21" hidden="false" customHeight="true" outlineLevel="0" collapsed="false">
      <c r="B110" s="36"/>
      <c r="C110" s="7"/>
      <c r="D110" s="7"/>
      <c r="E110" s="37"/>
      <c r="F110" s="38"/>
      <c r="G110" s="24" t="str">
        <f aca="false">IF(OR(C110="",D110="",N(E110)=0),"",E110*IF(F110="",IFERROR(N(INDEX(Produtos!$K$5:$K$54,MATCH(D110,Produtos!$B$5:$B$54,0))),0),F110))</f>
        <v/>
      </c>
      <c r="H110" s="24" t="str">
        <f aca="false">IF(G110="","",E110*IFERROR(N(INDEX(Produtos!$F$5:$F$54,MATCH(D110,Produtos!$B$5:$B$54,0))),0))</f>
        <v/>
      </c>
      <c r="I110" s="24" t="str">
        <f aca="false">IF(G110="","",G110-H110)</f>
        <v/>
      </c>
      <c r="J110" s="37"/>
    </row>
    <row r="111" customFormat="false" ht="21" hidden="false" customHeight="true" outlineLevel="0" collapsed="false">
      <c r="B111" s="36"/>
      <c r="C111" s="7"/>
      <c r="D111" s="7"/>
      <c r="E111" s="37"/>
      <c r="F111" s="38"/>
      <c r="G111" s="24" t="str">
        <f aca="false">IF(OR(C111="",D111="",N(E111)=0),"",E111*IF(F111="",IFERROR(N(INDEX(Produtos!$K$5:$K$54,MATCH(D111,Produtos!$B$5:$B$54,0))),0),F111))</f>
        <v/>
      </c>
      <c r="H111" s="24" t="str">
        <f aca="false">IF(G111="","",E111*IFERROR(N(INDEX(Produtos!$F$5:$F$54,MATCH(D111,Produtos!$B$5:$B$54,0))),0))</f>
        <v/>
      </c>
      <c r="I111" s="24" t="str">
        <f aca="false">IF(G111="","",G111-H111)</f>
        <v/>
      </c>
      <c r="J111" s="37"/>
    </row>
    <row r="112" customFormat="false" ht="21" hidden="false" customHeight="true" outlineLevel="0" collapsed="false">
      <c r="B112" s="36"/>
      <c r="C112" s="7"/>
      <c r="D112" s="7"/>
      <c r="E112" s="37"/>
      <c r="F112" s="38"/>
      <c r="G112" s="24" t="str">
        <f aca="false">IF(OR(C112="",D112="",N(E112)=0),"",E112*IF(F112="",IFERROR(N(INDEX(Produtos!$K$5:$K$54,MATCH(D112,Produtos!$B$5:$B$54,0))),0),F112))</f>
        <v/>
      </c>
      <c r="H112" s="24" t="str">
        <f aca="false">IF(G112="","",E112*IFERROR(N(INDEX(Produtos!$F$5:$F$54,MATCH(D112,Produtos!$B$5:$B$54,0))),0))</f>
        <v/>
      </c>
      <c r="I112" s="24" t="str">
        <f aca="false">IF(G112="","",G112-H112)</f>
        <v/>
      </c>
      <c r="J112" s="37"/>
    </row>
    <row r="113" customFormat="false" ht="21" hidden="false" customHeight="true" outlineLevel="0" collapsed="false">
      <c r="B113" s="36"/>
      <c r="C113" s="7"/>
      <c r="D113" s="7"/>
      <c r="E113" s="37"/>
      <c r="F113" s="38"/>
      <c r="G113" s="24" t="str">
        <f aca="false">IF(OR(C113="",D113="",N(E113)=0),"",E113*IF(F113="",IFERROR(N(INDEX(Produtos!$K$5:$K$54,MATCH(D113,Produtos!$B$5:$B$54,0))),0),F113))</f>
        <v/>
      </c>
      <c r="H113" s="24" t="str">
        <f aca="false">IF(G113="","",E113*IFERROR(N(INDEX(Produtos!$F$5:$F$54,MATCH(D113,Produtos!$B$5:$B$54,0))),0))</f>
        <v/>
      </c>
      <c r="I113" s="24" t="str">
        <f aca="false">IF(G113="","",G113-H113)</f>
        <v/>
      </c>
      <c r="J113" s="37"/>
    </row>
    <row r="114" customFormat="false" ht="21" hidden="false" customHeight="true" outlineLevel="0" collapsed="false">
      <c r="B114" s="36"/>
      <c r="C114" s="7"/>
      <c r="D114" s="7"/>
      <c r="E114" s="37"/>
      <c r="F114" s="38"/>
      <c r="G114" s="24" t="str">
        <f aca="false">IF(OR(C114="",D114="",N(E114)=0),"",E114*IF(F114="",IFERROR(N(INDEX(Produtos!$K$5:$K$54,MATCH(D114,Produtos!$B$5:$B$54,0))),0),F114))</f>
        <v/>
      </c>
      <c r="H114" s="24" t="str">
        <f aca="false">IF(G114="","",E114*IFERROR(N(INDEX(Produtos!$F$5:$F$54,MATCH(D114,Produtos!$B$5:$B$54,0))),0))</f>
        <v/>
      </c>
      <c r="I114" s="24" t="str">
        <f aca="false">IF(G114="","",G114-H114)</f>
        <v/>
      </c>
      <c r="J114" s="37"/>
    </row>
    <row r="115" customFormat="false" ht="21" hidden="false" customHeight="true" outlineLevel="0" collapsed="false">
      <c r="B115" s="36"/>
      <c r="C115" s="7"/>
      <c r="D115" s="7"/>
      <c r="E115" s="37"/>
      <c r="F115" s="38"/>
      <c r="G115" s="24" t="str">
        <f aca="false">IF(OR(C115="",D115="",N(E115)=0),"",E115*IF(F115="",IFERROR(N(INDEX(Produtos!$K$5:$K$54,MATCH(D115,Produtos!$B$5:$B$54,0))),0),F115))</f>
        <v/>
      </c>
      <c r="H115" s="24" t="str">
        <f aca="false">IF(G115="","",E115*IFERROR(N(INDEX(Produtos!$F$5:$F$54,MATCH(D115,Produtos!$B$5:$B$54,0))),0))</f>
        <v/>
      </c>
      <c r="I115" s="24" t="str">
        <f aca="false">IF(G115="","",G115-H115)</f>
        <v/>
      </c>
      <c r="J115" s="37"/>
    </row>
    <row r="116" customFormat="false" ht="21" hidden="false" customHeight="true" outlineLevel="0" collapsed="false">
      <c r="B116" s="36"/>
      <c r="C116" s="7"/>
      <c r="D116" s="7"/>
      <c r="E116" s="37"/>
      <c r="F116" s="38"/>
      <c r="G116" s="24" t="str">
        <f aca="false">IF(OR(C116="",D116="",N(E116)=0),"",E116*IF(F116="",IFERROR(N(INDEX(Produtos!$K$5:$K$54,MATCH(D116,Produtos!$B$5:$B$54,0))),0),F116))</f>
        <v/>
      </c>
      <c r="H116" s="24" t="str">
        <f aca="false">IF(G116="","",E116*IFERROR(N(INDEX(Produtos!$F$5:$F$54,MATCH(D116,Produtos!$B$5:$B$54,0))),0))</f>
        <v/>
      </c>
      <c r="I116" s="24" t="str">
        <f aca="false">IF(G116="","",G116-H116)</f>
        <v/>
      </c>
      <c r="J116" s="37"/>
    </row>
    <row r="117" customFormat="false" ht="21" hidden="false" customHeight="true" outlineLevel="0" collapsed="false">
      <c r="B117" s="36"/>
      <c r="C117" s="7"/>
      <c r="D117" s="7"/>
      <c r="E117" s="37"/>
      <c r="F117" s="38"/>
      <c r="G117" s="24" t="str">
        <f aca="false">IF(OR(C117="",D117="",N(E117)=0),"",E117*IF(F117="",IFERROR(N(INDEX(Produtos!$K$5:$K$54,MATCH(D117,Produtos!$B$5:$B$54,0))),0),F117))</f>
        <v/>
      </c>
      <c r="H117" s="24" t="str">
        <f aca="false">IF(G117="","",E117*IFERROR(N(INDEX(Produtos!$F$5:$F$54,MATCH(D117,Produtos!$B$5:$B$54,0))),0))</f>
        <v/>
      </c>
      <c r="I117" s="24" t="str">
        <f aca="false">IF(G117="","",G117-H117)</f>
        <v/>
      </c>
      <c r="J117" s="37"/>
    </row>
    <row r="118" customFormat="false" ht="21" hidden="false" customHeight="true" outlineLevel="0" collapsed="false">
      <c r="B118" s="36"/>
      <c r="C118" s="7"/>
      <c r="D118" s="7"/>
      <c r="E118" s="37"/>
      <c r="F118" s="38"/>
      <c r="G118" s="24" t="str">
        <f aca="false">IF(OR(C118="",D118="",N(E118)=0),"",E118*IF(F118="",IFERROR(N(INDEX(Produtos!$K$5:$K$54,MATCH(D118,Produtos!$B$5:$B$54,0))),0),F118))</f>
        <v/>
      </c>
      <c r="H118" s="24" t="str">
        <f aca="false">IF(G118="","",E118*IFERROR(N(INDEX(Produtos!$F$5:$F$54,MATCH(D118,Produtos!$B$5:$B$54,0))),0))</f>
        <v/>
      </c>
      <c r="I118" s="24" t="str">
        <f aca="false">IF(G118="","",G118-H118)</f>
        <v/>
      </c>
      <c r="J118" s="37"/>
    </row>
    <row r="119" customFormat="false" ht="21" hidden="false" customHeight="true" outlineLevel="0" collapsed="false">
      <c r="B119" s="36"/>
      <c r="C119" s="7"/>
      <c r="D119" s="7"/>
      <c r="E119" s="37"/>
      <c r="F119" s="38"/>
      <c r="G119" s="24" t="str">
        <f aca="false">IF(OR(C119="",D119="",N(E119)=0),"",E119*IF(F119="",IFERROR(N(INDEX(Produtos!$K$5:$K$54,MATCH(D119,Produtos!$B$5:$B$54,0))),0),F119))</f>
        <v/>
      </c>
      <c r="H119" s="24" t="str">
        <f aca="false">IF(G119="","",E119*IFERROR(N(INDEX(Produtos!$F$5:$F$54,MATCH(D119,Produtos!$B$5:$B$54,0))),0))</f>
        <v/>
      </c>
      <c r="I119" s="24" t="str">
        <f aca="false">IF(G119="","",G119-H119)</f>
        <v/>
      </c>
      <c r="J119" s="37"/>
    </row>
    <row r="120" customFormat="false" ht="21" hidden="false" customHeight="true" outlineLevel="0" collapsed="false">
      <c r="B120" s="36"/>
      <c r="C120" s="7"/>
      <c r="D120" s="7"/>
      <c r="E120" s="37"/>
      <c r="F120" s="38"/>
      <c r="G120" s="24" t="str">
        <f aca="false">IF(OR(C120="",D120="",N(E120)=0),"",E120*IF(F120="",IFERROR(N(INDEX(Produtos!$K$5:$K$54,MATCH(D120,Produtos!$B$5:$B$54,0))),0),F120))</f>
        <v/>
      </c>
      <c r="H120" s="24" t="str">
        <f aca="false">IF(G120="","",E120*IFERROR(N(INDEX(Produtos!$F$5:$F$54,MATCH(D120,Produtos!$B$5:$B$54,0))),0))</f>
        <v/>
      </c>
      <c r="I120" s="24" t="str">
        <f aca="false">IF(G120="","",G120-H120)</f>
        <v/>
      </c>
      <c r="J120" s="37"/>
    </row>
    <row r="121" customFormat="false" ht="21" hidden="false" customHeight="true" outlineLevel="0" collapsed="false">
      <c r="B121" s="36"/>
      <c r="C121" s="7"/>
      <c r="D121" s="7"/>
      <c r="E121" s="37"/>
      <c r="F121" s="38"/>
      <c r="G121" s="24" t="str">
        <f aca="false">IF(OR(C121="",D121="",N(E121)=0),"",E121*IF(F121="",IFERROR(N(INDEX(Produtos!$K$5:$K$54,MATCH(D121,Produtos!$B$5:$B$54,0))),0),F121))</f>
        <v/>
      </c>
      <c r="H121" s="24" t="str">
        <f aca="false">IF(G121="","",E121*IFERROR(N(INDEX(Produtos!$F$5:$F$54,MATCH(D121,Produtos!$B$5:$B$54,0))),0))</f>
        <v/>
      </c>
      <c r="I121" s="24" t="str">
        <f aca="false">IF(G121="","",G121-H121)</f>
        <v/>
      </c>
      <c r="J121" s="37"/>
    </row>
    <row r="122" customFormat="false" ht="21" hidden="false" customHeight="true" outlineLevel="0" collapsed="false">
      <c r="B122" s="36"/>
      <c r="C122" s="7"/>
      <c r="D122" s="7"/>
      <c r="E122" s="37"/>
      <c r="F122" s="38"/>
      <c r="G122" s="24" t="str">
        <f aca="false">IF(OR(C122="",D122="",N(E122)=0),"",E122*IF(F122="",IFERROR(N(INDEX(Produtos!$K$5:$K$54,MATCH(D122,Produtos!$B$5:$B$54,0))),0),F122))</f>
        <v/>
      </c>
      <c r="H122" s="24" t="str">
        <f aca="false">IF(G122="","",E122*IFERROR(N(INDEX(Produtos!$F$5:$F$54,MATCH(D122,Produtos!$B$5:$B$54,0))),0))</f>
        <v/>
      </c>
      <c r="I122" s="24" t="str">
        <f aca="false">IF(G122="","",G122-H122)</f>
        <v/>
      </c>
      <c r="J122" s="37"/>
    </row>
    <row r="123" customFormat="false" ht="21" hidden="false" customHeight="true" outlineLevel="0" collapsed="false">
      <c r="B123" s="36"/>
      <c r="C123" s="7"/>
      <c r="D123" s="7"/>
      <c r="E123" s="37"/>
      <c r="F123" s="38"/>
      <c r="G123" s="24" t="str">
        <f aca="false">IF(OR(C123="",D123="",N(E123)=0),"",E123*IF(F123="",IFERROR(N(INDEX(Produtos!$K$5:$K$54,MATCH(D123,Produtos!$B$5:$B$54,0))),0),F123))</f>
        <v/>
      </c>
      <c r="H123" s="24" t="str">
        <f aca="false">IF(G123="","",E123*IFERROR(N(INDEX(Produtos!$F$5:$F$54,MATCH(D123,Produtos!$B$5:$B$54,0))),0))</f>
        <v/>
      </c>
      <c r="I123" s="24" t="str">
        <f aca="false">IF(G123="","",G123-H123)</f>
        <v/>
      </c>
      <c r="J123" s="37"/>
    </row>
    <row r="124" customFormat="false" ht="21" hidden="false" customHeight="true" outlineLevel="0" collapsed="false">
      <c r="B124" s="36"/>
      <c r="C124" s="7"/>
      <c r="D124" s="7"/>
      <c r="E124" s="37"/>
      <c r="F124" s="38"/>
      <c r="G124" s="24" t="str">
        <f aca="false">IF(OR(C124="",D124="",N(E124)=0),"",E124*IF(F124="",IFERROR(N(INDEX(Produtos!$K$5:$K$54,MATCH(D124,Produtos!$B$5:$B$54,0))),0),F124))</f>
        <v/>
      </c>
      <c r="H124" s="24" t="str">
        <f aca="false">IF(G124="","",E124*IFERROR(N(INDEX(Produtos!$F$5:$F$54,MATCH(D124,Produtos!$B$5:$B$54,0))),0))</f>
        <v/>
      </c>
      <c r="I124" s="24" t="str">
        <f aca="false">IF(G124="","",G124-H124)</f>
        <v/>
      </c>
      <c r="J124" s="37"/>
    </row>
    <row r="125" customFormat="false" ht="21" hidden="false" customHeight="true" outlineLevel="0" collapsed="false">
      <c r="B125" s="36"/>
      <c r="C125" s="7"/>
      <c r="D125" s="7"/>
      <c r="E125" s="37"/>
      <c r="F125" s="38"/>
      <c r="G125" s="24" t="str">
        <f aca="false">IF(OR(C125="",D125="",N(E125)=0),"",E125*IF(F125="",IFERROR(N(INDEX(Produtos!$K$5:$K$54,MATCH(D125,Produtos!$B$5:$B$54,0))),0),F125))</f>
        <v/>
      </c>
      <c r="H125" s="24" t="str">
        <f aca="false">IF(G125="","",E125*IFERROR(N(INDEX(Produtos!$F$5:$F$54,MATCH(D125,Produtos!$B$5:$B$54,0))),0))</f>
        <v/>
      </c>
      <c r="I125" s="24" t="str">
        <f aca="false">IF(G125="","",G125-H125)</f>
        <v/>
      </c>
      <c r="J125" s="37"/>
    </row>
    <row r="126" customFormat="false" ht="21" hidden="false" customHeight="true" outlineLevel="0" collapsed="false">
      <c r="B126" s="36"/>
      <c r="C126" s="7"/>
      <c r="D126" s="7"/>
      <c r="E126" s="37"/>
      <c r="F126" s="38"/>
      <c r="G126" s="24" t="str">
        <f aca="false">IF(OR(C126="",D126="",N(E126)=0),"",E126*IF(F126="",IFERROR(N(INDEX(Produtos!$K$5:$K$54,MATCH(D126,Produtos!$B$5:$B$54,0))),0),F126))</f>
        <v/>
      </c>
      <c r="H126" s="24" t="str">
        <f aca="false">IF(G126="","",E126*IFERROR(N(INDEX(Produtos!$F$5:$F$54,MATCH(D126,Produtos!$B$5:$B$54,0))),0))</f>
        <v/>
      </c>
      <c r="I126" s="24" t="str">
        <f aca="false">IF(G126="","",G126-H126)</f>
        <v/>
      </c>
      <c r="J126" s="37"/>
    </row>
    <row r="127" customFormat="false" ht="21" hidden="false" customHeight="true" outlineLevel="0" collapsed="false">
      <c r="B127" s="36"/>
      <c r="C127" s="7"/>
      <c r="D127" s="7"/>
      <c r="E127" s="37"/>
      <c r="F127" s="38"/>
      <c r="G127" s="24" t="str">
        <f aca="false">IF(OR(C127="",D127="",N(E127)=0),"",E127*IF(F127="",IFERROR(N(INDEX(Produtos!$K$5:$K$54,MATCH(D127,Produtos!$B$5:$B$54,0))),0),F127))</f>
        <v/>
      </c>
      <c r="H127" s="24" t="str">
        <f aca="false">IF(G127="","",E127*IFERROR(N(INDEX(Produtos!$F$5:$F$54,MATCH(D127,Produtos!$B$5:$B$54,0))),0))</f>
        <v/>
      </c>
      <c r="I127" s="24" t="str">
        <f aca="false">IF(G127="","",G127-H127)</f>
        <v/>
      </c>
      <c r="J127" s="37"/>
    </row>
    <row r="128" customFormat="false" ht="21" hidden="false" customHeight="true" outlineLevel="0" collapsed="false">
      <c r="B128" s="36"/>
      <c r="C128" s="7"/>
      <c r="D128" s="7"/>
      <c r="E128" s="37"/>
      <c r="F128" s="38"/>
      <c r="G128" s="24" t="str">
        <f aca="false">IF(OR(C128="",D128="",N(E128)=0),"",E128*IF(F128="",IFERROR(N(INDEX(Produtos!$K$5:$K$54,MATCH(D128,Produtos!$B$5:$B$54,0))),0),F128))</f>
        <v/>
      </c>
      <c r="H128" s="24" t="str">
        <f aca="false">IF(G128="","",E128*IFERROR(N(INDEX(Produtos!$F$5:$F$54,MATCH(D128,Produtos!$B$5:$B$54,0))),0))</f>
        <v/>
      </c>
      <c r="I128" s="24" t="str">
        <f aca="false">IF(G128="","",G128-H128)</f>
        <v/>
      </c>
      <c r="J128" s="37"/>
    </row>
    <row r="129" customFormat="false" ht="21" hidden="false" customHeight="true" outlineLevel="0" collapsed="false">
      <c r="B129" s="36"/>
      <c r="C129" s="7"/>
      <c r="D129" s="7"/>
      <c r="E129" s="37"/>
      <c r="F129" s="38"/>
      <c r="G129" s="24" t="str">
        <f aca="false">IF(OR(C129="",D129="",N(E129)=0),"",E129*IF(F129="",IFERROR(N(INDEX(Produtos!$K$5:$K$54,MATCH(D129,Produtos!$B$5:$B$54,0))),0),F129))</f>
        <v/>
      </c>
      <c r="H129" s="24" t="str">
        <f aca="false">IF(G129="","",E129*IFERROR(N(INDEX(Produtos!$F$5:$F$54,MATCH(D129,Produtos!$B$5:$B$54,0))),0))</f>
        <v/>
      </c>
      <c r="I129" s="24" t="str">
        <f aca="false">IF(G129="","",G129-H129)</f>
        <v/>
      </c>
      <c r="J129" s="37"/>
    </row>
    <row r="130" customFormat="false" ht="21" hidden="false" customHeight="true" outlineLevel="0" collapsed="false">
      <c r="B130" s="36"/>
      <c r="C130" s="7"/>
      <c r="D130" s="7"/>
      <c r="E130" s="37"/>
      <c r="F130" s="38"/>
      <c r="G130" s="24" t="str">
        <f aca="false">IF(OR(C130="",D130="",N(E130)=0),"",E130*IF(F130="",IFERROR(N(INDEX(Produtos!$K$5:$K$54,MATCH(D130,Produtos!$B$5:$B$54,0))),0),F130))</f>
        <v/>
      </c>
      <c r="H130" s="24" t="str">
        <f aca="false">IF(G130="","",E130*IFERROR(N(INDEX(Produtos!$F$5:$F$54,MATCH(D130,Produtos!$B$5:$B$54,0))),0))</f>
        <v/>
      </c>
      <c r="I130" s="24" t="str">
        <f aca="false">IF(G130="","",G130-H130)</f>
        <v/>
      </c>
      <c r="J130" s="37"/>
    </row>
    <row r="131" customFormat="false" ht="21" hidden="false" customHeight="true" outlineLevel="0" collapsed="false">
      <c r="B131" s="36"/>
      <c r="C131" s="7"/>
      <c r="D131" s="7"/>
      <c r="E131" s="37"/>
      <c r="F131" s="38"/>
      <c r="G131" s="24" t="str">
        <f aca="false">IF(OR(C131="",D131="",N(E131)=0),"",E131*IF(F131="",IFERROR(N(INDEX(Produtos!$K$5:$K$54,MATCH(D131,Produtos!$B$5:$B$54,0))),0),F131))</f>
        <v/>
      </c>
      <c r="H131" s="24" t="str">
        <f aca="false">IF(G131="","",E131*IFERROR(N(INDEX(Produtos!$F$5:$F$54,MATCH(D131,Produtos!$B$5:$B$54,0))),0))</f>
        <v/>
      </c>
      <c r="I131" s="24" t="str">
        <f aca="false">IF(G131="","",G131-H131)</f>
        <v/>
      </c>
      <c r="J131" s="37"/>
    </row>
    <row r="132" customFormat="false" ht="21" hidden="false" customHeight="true" outlineLevel="0" collapsed="false">
      <c r="B132" s="36"/>
      <c r="C132" s="7"/>
      <c r="D132" s="7"/>
      <c r="E132" s="37"/>
      <c r="F132" s="38"/>
      <c r="G132" s="24" t="str">
        <f aca="false">IF(OR(C132="",D132="",N(E132)=0),"",E132*IF(F132="",IFERROR(N(INDEX(Produtos!$K$5:$K$54,MATCH(D132,Produtos!$B$5:$B$54,0))),0),F132))</f>
        <v/>
      </c>
      <c r="H132" s="24" t="str">
        <f aca="false">IF(G132="","",E132*IFERROR(N(INDEX(Produtos!$F$5:$F$54,MATCH(D132,Produtos!$B$5:$B$54,0))),0))</f>
        <v/>
      </c>
      <c r="I132" s="24" t="str">
        <f aca="false">IF(G132="","",G132-H132)</f>
        <v/>
      </c>
      <c r="J132" s="37"/>
    </row>
    <row r="133" customFormat="false" ht="21" hidden="false" customHeight="true" outlineLevel="0" collapsed="false">
      <c r="B133" s="36"/>
      <c r="C133" s="7"/>
      <c r="D133" s="7"/>
      <c r="E133" s="37"/>
      <c r="F133" s="38"/>
      <c r="G133" s="24" t="str">
        <f aca="false">IF(OR(C133="",D133="",N(E133)=0),"",E133*IF(F133="",IFERROR(N(INDEX(Produtos!$K$5:$K$54,MATCH(D133,Produtos!$B$5:$B$54,0))),0),F133))</f>
        <v/>
      </c>
      <c r="H133" s="24" t="str">
        <f aca="false">IF(G133="","",E133*IFERROR(N(INDEX(Produtos!$F$5:$F$54,MATCH(D133,Produtos!$B$5:$B$54,0))),0))</f>
        <v/>
      </c>
      <c r="I133" s="24" t="str">
        <f aca="false">IF(G133="","",G133-H133)</f>
        <v/>
      </c>
      <c r="J133" s="37"/>
    </row>
    <row r="134" customFormat="false" ht="21" hidden="false" customHeight="true" outlineLevel="0" collapsed="false">
      <c r="B134" s="36"/>
      <c r="C134" s="7"/>
      <c r="D134" s="7"/>
      <c r="E134" s="37"/>
      <c r="F134" s="38"/>
      <c r="G134" s="24" t="str">
        <f aca="false">IF(OR(C134="",D134="",N(E134)=0),"",E134*IF(F134="",IFERROR(N(INDEX(Produtos!$K$5:$K$54,MATCH(D134,Produtos!$B$5:$B$54,0))),0),F134))</f>
        <v/>
      </c>
      <c r="H134" s="24" t="str">
        <f aca="false">IF(G134="","",E134*IFERROR(N(INDEX(Produtos!$F$5:$F$54,MATCH(D134,Produtos!$B$5:$B$54,0))),0))</f>
        <v/>
      </c>
      <c r="I134" s="24" t="str">
        <f aca="false">IF(G134="","",G134-H134)</f>
        <v/>
      </c>
      <c r="J134" s="37"/>
    </row>
    <row r="135" customFormat="false" ht="21" hidden="false" customHeight="true" outlineLevel="0" collapsed="false">
      <c r="B135" s="36"/>
      <c r="C135" s="7"/>
      <c r="D135" s="7"/>
      <c r="E135" s="37"/>
      <c r="F135" s="38"/>
      <c r="G135" s="24" t="str">
        <f aca="false">IF(OR(C135="",D135="",N(E135)=0),"",E135*IF(F135="",IFERROR(N(INDEX(Produtos!$K$5:$K$54,MATCH(D135,Produtos!$B$5:$B$54,0))),0),F135))</f>
        <v/>
      </c>
      <c r="H135" s="24" t="str">
        <f aca="false">IF(G135="","",E135*IFERROR(N(INDEX(Produtos!$F$5:$F$54,MATCH(D135,Produtos!$B$5:$B$54,0))),0))</f>
        <v/>
      </c>
      <c r="I135" s="24" t="str">
        <f aca="false">IF(G135="","",G135-H135)</f>
        <v/>
      </c>
      <c r="J135" s="37"/>
    </row>
    <row r="136" customFormat="false" ht="21" hidden="false" customHeight="true" outlineLevel="0" collapsed="false">
      <c r="B136" s="36"/>
      <c r="C136" s="7"/>
      <c r="D136" s="7"/>
      <c r="E136" s="37"/>
      <c r="F136" s="38"/>
      <c r="G136" s="24" t="str">
        <f aca="false">IF(OR(C136="",D136="",N(E136)=0),"",E136*IF(F136="",IFERROR(N(INDEX(Produtos!$K$5:$K$54,MATCH(D136,Produtos!$B$5:$B$54,0))),0),F136))</f>
        <v/>
      </c>
      <c r="H136" s="24" t="str">
        <f aca="false">IF(G136="","",E136*IFERROR(N(INDEX(Produtos!$F$5:$F$54,MATCH(D136,Produtos!$B$5:$B$54,0))),0))</f>
        <v/>
      </c>
      <c r="I136" s="24" t="str">
        <f aca="false">IF(G136="","",G136-H136)</f>
        <v/>
      </c>
      <c r="J136" s="37"/>
    </row>
    <row r="137" customFormat="false" ht="21" hidden="false" customHeight="true" outlineLevel="0" collapsed="false">
      <c r="B137" s="36"/>
      <c r="C137" s="7"/>
      <c r="D137" s="7"/>
      <c r="E137" s="37"/>
      <c r="F137" s="38"/>
      <c r="G137" s="24" t="str">
        <f aca="false">IF(OR(C137="",D137="",N(E137)=0),"",E137*IF(F137="",IFERROR(N(INDEX(Produtos!$K$5:$K$54,MATCH(D137,Produtos!$B$5:$B$54,0))),0),F137))</f>
        <v/>
      </c>
      <c r="H137" s="24" t="str">
        <f aca="false">IF(G137="","",E137*IFERROR(N(INDEX(Produtos!$F$5:$F$54,MATCH(D137,Produtos!$B$5:$B$54,0))),0))</f>
        <v/>
      </c>
      <c r="I137" s="24" t="str">
        <f aca="false">IF(G137="","",G137-H137)</f>
        <v/>
      </c>
      <c r="J137" s="37"/>
    </row>
    <row r="138" customFormat="false" ht="21" hidden="false" customHeight="true" outlineLevel="0" collapsed="false">
      <c r="B138" s="36"/>
      <c r="C138" s="7"/>
      <c r="D138" s="7"/>
      <c r="E138" s="37"/>
      <c r="F138" s="38"/>
      <c r="G138" s="24" t="str">
        <f aca="false">IF(OR(C138="",D138="",N(E138)=0),"",E138*IF(F138="",IFERROR(N(INDEX(Produtos!$K$5:$K$54,MATCH(D138,Produtos!$B$5:$B$54,0))),0),F138))</f>
        <v/>
      </c>
      <c r="H138" s="24" t="str">
        <f aca="false">IF(G138="","",E138*IFERROR(N(INDEX(Produtos!$F$5:$F$54,MATCH(D138,Produtos!$B$5:$B$54,0))),0))</f>
        <v/>
      </c>
      <c r="I138" s="24" t="str">
        <f aca="false">IF(G138="","",G138-H138)</f>
        <v/>
      </c>
      <c r="J138" s="37"/>
    </row>
    <row r="139" customFormat="false" ht="21" hidden="false" customHeight="true" outlineLevel="0" collapsed="false">
      <c r="B139" s="36"/>
      <c r="C139" s="7"/>
      <c r="D139" s="7"/>
      <c r="E139" s="37"/>
      <c r="F139" s="38"/>
      <c r="G139" s="24" t="str">
        <f aca="false">IF(OR(C139="",D139="",N(E139)=0),"",E139*IF(F139="",IFERROR(N(INDEX(Produtos!$K$5:$K$54,MATCH(D139,Produtos!$B$5:$B$54,0))),0),F139))</f>
        <v/>
      </c>
      <c r="H139" s="24" t="str">
        <f aca="false">IF(G139="","",E139*IFERROR(N(INDEX(Produtos!$F$5:$F$54,MATCH(D139,Produtos!$B$5:$B$54,0))),0))</f>
        <v/>
      </c>
      <c r="I139" s="24" t="str">
        <f aca="false">IF(G139="","",G139-H139)</f>
        <v/>
      </c>
      <c r="J139" s="37"/>
    </row>
    <row r="140" customFormat="false" ht="21" hidden="false" customHeight="true" outlineLevel="0" collapsed="false">
      <c r="B140" s="36"/>
      <c r="C140" s="7"/>
      <c r="D140" s="7"/>
      <c r="E140" s="37"/>
      <c r="F140" s="38"/>
      <c r="G140" s="24" t="str">
        <f aca="false">IF(OR(C140="",D140="",N(E140)=0),"",E140*IF(F140="",IFERROR(N(INDEX(Produtos!$K$5:$K$54,MATCH(D140,Produtos!$B$5:$B$54,0))),0),F140))</f>
        <v/>
      </c>
      <c r="H140" s="24" t="str">
        <f aca="false">IF(G140="","",E140*IFERROR(N(INDEX(Produtos!$F$5:$F$54,MATCH(D140,Produtos!$B$5:$B$54,0))),0))</f>
        <v/>
      </c>
      <c r="I140" s="24" t="str">
        <f aca="false">IF(G140="","",G140-H140)</f>
        <v/>
      </c>
      <c r="J140" s="37"/>
    </row>
    <row r="141" customFormat="false" ht="21" hidden="false" customHeight="true" outlineLevel="0" collapsed="false">
      <c r="B141" s="36"/>
      <c r="C141" s="7"/>
      <c r="D141" s="7"/>
      <c r="E141" s="37"/>
      <c r="F141" s="38"/>
      <c r="G141" s="24" t="str">
        <f aca="false">IF(OR(C141="",D141="",N(E141)=0),"",E141*IF(F141="",IFERROR(N(INDEX(Produtos!$K$5:$K$54,MATCH(D141,Produtos!$B$5:$B$54,0))),0),F141))</f>
        <v/>
      </c>
      <c r="H141" s="24" t="str">
        <f aca="false">IF(G141="","",E141*IFERROR(N(INDEX(Produtos!$F$5:$F$54,MATCH(D141,Produtos!$B$5:$B$54,0))),0))</f>
        <v/>
      </c>
      <c r="I141" s="24" t="str">
        <f aca="false">IF(G141="","",G141-H141)</f>
        <v/>
      </c>
      <c r="J141" s="37"/>
    </row>
    <row r="142" customFormat="false" ht="21" hidden="false" customHeight="true" outlineLevel="0" collapsed="false">
      <c r="B142" s="36"/>
      <c r="C142" s="7"/>
      <c r="D142" s="7"/>
      <c r="E142" s="37"/>
      <c r="F142" s="38"/>
      <c r="G142" s="24" t="str">
        <f aca="false">IF(OR(C142="",D142="",N(E142)=0),"",E142*IF(F142="",IFERROR(N(INDEX(Produtos!$K$5:$K$54,MATCH(D142,Produtos!$B$5:$B$54,0))),0),F142))</f>
        <v/>
      </c>
      <c r="H142" s="24" t="str">
        <f aca="false">IF(G142="","",E142*IFERROR(N(INDEX(Produtos!$F$5:$F$54,MATCH(D142,Produtos!$B$5:$B$54,0))),0))</f>
        <v/>
      </c>
      <c r="I142" s="24" t="str">
        <f aca="false">IF(G142="","",G142-H142)</f>
        <v/>
      </c>
      <c r="J142" s="37"/>
    </row>
    <row r="143" customFormat="false" ht="21" hidden="false" customHeight="true" outlineLevel="0" collapsed="false">
      <c r="B143" s="36"/>
      <c r="C143" s="7"/>
      <c r="D143" s="7"/>
      <c r="E143" s="37"/>
      <c r="F143" s="38"/>
      <c r="G143" s="24" t="str">
        <f aca="false">IF(OR(C143="",D143="",N(E143)=0),"",E143*IF(F143="",IFERROR(N(INDEX(Produtos!$K$5:$K$54,MATCH(D143,Produtos!$B$5:$B$54,0))),0),F143))</f>
        <v/>
      </c>
      <c r="H143" s="24" t="str">
        <f aca="false">IF(G143="","",E143*IFERROR(N(INDEX(Produtos!$F$5:$F$54,MATCH(D143,Produtos!$B$5:$B$54,0))),0))</f>
        <v/>
      </c>
      <c r="I143" s="24" t="str">
        <f aca="false">IF(G143="","",G143-H143)</f>
        <v/>
      </c>
      <c r="J143" s="37"/>
    </row>
    <row r="144" customFormat="false" ht="21" hidden="false" customHeight="true" outlineLevel="0" collapsed="false">
      <c r="B144" s="36"/>
      <c r="C144" s="7"/>
      <c r="D144" s="7"/>
      <c r="E144" s="37"/>
      <c r="F144" s="38"/>
      <c r="G144" s="24" t="str">
        <f aca="false">IF(OR(C144="",D144="",N(E144)=0),"",E144*IF(F144="",IFERROR(N(INDEX(Produtos!$K$5:$K$54,MATCH(D144,Produtos!$B$5:$B$54,0))),0),F144))</f>
        <v/>
      </c>
      <c r="H144" s="24" t="str">
        <f aca="false">IF(G144="","",E144*IFERROR(N(INDEX(Produtos!$F$5:$F$54,MATCH(D144,Produtos!$B$5:$B$54,0))),0))</f>
        <v/>
      </c>
      <c r="I144" s="24" t="str">
        <f aca="false">IF(G144="","",G144-H144)</f>
        <v/>
      </c>
      <c r="J144" s="37"/>
    </row>
    <row r="145" customFormat="false" ht="21" hidden="false" customHeight="true" outlineLevel="0" collapsed="false">
      <c r="B145" s="36"/>
      <c r="C145" s="7"/>
      <c r="D145" s="7"/>
      <c r="E145" s="37"/>
      <c r="F145" s="38"/>
      <c r="G145" s="24" t="str">
        <f aca="false">IF(OR(C145="",D145="",N(E145)=0),"",E145*IF(F145="",IFERROR(N(INDEX(Produtos!$K$5:$K$54,MATCH(D145,Produtos!$B$5:$B$54,0))),0),F145))</f>
        <v/>
      </c>
      <c r="H145" s="24" t="str">
        <f aca="false">IF(G145="","",E145*IFERROR(N(INDEX(Produtos!$F$5:$F$54,MATCH(D145,Produtos!$B$5:$B$54,0))),0))</f>
        <v/>
      </c>
      <c r="I145" s="24" t="str">
        <f aca="false">IF(G145="","",G145-H145)</f>
        <v/>
      </c>
      <c r="J145" s="37"/>
    </row>
    <row r="146" customFormat="false" ht="21" hidden="false" customHeight="true" outlineLevel="0" collapsed="false">
      <c r="B146" s="36"/>
      <c r="C146" s="7"/>
      <c r="D146" s="7"/>
      <c r="E146" s="37"/>
      <c r="F146" s="38"/>
      <c r="G146" s="24" t="str">
        <f aca="false">IF(OR(C146="",D146="",N(E146)=0),"",E146*IF(F146="",IFERROR(N(INDEX(Produtos!$K$5:$K$54,MATCH(D146,Produtos!$B$5:$B$54,0))),0),F146))</f>
        <v/>
      </c>
      <c r="H146" s="24" t="str">
        <f aca="false">IF(G146="","",E146*IFERROR(N(INDEX(Produtos!$F$5:$F$54,MATCH(D146,Produtos!$B$5:$B$54,0))),0))</f>
        <v/>
      </c>
      <c r="I146" s="24" t="str">
        <f aca="false">IF(G146="","",G146-H146)</f>
        <v/>
      </c>
      <c r="J146" s="37"/>
    </row>
    <row r="147" customFormat="false" ht="21" hidden="false" customHeight="true" outlineLevel="0" collapsed="false">
      <c r="B147" s="36"/>
      <c r="C147" s="7"/>
      <c r="D147" s="7"/>
      <c r="E147" s="37"/>
      <c r="F147" s="38"/>
      <c r="G147" s="24" t="str">
        <f aca="false">IF(OR(C147="",D147="",N(E147)=0),"",E147*IF(F147="",IFERROR(N(INDEX(Produtos!$K$5:$K$54,MATCH(D147,Produtos!$B$5:$B$54,0))),0),F147))</f>
        <v/>
      </c>
      <c r="H147" s="24" t="str">
        <f aca="false">IF(G147="","",E147*IFERROR(N(INDEX(Produtos!$F$5:$F$54,MATCH(D147,Produtos!$B$5:$B$54,0))),0))</f>
        <v/>
      </c>
      <c r="I147" s="24" t="str">
        <f aca="false">IF(G147="","",G147-H147)</f>
        <v/>
      </c>
      <c r="J147" s="37"/>
    </row>
    <row r="148" customFormat="false" ht="21" hidden="false" customHeight="true" outlineLevel="0" collapsed="false">
      <c r="B148" s="36"/>
      <c r="C148" s="7"/>
      <c r="D148" s="7"/>
      <c r="E148" s="37"/>
      <c r="F148" s="38"/>
      <c r="G148" s="24" t="str">
        <f aca="false">IF(OR(C148="",D148="",N(E148)=0),"",E148*IF(F148="",IFERROR(N(INDEX(Produtos!$K$5:$K$54,MATCH(D148,Produtos!$B$5:$B$54,0))),0),F148))</f>
        <v/>
      </c>
      <c r="H148" s="24" t="str">
        <f aca="false">IF(G148="","",E148*IFERROR(N(INDEX(Produtos!$F$5:$F$54,MATCH(D148,Produtos!$B$5:$B$54,0))),0))</f>
        <v/>
      </c>
      <c r="I148" s="24" t="str">
        <f aca="false">IF(G148="","",G148-H148)</f>
        <v/>
      </c>
      <c r="J148" s="37"/>
    </row>
    <row r="149" customFormat="false" ht="21" hidden="false" customHeight="true" outlineLevel="0" collapsed="false">
      <c r="B149" s="36"/>
      <c r="C149" s="7"/>
      <c r="D149" s="7"/>
      <c r="E149" s="37"/>
      <c r="F149" s="38"/>
      <c r="G149" s="24" t="str">
        <f aca="false">IF(OR(C149="",D149="",N(E149)=0),"",E149*IF(F149="",IFERROR(N(INDEX(Produtos!$K$5:$K$54,MATCH(D149,Produtos!$B$5:$B$54,0))),0),F149))</f>
        <v/>
      </c>
      <c r="H149" s="24" t="str">
        <f aca="false">IF(G149="","",E149*IFERROR(N(INDEX(Produtos!$F$5:$F$54,MATCH(D149,Produtos!$B$5:$B$54,0))),0))</f>
        <v/>
      </c>
      <c r="I149" s="24" t="str">
        <f aca="false">IF(G149="","",G149-H149)</f>
        <v/>
      </c>
      <c r="J149" s="37"/>
    </row>
    <row r="150" customFormat="false" ht="21" hidden="false" customHeight="true" outlineLevel="0" collapsed="false">
      <c r="B150" s="36"/>
      <c r="C150" s="7"/>
      <c r="D150" s="7"/>
      <c r="E150" s="37"/>
      <c r="F150" s="38"/>
      <c r="G150" s="24" t="str">
        <f aca="false">IF(OR(C150="",D150="",N(E150)=0),"",E150*IF(F150="",IFERROR(N(INDEX(Produtos!$K$5:$K$54,MATCH(D150,Produtos!$B$5:$B$54,0))),0),F150))</f>
        <v/>
      </c>
      <c r="H150" s="24" t="str">
        <f aca="false">IF(G150="","",E150*IFERROR(N(INDEX(Produtos!$F$5:$F$54,MATCH(D150,Produtos!$B$5:$B$54,0))),0))</f>
        <v/>
      </c>
      <c r="I150" s="24" t="str">
        <f aca="false">IF(G150="","",G150-H150)</f>
        <v/>
      </c>
      <c r="J150" s="37"/>
    </row>
    <row r="151" customFormat="false" ht="21" hidden="false" customHeight="true" outlineLevel="0" collapsed="false">
      <c r="B151" s="36"/>
      <c r="C151" s="7"/>
      <c r="D151" s="7"/>
      <c r="E151" s="37"/>
      <c r="F151" s="38"/>
      <c r="G151" s="24" t="str">
        <f aca="false">IF(OR(C151="",D151="",N(E151)=0),"",E151*IF(F151="",IFERROR(N(INDEX(Produtos!$K$5:$K$54,MATCH(D151,Produtos!$B$5:$B$54,0))),0),F151))</f>
        <v/>
      </c>
      <c r="H151" s="24" t="str">
        <f aca="false">IF(G151="","",E151*IFERROR(N(INDEX(Produtos!$F$5:$F$54,MATCH(D151,Produtos!$B$5:$B$54,0))),0))</f>
        <v/>
      </c>
      <c r="I151" s="24" t="str">
        <f aca="false">IF(G151="","",G151-H151)</f>
        <v/>
      </c>
      <c r="J151" s="37"/>
    </row>
    <row r="152" customFormat="false" ht="21" hidden="false" customHeight="true" outlineLevel="0" collapsed="false">
      <c r="B152" s="36"/>
      <c r="C152" s="7"/>
      <c r="D152" s="7"/>
      <c r="E152" s="37"/>
      <c r="F152" s="38"/>
      <c r="G152" s="24" t="str">
        <f aca="false">IF(OR(C152="",D152="",N(E152)=0),"",E152*IF(F152="",IFERROR(N(INDEX(Produtos!$K$5:$K$54,MATCH(D152,Produtos!$B$5:$B$54,0))),0),F152))</f>
        <v/>
      </c>
      <c r="H152" s="24" t="str">
        <f aca="false">IF(G152="","",E152*IFERROR(N(INDEX(Produtos!$F$5:$F$54,MATCH(D152,Produtos!$B$5:$B$54,0))),0))</f>
        <v/>
      </c>
      <c r="I152" s="24" t="str">
        <f aca="false">IF(G152="","",G152-H152)</f>
        <v/>
      </c>
      <c r="J152" s="37"/>
    </row>
    <row r="153" customFormat="false" ht="21" hidden="false" customHeight="true" outlineLevel="0" collapsed="false">
      <c r="B153" s="36"/>
      <c r="C153" s="7"/>
      <c r="D153" s="7"/>
      <c r="E153" s="37"/>
      <c r="F153" s="38"/>
      <c r="G153" s="24" t="str">
        <f aca="false">IF(OR(C153="",D153="",N(E153)=0),"",E153*IF(F153="",IFERROR(N(INDEX(Produtos!$K$5:$K$54,MATCH(D153,Produtos!$B$5:$B$54,0))),0),F153))</f>
        <v/>
      </c>
      <c r="H153" s="24" t="str">
        <f aca="false">IF(G153="","",E153*IFERROR(N(INDEX(Produtos!$F$5:$F$54,MATCH(D153,Produtos!$B$5:$B$54,0))),0))</f>
        <v/>
      </c>
      <c r="I153" s="24" t="str">
        <f aca="false">IF(G153="","",G153-H153)</f>
        <v/>
      </c>
      <c r="J153" s="37"/>
    </row>
    <row r="154" customFormat="false" ht="21" hidden="false" customHeight="true" outlineLevel="0" collapsed="false">
      <c r="B154" s="36"/>
      <c r="C154" s="7"/>
      <c r="D154" s="7"/>
      <c r="E154" s="37"/>
      <c r="F154" s="38"/>
      <c r="G154" s="24" t="str">
        <f aca="false">IF(OR(C154="",D154="",N(E154)=0),"",E154*IF(F154="",IFERROR(N(INDEX(Produtos!$K$5:$K$54,MATCH(D154,Produtos!$B$5:$B$54,0))),0),F154))</f>
        <v/>
      </c>
      <c r="H154" s="24" t="str">
        <f aca="false">IF(G154="","",E154*IFERROR(N(INDEX(Produtos!$F$5:$F$54,MATCH(D154,Produtos!$B$5:$B$54,0))),0))</f>
        <v/>
      </c>
      <c r="I154" s="24" t="str">
        <f aca="false">IF(G154="","",G154-H154)</f>
        <v/>
      </c>
      <c r="J154" s="37"/>
    </row>
    <row r="155" customFormat="false" ht="21" hidden="false" customHeight="true" outlineLevel="0" collapsed="false">
      <c r="B155" s="36"/>
      <c r="C155" s="7"/>
      <c r="D155" s="7"/>
      <c r="E155" s="37"/>
      <c r="F155" s="38"/>
      <c r="G155" s="24" t="str">
        <f aca="false">IF(OR(C155="",D155="",N(E155)=0),"",E155*IF(F155="",IFERROR(N(INDEX(Produtos!$K$5:$K$54,MATCH(D155,Produtos!$B$5:$B$54,0))),0),F155))</f>
        <v/>
      </c>
      <c r="H155" s="24" t="str">
        <f aca="false">IF(G155="","",E155*IFERROR(N(INDEX(Produtos!$F$5:$F$54,MATCH(D155,Produtos!$B$5:$B$54,0))),0))</f>
        <v/>
      </c>
      <c r="I155" s="24" t="str">
        <f aca="false">IF(G155="","",G155-H155)</f>
        <v/>
      </c>
      <c r="J155" s="37"/>
    </row>
    <row r="156" customFormat="false" ht="21" hidden="false" customHeight="true" outlineLevel="0" collapsed="false">
      <c r="B156" s="36"/>
      <c r="C156" s="7"/>
      <c r="D156" s="7"/>
      <c r="E156" s="37"/>
      <c r="F156" s="38"/>
      <c r="G156" s="24" t="str">
        <f aca="false">IF(OR(C156="",D156="",N(E156)=0),"",E156*IF(F156="",IFERROR(N(INDEX(Produtos!$K$5:$K$54,MATCH(D156,Produtos!$B$5:$B$54,0))),0),F156))</f>
        <v/>
      </c>
      <c r="H156" s="24" t="str">
        <f aca="false">IF(G156="","",E156*IFERROR(N(INDEX(Produtos!$F$5:$F$54,MATCH(D156,Produtos!$B$5:$B$54,0))),0))</f>
        <v/>
      </c>
      <c r="I156" s="24" t="str">
        <f aca="false">IF(G156="","",G156-H156)</f>
        <v/>
      </c>
      <c r="J156" s="37"/>
    </row>
    <row r="157" customFormat="false" ht="21" hidden="false" customHeight="true" outlineLevel="0" collapsed="false">
      <c r="B157" s="36"/>
      <c r="C157" s="7"/>
      <c r="D157" s="7"/>
      <c r="E157" s="37"/>
      <c r="F157" s="38"/>
      <c r="G157" s="24" t="str">
        <f aca="false">IF(OR(C157="",D157="",N(E157)=0),"",E157*IF(F157="",IFERROR(N(INDEX(Produtos!$K$5:$K$54,MATCH(D157,Produtos!$B$5:$B$54,0))),0),F157))</f>
        <v/>
      </c>
      <c r="H157" s="24" t="str">
        <f aca="false">IF(G157="","",E157*IFERROR(N(INDEX(Produtos!$F$5:$F$54,MATCH(D157,Produtos!$B$5:$B$54,0))),0))</f>
        <v/>
      </c>
      <c r="I157" s="24" t="str">
        <f aca="false">IF(G157="","",G157-H157)</f>
        <v/>
      </c>
      <c r="J157" s="37"/>
    </row>
    <row r="158" customFormat="false" ht="21" hidden="false" customHeight="true" outlineLevel="0" collapsed="false">
      <c r="B158" s="36"/>
      <c r="C158" s="7"/>
      <c r="D158" s="7"/>
      <c r="E158" s="37"/>
      <c r="F158" s="38"/>
      <c r="G158" s="24" t="str">
        <f aca="false">IF(OR(C158="",D158="",N(E158)=0),"",E158*IF(F158="",IFERROR(N(INDEX(Produtos!$K$5:$K$54,MATCH(D158,Produtos!$B$5:$B$54,0))),0),F158))</f>
        <v/>
      </c>
      <c r="H158" s="24" t="str">
        <f aca="false">IF(G158="","",E158*IFERROR(N(INDEX(Produtos!$F$5:$F$54,MATCH(D158,Produtos!$B$5:$B$54,0))),0))</f>
        <v/>
      </c>
      <c r="I158" s="24" t="str">
        <f aca="false">IF(G158="","",G158-H158)</f>
        <v/>
      </c>
      <c r="J158" s="37"/>
    </row>
    <row r="159" customFormat="false" ht="21" hidden="false" customHeight="true" outlineLevel="0" collapsed="false">
      <c r="B159" s="36"/>
      <c r="C159" s="7"/>
      <c r="D159" s="7"/>
      <c r="E159" s="37"/>
      <c r="F159" s="38"/>
      <c r="G159" s="24" t="str">
        <f aca="false">IF(OR(C159="",D159="",N(E159)=0),"",E159*IF(F159="",IFERROR(N(INDEX(Produtos!$K$5:$K$54,MATCH(D159,Produtos!$B$5:$B$54,0))),0),F159))</f>
        <v/>
      </c>
      <c r="H159" s="24" t="str">
        <f aca="false">IF(G159="","",E159*IFERROR(N(INDEX(Produtos!$F$5:$F$54,MATCH(D159,Produtos!$B$5:$B$54,0))),0))</f>
        <v/>
      </c>
      <c r="I159" s="24" t="str">
        <f aca="false">IF(G159="","",G159-H159)</f>
        <v/>
      </c>
      <c r="J159" s="37"/>
    </row>
    <row r="160" customFormat="false" ht="21" hidden="false" customHeight="true" outlineLevel="0" collapsed="false">
      <c r="B160" s="36"/>
      <c r="C160" s="7"/>
      <c r="D160" s="7"/>
      <c r="E160" s="37"/>
      <c r="F160" s="38"/>
      <c r="G160" s="24" t="str">
        <f aca="false">IF(OR(C160="",D160="",N(E160)=0),"",E160*IF(F160="",IFERROR(N(INDEX(Produtos!$K$5:$K$54,MATCH(D160,Produtos!$B$5:$B$54,0))),0),F160))</f>
        <v/>
      </c>
      <c r="H160" s="24" t="str">
        <f aca="false">IF(G160="","",E160*IFERROR(N(INDEX(Produtos!$F$5:$F$54,MATCH(D160,Produtos!$B$5:$B$54,0))),0))</f>
        <v/>
      </c>
      <c r="I160" s="24" t="str">
        <f aca="false">IF(G160="","",G160-H160)</f>
        <v/>
      </c>
      <c r="J160" s="37"/>
    </row>
    <row r="161" customFormat="false" ht="21" hidden="false" customHeight="true" outlineLevel="0" collapsed="false">
      <c r="B161" s="36"/>
      <c r="C161" s="7"/>
      <c r="D161" s="7"/>
      <c r="E161" s="37"/>
      <c r="F161" s="38"/>
      <c r="G161" s="24" t="str">
        <f aca="false">IF(OR(C161="",D161="",N(E161)=0),"",E161*IF(F161="",IFERROR(N(INDEX(Produtos!$K$5:$K$54,MATCH(D161,Produtos!$B$5:$B$54,0))),0),F161))</f>
        <v/>
      </c>
      <c r="H161" s="24" t="str">
        <f aca="false">IF(G161="","",E161*IFERROR(N(INDEX(Produtos!$F$5:$F$54,MATCH(D161,Produtos!$B$5:$B$54,0))),0))</f>
        <v/>
      </c>
      <c r="I161" s="24" t="str">
        <f aca="false">IF(G161="","",G161-H161)</f>
        <v/>
      </c>
      <c r="J161" s="37"/>
    </row>
    <row r="162" customFormat="false" ht="21" hidden="false" customHeight="true" outlineLevel="0" collapsed="false">
      <c r="B162" s="36"/>
      <c r="C162" s="7"/>
      <c r="D162" s="7"/>
      <c r="E162" s="37"/>
      <c r="F162" s="38"/>
      <c r="G162" s="24" t="str">
        <f aca="false">IF(OR(C162="",D162="",N(E162)=0),"",E162*IF(F162="",IFERROR(N(INDEX(Produtos!$K$5:$K$54,MATCH(D162,Produtos!$B$5:$B$54,0))),0),F162))</f>
        <v/>
      </c>
      <c r="H162" s="24" t="str">
        <f aca="false">IF(G162="","",E162*IFERROR(N(INDEX(Produtos!$F$5:$F$54,MATCH(D162,Produtos!$B$5:$B$54,0))),0))</f>
        <v/>
      </c>
      <c r="I162" s="24" t="str">
        <f aca="false">IF(G162="","",G162-H162)</f>
        <v/>
      </c>
      <c r="J162" s="37"/>
    </row>
    <row r="163" customFormat="false" ht="21" hidden="false" customHeight="true" outlineLevel="0" collapsed="false">
      <c r="B163" s="36"/>
      <c r="C163" s="7"/>
      <c r="D163" s="7"/>
      <c r="E163" s="37"/>
      <c r="F163" s="38"/>
      <c r="G163" s="24" t="str">
        <f aca="false">IF(OR(C163="",D163="",N(E163)=0),"",E163*IF(F163="",IFERROR(N(INDEX(Produtos!$K$5:$K$54,MATCH(D163,Produtos!$B$5:$B$54,0))),0),F163))</f>
        <v/>
      </c>
      <c r="H163" s="24" t="str">
        <f aca="false">IF(G163="","",E163*IFERROR(N(INDEX(Produtos!$F$5:$F$54,MATCH(D163,Produtos!$B$5:$B$54,0))),0))</f>
        <v/>
      </c>
      <c r="I163" s="24" t="str">
        <f aca="false">IF(G163="","",G163-H163)</f>
        <v/>
      </c>
      <c r="J163" s="37"/>
    </row>
    <row r="164" customFormat="false" ht="21" hidden="false" customHeight="true" outlineLevel="0" collapsed="false">
      <c r="B164" s="36"/>
      <c r="C164" s="7"/>
      <c r="D164" s="7"/>
      <c r="E164" s="37"/>
      <c r="F164" s="38"/>
      <c r="G164" s="24" t="str">
        <f aca="false">IF(OR(C164="",D164="",N(E164)=0),"",E164*IF(F164="",IFERROR(N(INDEX(Produtos!$K$5:$K$54,MATCH(D164,Produtos!$B$5:$B$54,0))),0),F164))</f>
        <v/>
      </c>
      <c r="H164" s="24" t="str">
        <f aca="false">IF(G164="","",E164*IFERROR(N(INDEX(Produtos!$F$5:$F$54,MATCH(D164,Produtos!$B$5:$B$54,0))),0))</f>
        <v/>
      </c>
      <c r="I164" s="24" t="str">
        <f aca="false">IF(G164="","",G164-H164)</f>
        <v/>
      </c>
      <c r="J164" s="37"/>
    </row>
    <row r="165" customFormat="false" ht="21" hidden="false" customHeight="true" outlineLevel="0" collapsed="false">
      <c r="B165" s="36"/>
      <c r="C165" s="7"/>
      <c r="D165" s="7"/>
      <c r="E165" s="37"/>
      <c r="F165" s="38"/>
      <c r="G165" s="24" t="str">
        <f aca="false">IF(OR(C165="",D165="",N(E165)=0),"",E165*IF(F165="",IFERROR(N(INDEX(Produtos!$K$5:$K$54,MATCH(D165,Produtos!$B$5:$B$54,0))),0),F165))</f>
        <v/>
      </c>
      <c r="H165" s="24" t="str">
        <f aca="false">IF(G165="","",E165*IFERROR(N(INDEX(Produtos!$F$5:$F$54,MATCH(D165,Produtos!$B$5:$B$54,0))),0))</f>
        <v/>
      </c>
      <c r="I165" s="24" t="str">
        <f aca="false">IF(G165="","",G165-H165)</f>
        <v/>
      </c>
      <c r="J165" s="37"/>
    </row>
    <row r="166" customFormat="false" ht="21" hidden="false" customHeight="true" outlineLevel="0" collapsed="false">
      <c r="B166" s="36"/>
      <c r="C166" s="7"/>
      <c r="D166" s="7"/>
      <c r="E166" s="37"/>
      <c r="F166" s="38"/>
      <c r="G166" s="24" t="str">
        <f aca="false">IF(OR(C166="",D166="",N(E166)=0),"",E166*IF(F166="",IFERROR(N(INDEX(Produtos!$K$5:$K$54,MATCH(D166,Produtos!$B$5:$B$54,0))),0),F166))</f>
        <v/>
      </c>
      <c r="H166" s="24" t="str">
        <f aca="false">IF(G166="","",E166*IFERROR(N(INDEX(Produtos!$F$5:$F$54,MATCH(D166,Produtos!$B$5:$B$54,0))),0))</f>
        <v/>
      </c>
      <c r="I166" s="24" t="str">
        <f aca="false">IF(G166="","",G166-H166)</f>
        <v/>
      </c>
      <c r="J166" s="37"/>
    </row>
    <row r="167" customFormat="false" ht="21" hidden="false" customHeight="true" outlineLevel="0" collapsed="false">
      <c r="B167" s="36"/>
      <c r="C167" s="7"/>
      <c r="D167" s="7"/>
      <c r="E167" s="37"/>
      <c r="F167" s="38"/>
      <c r="G167" s="24" t="str">
        <f aca="false">IF(OR(C167="",D167="",N(E167)=0),"",E167*IF(F167="",IFERROR(N(INDEX(Produtos!$K$5:$K$54,MATCH(D167,Produtos!$B$5:$B$54,0))),0),F167))</f>
        <v/>
      </c>
      <c r="H167" s="24" t="str">
        <f aca="false">IF(G167="","",E167*IFERROR(N(INDEX(Produtos!$F$5:$F$54,MATCH(D167,Produtos!$B$5:$B$54,0))),0))</f>
        <v/>
      </c>
      <c r="I167" s="24" t="str">
        <f aca="false">IF(G167="","",G167-H167)</f>
        <v/>
      </c>
      <c r="J167" s="37"/>
    </row>
    <row r="168" customFormat="false" ht="21" hidden="false" customHeight="true" outlineLevel="0" collapsed="false">
      <c r="B168" s="36"/>
      <c r="C168" s="7"/>
      <c r="D168" s="7"/>
      <c r="E168" s="37"/>
      <c r="F168" s="38"/>
      <c r="G168" s="24" t="str">
        <f aca="false">IF(OR(C168="",D168="",N(E168)=0),"",E168*IF(F168="",IFERROR(N(INDEX(Produtos!$K$5:$K$54,MATCH(D168,Produtos!$B$5:$B$54,0))),0),F168))</f>
        <v/>
      </c>
      <c r="H168" s="24" t="str">
        <f aca="false">IF(G168="","",E168*IFERROR(N(INDEX(Produtos!$F$5:$F$54,MATCH(D168,Produtos!$B$5:$B$54,0))),0))</f>
        <v/>
      </c>
      <c r="I168" s="24" t="str">
        <f aca="false">IF(G168="","",G168-H168)</f>
        <v/>
      </c>
      <c r="J168" s="37"/>
    </row>
    <row r="169" customFormat="false" ht="21" hidden="false" customHeight="true" outlineLevel="0" collapsed="false">
      <c r="B169" s="36"/>
      <c r="C169" s="7"/>
      <c r="D169" s="7"/>
      <c r="E169" s="37"/>
      <c r="F169" s="38"/>
      <c r="G169" s="24" t="str">
        <f aca="false">IF(OR(C169="",D169="",N(E169)=0),"",E169*IF(F169="",IFERROR(N(INDEX(Produtos!$K$5:$K$54,MATCH(D169,Produtos!$B$5:$B$54,0))),0),F169))</f>
        <v/>
      </c>
      <c r="H169" s="24" t="str">
        <f aca="false">IF(G169="","",E169*IFERROR(N(INDEX(Produtos!$F$5:$F$54,MATCH(D169,Produtos!$B$5:$B$54,0))),0))</f>
        <v/>
      </c>
      <c r="I169" s="24" t="str">
        <f aca="false">IF(G169="","",G169-H169)</f>
        <v/>
      </c>
      <c r="J169" s="37"/>
    </row>
    <row r="170" customFormat="false" ht="21" hidden="false" customHeight="true" outlineLevel="0" collapsed="false">
      <c r="B170" s="36"/>
      <c r="C170" s="7"/>
      <c r="D170" s="7"/>
      <c r="E170" s="37"/>
      <c r="F170" s="38"/>
      <c r="G170" s="24" t="str">
        <f aca="false">IF(OR(C170="",D170="",N(E170)=0),"",E170*IF(F170="",IFERROR(N(INDEX(Produtos!$K$5:$K$54,MATCH(D170,Produtos!$B$5:$B$54,0))),0),F170))</f>
        <v/>
      </c>
      <c r="H170" s="24" t="str">
        <f aca="false">IF(G170="","",E170*IFERROR(N(INDEX(Produtos!$F$5:$F$54,MATCH(D170,Produtos!$B$5:$B$54,0))),0))</f>
        <v/>
      </c>
      <c r="I170" s="24" t="str">
        <f aca="false">IF(G170="","",G170-H170)</f>
        <v/>
      </c>
      <c r="J170" s="37"/>
    </row>
    <row r="171" customFormat="false" ht="21" hidden="false" customHeight="true" outlineLevel="0" collapsed="false">
      <c r="B171" s="36"/>
      <c r="C171" s="7"/>
      <c r="D171" s="7"/>
      <c r="E171" s="37"/>
      <c r="F171" s="38"/>
      <c r="G171" s="24" t="str">
        <f aca="false">IF(OR(C171="",D171="",N(E171)=0),"",E171*IF(F171="",IFERROR(N(INDEX(Produtos!$K$5:$K$54,MATCH(D171,Produtos!$B$5:$B$54,0))),0),F171))</f>
        <v/>
      </c>
      <c r="H171" s="24" t="str">
        <f aca="false">IF(G171="","",E171*IFERROR(N(INDEX(Produtos!$F$5:$F$54,MATCH(D171,Produtos!$B$5:$B$54,0))),0))</f>
        <v/>
      </c>
      <c r="I171" s="24" t="str">
        <f aca="false">IF(G171="","",G171-H171)</f>
        <v/>
      </c>
      <c r="J171" s="37"/>
    </row>
    <row r="172" customFormat="false" ht="21" hidden="false" customHeight="true" outlineLevel="0" collapsed="false">
      <c r="B172" s="36"/>
      <c r="C172" s="7"/>
      <c r="D172" s="7"/>
      <c r="E172" s="37"/>
      <c r="F172" s="38"/>
      <c r="G172" s="24" t="str">
        <f aca="false">IF(OR(C172="",D172="",N(E172)=0),"",E172*IF(F172="",IFERROR(N(INDEX(Produtos!$K$5:$K$54,MATCH(D172,Produtos!$B$5:$B$54,0))),0),F172))</f>
        <v/>
      </c>
      <c r="H172" s="24" t="str">
        <f aca="false">IF(G172="","",E172*IFERROR(N(INDEX(Produtos!$F$5:$F$54,MATCH(D172,Produtos!$B$5:$B$54,0))),0))</f>
        <v/>
      </c>
      <c r="I172" s="24" t="str">
        <f aca="false">IF(G172="","",G172-H172)</f>
        <v/>
      </c>
      <c r="J172" s="37"/>
    </row>
    <row r="173" customFormat="false" ht="21" hidden="false" customHeight="true" outlineLevel="0" collapsed="false">
      <c r="B173" s="36"/>
      <c r="C173" s="7"/>
      <c r="D173" s="7"/>
      <c r="E173" s="37"/>
      <c r="F173" s="38"/>
      <c r="G173" s="24" t="str">
        <f aca="false">IF(OR(C173="",D173="",N(E173)=0),"",E173*IF(F173="",IFERROR(N(INDEX(Produtos!$K$5:$K$54,MATCH(D173,Produtos!$B$5:$B$54,0))),0),F173))</f>
        <v/>
      </c>
      <c r="H173" s="24" t="str">
        <f aca="false">IF(G173="","",E173*IFERROR(N(INDEX(Produtos!$F$5:$F$54,MATCH(D173,Produtos!$B$5:$B$54,0))),0))</f>
        <v/>
      </c>
      <c r="I173" s="24" t="str">
        <f aca="false">IF(G173="","",G173-H173)</f>
        <v/>
      </c>
      <c r="J173" s="37"/>
    </row>
    <row r="174" customFormat="false" ht="21" hidden="false" customHeight="true" outlineLevel="0" collapsed="false">
      <c r="B174" s="36"/>
      <c r="C174" s="7"/>
      <c r="D174" s="7"/>
      <c r="E174" s="37"/>
      <c r="F174" s="38"/>
      <c r="G174" s="24" t="str">
        <f aca="false">IF(OR(C174="",D174="",N(E174)=0),"",E174*IF(F174="",IFERROR(N(INDEX(Produtos!$K$5:$K$54,MATCH(D174,Produtos!$B$5:$B$54,0))),0),F174))</f>
        <v/>
      </c>
      <c r="H174" s="24" t="str">
        <f aca="false">IF(G174="","",E174*IFERROR(N(INDEX(Produtos!$F$5:$F$54,MATCH(D174,Produtos!$B$5:$B$54,0))),0))</f>
        <v/>
      </c>
      <c r="I174" s="24" t="str">
        <f aca="false">IF(G174="","",G174-H174)</f>
        <v/>
      </c>
      <c r="J174" s="37"/>
    </row>
    <row r="175" customFormat="false" ht="21" hidden="false" customHeight="true" outlineLevel="0" collapsed="false">
      <c r="B175" s="36"/>
      <c r="C175" s="7"/>
      <c r="D175" s="7"/>
      <c r="E175" s="37"/>
      <c r="F175" s="38"/>
      <c r="G175" s="24" t="str">
        <f aca="false">IF(OR(C175="",D175="",N(E175)=0),"",E175*IF(F175="",IFERROR(N(INDEX(Produtos!$K$5:$K$54,MATCH(D175,Produtos!$B$5:$B$54,0))),0),F175))</f>
        <v/>
      </c>
      <c r="H175" s="24" t="str">
        <f aca="false">IF(G175="","",E175*IFERROR(N(INDEX(Produtos!$F$5:$F$54,MATCH(D175,Produtos!$B$5:$B$54,0))),0))</f>
        <v/>
      </c>
      <c r="I175" s="24" t="str">
        <f aca="false">IF(G175="","",G175-H175)</f>
        <v/>
      </c>
      <c r="J175" s="37"/>
    </row>
    <row r="176" customFormat="false" ht="21" hidden="false" customHeight="true" outlineLevel="0" collapsed="false">
      <c r="B176" s="36"/>
      <c r="C176" s="7"/>
      <c r="D176" s="7"/>
      <c r="E176" s="37"/>
      <c r="F176" s="38"/>
      <c r="G176" s="24" t="str">
        <f aca="false">IF(OR(C176="",D176="",N(E176)=0),"",E176*IF(F176="",IFERROR(N(INDEX(Produtos!$K$5:$K$54,MATCH(D176,Produtos!$B$5:$B$54,0))),0),F176))</f>
        <v/>
      </c>
      <c r="H176" s="24" t="str">
        <f aca="false">IF(G176="","",E176*IFERROR(N(INDEX(Produtos!$F$5:$F$54,MATCH(D176,Produtos!$B$5:$B$54,0))),0))</f>
        <v/>
      </c>
      <c r="I176" s="24" t="str">
        <f aca="false">IF(G176="","",G176-H176)</f>
        <v/>
      </c>
      <c r="J176" s="37"/>
    </row>
    <row r="177" customFormat="false" ht="21" hidden="false" customHeight="true" outlineLevel="0" collapsed="false">
      <c r="B177" s="36"/>
      <c r="C177" s="7"/>
      <c r="D177" s="7"/>
      <c r="E177" s="37"/>
      <c r="F177" s="38"/>
      <c r="G177" s="24" t="str">
        <f aca="false">IF(OR(C177="",D177="",N(E177)=0),"",E177*IF(F177="",IFERROR(N(INDEX(Produtos!$K$5:$K$54,MATCH(D177,Produtos!$B$5:$B$54,0))),0),F177))</f>
        <v/>
      </c>
      <c r="H177" s="24" t="str">
        <f aca="false">IF(G177="","",E177*IFERROR(N(INDEX(Produtos!$F$5:$F$54,MATCH(D177,Produtos!$B$5:$B$54,0))),0))</f>
        <v/>
      </c>
      <c r="I177" s="24" t="str">
        <f aca="false">IF(G177="","",G177-H177)</f>
        <v/>
      </c>
      <c r="J177" s="37"/>
    </row>
    <row r="178" customFormat="false" ht="21" hidden="false" customHeight="true" outlineLevel="0" collapsed="false">
      <c r="B178" s="36"/>
      <c r="C178" s="7"/>
      <c r="D178" s="7"/>
      <c r="E178" s="37"/>
      <c r="F178" s="38"/>
      <c r="G178" s="24" t="str">
        <f aca="false">IF(OR(C178="",D178="",N(E178)=0),"",E178*IF(F178="",IFERROR(N(INDEX(Produtos!$K$5:$K$54,MATCH(D178,Produtos!$B$5:$B$54,0))),0),F178))</f>
        <v/>
      </c>
      <c r="H178" s="24" t="str">
        <f aca="false">IF(G178="","",E178*IFERROR(N(INDEX(Produtos!$F$5:$F$54,MATCH(D178,Produtos!$B$5:$B$54,0))),0))</f>
        <v/>
      </c>
      <c r="I178" s="24" t="str">
        <f aca="false">IF(G178="","",G178-H178)</f>
        <v/>
      </c>
      <c r="J178" s="37"/>
    </row>
    <row r="179" customFormat="false" ht="21" hidden="false" customHeight="true" outlineLevel="0" collapsed="false">
      <c r="B179" s="36"/>
      <c r="C179" s="7"/>
      <c r="D179" s="7"/>
      <c r="E179" s="37"/>
      <c r="F179" s="38"/>
      <c r="G179" s="24" t="str">
        <f aca="false">IF(OR(C179="",D179="",N(E179)=0),"",E179*IF(F179="",IFERROR(N(INDEX(Produtos!$K$5:$K$54,MATCH(D179,Produtos!$B$5:$B$54,0))),0),F179))</f>
        <v/>
      </c>
      <c r="H179" s="24" t="str">
        <f aca="false">IF(G179="","",E179*IFERROR(N(INDEX(Produtos!$F$5:$F$54,MATCH(D179,Produtos!$B$5:$B$54,0))),0))</f>
        <v/>
      </c>
      <c r="I179" s="24" t="str">
        <f aca="false">IF(G179="","",G179-H179)</f>
        <v/>
      </c>
      <c r="J179" s="37"/>
    </row>
    <row r="180" customFormat="false" ht="21" hidden="false" customHeight="true" outlineLevel="0" collapsed="false">
      <c r="B180" s="36"/>
      <c r="C180" s="7"/>
      <c r="D180" s="7"/>
      <c r="E180" s="37"/>
      <c r="F180" s="38"/>
      <c r="G180" s="24" t="str">
        <f aca="false">IF(OR(C180="",D180="",N(E180)=0),"",E180*IF(F180="",IFERROR(N(INDEX(Produtos!$K$5:$K$54,MATCH(D180,Produtos!$B$5:$B$54,0))),0),F180))</f>
        <v/>
      </c>
      <c r="H180" s="24" t="str">
        <f aca="false">IF(G180="","",E180*IFERROR(N(INDEX(Produtos!$F$5:$F$54,MATCH(D180,Produtos!$B$5:$B$54,0))),0))</f>
        <v/>
      </c>
      <c r="I180" s="24" t="str">
        <f aca="false">IF(G180="","",G180-H180)</f>
        <v/>
      </c>
      <c r="J180" s="37"/>
    </row>
    <row r="181" customFormat="false" ht="21" hidden="false" customHeight="true" outlineLevel="0" collapsed="false">
      <c r="B181" s="36"/>
      <c r="C181" s="7"/>
      <c r="D181" s="7"/>
      <c r="E181" s="37"/>
      <c r="F181" s="38"/>
      <c r="G181" s="24" t="str">
        <f aca="false">IF(OR(C181="",D181="",N(E181)=0),"",E181*IF(F181="",IFERROR(N(INDEX(Produtos!$K$5:$K$54,MATCH(D181,Produtos!$B$5:$B$54,0))),0),F181))</f>
        <v/>
      </c>
      <c r="H181" s="24" t="str">
        <f aca="false">IF(G181="","",E181*IFERROR(N(INDEX(Produtos!$F$5:$F$54,MATCH(D181,Produtos!$B$5:$B$54,0))),0))</f>
        <v/>
      </c>
      <c r="I181" s="24" t="str">
        <f aca="false">IF(G181="","",G181-H181)</f>
        <v/>
      </c>
      <c r="J181" s="37"/>
    </row>
    <row r="182" customFormat="false" ht="21" hidden="false" customHeight="true" outlineLevel="0" collapsed="false">
      <c r="B182" s="36"/>
      <c r="C182" s="7"/>
      <c r="D182" s="7"/>
      <c r="E182" s="37"/>
      <c r="F182" s="38"/>
      <c r="G182" s="24" t="str">
        <f aca="false">IF(OR(C182="",D182="",N(E182)=0),"",E182*IF(F182="",IFERROR(N(INDEX(Produtos!$K$5:$K$54,MATCH(D182,Produtos!$B$5:$B$54,0))),0),F182))</f>
        <v/>
      </c>
      <c r="H182" s="24" t="str">
        <f aca="false">IF(G182="","",E182*IFERROR(N(INDEX(Produtos!$F$5:$F$54,MATCH(D182,Produtos!$B$5:$B$54,0))),0))</f>
        <v/>
      </c>
      <c r="I182" s="24" t="str">
        <f aca="false">IF(G182="","",G182-H182)</f>
        <v/>
      </c>
      <c r="J182" s="37"/>
    </row>
    <row r="183" customFormat="false" ht="21" hidden="false" customHeight="true" outlineLevel="0" collapsed="false">
      <c r="B183" s="36"/>
      <c r="C183" s="7"/>
      <c r="D183" s="7"/>
      <c r="E183" s="37"/>
      <c r="F183" s="38"/>
      <c r="G183" s="24" t="str">
        <f aca="false">IF(OR(C183="",D183="",N(E183)=0),"",E183*IF(F183="",IFERROR(N(INDEX(Produtos!$K$5:$K$54,MATCH(D183,Produtos!$B$5:$B$54,0))),0),F183))</f>
        <v/>
      </c>
      <c r="H183" s="24" t="str">
        <f aca="false">IF(G183="","",E183*IFERROR(N(INDEX(Produtos!$F$5:$F$54,MATCH(D183,Produtos!$B$5:$B$54,0))),0))</f>
        <v/>
      </c>
      <c r="I183" s="24" t="str">
        <f aca="false">IF(G183="","",G183-H183)</f>
        <v/>
      </c>
      <c r="J183" s="37"/>
    </row>
    <row r="184" customFormat="false" ht="21" hidden="false" customHeight="true" outlineLevel="0" collapsed="false">
      <c r="B184" s="36"/>
      <c r="C184" s="7"/>
      <c r="D184" s="7"/>
      <c r="E184" s="37"/>
      <c r="F184" s="38"/>
      <c r="G184" s="24" t="str">
        <f aca="false">IF(OR(C184="",D184="",N(E184)=0),"",E184*IF(F184="",IFERROR(N(INDEX(Produtos!$K$5:$K$54,MATCH(D184,Produtos!$B$5:$B$54,0))),0),F184))</f>
        <v/>
      </c>
      <c r="H184" s="24" t="str">
        <f aca="false">IF(G184="","",E184*IFERROR(N(INDEX(Produtos!$F$5:$F$54,MATCH(D184,Produtos!$B$5:$B$54,0))),0))</f>
        <v/>
      </c>
      <c r="I184" s="24" t="str">
        <f aca="false">IF(G184="","",G184-H184)</f>
        <v/>
      </c>
      <c r="J184" s="37"/>
    </row>
    <row r="185" customFormat="false" ht="21" hidden="false" customHeight="true" outlineLevel="0" collapsed="false">
      <c r="B185" s="36"/>
      <c r="C185" s="7"/>
      <c r="D185" s="7"/>
      <c r="E185" s="37"/>
      <c r="F185" s="38"/>
      <c r="G185" s="24" t="str">
        <f aca="false">IF(OR(C185="",D185="",N(E185)=0),"",E185*IF(F185="",IFERROR(N(INDEX(Produtos!$K$5:$K$54,MATCH(D185,Produtos!$B$5:$B$54,0))),0),F185))</f>
        <v/>
      </c>
      <c r="H185" s="24" t="str">
        <f aca="false">IF(G185="","",E185*IFERROR(N(INDEX(Produtos!$F$5:$F$54,MATCH(D185,Produtos!$B$5:$B$54,0))),0))</f>
        <v/>
      </c>
      <c r="I185" s="24" t="str">
        <f aca="false">IF(G185="","",G185-H185)</f>
        <v/>
      </c>
      <c r="J185" s="37"/>
    </row>
    <row r="186" customFormat="false" ht="21" hidden="false" customHeight="true" outlineLevel="0" collapsed="false">
      <c r="B186" s="36"/>
      <c r="C186" s="7"/>
      <c r="D186" s="7"/>
      <c r="E186" s="37"/>
      <c r="F186" s="38"/>
      <c r="G186" s="24" t="str">
        <f aca="false">IF(OR(C186="",D186="",N(E186)=0),"",E186*IF(F186="",IFERROR(N(INDEX(Produtos!$K$5:$K$54,MATCH(D186,Produtos!$B$5:$B$54,0))),0),F186))</f>
        <v/>
      </c>
      <c r="H186" s="24" t="str">
        <f aca="false">IF(G186="","",E186*IFERROR(N(INDEX(Produtos!$F$5:$F$54,MATCH(D186,Produtos!$B$5:$B$54,0))),0))</f>
        <v/>
      </c>
      <c r="I186" s="24" t="str">
        <f aca="false">IF(G186="","",G186-H186)</f>
        <v/>
      </c>
      <c r="J186" s="37"/>
    </row>
    <row r="187" customFormat="false" ht="21" hidden="false" customHeight="true" outlineLevel="0" collapsed="false">
      <c r="B187" s="36"/>
      <c r="C187" s="7"/>
      <c r="D187" s="7"/>
      <c r="E187" s="37"/>
      <c r="F187" s="38"/>
      <c r="G187" s="24" t="str">
        <f aca="false">IF(OR(C187="",D187="",N(E187)=0),"",E187*IF(F187="",IFERROR(N(INDEX(Produtos!$K$5:$K$54,MATCH(D187,Produtos!$B$5:$B$54,0))),0),F187))</f>
        <v/>
      </c>
      <c r="H187" s="24" t="str">
        <f aca="false">IF(G187="","",E187*IFERROR(N(INDEX(Produtos!$F$5:$F$54,MATCH(D187,Produtos!$B$5:$B$54,0))),0))</f>
        <v/>
      </c>
      <c r="I187" s="24" t="str">
        <f aca="false">IF(G187="","",G187-H187)</f>
        <v/>
      </c>
      <c r="J187" s="37"/>
    </row>
    <row r="188" customFormat="false" ht="21" hidden="false" customHeight="true" outlineLevel="0" collapsed="false">
      <c r="B188" s="36"/>
      <c r="C188" s="7"/>
      <c r="D188" s="7"/>
      <c r="E188" s="37"/>
      <c r="F188" s="38"/>
      <c r="G188" s="24" t="str">
        <f aca="false">IF(OR(C188="",D188="",N(E188)=0),"",E188*IF(F188="",IFERROR(N(INDEX(Produtos!$K$5:$K$54,MATCH(D188,Produtos!$B$5:$B$54,0))),0),F188))</f>
        <v/>
      </c>
      <c r="H188" s="24" t="str">
        <f aca="false">IF(G188="","",E188*IFERROR(N(INDEX(Produtos!$F$5:$F$54,MATCH(D188,Produtos!$B$5:$B$54,0))),0))</f>
        <v/>
      </c>
      <c r="I188" s="24" t="str">
        <f aca="false">IF(G188="","",G188-H188)</f>
        <v/>
      </c>
      <c r="J188" s="37"/>
    </row>
    <row r="189" customFormat="false" ht="21" hidden="false" customHeight="true" outlineLevel="0" collapsed="false">
      <c r="B189" s="36"/>
      <c r="C189" s="7"/>
      <c r="D189" s="7"/>
      <c r="E189" s="37"/>
      <c r="F189" s="38"/>
      <c r="G189" s="24" t="str">
        <f aca="false">IF(OR(C189="",D189="",N(E189)=0),"",E189*IF(F189="",IFERROR(N(INDEX(Produtos!$K$5:$K$54,MATCH(D189,Produtos!$B$5:$B$54,0))),0),F189))</f>
        <v/>
      </c>
      <c r="H189" s="24" t="str">
        <f aca="false">IF(G189="","",E189*IFERROR(N(INDEX(Produtos!$F$5:$F$54,MATCH(D189,Produtos!$B$5:$B$54,0))),0))</f>
        <v/>
      </c>
      <c r="I189" s="24" t="str">
        <f aca="false">IF(G189="","",G189-H189)</f>
        <v/>
      </c>
      <c r="J189" s="37"/>
    </row>
    <row r="190" customFormat="false" ht="21" hidden="false" customHeight="true" outlineLevel="0" collapsed="false">
      <c r="B190" s="36"/>
      <c r="C190" s="7"/>
      <c r="D190" s="7"/>
      <c r="E190" s="37"/>
      <c r="F190" s="38"/>
      <c r="G190" s="24" t="str">
        <f aca="false">IF(OR(C190="",D190="",N(E190)=0),"",E190*IF(F190="",IFERROR(N(INDEX(Produtos!$K$5:$K$54,MATCH(D190,Produtos!$B$5:$B$54,0))),0),F190))</f>
        <v/>
      </c>
      <c r="H190" s="24" t="str">
        <f aca="false">IF(G190="","",E190*IFERROR(N(INDEX(Produtos!$F$5:$F$54,MATCH(D190,Produtos!$B$5:$B$54,0))),0))</f>
        <v/>
      </c>
      <c r="I190" s="24" t="str">
        <f aca="false">IF(G190="","",G190-H190)</f>
        <v/>
      </c>
      <c r="J190" s="37"/>
    </row>
    <row r="191" customFormat="false" ht="21" hidden="false" customHeight="true" outlineLevel="0" collapsed="false">
      <c r="B191" s="36"/>
      <c r="C191" s="7"/>
      <c r="D191" s="7"/>
      <c r="E191" s="37"/>
      <c r="F191" s="38"/>
      <c r="G191" s="24" t="str">
        <f aca="false">IF(OR(C191="",D191="",N(E191)=0),"",E191*IF(F191="",IFERROR(N(INDEX(Produtos!$K$5:$K$54,MATCH(D191,Produtos!$B$5:$B$54,0))),0),F191))</f>
        <v/>
      </c>
      <c r="H191" s="24" t="str">
        <f aca="false">IF(G191="","",E191*IFERROR(N(INDEX(Produtos!$F$5:$F$54,MATCH(D191,Produtos!$B$5:$B$54,0))),0))</f>
        <v/>
      </c>
      <c r="I191" s="24" t="str">
        <f aca="false">IF(G191="","",G191-H191)</f>
        <v/>
      </c>
      <c r="J191" s="37"/>
    </row>
    <row r="192" customFormat="false" ht="21" hidden="false" customHeight="true" outlineLevel="0" collapsed="false">
      <c r="B192" s="36"/>
      <c r="C192" s="7"/>
      <c r="D192" s="7"/>
      <c r="E192" s="37"/>
      <c r="F192" s="38"/>
      <c r="G192" s="24" t="str">
        <f aca="false">IF(OR(C192="",D192="",N(E192)=0),"",E192*IF(F192="",IFERROR(N(INDEX(Produtos!$K$5:$K$54,MATCH(D192,Produtos!$B$5:$B$54,0))),0),F192))</f>
        <v/>
      </c>
      <c r="H192" s="24" t="str">
        <f aca="false">IF(G192="","",E192*IFERROR(N(INDEX(Produtos!$F$5:$F$54,MATCH(D192,Produtos!$B$5:$B$54,0))),0))</f>
        <v/>
      </c>
      <c r="I192" s="24" t="str">
        <f aca="false">IF(G192="","",G192-H192)</f>
        <v/>
      </c>
      <c r="J192" s="37"/>
    </row>
    <row r="193" customFormat="false" ht="21" hidden="false" customHeight="true" outlineLevel="0" collapsed="false">
      <c r="B193" s="36"/>
      <c r="C193" s="7"/>
      <c r="D193" s="7"/>
      <c r="E193" s="37"/>
      <c r="F193" s="38"/>
      <c r="G193" s="24" t="str">
        <f aca="false">IF(OR(C193="",D193="",N(E193)=0),"",E193*IF(F193="",IFERROR(N(INDEX(Produtos!$K$5:$K$54,MATCH(D193,Produtos!$B$5:$B$54,0))),0),F193))</f>
        <v/>
      </c>
      <c r="H193" s="24" t="str">
        <f aca="false">IF(G193="","",E193*IFERROR(N(INDEX(Produtos!$F$5:$F$54,MATCH(D193,Produtos!$B$5:$B$54,0))),0))</f>
        <v/>
      </c>
      <c r="I193" s="24" t="str">
        <f aca="false">IF(G193="","",G193-H193)</f>
        <v/>
      </c>
      <c r="J193" s="37"/>
    </row>
    <row r="194" customFormat="false" ht="21" hidden="false" customHeight="true" outlineLevel="0" collapsed="false">
      <c r="B194" s="36"/>
      <c r="C194" s="7"/>
      <c r="D194" s="7"/>
      <c r="E194" s="37"/>
      <c r="F194" s="38"/>
      <c r="G194" s="24" t="str">
        <f aca="false">IF(OR(C194="",D194="",N(E194)=0),"",E194*IF(F194="",IFERROR(N(INDEX(Produtos!$K$5:$K$54,MATCH(D194,Produtos!$B$5:$B$54,0))),0),F194))</f>
        <v/>
      </c>
      <c r="H194" s="24" t="str">
        <f aca="false">IF(G194="","",E194*IFERROR(N(INDEX(Produtos!$F$5:$F$54,MATCH(D194,Produtos!$B$5:$B$54,0))),0))</f>
        <v/>
      </c>
      <c r="I194" s="24" t="str">
        <f aca="false">IF(G194="","",G194-H194)</f>
        <v/>
      </c>
      <c r="J194" s="37"/>
    </row>
    <row r="195" customFormat="false" ht="21" hidden="false" customHeight="true" outlineLevel="0" collapsed="false">
      <c r="B195" s="36"/>
      <c r="C195" s="7"/>
      <c r="D195" s="7"/>
      <c r="E195" s="37"/>
      <c r="F195" s="38"/>
      <c r="G195" s="24" t="str">
        <f aca="false">IF(OR(C195="",D195="",N(E195)=0),"",E195*IF(F195="",IFERROR(N(INDEX(Produtos!$K$5:$K$54,MATCH(D195,Produtos!$B$5:$B$54,0))),0),F195))</f>
        <v/>
      </c>
      <c r="H195" s="24" t="str">
        <f aca="false">IF(G195="","",E195*IFERROR(N(INDEX(Produtos!$F$5:$F$54,MATCH(D195,Produtos!$B$5:$B$54,0))),0))</f>
        <v/>
      </c>
      <c r="I195" s="24" t="str">
        <f aca="false">IF(G195="","",G195-H195)</f>
        <v/>
      </c>
      <c r="J195" s="37"/>
    </row>
    <row r="196" customFormat="false" ht="21" hidden="false" customHeight="true" outlineLevel="0" collapsed="false">
      <c r="B196" s="36"/>
      <c r="C196" s="7"/>
      <c r="D196" s="7"/>
      <c r="E196" s="37"/>
      <c r="F196" s="38"/>
      <c r="G196" s="24" t="str">
        <f aca="false">IF(OR(C196="",D196="",N(E196)=0),"",E196*IF(F196="",IFERROR(N(INDEX(Produtos!$K$5:$K$54,MATCH(D196,Produtos!$B$5:$B$54,0))),0),F196))</f>
        <v/>
      </c>
      <c r="H196" s="24" t="str">
        <f aca="false">IF(G196="","",E196*IFERROR(N(INDEX(Produtos!$F$5:$F$54,MATCH(D196,Produtos!$B$5:$B$54,0))),0))</f>
        <v/>
      </c>
      <c r="I196" s="24" t="str">
        <f aca="false">IF(G196="","",G196-H196)</f>
        <v/>
      </c>
      <c r="J196" s="37"/>
    </row>
    <row r="197" customFormat="false" ht="21" hidden="false" customHeight="true" outlineLevel="0" collapsed="false">
      <c r="B197" s="36"/>
      <c r="C197" s="7"/>
      <c r="D197" s="7"/>
      <c r="E197" s="37"/>
      <c r="F197" s="38"/>
      <c r="G197" s="24" t="str">
        <f aca="false">IF(OR(C197="",D197="",N(E197)=0),"",E197*IF(F197="",IFERROR(N(INDEX(Produtos!$K$5:$K$54,MATCH(D197,Produtos!$B$5:$B$54,0))),0),F197))</f>
        <v/>
      </c>
      <c r="H197" s="24" t="str">
        <f aca="false">IF(G197="","",E197*IFERROR(N(INDEX(Produtos!$F$5:$F$54,MATCH(D197,Produtos!$B$5:$B$54,0))),0))</f>
        <v/>
      </c>
      <c r="I197" s="24" t="str">
        <f aca="false">IF(G197="","",G197-H197)</f>
        <v/>
      </c>
      <c r="J197" s="37"/>
    </row>
    <row r="198" customFormat="false" ht="21" hidden="false" customHeight="true" outlineLevel="0" collapsed="false">
      <c r="B198" s="36"/>
      <c r="C198" s="7"/>
      <c r="D198" s="7"/>
      <c r="E198" s="37"/>
      <c r="F198" s="38"/>
      <c r="G198" s="24" t="str">
        <f aca="false">IF(OR(C198="",D198="",N(E198)=0),"",E198*IF(F198="",IFERROR(N(INDEX(Produtos!$K$5:$K$54,MATCH(D198,Produtos!$B$5:$B$54,0))),0),F198))</f>
        <v/>
      </c>
      <c r="H198" s="24" t="str">
        <f aca="false">IF(G198="","",E198*IFERROR(N(INDEX(Produtos!$F$5:$F$54,MATCH(D198,Produtos!$B$5:$B$54,0))),0))</f>
        <v/>
      </c>
      <c r="I198" s="24" t="str">
        <f aca="false">IF(G198="","",G198-H198)</f>
        <v/>
      </c>
      <c r="J198" s="37"/>
    </row>
    <row r="199" customFormat="false" ht="21" hidden="false" customHeight="true" outlineLevel="0" collapsed="false">
      <c r="B199" s="36"/>
      <c r="C199" s="7"/>
      <c r="D199" s="7"/>
      <c r="E199" s="37"/>
      <c r="F199" s="38"/>
      <c r="G199" s="24" t="str">
        <f aca="false">IF(OR(C199="",D199="",N(E199)=0),"",E199*IF(F199="",IFERROR(N(INDEX(Produtos!$K$5:$K$54,MATCH(D199,Produtos!$B$5:$B$54,0))),0),F199))</f>
        <v/>
      </c>
      <c r="H199" s="24" t="str">
        <f aca="false">IF(G199="","",E199*IFERROR(N(INDEX(Produtos!$F$5:$F$54,MATCH(D199,Produtos!$B$5:$B$54,0))),0))</f>
        <v/>
      </c>
      <c r="I199" s="24" t="str">
        <f aca="false">IF(G199="","",G199-H199)</f>
        <v/>
      </c>
      <c r="J199" s="37"/>
    </row>
    <row r="200" customFormat="false" ht="21" hidden="false" customHeight="true" outlineLevel="0" collapsed="false">
      <c r="B200" s="36"/>
      <c r="C200" s="7"/>
      <c r="D200" s="7"/>
      <c r="E200" s="37"/>
      <c r="F200" s="38"/>
      <c r="G200" s="24" t="str">
        <f aca="false">IF(OR(C200="",D200="",N(E200)=0),"",E200*IF(F200="",IFERROR(N(INDEX(Produtos!$K$5:$K$54,MATCH(D200,Produtos!$B$5:$B$54,0))),0),F200))</f>
        <v/>
      </c>
      <c r="H200" s="24" t="str">
        <f aca="false">IF(G200="","",E200*IFERROR(N(INDEX(Produtos!$F$5:$F$54,MATCH(D200,Produtos!$B$5:$B$54,0))),0))</f>
        <v/>
      </c>
      <c r="I200" s="24" t="str">
        <f aca="false">IF(G200="","",G200-H200)</f>
        <v/>
      </c>
      <c r="J200" s="37"/>
    </row>
    <row r="201" customFormat="false" ht="21" hidden="false" customHeight="true" outlineLevel="0" collapsed="false">
      <c r="B201" s="36"/>
      <c r="C201" s="7"/>
      <c r="D201" s="7"/>
      <c r="E201" s="37"/>
      <c r="F201" s="38"/>
      <c r="G201" s="24" t="str">
        <f aca="false">IF(OR(C201="",D201="",N(E201)=0),"",E201*IF(F201="",IFERROR(N(INDEX(Produtos!$K$5:$K$54,MATCH(D201,Produtos!$B$5:$B$54,0))),0),F201))</f>
        <v/>
      </c>
      <c r="H201" s="24" t="str">
        <f aca="false">IF(G201="","",E201*IFERROR(N(INDEX(Produtos!$F$5:$F$54,MATCH(D201,Produtos!$B$5:$B$54,0))),0))</f>
        <v/>
      </c>
      <c r="I201" s="24" t="str">
        <f aca="false">IF(G201="","",G201-H201)</f>
        <v/>
      </c>
      <c r="J201" s="37"/>
    </row>
    <row r="202" customFormat="false" ht="21" hidden="false" customHeight="true" outlineLevel="0" collapsed="false">
      <c r="B202" s="36"/>
      <c r="C202" s="7"/>
      <c r="D202" s="7"/>
      <c r="E202" s="37"/>
      <c r="F202" s="38"/>
      <c r="G202" s="24" t="str">
        <f aca="false">IF(OR(C202="",D202="",N(E202)=0),"",E202*IF(F202="",IFERROR(N(INDEX(Produtos!$K$5:$K$54,MATCH(D202,Produtos!$B$5:$B$54,0))),0),F202))</f>
        <v/>
      </c>
      <c r="H202" s="24" t="str">
        <f aca="false">IF(G202="","",E202*IFERROR(N(INDEX(Produtos!$F$5:$F$54,MATCH(D202,Produtos!$B$5:$B$54,0))),0))</f>
        <v/>
      </c>
      <c r="I202" s="24" t="str">
        <f aca="false">IF(G202="","",G202-H202)</f>
        <v/>
      </c>
      <c r="J202" s="37"/>
    </row>
    <row r="203" customFormat="false" ht="21" hidden="false" customHeight="true" outlineLevel="0" collapsed="false">
      <c r="B203" s="36"/>
      <c r="C203" s="7"/>
      <c r="D203" s="7"/>
      <c r="E203" s="37"/>
      <c r="F203" s="38"/>
      <c r="G203" s="24" t="str">
        <f aca="false">IF(OR(C203="",D203="",N(E203)=0),"",E203*IF(F203="",IFERROR(N(INDEX(Produtos!$K$5:$K$54,MATCH(D203,Produtos!$B$5:$B$54,0))),0),F203))</f>
        <v/>
      </c>
      <c r="H203" s="24" t="str">
        <f aca="false">IF(G203="","",E203*IFERROR(N(INDEX(Produtos!$F$5:$F$54,MATCH(D203,Produtos!$B$5:$B$54,0))),0))</f>
        <v/>
      </c>
      <c r="I203" s="24" t="str">
        <f aca="false">IF(G203="","",G203-H203)</f>
        <v/>
      </c>
      <c r="J203" s="37"/>
    </row>
    <row r="204" customFormat="false" ht="21" hidden="false" customHeight="true" outlineLevel="0" collapsed="false">
      <c r="B204" s="36"/>
      <c r="C204" s="7"/>
      <c r="D204" s="7"/>
      <c r="E204" s="37"/>
      <c r="F204" s="38"/>
      <c r="G204" s="24" t="str">
        <f aca="false">IF(OR(C204="",D204="",N(E204)=0),"",E204*IF(F204="",IFERROR(N(INDEX(Produtos!$K$5:$K$54,MATCH(D204,Produtos!$B$5:$B$54,0))),0),F204))</f>
        <v/>
      </c>
      <c r="H204" s="24" t="str">
        <f aca="false">IF(G204="","",E204*IFERROR(N(INDEX(Produtos!$F$5:$F$54,MATCH(D204,Produtos!$B$5:$B$54,0))),0))</f>
        <v/>
      </c>
      <c r="I204" s="24" t="str">
        <f aca="false">IF(G204="","",G204-H204)</f>
        <v/>
      </c>
      <c r="J204" s="37"/>
    </row>
    <row r="205" customFormat="false" ht="21" hidden="false" customHeight="true" outlineLevel="0" collapsed="false">
      <c r="B205" s="36"/>
      <c r="C205" s="7"/>
      <c r="D205" s="7"/>
      <c r="E205" s="37"/>
      <c r="F205" s="38"/>
      <c r="G205" s="24" t="str">
        <f aca="false">IF(OR(C205="",D205="",N(E205)=0),"",E205*IF(F205="",IFERROR(N(INDEX(Produtos!$K$5:$K$54,MATCH(D205,Produtos!$B$5:$B$54,0))),0),F205))</f>
        <v/>
      </c>
      <c r="H205" s="24" t="str">
        <f aca="false">IF(G205="","",E205*IFERROR(N(INDEX(Produtos!$F$5:$F$54,MATCH(D205,Produtos!$B$5:$B$54,0))),0))</f>
        <v/>
      </c>
      <c r="I205" s="24" t="str">
        <f aca="false">IF(G205="","",G205-H205)</f>
        <v/>
      </c>
      <c r="J205" s="37"/>
    </row>
    <row r="206" customFormat="false" ht="21" hidden="false" customHeight="true" outlineLevel="0" collapsed="false">
      <c r="B206" s="36"/>
      <c r="C206" s="7"/>
      <c r="D206" s="7"/>
      <c r="E206" s="37"/>
      <c r="F206" s="38"/>
      <c r="G206" s="24" t="str">
        <f aca="false">IF(OR(C206="",D206="",N(E206)=0),"",E206*IF(F206="",IFERROR(N(INDEX(Produtos!$K$5:$K$54,MATCH(D206,Produtos!$B$5:$B$54,0))),0),F206))</f>
        <v/>
      </c>
      <c r="H206" s="24" t="str">
        <f aca="false">IF(G206="","",E206*IFERROR(N(INDEX(Produtos!$F$5:$F$54,MATCH(D206,Produtos!$B$5:$B$54,0))),0))</f>
        <v/>
      </c>
      <c r="I206" s="24" t="str">
        <f aca="false">IF(G206="","",G206-H206)</f>
        <v/>
      </c>
      <c r="J206" s="37"/>
    </row>
    <row r="207" customFormat="false" ht="21" hidden="false" customHeight="true" outlineLevel="0" collapsed="false">
      <c r="B207" s="36"/>
      <c r="C207" s="7"/>
      <c r="D207" s="7"/>
      <c r="E207" s="37"/>
      <c r="F207" s="38"/>
      <c r="G207" s="24" t="str">
        <f aca="false">IF(OR(C207="",D207="",N(E207)=0),"",E207*IF(F207="",IFERROR(N(INDEX(Produtos!$K$5:$K$54,MATCH(D207,Produtos!$B$5:$B$54,0))),0),F207))</f>
        <v/>
      </c>
      <c r="H207" s="24" t="str">
        <f aca="false">IF(G207="","",E207*IFERROR(N(INDEX(Produtos!$F$5:$F$54,MATCH(D207,Produtos!$B$5:$B$54,0))),0))</f>
        <v/>
      </c>
      <c r="I207" s="24" t="str">
        <f aca="false">IF(G207="","",G207-H207)</f>
        <v/>
      </c>
      <c r="J207" s="37"/>
    </row>
    <row r="208" customFormat="false" ht="21" hidden="false" customHeight="true" outlineLevel="0" collapsed="false">
      <c r="B208" s="36"/>
      <c r="C208" s="7"/>
      <c r="D208" s="7"/>
      <c r="E208" s="37"/>
      <c r="F208" s="38"/>
      <c r="G208" s="24" t="str">
        <f aca="false">IF(OR(C208="",D208="",N(E208)=0),"",E208*IF(F208="",IFERROR(N(INDEX(Produtos!$K$5:$K$54,MATCH(D208,Produtos!$B$5:$B$54,0))),0),F208))</f>
        <v/>
      </c>
      <c r="H208" s="24" t="str">
        <f aca="false">IF(G208="","",E208*IFERROR(N(INDEX(Produtos!$F$5:$F$54,MATCH(D208,Produtos!$B$5:$B$54,0))),0))</f>
        <v/>
      </c>
      <c r="I208" s="24" t="str">
        <f aca="false">IF(G208="","",G208-H208)</f>
        <v/>
      </c>
      <c r="J208" s="37"/>
    </row>
    <row r="209" customFormat="false" ht="21" hidden="false" customHeight="true" outlineLevel="0" collapsed="false">
      <c r="B209" s="36"/>
      <c r="C209" s="7"/>
      <c r="D209" s="7"/>
      <c r="E209" s="37"/>
      <c r="F209" s="38"/>
      <c r="G209" s="24" t="str">
        <f aca="false">IF(OR(C209="",D209="",N(E209)=0),"",E209*IF(F209="",IFERROR(N(INDEX(Produtos!$K$5:$K$54,MATCH(D209,Produtos!$B$5:$B$54,0))),0),F209))</f>
        <v/>
      </c>
      <c r="H209" s="24" t="str">
        <f aca="false">IF(G209="","",E209*IFERROR(N(INDEX(Produtos!$F$5:$F$54,MATCH(D209,Produtos!$B$5:$B$54,0))),0))</f>
        <v/>
      </c>
      <c r="I209" s="24" t="str">
        <f aca="false">IF(G209="","",G209-H209)</f>
        <v/>
      </c>
      <c r="J209" s="37"/>
    </row>
    <row r="210" customFormat="false" ht="21" hidden="false" customHeight="true" outlineLevel="0" collapsed="false">
      <c r="B210" s="36"/>
      <c r="C210" s="7"/>
      <c r="D210" s="7"/>
      <c r="E210" s="37"/>
      <c r="F210" s="38"/>
      <c r="G210" s="24" t="str">
        <f aca="false">IF(OR(C210="",D210="",N(E210)=0),"",E210*IF(F210="",IFERROR(N(INDEX(Produtos!$K$5:$K$54,MATCH(D210,Produtos!$B$5:$B$54,0))),0),F210))</f>
        <v/>
      </c>
      <c r="H210" s="24" t="str">
        <f aca="false">IF(G210="","",E210*IFERROR(N(INDEX(Produtos!$F$5:$F$54,MATCH(D210,Produtos!$B$5:$B$54,0))),0))</f>
        <v/>
      </c>
      <c r="I210" s="24" t="str">
        <f aca="false">IF(G210="","",G210-H210)</f>
        <v/>
      </c>
      <c r="J210" s="37"/>
    </row>
    <row r="211" customFormat="false" ht="21" hidden="false" customHeight="true" outlineLevel="0" collapsed="false">
      <c r="B211" s="36"/>
      <c r="C211" s="7"/>
      <c r="D211" s="7"/>
      <c r="E211" s="37"/>
      <c r="F211" s="38"/>
      <c r="G211" s="24" t="str">
        <f aca="false">IF(OR(C211="",D211="",N(E211)=0),"",E211*IF(F211="",IFERROR(N(INDEX(Produtos!$K$5:$K$54,MATCH(D211,Produtos!$B$5:$B$54,0))),0),F211))</f>
        <v/>
      </c>
      <c r="H211" s="24" t="str">
        <f aca="false">IF(G211="","",E211*IFERROR(N(INDEX(Produtos!$F$5:$F$54,MATCH(D211,Produtos!$B$5:$B$54,0))),0))</f>
        <v/>
      </c>
      <c r="I211" s="24" t="str">
        <f aca="false">IF(G211="","",G211-H211)</f>
        <v/>
      </c>
      <c r="J211" s="37"/>
    </row>
    <row r="212" customFormat="false" ht="21" hidden="false" customHeight="true" outlineLevel="0" collapsed="false">
      <c r="B212" s="36"/>
      <c r="C212" s="7"/>
      <c r="D212" s="7"/>
      <c r="E212" s="37"/>
      <c r="F212" s="38"/>
      <c r="G212" s="24" t="str">
        <f aca="false">IF(OR(C212="",D212="",N(E212)=0),"",E212*IF(F212="",IFERROR(N(INDEX(Produtos!$K$5:$K$54,MATCH(D212,Produtos!$B$5:$B$54,0))),0),F212))</f>
        <v/>
      </c>
      <c r="H212" s="24" t="str">
        <f aca="false">IF(G212="","",E212*IFERROR(N(INDEX(Produtos!$F$5:$F$54,MATCH(D212,Produtos!$B$5:$B$54,0))),0))</f>
        <v/>
      </c>
      <c r="I212" s="24" t="str">
        <f aca="false">IF(G212="","",G212-H212)</f>
        <v/>
      </c>
      <c r="J212" s="37"/>
    </row>
    <row r="213" customFormat="false" ht="21" hidden="false" customHeight="true" outlineLevel="0" collapsed="false">
      <c r="B213" s="36"/>
      <c r="C213" s="7"/>
      <c r="D213" s="7"/>
      <c r="E213" s="37"/>
      <c r="F213" s="38"/>
      <c r="G213" s="24" t="str">
        <f aca="false">IF(OR(C213="",D213="",N(E213)=0),"",E213*IF(F213="",IFERROR(N(INDEX(Produtos!$K$5:$K$54,MATCH(D213,Produtos!$B$5:$B$54,0))),0),F213))</f>
        <v/>
      </c>
      <c r="H213" s="24" t="str">
        <f aca="false">IF(G213="","",E213*IFERROR(N(INDEX(Produtos!$F$5:$F$54,MATCH(D213,Produtos!$B$5:$B$54,0))),0))</f>
        <v/>
      </c>
      <c r="I213" s="24" t="str">
        <f aca="false">IF(G213="","",G213-H213)</f>
        <v/>
      </c>
      <c r="J213" s="37"/>
    </row>
    <row r="214" customFormat="false" ht="21" hidden="false" customHeight="true" outlineLevel="0" collapsed="false">
      <c r="B214" s="36"/>
      <c r="C214" s="7"/>
      <c r="D214" s="7"/>
      <c r="E214" s="37"/>
      <c r="F214" s="38"/>
      <c r="G214" s="24" t="str">
        <f aca="false">IF(OR(C214="",D214="",N(E214)=0),"",E214*IF(F214="",IFERROR(N(INDEX(Produtos!$K$5:$K$54,MATCH(D214,Produtos!$B$5:$B$54,0))),0),F214))</f>
        <v/>
      </c>
      <c r="H214" s="24" t="str">
        <f aca="false">IF(G214="","",E214*IFERROR(N(INDEX(Produtos!$F$5:$F$54,MATCH(D214,Produtos!$B$5:$B$54,0))),0))</f>
        <v/>
      </c>
      <c r="I214" s="24" t="str">
        <f aca="false">IF(G214="","",G214-H214)</f>
        <v/>
      </c>
      <c r="J214" s="37"/>
    </row>
    <row r="215" customFormat="false" ht="21" hidden="false" customHeight="true" outlineLevel="0" collapsed="false">
      <c r="B215" s="36"/>
      <c r="C215" s="7"/>
      <c r="D215" s="7"/>
      <c r="E215" s="37"/>
      <c r="F215" s="38"/>
      <c r="G215" s="24" t="str">
        <f aca="false">IF(OR(C215="",D215="",N(E215)=0),"",E215*IF(F215="",IFERROR(N(INDEX(Produtos!$K$5:$K$54,MATCH(D215,Produtos!$B$5:$B$54,0))),0),F215))</f>
        <v/>
      </c>
      <c r="H215" s="24" t="str">
        <f aca="false">IF(G215="","",E215*IFERROR(N(INDEX(Produtos!$F$5:$F$54,MATCH(D215,Produtos!$B$5:$B$54,0))),0))</f>
        <v/>
      </c>
      <c r="I215" s="24" t="str">
        <f aca="false">IF(G215="","",G215-H215)</f>
        <v/>
      </c>
      <c r="J215" s="37"/>
    </row>
    <row r="216" customFormat="false" ht="21" hidden="false" customHeight="true" outlineLevel="0" collapsed="false">
      <c r="B216" s="36"/>
      <c r="C216" s="7"/>
      <c r="D216" s="7"/>
      <c r="E216" s="37"/>
      <c r="F216" s="38"/>
      <c r="G216" s="24" t="str">
        <f aca="false">IF(OR(C216="",D216="",N(E216)=0),"",E216*IF(F216="",IFERROR(N(INDEX(Produtos!$K$5:$K$54,MATCH(D216,Produtos!$B$5:$B$54,0))),0),F216))</f>
        <v/>
      </c>
      <c r="H216" s="24" t="str">
        <f aca="false">IF(G216="","",E216*IFERROR(N(INDEX(Produtos!$F$5:$F$54,MATCH(D216,Produtos!$B$5:$B$54,0))),0))</f>
        <v/>
      </c>
      <c r="I216" s="24" t="str">
        <f aca="false">IF(G216="","",G216-H216)</f>
        <v/>
      </c>
      <c r="J216" s="37"/>
    </row>
    <row r="217" customFormat="false" ht="21" hidden="false" customHeight="true" outlineLevel="0" collapsed="false">
      <c r="B217" s="36"/>
      <c r="C217" s="7"/>
      <c r="D217" s="7"/>
      <c r="E217" s="37"/>
      <c r="F217" s="38"/>
      <c r="G217" s="24" t="str">
        <f aca="false">IF(OR(C217="",D217="",N(E217)=0),"",E217*IF(F217="",IFERROR(N(INDEX(Produtos!$K$5:$K$54,MATCH(D217,Produtos!$B$5:$B$54,0))),0),F217))</f>
        <v/>
      </c>
      <c r="H217" s="24" t="str">
        <f aca="false">IF(G217="","",E217*IFERROR(N(INDEX(Produtos!$F$5:$F$54,MATCH(D217,Produtos!$B$5:$B$54,0))),0))</f>
        <v/>
      </c>
      <c r="I217" s="24" t="str">
        <f aca="false">IF(G217="","",G217-H217)</f>
        <v/>
      </c>
      <c r="J217" s="37"/>
    </row>
    <row r="218" customFormat="false" ht="21" hidden="false" customHeight="true" outlineLevel="0" collapsed="false">
      <c r="B218" s="36"/>
      <c r="C218" s="7"/>
      <c r="D218" s="7"/>
      <c r="E218" s="37"/>
      <c r="F218" s="38"/>
      <c r="G218" s="24" t="str">
        <f aca="false">IF(OR(C218="",D218="",N(E218)=0),"",E218*IF(F218="",IFERROR(N(INDEX(Produtos!$K$5:$K$54,MATCH(D218,Produtos!$B$5:$B$54,0))),0),F218))</f>
        <v/>
      </c>
      <c r="H218" s="24" t="str">
        <f aca="false">IF(G218="","",E218*IFERROR(N(INDEX(Produtos!$F$5:$F$54,MATCH(D218,Produtos!$B$5:$B$54,0))),0))</f>
        <v/>
      </c>
      <c r="I218" s="24" t="str">
        <f aca="false">IF(G218="","",G218-H218)</f>
        <v/>
      </c>
      <c r="J218" s="37"/>
    </row>
    <row r="219" customFormat="false" ht="21" hidden="false" customHeight="true" outlineLevel="0" collapsed="false">
      <c r="B219" s="36"/>
      <c r="C219" s="7"/>
      <c r="D219" s="7"/>
      <c r="E219" s="37"/>
      <c r="F219" s="38"/>
      <c r="G219" s="24" t="str">
        <f aca="false">IF(OR(C219="",D219="",N(E219)=0),"",E219*IF(F219="",IFERROR(N(INDEX(Produtos!$K$5:$K$54,MATCH(D219,Produtos!$B$5:$B$54,0))),0),F219))</f>
        <v/>
      </c>
      <c r="H219" s="24" t="str">
        <f aca="false">IF(G219="","",E219*IFERROR(N(INDEX(Produtos!$F$5:$F$54,MATCH(D219,Produtos!$B$5:$B$54,0))),0))</f>
        <v/>
      </c>
      <c r="I219" s="24" t="str">
        <f aca="false">IF(G219="","",G219-H219)</f>
        <v/>
      </c>
      <c r="J219" s="37"/>
    </row>
    <row r="220" customFormat="false" ht="21" hidden="false" customHeight="true" outlineLevel="0" collapsed="false">
      <c r="B220" s="36"/>
      <c r="C220" s="7"/>
      <c r="D220" s="7"/>
      <c r="E220" s="37"/>
      <c r="F220" s="38"/>
      <c r="G220" s="24" t="str">
        <f aca="false">IF(OR(C220="",D220="",N(E220)=0),"",E220*IF(F220="",IFERROR(N(INDEX(Produtos!$K$5:$K$54,MATCH(D220,Produtos!$B$5:$B$54,0))),0),F220))</f>
        <v/>
      </c>
      <c r="H220" s="24" t="str">
        <f aca="false">IF(G220="","",E220*IFERROR(N(INDEX(Produtos!$F$5:$F$54,MATCH(D220,Produtos!$B$5:$B$54,0))),0))</f>
        <v/>
      </c>
      <c r="I220" s="24" t="str">
        <f aca="false">IF(G220="","",G220-H220)</f>
        <v/>
      </c>
      <c r="J220" s="37"/>
    </row>
    <row r="221" customFormat="false" ht="21" hidden="false" customHeight="true" outlineLevel="0" collapsed="false">
      <c r="B221" s="36"/>
      <c r="C221" s="7"/>
      <c r="D221" s="7"/>
      <c r="E221" s="37"/>
      <c r="F221" s="38"/>
      <c r="G221" s="24" t="str">
        <f aca="false">IF(OR(C221="",D221="",N(E221)=0),"",E221*IF(F221="",IFERROR(N(INDEX(Produtos!$K$5:$K$54,MATCH(D221,Produtos!$B$5:$B$54,0))),0),F221))</f>
        <v/>
      </c>
      <c r="H221" s="24" t="str">
        <f aca="false">IF(G221="","",E221*IFERROR(N(INDEX(Produtos!$F$5:$F$54,MATCH(D221,Produtos!$B$5:$B$54,0))),0))</f>
        <v/>
      </c>
      <c r="I221" s="24" t="str">
        <f aca="false">IF(G221="","",G221-H221)</f>
        <v/>
      </c>
      <c r="J221" s="37"/>
    </row>
    <row r="222" customFormat="false" ht="21" hidden="false" customHeight="true" outlineLevel="0" collapsed="false">
      <c r="B222" s="36"/>
      <c r="C222" s="7"/>
      <c r="D222" s="7"/>
      <c r="E222" s="37"/>
      <c r="F222" s="38"/>
      <c r="G222" s="24" t="str">
        <f aca="false">IF(OR(C222="",D222="",N(E222)=0),"",E222*IF(F222="",IFERROR(N(INDEX(Produtos!$K$5:$K$54,MATCH(D222,Produtos!$B$5:$B$54,0))),0),F222))</f>
        <v/>
      </c>
      <c r="H222" s="24" t="str">
        <f aca="false">IF(G222="","",E222*IFERROR(N(INDEX(Produtos!$F$5:$F$54,MATCH(D222,Produtos!$B$5:$B$54,0))),0))</f>
        <v/>
      </c>
      <c r="I222" s="24" t="str">
        <f aca="false">IF(G222="","",G222-H222)</f>
        <v/>
      </c>
      <c r="J222" s="37"/>
    </row>
    <row r="223" customFormat="false" ht="21" hidden="false" customHeight="true" outlineLevel="0" collapsed="false">
      <c r="B223" s="36"/>
      <c r="C223" s="7"/>
      <c r="D223" s="7"/>
      <c r="E223" s="37"/>
      <c r="F223" s="38"/>
      <c r="G223" s="24" t="str">
        <f aca="false">IF(OR(C223="",D223="",N(E223)=0),"",E223*IF(F223="",IFERROR(N(INDEX(Produtos!$K$5:$K$54,MATCH(D223,Produtos!$B$5:$B$54,0))),0),F223))</f>
        <v/>
      </c>
      <c r="H223" s="24" t="str">
        <f aca="false">IF(G223="","",E223*IFERROR(N(INDEX(Produtos!$F$5:$F$54,MATCH(D223,Produtos!$B$5:$B$54,0))),0))</f>
        <v/>
      </c>
      <c r="I223" s="24" t="str">
        <f aca="false">IF(G223="","",G223-H223)</f>
        <v/>
      </c>
      <c r="J223" s="37"/>
    </row>
    <row r="224" customFormat="false" ht="21" hidden="false" customHeight="true" outlineLevel="0" collapsed="false">
      <c r="B224" s="36"/>
      <c r="C224" s="7"/>
      <c r="D224" s="7"/>
      <c r="E224" s="37"/>
      <c r="F224" s="38"/>
      <c r="G224" s="24" t="str">
        <f aca="false">IF(OR(C224="",D224="",N(E224)=0),"",E224*IF(F224="",IFERROR(N(INDEX(Produtos!$K$5:$K$54,MATCH(D224,Produtos!$B$5:$B$54,0))),0),F224))</f>
        <v/>
      </c>
      <c r="H224" s="24" t="str">
        <f aca="false">IF(G224="","",E224*IFERROR(N(INDEX(Produtos!$F$5:$F$54,MATCH(D224,Produtos!$B$5:$B$54,0))),0))</f>
        <v/>
      </c>
      <c r="I224" s="24" t="str">
        <f aca="false">IF(G224="","",G224-H224)</f>
        <v/>
      </c>
      <c r="J224" s="37"/>
    </row>
    <row r="225" customFormat="false" ht="21" hidden="false" customHeight="true" outlineLevel="0" collapsed="false">
      <c r="B225" s="36"/>
      <c r="C225" s="7"/>
      <c r="D225" s="7"/>
      <c r="E225" s="37"/>
      <c r="F225" s="38"/>
      <c r="G225" s="24" t="str">
        <f aca="false">IF(OR(C225="",D225="",N(E225)=0),"",E225*IF(F225="",IFERROR(N(INDEX(Produtos!$K$5:$K$54,MATCH(D225,Produtos!$B$5:$B$54,0))),0),F225))</f>
        <v/>
      </c>
      <c r="H225" s="24" t="str">
        <f aca="false">IF(G225="","",E225*IFERROR(N(INDEX(Produtos!$F$5:$F$54,MATCH(D225,Produtos!$B$5:$B$54,0))),0))</f>
        <v/>
      </c>
      <c r="I225" s="24" t="str">
        <f aca="false">IF(G225="","",G225-H225)</f>
        <v/>
      </c>
      <c r="J225" s="37"/>
    </row>
    <row r="226" customFormat="false" ht="21" hidden="false" customHeight="true" outlineLevel="0" collapsed="false">
      <c r="B226" s="36"/>
      <c r="C226" s="7"/>
      <c r="D226" s="7"/>
      <c r="E226" s="37"/>
      <c r="F226" s="38"/>
      <c r="G226" s="24" t="str">
        <f aca="false">IF(OR(C226="",D226="",N(E226)=0),"",E226*IF(F226="",IFERROR(N(INDEX(Produtos!$K$5:$K$54,MATCH(D226,Produtos!$B$5:$B$54,0))),0),F226))</f>
        <v/>
      </c>
      <c r="H226" s="24" t="str">
        <f aca="false">IF(G226="","",E226*IFERROR(N(INDEX(Produtos!$F$5:$F$54,MATCH(D226,Produtos!$B$5:$B$54,0))),0))</f>
        <v/>
      </c>
      <c r="I226" s="24" t="str">
        <f aca="false">IF(G226="","",G226-H226)</f>
        <v/>
      </c>
      <c r="J226" s="37"/>
    </row>
    <row r="227" customFormat="false" ht="21" hidden="false" customHeight="true" outlineLevel="0" collapsed="false">
      <c r="B227" s="36"/>
      <c r="C227" s="7"/>
      <c r="D227" s="7"/>
      <c r="E227" s="37"/>
      <c r="F227" s="38"/>
      <c r="G227" s="24" t="str">
        <f aca="false">IF(OR(C227="",D227="",N(E227)=0),"",E227*IF(F227="",IFERROR(N(INDEX(Produtos!$K$5:$K$54,MATCH(D227,Produtos!$B$5:$B$54,0))),0),F227))</f>
        <v/>
      </c>
      <c r="H227" s="24" t="str">
        <f aca="false">IF(G227="","",E227*IFERROR(N(INDEX(Produtos!$F$5:$F$54,MATCH(D227,Produtos!$B$5:$B$54,0))),0))</f>
        <v/>
      </c>
      <c r="I227" s="24" t="str">
        <f aca="false">IF(G227="","",G227-H227)</f>
        <v/>
      </c>
      <c r="J227" s="37"/>
    </row>
    <row r="228" customFormat="false" ht="21" hidden="false" customHeight="true" outlineLevel="0" collapsed="false">
      <c r="B228" s="36"/>
      <c r="C228" s="7"/>
      <c r="D228" s="7"/>
      <c r="E228" s="37"/>
      <c r="F228" s="38"/>
      <c r="G228" s="24" t="str">
        <f aca="false">IF(OR(C228="",D228="",N(E228)=0),"",E228*IF(F228="",IFERROR(N(INDEX(Produtos!$K$5:$K$54,MATCH(D228,Produtos!$B$5:$B$54,0))),0),F228))</f>
        <v/>
      </c>
      <c r="H228" s="24" t="str">
        <f aca="false">IF(G228="","",E228*IFERROR(N(INDEX(Produtos!$F$5:$F$54,MATCH(D228,Produtos!$B$5:$B$54,0))),0))</f>
        <v/>
      </c>
      <c r="I228" s="24" t="str">
        <f aca="false">IF(G228="","",G228-H228)</f>
        <v/>
      </c>
      <c r="J228" s="37"/>
    </row>
    <row r="229" customFormat="false" ht="21" hidden="false" customHeight="true" outlineLevel="0" collapsed="false">
      <c r="B229" s="36"/>
      <c r="C229" s="7"/>
      <c r="D229" s="7"/>
      <c r="E229" s="37"/>
      <c r="F229" s="38"/>
      <c r="G229" s="24" t="str">
        <f aca="false">IF(OR(C229="",D229="",N(E229)=0),"",E229*IF(F229="",IFERROR(N(INDEX(Produtos!$K$5:$K$54,MATCH(D229,Produtos!$B$5:$B$54,0))),0),F229))</f>
        <v/>
      </c>
      <c r="H229" s="24" t="str">
        <f aca="false">IF(G229="","",E229*IFERROR(N(INDEX(Produtos!$F$5:$F$54,MATCH(D229,Produtos!$B$5:$B$54,0))),0))</f>
        <v/>
      </c>
      <c r="I229" s="24" t="str">
        <f aca="false">IF(G229="","",G229-H229)</f>
        <v/>
      </c>
      <c r="J229" s="37"/>
    </row>
    <row r="230" customFormat="false" ht="21" hidden="false" customHeight="true" outlineLevel="0" collapsed="false">
      <c r="B230" s="36"/>
      <c r="C230" s="7"/>
      <c r="D230" s="7"/>
      <c r="E230" s="37"/>
      <c r="F230" s="38"/>
      <c r="G230" s="24" t="str">
        <f aca="false">IF(OR(C230="",D230="",N(E230)=0),"",E230*IF(F230="",IFERROR(N(INDEX(Produtos!$K$5:$K$54,MATCH(D230,Produtos!$B$5:$B$54,0))),0),F230))</f>
        <v/>
      </c>
      <c r="H230" s="24" t="str">
        <f aca="false">IF(G230="","",E230*IFERROR(N(INDEX(Produtos!$F$5:$F$54,MATCH(D230,Produtos!$B$5:$B$54,0))),0))</f>
        <v/>
      </c>
      <c r="I230" s="24" t="str">
        <f aca="false">IF(G230="","",G230-H230)</f>
        <v/>
      </c>
      <c r="J230" s="37"/>
    </row>
    <row r="231" customFormat="false" ht="21" hidden="false" customHeight="true" outlineLevel="0" collapsed="false">
      <c r="B231" s="36"/>
      <c r="C231" s="7"/>
      <c r="D231" s="7"/>
      <c r="E231" s="37"/>
      <c r="F231" s="38"/>
      <c r="G231" s="24" t="str">
        <f aca="false">IF(OR(C231="",D231="",N(E231)=0),"",E231*IF(F231="",IFERROR(N(INDEX(Produtos!$K$5:$K$54,MATCH(D231,Produtos!$B$5:$B$54,0))),0),F231))</f>
        <v/>
      </c>
      <c r="H231" s="24" t="str">
        <f aca="false">IF(G231="","",E231*IFERROR(N(INDEX(Produtos!$F$5:$F$54,MATCH(D231,Produtos!$B$5:$B$54,0))),0))</f>
        <v/>
      </c>
      <c r="I231" s="24" t="str">
        <f aca="false">IF(G231="","",G231-H231)</f>
        <v/>
      </c>
      <c r="J231" s="37"/>
    </row>
    <row r="232" customFormat="false" ht="21" hidden="false" customHeight="true" outlineLevel="0" collapsed="false">
      <c r="B232" s="36"/>
      <c r="C232" s="7"/>
      <c r="D232" s="7"/>
      <c r="E232" s="37"/>
      <c r="F232" s="38"/>
      <c r="G232" s="24" t="str">
        <f aca="false">IF(OR(C232="",D232="",N(E232)=0),"",E232*IF(F232="",IFERROR(N(INDEX(Produtos!$K$5:$K$54,MATCH(D232,Produtos!$B$5:$B$54,0))),0),F232))</f>
        <v/>
      </c>
      <c r="H232" s="24" t="str">
        <f aca="false">IF(G232="","",E232*IFERROR(N(INDEX(Produtos!$F$5:$F$54,MATCH(D232,Produtos!$B$5:$B$54,0))),0))</f>
        <v/>
      </c>
      <c r="I232" s="24" t="str">
        <f aca="false">IF(G232="","",G232-H232)</f>
        <v/>
      </c>
      <c r="J232" s="37"/>
    </row>
    <row r="233" customFormat="false" ht="21" hidden="false" customHeight="true" outlineLevel="0" collapsed="false">
      <c r="B233" s="36"/>
      <c r="C233" s="7"/>
      <c r="D233" s="7"/>
      <c r="E233" s="37"/>
      <c r="F233" s="38"/>
      <c r="G233" s="24" t="str">
        <f aca="false">IF(OR(C233="",D233="",N(E233)=0),"",E233*IF(F233="",IFERROR(N(INDEX(Produtos!$K$5:$K$54,MATCH(D233,Produtos!$B$5:$B$54,0))),0),F233))</f>
        <v/>
      </c>
      <c r="H233" s="24" t="str">
        <f aca="false">IF(G233="","",E233*IFERROR(N(INDEX(Produtos!$F$5:$F$54,MATCH(D233,Produtos!$B$5:$B$54,0))),0))</f>
        <v/>
      </c>
      <c r="I233" s="24" t="str">
        <f aca="false">IF(G233="","",G233-H233)</f>
        <v/>
      </c>
      <c r="J233" s="37"/>
    </row>
    <row r="234" customFormat="false" ht="21" hidden="false" customHeight="true" outlineLevel="0" collapsed="false">
      <c r="B234" s="36"/>
      <c r="C234" s="7"/>
      <c r="D234" s="7"/>
      <c r="E234" s="37"/>
      <c r="F234" s="38"/>
      <c r="G234" s="24" t="str">
        <f aca="false">IF(OR(C234="",D234="",N(E234)=0),"",E234*IF(F234="",IFERROR(N(INDEX(Produtos!$K$5:$K$54,MATCH(D234,Produtos!$B$5:$B$54,0))),0),F234))</f>
        <v/>
      </c>
      <c r="H234" s="24" t="str">
        <f aca="false">IF(G234="","",E234*IFERROR(N(INDEX(Produtos!$F$5:$F$54,MATCH(D234,Produtos!$B$5:$B$54,0))),0))</f>
        <v/>
      </c>
      <c r="I234" s="24" t="str">
        <f aca="false">IF(G234="","",G234-H234)</f>
        <v/>
      </c>
      <c r="J234" s="37"/>
    </row>
    <row r="235" customFormat="false" ht="21" hidden="false" customHeight="true" outlineLevel="0" collapsed="false">
      <c r="B235" s="36"/>
      <c r="C235" s="7"/>
      <c r="D235" s="7"/>
      <c r="E235" s="37"/>
      <c r="F235" s="38"/>
      <c r="G235" s="24" t="str">
        <f aca="false">IF(OR(C235="",D235="",N(E235)=0),"",E235*IF(F235="",IFERROR(N(INDEX(Produtos!$K$5:$K$54,MATCH(D235,Produtos!$B$5:$B$54,0))),0),F235))</f>
        <v/>
      </c>
      <c r="H235" s="24" t="str">
        <f aca="false">IF(G235="","",E235*IFERROR(N(INDEX(Produtos!$F$5:$F$54,MATCH(D235,Produtos!$B$5:$B$54,0))),0))</f>
        <v/>
      </c>
      <c r="I235" s="24" t="str">
        <f aca="false">IF(G235="","",G235-H235)</f>
        <v/>
      </c>
      <c r="J235" s="37"/>
    </row>
    <row r="236" customFormat="false" ht="21" hidden="false" customHeight="true" outlineLevel="0" collapsed="false">
      <c r="B236" s="36"/>
      <c r="C236" s="7"/>
      <c r="D236" s="7"/>
      <c r="E236" s="37"/>
      <c r="F236" s="38"/>
      <c r="G236" s="24" t="str">
        <f aca="false">IF(OR(C236="",D236="",N(E236)=0),"",E236*IF(F236="",IFERROR(N(INDEX(Produtos!$K$5:$K$54,MATCH(D236,Produtos!$B$5:$B$54,0))),0),F236))</f>
        <v/>
      </c>
      <c r="H236" s="24" t="str">
        <f aca="false">IF(G236="","",E236*IFERROR(N(INDEX(Produtos!$F$5:$F$54,MATCH(D236,Produtos!$B$5:$B$54,0))),0))</f>
        <v/>
      </c>
      <c r="I236" s="24" t="str">
        <f aca="false">IF(G236="","",G236-H236)</f>
        <v/>
      </c>
      <c r="J236" s="37"/>
    </row>
    <row r="237" customFormat="false" ht="21" hidden="false" customHeight="true" outlineLevel="0" collapsed="false">
      <c r="B237" s="36"/>
      <c r="C237" s="7"/>
      <c r="D237" s="7"/>
      <c r="E237" s="37"/>
      <c r="F237" s="38"/>
      <c r="G237" s="24" t="str">
        <f aca="false">IF(OR(C237="",D237="",N(E237)=0),"",E237*IF(F237="",IFERROR(N(INDEX(Produtos!$K$5:$K$54,MATCH(D237,Produtos!$B$5:$B$54,0))),0),F237))</f>
        <v/>
      </c>
      <c r="H237" s="24" t="str">
        <f aca="false">IF(G237="","",E237*IFERROR(N(INDEX(Produtos!$F$5:$F$54,MATCH(D237,Produtos!$B$5:$B$54,0))),0))</f>
        <v/>
      </c>
      <c r="I237" s="24" t="str">
        <f aca="false">IF(G237="","",G237-H237)</f>
        <v/>
      </c>
      <c r="J237" s="37"/>
    </row>
    <row r="238" customFormat="false" ht="21" hidden="false" customHeight="true" outlineLevel="0" collapsed="false">
      <c r="B238" s="36"/>
      <c r="C238" s="7"/>
      <c r="D238" s="7"/>
      <c r="E238" s="37"/>
      <c r="F238" s="38"/>
      <c r="G238" s="24" t="str">
        <f aca="false">IF(OR(C238="",D238="",N(E238)=0),"",E238*IF(F238="",IFERROR(N(INDEX(Produtos!$K$5:$K$54,MATCH(D238,Produtos!$B$5:$B$54,0))),0),F238))</f>
        <v/>
      </c>
      <c r="H238" s="24" t="str">
        <f aca="false">IF(G238="","",E238*IFERROR(N(INDEX(Produtos!$F$5:$F$54,MATCH(D238,Produtos!$B$5:$B$54,0))),0))</f>
        <v/>
      </c>
      <c r="I238" s="24" t="str">
        <f aca="false">IF(G238="","",G238-H238)</f>
        <v/>
      </c>
      <c r="J238" s="37"/>
    </row>
    <row r="239" customFormat="false" ht="21" hidden="false" customHeight="true" outlineLevel="0" collapsed="false">
      <c r="B239" s="36"/>
      <c r="C239" s="7"/>
      <c r="D239" s="7"/>
      <c r="E239" s="37"/>
      <c r="F239" s="38"/>
      <c r="G239" s="24" t="str">
        <f aca="false">IF(OR(C239="",D239="",N(E239)=0),"",E239*IF(F239="",IFERROR(N(INDEX(Produtos!$K$5:$K$54,MATCH(D239,Produtos!$B$5:$B$54,0))),0),F239))</f>
        <v/>
      </c>
      <c r="H239" s="24" t="str">
        <f aca="false">IF(G239="","",E239*IFERROR(N(INDEX(Produtos!$F$5:$F$54,MATCH(D239,Produtos!$B$5:$B$54,0))),0))</f>
        <v/>
      </c>
      <c r="I239" s="24" t="str">
        <f aca="false">IF(G239="","",G239-H239)</f>
        <v/>
      </c>
      <c r="J239" s="37"/>
    </row>
    <row r="240" customFormat="false" ht="21" hidden="false" customHeight="true" outlineLevel="0" collapsed="false">
      <c r="B240" s="36"/>
      <c r="C240" s="7"/>
      <c r="D240" s="7"/>
      <c r="E240" s="37"/>
      <c r="F240" s="38"/>
      <c r="G240" s="24" t="str">
        <f aca="false">IF(OR(C240="",D240="",N(E240)=0),"",E240*IF(F240="",IFERROR(N(INDEX(Produtos!$K$5:$K$54,MATCH(D240,Produtos!$B$5:$B$54,0))),0),F240))</f>
        <v/>
      </c>
      <c r="H240" s="24" t="str">
        <f aca="false">IF(G240="","",E240*IFERROR(N(INDEX(Produtos!$F$5:$F$54,MATCH(D240,Produtos!$B$5:$B$54,0))),0))</f>
        <v/>
      </c>
      <c r="I240" s="24" t="str">
        <f aca="false">IF(G240="","",G240-H240)</f>
        <v/>
      </c>
      <c r="J240" s="37"/>
    </row>
    <row r="241" customFormat="false" ht="21" hidden="false" customHeight="true" outlineLevel="0" collapsed="false">
      <c r="B241" s="36"/>
      <c r="C241" s="7"/>
      <c r="D241" s="7"/>
      <c r="E241" s="37"/>
      <c r="F241" s="38"/>
      <c r="G241" s="24" t="str">
        <f aca="false">IF(OR(C241="",D241="",N(E241)=0),"",E241*IF(F241="",IFERROR(N(INDEX(Produtos!$K$5:$K$54,MATCH(D241,Produtos!$B$5:$B$54,0))),0),F241))</f>
        <v/>
      </c>
      <c r="H241" s="24" t="str">
        <f aca="false">IF(G241="","",E241*IFERROR(N(INDEX(Produtos!$F$5:$F$54,MATCH(D241,Produtos!$B$5:$B$54,0))),0))</f>
        <v/>
      </c>
      <c r="I241" s="24" t="str">
        <f aca="false">IF(G241="","",G241-H241)</f>
        <v/>
      </c>
      <c r="J241" s="37"/>
    </row>
    <row r="242" customFormat="false" ht="21" hidden="false" customHeight="true" outlineLevel="0" collapsed="false">
      <c r="B242" s="36"/>
      <c r="C242" s="7"/>
      <c r="D242" s="7"/>
      <c r="E242" s="37"/>
      <c r="F242" s="38"/>
      <c r="G242" s="24" t="str">
        <f aca="false">IF(OR(C242="",D242="",N(E242)=0),"",E242*IF(F242="",IFERROR(N(INDEX(Produtos!$K$5:$K$54,MATCH(D242,Produtos!$B$5:$B$54,0))),0),F242))</f>
        <v/>
      </c>
      <c r="H242" s="24" t="str">
        <f aca="false">IF(G242="","",E242*IFERROR(N(INDEX(Produtos!$F$5:$F$54,MATCH(D242,Produtos!$B$5:$B$54,0))),0))</f>
        <v/>
      </c>
      <c r="I242" s="24" t="str">
        <f aca="false">IF(G242="","",G242-H242)</f>
        <v/>
      </c>
      <c r="J242" s="37"/>
    </row>
    <row r="243" customFormat="false" ht="21" hidden="false" customHeight="true" outlineLevel="0" collapsed="false">
      <c r="B243" s="36"/>
      <c r="C243" s="7"/>
      <c r="D243" s="7"/>
      <c r="E243" s="37"/>
      <c r="F243" s="38"/>
      <c r="G243" s="24" t="str">
        <f aca="false">IF(OR(C243="",D243="",N(E243)=0),"",E243*IF(F243="",IFERROR(N(INDEX(Produtos!$K$5:$K$54,MATCH(D243,Produtos!$B$5:$B$54,0))),0),F243))</f>
        <v/>
      </c>
      <c r="H243" s="24" t="str">
        <f aca="false">IF(G243="","",E243*IFERROR(N(INDEX(Produtos!$F$5:$F$54,MATCH(D243,Produtos!$B$5:$B$54,0))),0))</f>
        <v/>
      </c>
      <c r="I243" s="24" t="str">
        <f aca="false">IF(G243="","",G243-H243)</f>
        <v/>
      </c>
      <c r="J243" s="37"/>
    </row>
    <row r="244" customFormat="false" ht="21" hidden="false" customHeight="true" outlineLevel="0" collapsed="false">
      <c r="B244" s="36"/>
      <c r="C244" s="7"/>
      <c r="D244" s="7"/>
      <c r="E244" s="37"/>
      <c r="F244" s="38"/>
      <c r="G244" s="24" t="str">
        <f aca="false">IF(OR(C244="",D244="",N(E244)=0),"",E244*IF(F244="",IFERROR(N(INDEX(Produtos!$K$5:$K$54,MATCH(D244,Produtos!$B$5:$B$54,0))),0),F244))</f>
        <v/>
      </c>
      <c r="H244" s="24" t="str">
        <f aca="false">IF(G244="","",E244*IFERROR(N(INDEX(Produtos!$F$5:$F$54,MATCH(D244,Produtos!$B$5:$B$54,0))),0))</f>
        <v/>
      </c>
      <c r="I244" s="24" t="str">
        <f aca="false">IF(G244="","",G244-H244)</f>
        <v/>
      </c>
      <c r="J244" s="37"/>
    </row>
    <row r="245" customFormat="false" ht="21" hidden="false" customHeight="true" outlineLevel="0" collapsed="false">
      <c r="B245" s="36"/>
      <c r="C245" s="7"/>
      <c r="D245" s="7"/>
      <c r="E245" s="37"/>
      <c r="F245" s="38"/>
      <c r="G245" s="24" t="str">
        <f aca="false">IF(OR(C245="",D245="",N(E245)=0),"",E245*IF(F245="",IFERROR(N(INDEX(Produtos!$K$5:$K$54,MATCH(D245,Produtos!$B$5:$B$54,0))),0),F245))</f>
        <v/>
      </c>
      <c r="H245" s="24" t="str">
        <f aca="false">IF(G245="","",E245*IFERROR(N(INDEX(Produtos!$F$5:$F$54,MATCH(D245,Produtos!$B$5:$B$54,0))),0))</f>
        <v/>
      </c>
      <c r="I245" s="24" t="str">
        <f aca="false">IF(G245="","",G245-H245)</f>
        <v/>
      </c>
      <c r="J245" s="37"/>
    </row>
    <row r="246" customFormat="false" ht="21" hidden="false" customHeight="true" outlineLevel="0" collapsed="false">
      <c r="B246" s="36"/>
      <c r="C246" s="7"/>
      <c r="D246" s="7"/>
      <c r="E246" s="37"/>
      <c r="F246" s="38"/>
      <c r="G246" s="24" t="str">
        <f aca="false">IF(OR(C246="",D246="",N(E246)=0),"",E246*IF(F246="",IFERROR(N(INDEX(Produtos!$K$5:$K$54,MATCH(D246,Produtos!$B$5:$B$54,0))),0),F246))</f>
        <v/>
      </c>
      <c r="H246" s="24" t="str">
        <f aca="false">IF(G246="","",E246*IFERROR(N(INDEX(Produtos!$F$5:$F$54,MATCH(D246,Produtos!$B$5:$B$54,0))),0))</f>
        <v/>
      </c>
      <c r="I246" s="24" t="str">
        <f aca="false">IF(G246="","",G246-H246)</f>
        <v/>
      </c>
      <c r="J246" s="37"/>
    </row>
    <row r="247" customFormat="false" ht="21" hidden="false" customHeight="true" outlineLevel="0" collapsed="false">
      <c r="B247" s="36"/>
      <c r="C247" s="7"/>
      <c r="D247" s="7"/>
      <c r="E247" s="37"/>
      <c r="F247" s="38"/>
      <c r="G247" s="24" t="str">
        <f aca="false">IF(OR(C247="",D247="",N(E247)=0),"",E247*IF(F247="",IFERROR(N(INDEX(Produtos!$K$5:$K$54,MATCH(D247,Produtos!$B$5:$B$54,0))),0),F247))</f>
        <v/>
      </c>
      <c r="H247" s="24" t="str">
        <f aca="false">IF(G247="","",E247*IFERROR(N(INDEX(Produtos!$F$5:$F$54,MATCH(D247,Produtos!$B$5:$B$54,0))),0))</f>
        <v/>
      </c>
      <c r="I247" s="24" t="str">
        <f aca="false">IF(G247="","",G247-H247)</f>
        <v/>
      </c>
      <c r="J247" s="37"/>
    </row>
    <row r="248" customFormat="false" ht="21" hidden="false" customHeight="true" outlineLevel="0" collapsed="false">
      <c r="B248" s="36"/>
      <c r="C248" s="7"/>
      <c r="D248" s="7"/>
      <c r="E248" s="37"/>
      <c r="F248" s="38"/>
      <c r="G248" s="24" t="str">
        <f aca="false">IF(OR(C248="",D248="",N(E248)=0),"",E248*IF(F248="",IFERROR(N(INDEX(Produtos!$K$5:$K$54,MATCH(D248,Produtos!$B$5:$B$54,0))),0),F248))</f>
        <v/>
      </c>
      <c r="H248" s="24" t="str">
        <f aca="false">IF(G248="","",E248*IFERROR(N(INDEX(Produtos!$F$5:$F$54,MATCH(D248,Produtos!$B$5:$B$54,0))),0))</f>
        <v/>
      </c>
      <c r="I248" s="24" t="str">
        <f aca="false">IF(G248="","",G248-H248)</f>
        <v/>
      </c>
      <c r="J248" s="37"/>
    </row>
    <row r="249" customFormat="false" ht="21" hidden="false" customHeight="true" outlineLevel="0" collapsed="false">
      <c r="B249" s="36"/>
      <c r="C249" s="7"/>
      <c r="D249" s="7"/>
      <c r="E249" s="37"/>
      <c r="F249" s="38"/>
      <c r="G249" s="24" t="str">
        <f aca="false">IF(OR(C249="",D249="",N(E249)=0),"",E249*IF(F249="",IFERROR(N(INDEX(Produtos!$K$5:$K$54,MATCH(D249,Produtos!$B$5:$B$54,0))),0),F249))</f>
        <v/>
      </c>
      <c r="H249" s="24" t="str">
        <f aca="false">IF(G249="","",E249*IFERROR(N(INDEX(Produtos!$F$5:$F$54,MATCH(D249,Produtos!$B$5:$B$54,0))),0))</f>
        <v/>
      </c>
      <c r="I249" s="24" t="str">
        <f aca="false">IF(G249="","",G249-H249)</f>
        <v/>
      </c>
      <c r="J249" s="37"/>
    </row>
    <row r="250" customFormat="false" ht="21" hidden="false" customHeight="true" outlineLevel="0" collapsed="false">
      <c r="B250" s="36"/>
      <c r="C250" s="7"/>
      <c r="D250" s="7"/>
      <c r="E250" s="37"/>
      <c r="F250" s="38"/>
      <c r="G250" s="24" t="str">
        <f aca="false">IF(OR(C250="",D250="",N(E250)=0),"",E250*IF(F250="",IFERROR(N(INDEX(Produtos!$K$5:$K$54,MATCH(D250,Produtos!$B$5:$B$54,0))),0),F250))</f>
        <v/>
      </c>
      <c r="H250" s="24" t="str">
        <f aca="false">IF(G250="","",E250*IFERROR(N(INDEX(Produtos!$F$5:$F$54,MATCH(D250,Produtos!$B$5:$B$54,0))),0))</f>
        <v/>
      </c>
      <c r="I250" s="24" t="str">
        <f aca="false">IF(G250="","",G250-H250)</f>
        <v/>
      </c>
      <c r="J250" s="37"/>
    </row>
    <row r="251" customFormat="false" ht="21" hidden="false" customHeight="true" outlineLevel="0" collapsed="false">
      <c r="B251" s="36"/>
      <c r="C251" s="7"/>
      <c r="D251" s="7"/>
      <c r="E251" s="37"/>
      <c r="F251" s="38"/>
      <c r="G251" s="24" t="str">
        <f aca="false">IF(OR(C251="",D251="",N(E251)=0),"",E251*IF(F251="",IFERROR(N(INDEX(Produtos!$K$5:$K$54,MATCH(D251,Produtos!$B$5:$B$54,0))),0),F251))</f>
        <v/>
      </c>
      <c r="H251" s="24" t="str">
        <f aca="false">IF(G251="","",E251*IFERROR(N(INDEX(Produtos!$F$5:$F$54,MATCH(D251,Produtos!$B$5:$B$54,0))),0))</f>
        <v/>
      </c>
      <c r="I251" s="24" t="str">
        <f aca="false">IF(G251="","",G251-H251)</f>
        <v/>
      </c>
      <c r="J251" s="37"/>
    </row>
    <row r="252" customFormat="false" ht="21" hidden="false" customHeight="true" outlineLevel="0" collapsed="false">
      <c r="B252" s="36"/>
      <c r="C252" s="7"/>
      <c r="D252" s="7"/>
      <c r="E252" s="37"/>
      <c r="F252" s="38"/>
      <c r="G252" s="24" t="str">
        <f aca="false">IF(OR(C252="",D252="",N(E252)=0),"",E252*IF(F252="",IFERROR(N(INDEX(Produtos!$K$5:$K$54,MATCH(D252,Produtos!$B$5:$B$54,0))),0),F252))</f>
        <v/>
      </c>
      <c r="H252" s="24" t="str">
        <f aca="false">IF(G252="","",E252*IFERROR(N(INDEX(Produtos!$F$5:$F$54,MATCH(D252,Produtos!$B$5:$B$54,0))),0))</f>
        <v/>
      </c>
      <c r="I252" s="24" t="str">
        <f aca="false">IF(G252="","",G252-H252)</f>
        <v/>
      </c>
      <c r="J252" s="37"/>
    </row>
    <row r="253" customFormat="false" ht="21" hidden="false" customHeight="true" outlineLevel="0" collapsed="false">
      <c r="B253" s="36"/>
      <c r="C253" s="7"/>
      <c r="D253" s="7"/>
      <c r="E253" s="37"/>
      <c r="F253" s="38"/>
      <c r="G253" s="24" t="str">
        <f aca="false">IF(OR(C253="",D253="",N(E253)=0),"",E253*IF(F253="",IFERROR(N(INDEX(Produtos!$K$5:$K$54,MATCH(D253,Produtos!$B$5:$B$54,0))),0),F253))</f>
        <v/>
      </c>
      <c r="H253" s="24" t="str">
        <f aca="false">IF(G253="","",E253*IFERROR(N(INDEX(Produtos!$F$5:$F$54,MATCH(D253,Produtos!$B$5:$B$54,0))),0))</f>
        <v/>
      </c>
      <c r="I253" s="24" t="str">
        <f aca="false">IF(G253="","",G253-H253)</f>
        <v/>
      </c>
      <c r="J253" s="37"/>
    </row>
    <row r="254" customFormat="false" ht="21" hidden="false" customHeight="true" outlineLevel="0" collapsed="false">
      <c r="B254" s="36"/>
      <c r="C254" s="7"/>
      <c r="D254" s="7"/>
      <c r="E254" s="37"/>
      <c r="F254" s="38"/>
      <c r="G254" s="24" t="str">
        <f aca="false">IF(OR(C254="",D254="",N(E254)=0),"",E254*IF(F254="",IFERROR(N(INDEX(Produtos!$K$5:$K$54,MATCH(D254,Produtos!$B$5:$B$54,0))),0),F254))</f>
        <v/>
      </c>
      <c r="H254" s="24" t="str">
        <f aca="false">IF(G254="","",E254*IFERROR(N(INDEX(Produtos!$F$5:$F$54,MATCH(D254,Produtos!$B$5:$B$54,0))),0))</f>
        <v/>
      </c>
      <c r="I254" s="24" t="str">
        <f aca="false">IF(G254="","",G254-H254)</f>
        <v/>
      </c>
      <c r="J254" s="37"/>
    </row>
    <row r="255" customFormat="false" ht="21" hidden="false" customHeight="true" outlineLevel="0" collapsed="false">
      <c r="B255" s="36"/>
      <c r="C255" s="7"/>
      <c r="D255" s="7"/>
      <c r="E255" s="37"/>
      <c r="F255" s="38"/>
      <c r="G255" s="24" t="str">
        <f aca="false">IF(OR(C255="",D255="",N(E255)=0),"",E255*IF(F255="",IFERROR(N(INDEX(Produtos!$K$5:$K$54,MATCH(D255,Produtos!$B$5:$B$54,0))),0),F255))</f>
        <v/>
      </c>
      <c r="H255" s="24" t="str">
        <f aca="false">IF(G255="","",E255*IFERROR(N(INDEX(Produtos!$F$5:$F$54,MATCH(D255,Produtos!$B$5:$B$54,0))),0))</f>
        <v/>
      </c>
      <c r="I255" s="24" t="str">
        <f aca="false">IF(G255="","",G255-H255)</f>
        <v/>
      </c>
      <c r="J255" s="37"/>
    </row>
    <row r="256" customFormat="false" ht="21" hidden="false" customHeight="true" outlineLevel="0" collapsed="false">
      <c r="B256" s="36"/>
      <c r="C256" s="7"/>
      <c r="D256" s="7"/>
      <c r="E256" s="37"/>
      <c r="F256" s="38"/>
      <c r="G256" s="24" t="str">
        <f aca="false">IF(OR(C256="",D256="",N(E256)=0),"",E256*IF(F256="",IFERROR(N(INDEX(Produtos!$K$5:$K$54,MATCH(D256,Produtos!$B$5:$B$54,0))),0),F256))</f>
        <v/>
      </c>
      <c r="H256" s="24" t="str">
        <f aca="false">IF(G256="","",E256*IFERROR(N(INDEX(Produtos!$F$5:$F$54,MATCH(D256,Produtos!$B$5:$B$54,0))),0))</f>
        <v/>
      </c>
      <c r="I256" s="24" t="str">
        <f aca="false">IF(G256="","",G256-H256)</f>
        <v/>
      </c>
      <c r="J256" s="37"/>
    </row>
    <row r="257" customFormat="false" ht="21" hidden="false" customHeight="true" outlineLevel="0" collapsed="false">
      <c r="B257" s="36"/>
      <c r="C257" s="7"/>
      <c r="D257" s="7"/>
      <c r="E257" s="37"/>
      <c r="F257" s="38"/>
      <c r="G257" s="24" t="str">
        <f aca="false">IF(OR(C257="",D257="",N(E257)=0),"",E257*IF(F257="",IFERROR(N(INDEX(Produtos!$K$5:$K$54,MATCH(D257,Produtos!$B$5:$B$54,0))),0),F257))</f>
        <v/>
      </c>
      <c r="H257" s="24" t="str">
        <f aca="false">IF(G257="","",E257*IFERROR(N(INDEX(Produtos!$F$5:$F$54,MATCH(D257,Produtos!$B$5:$B$54,0))),0))</f>
        <v/>
      </c>
      <c r="I257" s="24" t="str">
        <f aca="false">IF(G257="","",G257-H257)</f>
        <v/>
      </c>
      <c r="J257" s="37"/>
    </row>
    <row r="258" customFormat="false" ht="21" hidden="false" customHeight="true" outlineLevel="0" collapsed="false">
      <c r="B258" s="36"/>
      <c r="C258" s="7"/>
      <c r="D258" s="7"/>
      <c r="E258" s="37"/>
      <c r="F258" s="38"/>
      <c r="G258" s="24" t="str">
        <f aca="false">IF(OR(C258="",D258="",N(E258)=0),"",E258*IF(F258="",IFERROR(N(INDEX(Produtos!$K$5:$K$54,MATCH(D258,Produtos!$B$5:$B$54,0))),0),F258))</f>
        <v/>
      </c>
      <c r="H258" s="24" t="str">
        <f aca="false">IF(G258="","",E258*IFERROR(N(INDEX(Produtos!$F$5:$F$54,MATCH(D258,Produtos!$B$5:$B$54,0))),0))</f>
        <v/>
      </c>
      <c r="I258" s="24" t="str">
        <f aca="false">IF(G258="","",G258-H258)</f>
        <v/>
      </c>
      <c r="J258" s="37"/>
    </row>
    <row r="259" customFormat="false" ht="21" hidden="false" customHeight="true" outlineLevel="0" collapsed="false">
      <c r="B259" s="36"/>
      <c r="C259" s="7"/>
      <c r="D259" s="7"/>
      <c r="E259" s="37"/>
      <c r="F259" s="38"/>
      <c r="G259" s="24" t="str">
        <f aca="false">IF(OR(C259="",D259="",N(E259)=0),"",E259*IF(F259="",IFERROR(N(INDEX(Produtos!$K$5:$K$54,MATCH(D259,Produtos!$B$5:$B$54,0))),0),F259))</f>
        <v/>
      </c>
      <c r="H259" s="24" t="str">
        <f aca="false">IF(G259="","",E259*IFERROR(N(INDEX(Produtos!$F$5:$F$54,MATCH(D259,Produtos!$B$5:$B$54,0))),0))</f>
        <v/>
      </c>
      <c r="I259" s="24" t="str">
        <f aca="false">IF(G259="","",G259-H259)</f>
        <v/>
      </c>
      <c r="J259" s="37"/>
    </row>
    <row r="260" customFormat="false" ht="21" hidden="false" customHeight="true" outlineLevel="0" collapsed="false">
      <c r="B260" s="36"/>
      <c r="C260" s="7"/>
      <c r="D260" s="7"/>
      <c r="E260" s="37"/>
      <c r="F260" s="38"/>
      <c r="G260" s="24" t="str">
        <f aca="false">IF(OR(C260="",D260="",N(E260)=0),"",E260*IF(F260="",IFERROR(N(INDEX(Produtos!$K$5:$K$54,MATCH(D260,Produtos!$B$5:$B$54,0))),0),F260))</f>
        <v/>
      </c>
      <c r="H260" s="24" t="str">
        <f aca="false">IF(G260="","",E260*IFERROR(N(INDEX(Produtos!$F$5:$F$54,MATCH(D260,Produtos!$B$5:$B$54,0))),0))</f>
        <v/>
      </c>
      <c r="I260" s="24" t="str">
        <f aca="false">IF(G260="","",G260-H260)</f>
        <v/>
      </c>
      <c r="J260" s="37"/>
    </row>
    <row r="261" customFormat="false" ht="21" hidden="false" customHeight="true" outlineLevel="0" collapsed="false">
      <c r="B261" s="36"/>
      <c r="C261" s="7"/>
      <c r="D261" s="7"/>
      <c r="E261" s="37"/>
      <c r="F261" s="38"/>
      <c r="G261" s="24" t="str">
        <f aca="false">IF(OR(C261="",D261="",N(E261)=0),"",E261*IF(F261="",IFERROR(N(INDEX(Produtos!$K$5:$K$54,MATCH(D261,Produtos!$B$5:$B$54,0))),0),F261))</f>
        <v/>
      </c>
      <c r="H261" s="24" t="str">
        <f aca="false">IF(G261="","",E261*IFERROR(N(INDEX(Produtos!$F$5:$F$54,MATCH(D261,Produtos!$B$5:$B$54,0))),0))</f>
        <v/>
      </c>
      <c r="I261" s="24" t="str">
        <f aca="false">IF(G261="","",G261-H261)</f>
        <v/>
      </c>
      <c r="J261" s="37"/>
    </row>
    <row r="262" customFormat="false" ht="21" hidden="false" customHeight="true" outlineLevel="0" collapsed="false">
      <c r="B262" s="36"/>
      <c r="C262" s="7"/>
      <c r="D262" s="7"/>
      <c r="E262" s="37"/>
      <c r="F262" s="38"/>
      <c r="G262" s="24" t="str">
        <f aca="false">IF(OR(C262="",D262="",N(E262)=0),"",E262*IF(F262="",IFERROR(N(INDEX(Produtos!$K$5:$K$54,MATCH(D262,Produtos!$B$5:$B$54,0))),0),F262))</f>
        <v/>
      </c>
      <c r="H262" s="24" t="str">
        <f aca="false">IF(G262="","",E262*IFERROR(N(INDEX(Produtos!$F$5:$F$54,MATCH(D262,Produtos!$B$5:$B$54,0))),0))</f>
        <v/>
      </c>
      <c r="I262" s="24" t="str">
        <f aca="false">IF(G262="","",G262-H262)</f>
        <v/>
      </c>
      <c r="J262" s="37"/>
    </row>
    <row r="263" customFormat="false" ht="21" hidden="false" customHeight="true" outlineLevel="0" collapsed="false">
      <c r="B263" s="36"/>
      <c r="C263" s="7"/>
      <c r="D263" s="7"/>
      <c r="E263" s="37"/>
      <c r="F263" s="38"/>
      <c r="G263" s="24" t="str">
        <f aca="false">IF(OR(C263="",D263="",N(E263)=0),"",E263*IF(F263="",IFERROR(N(INDEX(Produtos!$K$5:$K$54,MATCH(D263,Produtos!$B$5:$B$54,0))),0),F263))</f>
        <v/>
      </c>
      <c r="H263" s="24" t="str">
        <f aca="false">IF(G263="","",E263*IFERROR(N(INDEX(Produtos!$F$5:$F$54,MATCH(D263,Produtos!$B$5:$B$54,0))),0))</f>
        <v/>
      </c>
      <c r="I263" s="24" t="str">
        <f aca="false">IF(G263="","",G263-H263)</f>
        <v/>
      </c>
      <c r="J263" s="37"/>
    </row>
    <row r="264" customFormat="false" ht="21" hidden="false" customHeight="true" outlineLevel="0" collapsed="false">
      <c r="B264" s="36"/>
      <c r="C264" s="7"/>
      <c r="D264" s="7"/>
      <c r="E264" s="37"/>
      <c r="F264" s="38"/>
      <c r="G264" s="24" t="str">
        <f aca="false">IF(OR(C264="",D264="",N(E264)=0),"",E264*IF(F264="",IFERROR(N(INDEX(Produtos!$K$5:$K$54,MATCH(D264,Produtos!$B$5:$B$54,0))),0),F264))</f>
        <v/>
      </c>
      <c r="H264" s="24" t="str">
        <f aca="false">IF(G264="","",E264*IFERROR(N(INDEX(Produtos!$F$5:$F$54,MATCH(D264,Produtos!$B$5:$B$54,0))),0))</f>
        <v/>
      </c>
      <c r="I264" s="24" t="str">
        <f aca="false">IF(G264="","",G264-H264)</f>
        <v/>
      </c>
      <c r="J264" s="37"/>
    </row>
    <row r="265" customFormat="false" ht="21" hidden="false" customHeight="true" outlineLevel="0" collapsed="false">
      <c r="B265" s="36"/>
      <c r="C265" s="7"/>
      <c r="D265" s="7"/>
      <c r="E265" s="37"/>
      <c r="F265" s="38"/>
      <c r="G265" s="24" t="str">
        <f aca="false">IF(OR(C265="",D265="",N(E265)=0),"",E265*IF(F265="",IFERROR(N(INDEX(Produtos!$K$5:$K$54,MATCH(D265,Produtos!$B$5:$B$54,0))),0),F265))</f>
        <v/>
      </c>
      <c r="H265" s="24" t="str">
        <f aca="false">IF(G265="","",E265*IFERROR(N(INDEX(Produtos!$F$5:$F$54,MATCH(D265,Produtos!$B$5:$B$54,0))),0))</f>
        <v/>
      </c>
      <c r="I265" s="24" t="str">
        <f aca="false">IF(G265="","",G265-H265)</f>
        <v/>
      </c>
      <c r="J265" s="37"/>
    </row>
    <row r="266" customFormat="false" ht="21" hidden="false" customHeight="true" outlineLevel="0" collapsed="false">
      <c r="B266" s="36"/>
      <c r="C266" s="7"/>
      <c r="D266" s="7"/>
      <c r="E266" s="37"/>
      <c r="F266" s="38"/>
      <c r="G266" s="24" t="str">
        <f aca="false">IF(OR(C266="",D266="",N(E266)=0),"",E266*IF(F266="",IFERROR(N(INDEX(Produtos!$K$5:$K$54,MATCH(D266,Produtos!$B$5:$B$54,0))),0),F266))</f>
        <v/>
      </c>
      <c r="H266" s="24" t="str">
        <f aca="false">IF(G266="","",E266*IFERROR(N(INDEX(Produtos!$F$5:$F$54,MATCH(D266,Produtos!$B$5:$B$54,0))),0))</f>
        <v/>
      </c>
      <c r="I266" s="24" t="str">
        <f aca="false">IF(G266="","",G266-H266)</f>
        <v/>
      </c>
      <c r="J266" s="37"/>
    </row>
    <row r="267" customFormat="false" ht="21" hidden="false" customHeight="true" outlineLevel="0" collapsed="false">
      <c r="B267" s="36"/>
      <c r="C267" s="7"/>
      <c r="D267" s="7"/>
      <c r="E267" s="37"/>
      <c r="F267" s="38"/>
      <c r="G267" s="24" t="str">
        <f aca="false">IF(OR(C267="",D267="",N(E267)=0),"",E267*IF(F267="",IFERROR(N(INDEX(Produtos!$K$5:$K$54,MATCH(D267,Produtos!$B$5:$B$54,0))),0),F267))</f>
        <v/>
      </c>
      <c r="H267" s="24" t="str">
        <f aca="false">IF(G267="","",E267*IFERROR(N(INDEX(Produtos!$F$5:$F$54,MATCH(D267,Produtos!$B$5:$B$54,0))),0))</f>
        <v/>
      </c>
      <c r="I267" s="24" t="str">
        <f aca="false">IF(G267="","",G267-H267)</f>
        <v/>
      </c>
      <c r="J267" s="37"/>
    </row>
    <row r="268" customFormat="false" ht="21" hidden="false" customHeight="true" outlineLevel="0" collapsed="false">
      <c r="B268" s="36"/>
      <c r="C268" s="7"/>
      <c r="D268" s="7"/>
      <c r="E268" s="37"/>
      <c r="F268" s="38"/>
      <c r="G268" s="24" t="str">
        <f aca="false">IF(OR(C268="",D268="",N(E268)=0),"",E268*IF(F268="",IFERROR(N(INDEX(Produtos!$K$5:$K$54,MATCH(D268,Produtos!$B$5:$B$54,0))),0),F268))</f>
        <v/>
      </c>
      <c r="H268" s="24" t="str">
        <f aca="false">IF(G268="","",E268*IFERROR(N(INDEX(Produtos!$F$5:$F$54,MATCH(D268,Produtos!$B$5:$B$54,0))),0))</f>
        <v/>
      </c>
      <c r="I268" s="24" t="str">
        <f aca="false">IF(G268="","",G268-H268)</f>
        <v/>
      </c>
      <c r="J268" s="37"/>
    </row>
    <row r="269" customFormat="false" ht="21" hidden="false" customHeight="true" outlineLevel="0" collapsed="false">
      <c r="B269" s="36"/>
      <c r="C269" s="7"/>
      <c r="D269" s="7"/>
      <c r="E269" s="37"/>
      <c r="F269" s="38"/>
      <c r="G269" s="24" t="str">
        <f aca="false">IF(OR(C269="",D269="",N(E269)=0),"",E269*IF(F269="",IFERROR(N(INDEX(Produtos!$K$5:$K$54,MATCH(D269,Produtos!$B$5:$B$54,0))),0),F269))</f>
        <v/>
      </c>
      <c r="H269" s="24" t="str">
        <f aca="false">IF(G269="","",E269*IFERROR(N(INDEX(Produtos!$F$5:$F$54,MATCH(D269,Produtos!$B$5:$B$54,0))),0))</f>
        <v/>
      </c>
      <c r="I269" s="24" t="str">
        <f aca="false">IF(G269="","",G269-H269)</f>
        <v/>
      </c>
      <c r="J269" s="37"/>
    </row>
    <row r="270" customFormat="false" ht="21" hidden="false" customHeight="true" outlineLevel="0" collapsed="false">
      <c r="B270" s="36"/>
      <c r="C270" s="7"/>
      <c r="D270" s="7"/>
      <c r="E270" s="37"/>
      <c r="F270" s="38"/>
      <c r="G270" s="24" t="str">
        <f aca="false">IF(OR(C270="",D270="",N(E270)=0),"",E270*IF(F270="",IFERROR(N(INDEX(Produtos!$K$5:$K$54,MATCH(D270,Produtos!$B$5:$B$54,0))),0),F270))</f>
        <v/>
      </c>
      <c r="H270" s="24" t="str">
        <f aca="false">IF(G270="","",E270*IFERROR(N(INDEX(Produtos!$F$5:$F$54,MATCH(D270,Produtos!$B$5:$B$54,0))),0))</f>
        <v/>
      </c>
      <c r="I270" s="24" t="str">
        <f aca="false">IF(G270="","",G270-H270)</f>
        <v/>
      </c>
      <c r="J270" s="37"/>
    </row>
    <row r="271" customFormat="false" ht="21" hidden="false" customHeight="true" outlineLevel="0" collapsed="false">
      <c r="B271" s="36"/>
      <c r="C271" s="7"/>
      <c r="D271" s="7"/>
      <c r="E271" s="37"/>
      <c r="F271" s="38"/>
      <c r="G271" s="24" t="str">
        <f aca="false">IF(OR(C271="",D271="",N(E271)=0),"",E271*IF(F271="",IFERROR(N(INDEX(Produtos!$K$5:$K$54,MATCH(D271,Produtos!$B$5:$B$54,0))),0),F271))</f>
        <v/>
      </c>
      <c r="H271" s="24" t="str">
        <f aca="false">IF(G271="","",E271*IFERROR(N(INDEX(Produtos!$F$5:$F$54,MATCH(D271,Produtos!$B$5:$B$54,0))),0))</f>
        <v/>
      </c>
      <c r="I271" s="24" t="str">
        <f aca="false">IF(G271="","",G271-H271)</f>
        <v/>
      </c>
      <c r="J271" s="37"/>
    </row>
    <row r="272" customFormat="false" ht="21" hidden="false" customHeight="true" outlineLevel="0" collapsed="false">
      <c r="B272" s="36"/>
      <c r="C272" s="7"/>
      <c r="D272" s="7"/>
      <c r="E272" s="37"/>
      <c r="F272" s="38"/>
      <c r="G272" s="24" t="str">
        <f aca="false">IF(OR(C272="",D272="",N(E272)=0),"",E272*IF(F272="",IFERROR(N(INDEX(Produtos!$K$5:$K$54,MATCH(D272,Produtos!$B$5:$B$54,0))),0),F272))</f>
        <v/>
      </c>
      <c r="H272" s="24" t="str">
        <f aca="false">IF(G272="","",E272*IFERROR(N(INDEX(Produtos!$F$5:$F$54,MATCH(D272,Produtos!$B$5:$B$54,0))),0))</f>
        <v/>
      </c>
      <c r="I272" s="24" t="str">
        <f aca="false">IF(G272="","",G272-H272)</f>
        <v/>
      </c>
      <c r="J272" s="37"/>
    </row>
    <row r="273" customFormat="false" ht="21" hidden="false" customHeight="true" outlineLevel="0" collapsed="false">
      <c r="B273" s="36"/>
      <c r="C273" s="7"/>
      <c r="D273" s="7"/>
      <c r="E273" s="37"/>
      <c r="F273" s="38"/>
      <c r="G273" s="24" t="str">
        <f aca="false">IF(OR(C273="",D273="",N(E273)=0),"",E273*IF(F273="",IFERROR(N(INDEX(Produtos!$K$5:$K$54,MATCH(D273,Produtos!$B$5:$B$54,0))),0),F273))</f>
        <v/>
      </c>
      <c r="H273" s="24" t="str">
        <f aca="false">IF(G273="","",E273*IFERROR(N(INDEX(Produtos!$F$5:$F$54,MATCH(D273,Produtos!$B$5:$B$54,0))),0))</f>
        <v/>
      </c>
      <c r="I273" s="24" t="str">
        <f aca="false">IF(G273="","",G273-H273)</f>
        <v/>
      </c>
      <c r="J273" s="37"/>
    </row>
    <row r="274" customFormat="false" ht="21" hidden="false" customHeight="true" outlineLevel="0" collapsed="false">
      <c r="B274" s="36"/>
      <c r="C274" s="7"/>
      <c r="D274" s="7"/>
      <c r="E274" s="37"/>
      <c r="F274" s="38"/>
      <c r="G274" s="24" t="str">
        <f aca="false">IF(OR(C274="",D274="",N(E274)=0),"",E274*IF(F274="",IFERROR(N(INDEX(Produtos!$K$5:$K$54,MATCH(D274,Produtos!$B$5:$B$54,0))),0),F274))</f>
        <v/>
      </c>
      <c r="H274" s="24" t="str">
        <f aca="false">IF(G274="","",E274*IFERROR(N(INDEX(Produtos!$F$5:$F$54,MATCH(D274,Produtos!$B$5:$B$54,0))),0))</f>
        <v/>
      </c>
      <c r="I274" s="24" t="str">
        <f aca="false">IF(G274="","",G274-H274)</f>
        <v/>
      </c>
      <c r="J274" s="37"/>
    </row>
    <row r="275" customFormat="false" ht="21" hidden="false" customHeight="true" outlineLevel="0" collapsed="false">
      <c r="B275" s="36"/>
      <c r="C275" s="7"/>
      <c r="D275" s="7"/>
      <c r="E275" s="37"/>
      <c r="F275" s="38"/>
      <c r="G275" s="24" t="str">
        <f aca="false">IF(OR(C275="",D275="",N(E275)=0),"",E275*IF(F275="",IFERROR(N(INDEX(Produtos!$K$5:$K$54,MATCH(D275,Produtos!$B$5:$B$54,0))),0),F275))</f>
        <v/>
      </c>
      <c r="H275" s="24" t="str">
        <f aca="false">IF(G275="","",E275*IFERROR(N(INDEX(Produtos!$F$5:$F$54,MATCH(D275,Produtos!$B$5:$B$54,0))),0))</f>
        <v/>
      </c>
      <c r="I275" s="24" t="str">
        <f aca="false">IF(G275="","",G275-H275)</f>
        <v/>
      </c>
      <c r="J275" s="37"/>
    </row>
    <row r="276" customFormat="false" ht="21" hidden="false" customHeight="true" outlineLevel="0" collapsed="false">
      <c r="B276" s="36"/>
      <c r="C276" s="7"/>
      <c r="D276" s="7"/>
      <c r="E276" s="37"/>
      <c r="F276" s="38"/>
      <c r="G276" s="24" t="str">
        <f aca="false">IF(OR(C276="",D276="",N(E276)=0),"",E276*IF(F276="",IFERROR(N(INDEX(Produtos!$K$5:$K$54,MATCH(D276,Produtos!$B$5:$B$54,0))),0),F276))</f>
        <v/>
      </c>
      <c r="H276" s="24" t="str">
        <f aca="false">IF(G276="","",E276*IFERROR(N(INDEX(Produtos!$F$5:$F$54,MATCH(D276,Produtos!$B$5:$B$54,0))),0))</f>
        <v/>
      </c>
      <c r="I276" s="24" t="str">
        <f aca="false">IF(G276="","",G276-H276)</f>
        <v/>
      </c>
      <c r="J276" s="37"/>
    </row>
    <row r="277" customFormat="false" ht="21" hidden="false" customHeight="true" outlineLevel="0" collapsed="false">
      <c r="B277" s="36"/>
      <c r="C277" s="7"/>
      <c r="D277" s="7"/>
      <c r="E277" s="37"/>
      <c r="F277" s="38"/>
      <c r="G277" s="24" t="str">
        <f aca="false">IF(OR(C277="",D277="",N(E277)=0),"",E277*IF(F277="",IFERROR(N(INDEX(Produtos!$K$5:$K$54,MATCH(D277,Produtos!$B$5:$B$54,0))),0),F277))</f>
        <v/>
      </c>
      <c r="H277" s="24" t="str">
        <f aca="false">IF(G277="","",E277*IFERROR(N(INDEX(Produtos!$F$5:$F$54,MATCH(D277,Produtos!$B$5:$B$54,0))),0))</f>
        <v/>
      </c>
      <c r="I277" s="24" t="str">
        <f aca="false">IF(G277="","",G277-H277)</f>
        <v/>
      </c>
      <c r="J277" s="37"/>
    </row>
    <row r="278" customFormat="false" ht="21" hidden="false" customHeight="true" outlineLevel="0" collapsed="false">
      <c r="B278" s="36"/>
      <c r="C278" s="7"/>
      <c r="D278" s="7"/>
      <c r="E278" s="37"/>
      <c r="F278" s="38"/>
      <c r="G278" s="24" t="str">
        <f aca="false">IF(OR(C278="",D278="",N(E278)=0),"",E278*IF(F278="",IFERROR(N(INDEX(Produtos!$K$5:$K$54,MATCH(D278,Produtos!$B$5:$B$54,0))),0),F278))</f>
        <v/>
      </c>
      <c r="H278" s="24" t="str">
        <f aca="false">IF(G278="","",E278*IFERROR(N(INDEX(Produtos!$F$5:$F$54,MATCH(D278,Produtos!$B$5:$B$54,0))),0))</f>
        <v/>
      </c>
      <c r="I278" s="24" t="str">
        <f aca="false">IF(G278="","",G278-H278)</f>
        <v/>
      </c>
      <c r="J278" s="37"/>
    </row>
    <row r="279" customFormat="false" ht="21" hidden="false" customHeight="true" outlineLevel="0" collapsed="false">
      <c r="B279" s="36"/>
      <c r="C279" s="7"/>
      <c r="D279" s="7"/>
      <c r="E279" s="37"/>
      <c r="F279" s="38"/>
      <c r="G279" s="24" t="str">
        <f aca="false">IF(OR(C279="",D279="",N(E279)=0),"",E279*IF(F279="",IFERROR(N(INDEX(Produtos!$K$5:$K$54,MATCH(D279,Produtos!$B$5:$B$54,0))),0),F279))</f>
        <v/>
      </c>
      <c r="H279" s="24" t="str">
        <f aca="false">IF(G279="","",E279*IFERROR(N(INDEX(Produtos!$F$5:$F$54,MATCH(D279,Produtos!$B$5:$B$54,0))),0))</f>
        <v/>
      </c>
      <c r="I279" s="24" t="str">
        <f aca="false">IF(G279="","",G279-H279)</f>
        <v/>
      </c>
      <c r="J279" s="37"/>
    </row>
    <row r="280" customFormat="false" ht="21" hidden="false" customHeight="true" outlineLevel="0" collapsed="false">
      <c r="B280" s="36"/>
      <c r="C280" s="7"/>
      <c r="D280" s="7"/>
      <c r="E280" s="37"/>
      <c r="F280" s="38"/>
      <c r="G280" s="24" t="str">
        <f aca="false">IF(OR(C280="",D280="",N(E280)=0),"",E280*IF(F280="",IFERROR(N(INDEX(Produtos!$K$5:$K$54,MATCH(D280,Produtos!$B$5:$B$54,0))),0),F280))</f>
        <v/>
      </c>
      <c r="H280" s="24" t="str">
        <f aca="false">IF(G280="","",E280*IFERROR(N(INDEX(Produtos!$F$5:$F$54,MATCH(D280,Produtos!$B$5:$B$54,0))),0))</f>
        <v/>
      </c>
      <c r="I280" s="24" t="str">
        <f aca="false">IF(G280="","",G280-H280)</f>
        <v/>
      </c>
      <c r="J280" s="37"/>
    </row>
    <row r="281" customFormat="false" ht="21" hidden="false" customHeight="true" outlineLevel="0" collapsed="false">
      <c r="B281" s="36"/>
      <c r="C281" s="7"/>
      <c r="D281" s="7"/>
      <c r="E281" s="37"/>
      <c r="F281" s="38"/>
      <c r="G281" s="24" t="str">
        <f aca="false">IF(OR(C281="",D281="",N(E281)=0),"",E281*IF(F281="",IFERROR(N(INDEX(Produtos!$K$5:$K$54,MATCH(D281,Produtos!$B$5:$B$54,0))),0),F281))</f>
        <v/>
      </c>
      <c r="H281" s="24" t="str">
        <f aca="false">IF(G281="","",E281*IFERROR(N(INDEX(Produtos!$F$5:$F$54,MATCH(D281,Produtos!$B$5:$B$54,0))),0))</f>
        <v/>
      </c>
      <c r="I281" s="24" t="str">
        <f aca="false">IF(G281="","",G281-H281)</f>
        <v/>
      </c>
      <c r="J281" s="37"/>
    </row>
    <row r="282" customFormat="false" ht="21" hidden="false" customHeight="true" outlineLevel="0" collapsed="false">
      <c r="B282" s="36"/>
      <c r="C282" s="7"/>
      <c r="D282" s="7"/>
      <c r="E282" s="37"/>
      <c r="F282" s="38"/>
      <c r="G282" s="24" t="str">
        <f aca="false">IF(OR(C282="",D282="",N(E282)=0),"",E282*IF(F282="",IFERROR(N(INDEX(Produtos!$K$5:$K$54,MATCH(D282,Produtos!$B$5:$B$54,0))),0),F282))</f>
        <v/>
      </c>
      <c r="H282" s="24" t="str">
        <f aca="false">IF(G282="","",E282*IFERROR(N(INDEX(Produtos!$F$5:$F$54,MATCH(D282,Produtos!$B$5:$B$54,0))),0))</f>
        <v/>
      </c>
      <c r="I282" s="24" t="str">
        <f aca="false">IF(G282="","",G282-H282)</f>
        <v/>
      </c>
      <c r="J282" s="37"/>
    </row>
    <row r="283" customFormat="false" ht="21" hidden="false" customHeight="true" outlineLevel="0" collapsed="false">
      <c r="B283" s="36"/>
      <c r="C283" s="7"/>
      <c r="D283" s="7"/>
      <c r="E283" s="37"/>
      <c r="F283" s="38"/>
      <c r="G283" s="24" t="str">
        <f aca="false">IF(OR(C283="",D283="",N(E283)=0),"",E283*IF(F283="",IFERROR(N(INDEX(Produtos!$K$5:$K$54,MATCH(D283,Produtos!$B$5:$B$54,0))),0),F283))</f>
        <v/>
      </c>
      <c r="H283" s="24" t="str">
        <f aca="false">IF(G283="","",E283*IFERROR(N(INDEX(Produtos!$F$5:$F$54,MATCH(D283,Produtos!$B$5:$B$54,0))),0))</f>
        <v/>
      </c>
      <c r="I283" s="24" t="str">
        <f aca="false">IF(G283="","",G283-H283)</f>
        <v/>
      </c>
      <c r="J283" s="37"/>
    </row>
    <row r="284" customFormat="false" ht="21" hidden="false" customHeight="true" outlineLevel="0" collapsed="false">
      <c r="B284" s="36"/>
      <c r="C284" s="7"/>
      <c r="D284" s="7"/>
      <c r="E284" s="37"/>
      <c r="F284" s="38"/>
      <c r="G284" s="24" t="str">
        <f aca="false">IF(OR(C284="",D284="",N(E284)=0),"",E284*IF(F284="",IFERROR(N(INDEX(Produtos!$K$5:$K$54,MATCH(D284,Produtos!$B$5:$B$54,0))),0),F284))</f>
        <v/>
      </c>
      <c r="H284" s="24" t="str">
        <f aca="false">IF(G284="","",E284*IFERROR(N(INDEX(Produtos!$F$5:$F$54,MATCH(D284,Produtos!$B$5:$B$54,0))),0))</f>
        <v/>
      </c>
      <c r="I284" s="24" t="str">
        <f aca="false">IF(G284="","",G284-H284)</f>
        <v/>
      </c>
      <c r="J284" s="37"/>
    </row>
    <row r="285" customFormat="false" ht="21" hidden="false" customHeight="true" outlineLevel="0" collapsed="false">
      <c r="B285" s="36"/>
      <c r="C285" s="7"/>
      <c r="D285" s="7"/>
      <c r="E285" s="37"/>
      <c r="F285" s="38"/>
      <c r="G285" s="24" t="str">
        <f aca="false">IF(OR(C285="",D285="",N(E285)=0),"",E285*IF(F285="",IFERROR(N(INDEX(Produtos!$K$5:$K$54,MATCH(D285,Produtos!$B$5:$B$54,0))),0),F285))</f>
        <v/>
      </c>
      <c r="H285" s="24" t="str">
        <f aca="false">IF(G285="","",E285*IFERROR(N(INDEX(Produtos!$F$5:$F$54,MATCH(D285,Produtos!$B$5:$B$54,0))),0))</f>
        <v/>
      </c>
      <c r="I285" s="24" t="str">
        <f aca="false">IF(G285="","",G285-H285)</f>
        <v/>
      </c>
      <c r="J285" s="37"/>
    </row>
    <row r="286" customFormat="false" ht="21" hidden="false" customHeight="true" outlineLevel="0" collapsed="false">
      <c r="B286" s="36"/>
      <c r="C286" s="7"/>
      <c r="D286" s="7"/>
      <c r="E286" s="37"/>
      <c r="F286" s="38"/>
      <c r="G286" s="24" t="str">
        <f aca="false">IF(OR(C286="",D286="",N(E286)=0),"",E286*IF(F286="",IFERROR(N(INDEX(Produtos!$K$5:$K$54,MATCH(D286,Produtos!$B$5:$B$54,0))),0),F286))</f>
        <v/>
      </c>
      <c r="H286" s="24" t="str">
        <f aca="false">IF(G286="","",E286*IFERROR(N(INDEX(Produtos!$F$5:$F$54,MATCH(D286,Produtos!$B$5:$B$54,0))),0))</f>
        <v/>
      </c>
      <c r="I286" s="24" t="str">
        <f aca="false">IF(G286="","",G286-H286)</f>
        <v/>
      </c>
      <c r="J286" s="37"/>
    </row>
    <row r="287" customFormat="false" ht="21" hidden="false" customHeight="true" outlineLevel="0" collapsed="false">
      <c r="B287" s="36"/>
      <c r="C287" s="7"/>
      <c r="D287" s="7"/>
      <c r="E287" s="37"/>
      <c r="F287" s="38"/>
      <c r="G287" s="24" t="str">
        <f aca="false">IF(OR(C287="",D287="",N(E287)=0),"",E287*IF(F287="",IFERROR(N(INDEX(Produtos!$K$5:$K$54,MATCH(D287,Produtos!$B$5:$B$54,0))),0),F287))</f>
        <v/>
      </c>
      <c r="H287" s="24" t="str">
        <f aca="false">IF(G287="","",E287*IFERROR(N(INDEX(Produtos!$F$5:$F$54,MATCH(D287,Produtos!$B$5:$B$54,0))),0))</f>
        <v/>
      </c>
      <c r="I287" s="24" t="str">
        <f aca="false">IF(G287="","",G287-H287)</f>
        <v/>
      </c>
      <c r="J287" s="37"/>
    </row>
    <row r="288" customFormat="false" ht="21" hidden="false" customHeight="true" outlineLevel="0" collapsed="false">
      <c r="B288" s="36"/>
      <c r="C288" s="7"/>
      <c r="D288" s="7"/>
      <c r="E288" s="37"/>
      <c r="F288" s="38"/>
      <c r="G288" s="24" t="str">
        <f aca="false">IF(OR(C288="",D288="",N(E288)=0),"",E288*IF(F288="",IFERROR(N(INDEX(Produtos!$K$5:$K$54,MATCH(D288,Produtos!$B$5:$B$54,0))),0),F288))</f>
        <v/>
      </c>
      <c r="H288" s="24" t="str">
        <f aca="false">IF(G288="","",E288*IFERROR(N(INDEX(Produtos!$F$5:$F$54,MATCH(D288,Produtos!$B$5:$B$54,0))),0))</f>
        <v/>
      </c>
      <c r="I288" s="24" t="str">
        <f aca="false">IF(G288="","",G288-H288)</f>
        <v/>
      </c>
      <c r="J288" s="37"/>
    </row>
    <row r="289" customFormat="false" ht="21" hidden="false" customHeight="true" outlineLevel="0" collapsed="false">
      <c r="B289" s="36"/>
      <c r="C289" s="7"/>
      <c r="D289" s="7"/>
      <c r="E289" s="37"/>
      <c r="F289" s="38"/>
      <c r="G289" s="24" t="str">
        <f aca="false">IF(OR(C289="",D289="",N(E289)=0),"",E289*IF(F289="",IFERROR(N(INDEX(Produtos!$K$5:$K$54,MATCH(D289,Produtos!$B$5:$B$54,0))),0),F289))</f>
        <v/>
      </c>
      <c r="H289" s="24" t="str">
        <f aca="false">IF(G289="","",E289*IFERROR(N(INDEX(Produtos!$F$5:$F$54,MATCH(D289,Produtos!$B$5:$B$54,0))),0))</f>
        <v/>
      </c>
      <c r="I289" s="24" t="str">
        <f aca="false">IF(G289="","",G289-H289)</f>
        <v/>
      </c>
      <c r="J289" s="37"/>
    </row>
    <row r="290" customFormat="false" ht="21" hidden="false" customHeight="true" outlineLevel="0" collapsed="false">
      <c r="B290" s="36"/>
      <c r="C290" s="7"/>
      <c r="D290" s="7"/>
      <c r="E290" s="37"/>
      <c r="F290" s="38"/>
      <c r="G290" s="24" t="str">
        <f aca="false">IF(OR(C290="",D290="",N(E290)=0),"",E290*IF(F290="",IFERROR(N(INDEX(Produtos!$K$5:$K$54,MATCH(D290,Produtos!$B$5:$B$54,0))),0),F290))</f>
        <v/>
      </c>
      <c r="H290" s="24" t="str">
        <f aca="false">IF(G290="","",E290*IFERROR(N(INDEX(Produtos!$F$5:$F$54,MATCH(D290,Produtos!$B$5:$B$54,0))),0))</f>
        <v/>
      </c>
      <c r="I290" s="24" t="str">
        <f aca="false">IF(G290="","",G290-H290)</f>
        <v/>
      </c>
      <c r="J290" s="37"/>
    </row>
    <row r="291" customFormat="false" ht="21" hidden="false" customHeight="true" outlineLevel="0" collapsed="false">
      <c r="B291" s="36"/>
      <c r="C291" s="7"/>
      <c r="D291" s="7"/>
      <c r="E291" s="37"/>
      <c r="F291" s="38"/>
      <c r="G291" s="24" t="str">
        <f aca="false">IF(OR(C291="",D291="",N(E291)=0),"",E291*IF(F291="",IFERROR(N(INDEX(Produtos!$K$5:$K$54,MATCH(D291,Produtos!$B$5:$B$54,0))),0),F291))</f>
        <v/>
      </c>
      <c r="H291" s="24" t="str">
        <f aca="false">IF(G291="","",E291*IFERROR(N(INDEX(Produtos!$F$5:$F$54,MATCH(D291,Produtos!$B$5:$B$54,0))),0))</f>
        <v/>
      </c>
      <c r="I291" s="24" t="str">
        <f aca="false">IF(G291="","",G291-H291)</f>
        <v/>
      </c>
      <c r="J291" s="37"/>
    </row>
    <row r="292" customFormat="false" ht="21" hidden="false" customHeight="true" outlineLevel="0" collapsed="false">
      <c r="B292" s="36"/>
      <c r="C292" s="7"/>
      <c r="D292" s="7"/>
      <c r="E292" s="37"/>
      <c r="F292" s="38"/>
      <c r="G292" s="24" t="str">
        <f aca="false">IF(OR(C292="",D292="",N(E292)=0),"",E292*IF(F292="",IFERROR(N(INDEX(Produtos!$K$5:$K$54,MATCH(D292,Produtos!$B$5:$B$54,0))),0),F292))</f>
        <v/>
      </c>
      <c r="H292" s="24" t="str">
        <f aca="false">IF(G292="","",E292*IFERROR(N(INDEX(Produtos!$F$5:$F$54,MATCH(D292,Produtos!$B$5:$B$54,0))),0))</f>
        <v/>
      </c>
      <c r="I292" s="24" t="str">
        <f aca="false">IF(G292="","",G292-H292)</f>
        <v/>
      </c>
      <c r="J292" s="37"/>
    </row>
    <row r="293" customFormat="false" ht="21" hidden="false" customHeight="true" outlineLevel="0" collapsed="false">
      <c r="B293" s="36"/>
      <c r="C293" s="7"/>
      <c r="D293" s="7"/>
      <c r="E293" s="37"/>
      <c r="F293" s="38"/>
      <c r="G293" s="24" t="str">
        <f aca="false">IF(OR(C293="",D293="",N(E293)=0),"",E293*IF(F293="",IFERROR(N(INDEX(Produtos!$K$5:$K$54,MATCH(D293,Produtos!$B$5:$B$54,0))),0),F293))</f>
        <v/>
      </c>
      <c r="H293" s="24" t="str">
        <f aca="false">IF(G293="","",E293*IFERROR(N(INDEX(Produtos!$F$5:$F$54,MATCH(D293,Produtos!$B$5:$B$54,0))),0))</f>
        <v/>
      </c>
      <c r="I293" s="24" t="str">
        <f aca="false">IF(G293="","",G293-H293)</f>
        <v/>
      </c>
      <c r="J293" s="37"/>
    </row>
    <row r="294" customFormat="false" ht="21" hidden="false" customHeight="true" outlineLevel="0" collapsed="false">
      <c r="B294" s="36"/>
      <c r="C294" s="7"/>
      <c r="D294" s="7"/>
      <c r="E294" s="37"/>
      <c r="F294" s="38"/>
      <c r="G294" s="24" t="str">
        <f aca="false">IF(OR(C294="",D294="",N(E294)=0),"",E294*IF(F294="",IFERROR(N(INDEX(Produtos!$K$5:$K$54,MATCH(D294,Produtos!$B$5:$B$54,0))),0),F294))</f>
        <v/>
      </c>
      <c r="H294" s="24" t="str">
        <f aca="false">IF(G294="","",E294*IFERROR(N(INDEX(Produtos!$F$5:$F$54,MATCH(D294,Produtos!$B$5:$B$54,0))),0))</f>
        <v/>
      </c>
      <c r="I294" s="24" t="str">
        <f aca="false">IF(G294="","",G294-H294)</f>
        <v/>
      </c>
      <c r="J294" s="37"/>
    </row>
    <row r="295" customFormat="false" ht="21" hidden="false" customHeight="true" outlineLevel="0" collapsed="false">
      <c r="B295" s="36"/>
      <c r="C295" s="7"/>
      <c r="D295" s="7"/>
      <c r="E295" s="37"/>
      <c r="F295" s="38"/>
      <c r="G295" s="24" t="str">
        <f aca="false">IF(OR(C295="",D295="",N(E295)=0),"",E295*IF(F295="",IFERROR(N(INDEX(Produtos!$K$5:$K$54,MATCH(D295,Produtos!$B$5:$B$54,0))),0),F295))</f>
        <v/>
      </c>
      <c r="H295" s="24" t="str">
        <f aca="false">IF(G295="","",E295*IFERROR(N(INDEX(Produtos!$F$5:$F$54,MATCH(D295,Produtos!$B$5:$B$54,0))),0))</f>
        <v/>
      </c>
      <c r="I295" s="24" t="str">
        <f aca="false">IF(G295="","",G295-H295)</f>
        <v/>
      </c>
      <c r="J295" s="37"/>
    </row>
    <row r="296" customFormat="false" ht="21" hidden="false" customHeight="true" outlineLevel="0" collapsed="false">
      <c r="B296" s="36"/>
      <c r="C296" s="7"/>
      <c r="D296" s="7"/>
      <c r="E296" s="37"/>
      <c r="F296" s="38"/>
      <c r="G296" s="24" t="str">
        <f aca="false">IF(OR(C296="",D296="",N(E296)=0),"",E296*IF(F296="",IFERROR(N(INDEX(Produtos!$K$5:$K$54,MATCH(D296,Produtos!$B$5:$B$54,0))),0),F296))</f>
        <v/>
      </c>
      <c r="H296" s="24" t="str">
        <f aca="false">IF(G296="","",E296*IFERROR(N(INDEX(Produtos!$F$5:$F$54,MATCH(D296,Produtos!$B$5:$B$54,0))),0))</f>
        <v/>
      </c>
      <c r="I296" s="24" t="str">
        <f aca="false">IF(G296="","",G296-H296)</f>
        <v/>
      </c>
      <c r="J296" s="37"/>
    </row>
    <row r="297" customFormat="false" ht="21" hidden="false" customHeight="true" outlineLevel="0" collapsed="false">
      <c r="B297" s="36"/>
      <c r="C297" s="7"/>
      <c r="D297" s="7"/>
      <c r="E297" s="37"/>
      <c r="F297" s="38"/>
      <c r="G297" s="24" t="str">
        <f aca="false">IF(OR(C297="",D297="",N(E297)=0),"",E297*IF(F297="",IFERROR(N(INDEX(Produtos!$K$5:$K$54,MATCH(D297,Produtos!$B$5:$B$54,0))),0),F297))</f>
        <v/>
      </c>
      <c r="H297" s="24" t="str">
        <f aca="false">IF(G297="","",E297*IFERROR(N(INDEX(Produtos!$F$5:$F$54,MATCH(D297,Produtos!$B$5:$B$54,0))),0))</f>
        <v/>
      </c>
      <c r="I297" s="24" t="str">
        <f aca="false">IF(G297="","",G297-H297)</f>
        <v/>
      </c>
      <c r="J297" s="37"/>
    </row>
    <row r="298" customFormat="false" ht="21" hidden="false" customHeight="true" outlineLevel="0" collapsed="false">
      <c r="B298" s="36"/>
      <c r="C298" s="7"/>
      <c r="D298" s="7"/>
      <c r="E298" s="37"/>
      <c r="F298" s="38"/>
      <c r="G298" s="24" t="str">
        <f aca="false">IF(OR(C298="",D298="",N(E298)=0),"",E298*IF(F298="",IFERROR(N(INDEX(Produtos!$K$5:$K$54,MATCH(D298,Produtos!$B$5:$B$54,0))),0),F298))</f>
        <v/>
      </c>
      <c r="H298" s="24" t="str">
        <f aca="false">IF(G298="","",E298*IFERROR(N(INDEX(Produtos!$F$5:$F$54,MATCH(D298,Produtos!$B$5:$B$54,0))),0))</f>
        <v/>
      </c>
      <c r="I298" s="24" t="str">
        <f aca="false">IF(G298="","",G298-H298)</f>
        <v/>
      </c>
      <c r="J298" s="37"/>
    </row>
    <row r="299" customFormat="false" ht="21" hidden="false" customHeight="true" outlineLevel="0" collapsed="false">
      <c r="B299" s="36"/>
      <c r="C299" s="7"/>
      <c r="D299" s="7"/>
      <c r="E299" s="37"/>
      <c r="F299" s="38"/>
      <c r="G299" s="24" t="str">
        <f aca="false">IF(OR(C299="",D299="",N(E299)=0),"",E299*IF(F299="",IFERROR(N(INDEX(Produtos!$K$5:$K$54,MATCH(D299,Produtos!$B$5:$B$54,0))),0),F299))</f>
        <v/>
      </c>
      <c r="H299" s="24" t="str">
        <f aca="false">IF(G299="","",E299*IFERROR(N(INDEX(Produtos!$F$5:$F$54,MATCH(D299,Produtos!$B$5:$B$54,0))),0))</f>
        <v/>
      </c>
      <c r="I299" s="24" t="str">
        <f aca="false">IF(G299="","",G299-H299)</f>
        <v/>
      </c>
      <c r="J299" s="37"/>
    </row>
    <row r="300" customFormat="false" ht="21" hidden="false" customHeight="true" outlineLevel="0" collapsed="false">
      <c r="B300" s="36"/>
      <c r="C300" s="7"/>
      <c r="D300" s="7"/>
      <c r="E300" s="37"/>
      <c r="F300" s="38"/>
      <c r="G300" s="24" t="str">
        <f aca="false">IF(OR(C300="",D300="",N(E300)=0),"",E300*IF(F300="",IFERROR(N(INDEX(Produtos!$K$5:$K$54,MATCH(D300,Produtos!$B$5:$B$54,0))),0),F300))</f>
        <v/>
      </c>
      <c r="H300" s="24" t="str">
        <f aca="false">IF(G300="","",E300*IFERROR(N(INDEX(Produtos!$F$5:$F$54,MATCH(D300,Produtos!$B$5:$B$54,0))),0))</f>
        <v/>
      </c>
      <c r="I300" s="24" t="str">
        <f aca="false">IF(G300="","",G300-H300)</f>
        <v/>
      </c>
      <c r="J300" s="37"/>
    </row>
    <row r="301" customFormat="false" ht="21" hidden="false" customHeight="true" outlineLevel="0" collapsed="false">
      <c r="B301" s="36"/>
      <c r="C301" s="7"/>
      <c r="D301" s="7"/>
      <c r="E301" s="37"/>
      <c r="F301" s="38"/>
      <c r="G301" s="24" t="str">
        <f aca="false">IF(OR(C301="",D301="",N(E301)=0),"",E301*IF(F301="",IFERROR(N(INDEX(Produtos!$K$5:$K$54,MATCH(D301,Produtos!$B$5:$B$54,0))),0),F301))</f>
        <v/>
      </c>
      <c r="H301" s="24" t="str">
        <f aca="false">IF(G301="","",E301*IFERROR(N(INDEX(Produtos!$F$5:$F$54,MATCH(D301,Produtos!$B$5:$B$54,0))),0))</f>
        <v/>
      </c>
      <c r="I301" s="24" t="str">
        <f aca="false">IF(G301="","",G301-H301)</f>
        <v/>
      </c>
      <c r="J301" s="37"/>
    </row>
    <row r="302" customFormat="false" ht="21" hidden="false" customHeight="true" outlineLevel="0" collapsed="false">
      <c r="B302" s="36"/>
      <c r="C302" s="7"/>
      <c r="D302" s="7"/>
      <c r="E302" s="37"/>
      <c r="F302" s="38"/>
      <c r="G302" s="24" t="str">
        <f aca="false">IF(OR(C302="",D302="",N(E302)=0),"",E302*IF(F302="",IFERROR(N(INDEX(Produtos!$K$5:$K$54,MATCH(D302,Produtos!$B$5:$B$54,0))),0),F302))</f>
        <v/>
      </c>
      <c r="H302" s="24" t="str">
        <f aca="false">IF(G302="","",E302*IFERROR(N(INDEX(Produtos!$F$5:$F$54,MATCH(D302,Produtos!$B$5:$B$54,0))),0))</f>
        <v/>
      </c>
      <c r="I302" s="24" t="str">
        <f aca="false">IF(G302="","",G302-H302)</f>
        <v/>
      </c>
      <c r="J302" s="37"/>
    </row>
    <row r="303" customFormat="false" ht="21" hidden="false" customHeight="true" outlineLevel="0" collapsed="false">
      <c r="B303" s="36"/>
      <c r="C303" s="7"/>
      <c r="D303" s="7"/>
      <c r="E303" s="37"/>
      <c r="F303" s="38"/>
      <c r="G303" s="24" t="str">
        <f aca="false">IF(OR(C303="",D303="",N(E303)=0),"",E303*IF(F303="",IFERROR(N(INDEX(Produtos!$K$5:$K$54,MATCH(D303,Produtos!$B$5:$B$54,0))),0),F303))</f>
        <v/>
      </c>
      <c r="H303" s="24" t="str">
        <f aca="false">IF(G303="","",E303*IFERROR(N(INDEX(Produtos!$F$5:$F$54,MATCH(D303,Produtos!$B$5:$B$54,0))),0))</f>
        <v/>
      </c>
      <c r="I303" s="24" t="str">
        <f aca="false">IF(G303="","",G303-H303)</f>
        <v/>
      </c>
      <c r="J303" s="37"/>
    </row>
    <row r="304" customFormat="false" ht="21" hidden="false" customHeight="true" outlineLevel="0" collapsed="false">
      <c r="B304" s="36"/>
      <c r="C304" s="7"/>
      <c r="D304" s="7"/>
      <c r="E304" s="37"/>
      <c r="F304" s="38"/>
      <c r="G304" s="24" t="str">
        <f aca="false">IF(OR(C304="",D304="",N(E304)=0),"",E304*IF(F304="",IFERROR(N(INDEX(Produtos!$K$5:$K$54,MATCH(D304,Produtos!$B$5:$B$54,0))),0),F304))</f>
        <v/>
      </c>
      <c r="H304" s="24" t="str">
        <f aca="false">IF(G304="","",E304*IFERROR(N(INDEX(Produtos!$F$5:$F$54,MATCH(D304,Produtos!$B$5:$B$54,0))),0))</f>
        <v/>
      </c>
      <c r="I304" s="24" t="str">
        <f aca="false">IF(G304="","",G304-H304)</f>
        <v/>
      </c>
      <c r="J304" s="37"/>
    </row>
    <row r="305" customFormat="false" ht="21" hidden="false" customHeight="true" outlineLevel="0" collapsed="false">
      <c r="B305" s="36"/>
      <c r="C305" s="7"/>
      <c r="D305" s="7"/>
      <c r="E305" s="37"/>
      <c r="F305" s="38"/>
      <c r="G305" s="24" t="str">
        <f aca="false">IF(OR(C305="",D305="",N(E305)=0),"",E305*IF(F305="",IFERROR(N(INDEX(Produtos!$K$5:$K$54,MATCH(D305,Produtos!$B$5:$B$54,0))),0),F305))</f>
        <v/>
      </c>
      <c r="H305" s="24" t="str">
        <f aca="false">IF(G305="","",E305*IFERROR(N(INDEX(Produtos!$F$5:$F$54,MATCH(D305,Produtos!$B$5:$B$54,0))),0))</f>
        <v/>
      </c>
      <c r="I305" s="24" t="str">
        <f aca="false">IF(G305="","",G305-H305)</f>
        <v/>
      </c>
      <c r="J305" s="37"/>
    </row>
    <row r="306" customFormat="false" ht="21" hidden="false" customHeight="true" outlineLevel="0" collapsed="false">
      <c r="B306" s="36"/>
      <c r="C306" s="7"/>
      <c r="D306" s="7"/>
      <c r="E306" s="37"/>
      <c r="F306" s="38"/>
      <c r="G306" s="24" t="str">
        <f aca="false">IF(OR(C306="",D306="",N(E306)=0),"",E306*IF(F306="",IFERROR(N(INDEX(Produtos!$K$5:$K$54,MATCH(D306,Produtos!$B$5:$B$54,0))),0),F306))</f>
        <v/>
      </c>
      <c r="H306" s="24" t="str">
        <f aca="false">IF(G306="","",E306*IFERROR(N(INDEX(Produtos!$F$5:$F$54,MATCH(D306,Produtos!$B$5:$B$54,0))),0))</f>
        <v/>
      </c>
      <c r="I306" s="24" t="str">
        <f aca="false">IF(G306="","",G306-H306)</f>
        <v/>
      </c>
      <c r="J306" s="37"/>
    </row>
    <row r="307" customFormat="false" ht="21" hidden="false" customHeight="true" outlineLevel="0" collapsed="false">
      <c r="B307" s="36"/>
      <c r="C307" s="7"/>
      <c r="D307" s="7"/>
      <c r="E307" s="37"/>
      <c r="F307" s="38"/>
      <c r="G307" s="24" t="str">
        <f aca="false">IF(OR(C307="",D307="",N(E307)=0),"",E307*IF(F307="",IFERROR(N(INDEX(Produtos!$K$5:$K$54,MATCH(D307,Produtos!$B$5:$B$54,0))),0),F307))</f>
        <v/>
      </c>
      <c r="H307" s="24" t="str">
        <f aca="false">IF(G307="","",E307*IFERROR(N(INDEX(Produtos!$F$5:$F$54,MATCH(D307,Produtos!$B$5:$B$54,0))),0))</f>
        <v/>
      </c>
      <c r="I307" s="24" t="str">
        <f aca="false">IF(G307="","",G307-H307)</f>
        <v/>
      </c>
      <c r="J307" s="37"/>
    </row>
    <row r="308" customFormat="false" ht="21" hidden="false" customHeight="true" outlineLevel="0" collapsed="false">
      <c r="B308" s="36"/>
      <c r="C308" s="7"/>
      <c r="D308" s="7"/>
      <c r="E308" s="37"/>
      <c r="F308" s="38"/>
      <c r="G308" s="24" t="str">
        <f aca="false">IF(OR(C308="",D308="",N(E308)=0),"",E308*IF(F308="",IFERROR(N(INDEX(Produtos!$K$5:$K$54,MATCH(D308,Produtos!$B$5:$B$54,0))),0),F308))</f>
        <v/>
      </c>
      <c r="H308" s="24" t="str">
        <f aca="false">IF(G308="","",E308*IFERROR(N(INDEX(Produtos!$F$5:$F$54,MATCH(D308,Produtos!$B$5:$B$54,0))),0))</f>
        <v/>
      </c>
      <c r="I308" s="24" t="str">
        <f aca="false">IF(G308="","",G308-H308)</f>
        <v/>
      </c>
      <c r="J308" s="37"/>
    </row>
    <row r="309" customFormat="false" ht="21" hidden="false" customHeight="true" outlineLevel="0" collapsed="false">
      <c r="B309" s="36"/>
      <c r="C309" s="7"/>
      <c r="D309" s="7"/>
      <c r="E309" s="37"/>
      <c r="F309" s="38"/>
      <c r="G309" s="24" t="str">
        <f aca="false">IF(OR(C309="",D309="",N(E309)=0),"",E309*IF(F309="",IFERROR(N(INDEX(Produtos!$K$5:$K$54,MATCH(D309,Produtos!$B$5:$B$54,0))),0),F309))</f>
        <v/>
      </c>
      <c r="H309" s="24" t="str">
        <f aca="false">IF(G309="","",E309*IFERROR(N(INDEX(Produtos!$F$5:$F$54,MATCH(D309,Produtos!$B$5:$B$54,0))),0))</f>
        <v/>
      </c>
      <c r="I309" s="24" t="str">
        <f aca="false">IF(G309="","",G309-H309)</f>
        <v/>
      </c>
      <c r="J309" s="37"/>
    </row>
    <row r="310" customFormat="false" ht="21" hidden="false" customHeight="true" outlineLevel="0" collapsed="false">
      <c r="B310" s="36"/>
      <c r="C310" s="7"/>
      <c r="D310" s="7"/>
      <c r="E310" s="37"/>
      <c r="F310" s="38"/>
      <c r="G310" s="24" t="str">
        <f aca="false">IF(OR(C310="",D310="",N(E310)=0),"",E310*IF(F310="",IFERROR(N(INDEX(Produtos!$K$5:$K$54,MATCH(D310,Produtos!$B$5:$B$54,0))),0),F310))</f>
        <v/>
      </c>
      <c r="H310" s="24" t="str">
        <f aca="false">IF(G310="","",E310*IFERROR(N(INDEX(Produtos!$F$5:$F$54,MATCH(D310,Produtos!$B$5:$B$54,0))),0))</f>
        <v/>
      </c>
      <c r="I310" s="24" t="str">
        <f aca="false">IF(G310="","",G310-H310)</f>
        <v/>
      </c>
      <c r="J310" s="37"/>
    </row>
    <row r="311" customFormat="false" ht="21" hidden="false" customHeight="true" outlineLevel="0" collapsed="false">
      <c r="B311" s="36"/>
      <c r="C311" s="7"/>
      <c r="D311" s="7"/>
      <c r="E311" s="37"/>
      <c r="F311" s="38"/>
      <c r="G311" s="24" t="str">
        <f aca="false">IF(OR(C311="",D311="",N(E311)=0),"",E311*IF(F311="",IFERROR(N(INDEX(Produtos!$K$5:$K$54,MATCH(D311,Produtos!$B$5:$B$54,0))),0),F311))</f>
        <v/>
      </c>
      <c r="H311" s="24" t="str">
        <f aca="false">IF(G311="","",E311*IFERROR(N(INDEX(Produtos!$F$5:$F$54,MATCH(D311,Produtos!$B$5:$B$54,0))),0))</f>
        <v/>
      </c>
      <c r="I311" s="24" t="str">
        <f aca="false">IF(G311="","",G311-H311)</f>
        <v/>
      </c>
      <c r="J311" s="37"/>
    </row>
    <row r="312" customFormat="false" ht="21" hidden="false" customHeight="true" outlineLevel="0" collapsed="false">
      <c r="B312" s="36"/>
      <c r="C312" s="7"/>
      <c r="D312" s="7"/>
      <c r="E312" s="37"/>
      <c r="F312" s="38"/>
      <c r="G312" s="24" t="str">
        <f aca="false">IF(OR(C312="",D312="",N(E312)=0),"",E312*IF(F312="",IFERROR(N(INDEX(Produtos!$K$5:$K$54,MATCH(D312,Produtos!$B$5:$B$54,0))),0),F312))</f>
        <v/>
      </c>
      <c r="H312" s="24" t="str">
        <f aca="false">IF(G312="","",E312*IFERROR(N(INDEX(Produtos!$F$5:$F$54,MATCH(D312,Produtos!$B$5:$B$54,0))),0))</f>
        <v/>
      </c>
      <c r="I312" s="24" t="str">
        <f aca="false">IF(G312="","",G312-H312)</f>
        <v/>
      </c>
      <c r="J312" s="37"/>
    </row>
    <row r="313" customFormat="false" ht="21" hidden="false" customHeight="true" outlineLevel="0" collapsed="false">
      <c r="B313" s="36"/>
      <c r="C313" s="7"/>
      <c r="D313" s="7"/>
      <c r="E313" s="37"/>
      <c r="F313" s="38"/>
      <c r="G313" s="24" t="str">
        <f aca="false">IF(OR(C313="",D313="",N(E313)=0),"",E313*IF(F313="",IFERROR(N(INDEX(Produtos!$K$5:$K$54,MATCH(D313,Produtos!$B$5:$B$54,0))),0),F313))</f>
        <v/>
      </c>
      <c r="H313" s="24" t="str">
        <f aca="false">IF(G313="","",E313*IFERROR(N(INDEX(Produtos!$F$5:$F$54,MATCH(D313,Produtos!$B$5:$B$54,0))),0))</f>
        <v/>
      </c>
      <c r="I313" s="24" t="str">
        <f aca="false">IF(G313="","",G313-H313)</f>
        <v/>
      </c>
      <c r="J313" s="37"/>
    </row>
    <row r="314" customFormat="false" ht="21" hidden="false" customHeight="true" outlineLevel="0" collapsed="false">
      <c r="B314" s="36"/>
      <c r="C314" s="7"/>
      <c r="D314" s="7"/>
      <c r="E314" s="37"/>
      <c r="F314" s="38"/>
      <c r="G314" s="24" t="str">
        <f aca="false">IF(OR(C314="",D314="",N(E314)=0),"",E314*IF(F314="",IFERROR(N(INDEX(Produtos!$K$5:$K$54,MATCH(D314,Produtos!$B$5:$B$54,0))),0),F314))</f>
        <v/>
      </c>
      <c r="H314" s="24" t="str">
        <f aca="false">IF(G314="","",E314*IFERROR(N(INDEX(Produtos!$F$5:$F$54,MATCH(D314,Produtos!$B$5:$B$54,0))),0))</f>
        <v/>
      </c>
      <c r="I314" s="24" t="str">
        <f aca="false">IF(G314="","",G314-H314)</f>
        <v/>
      </c>
      <c r="J314" s="37"/>
    </row>
    <row r="315" customFormat="false" ht="21" hidden="false" customHeight="true" outlineLevel="0" collapsed="false">
      <c r="B315" s="36"/>
      <c r="C315" s="7"/>
      <c r="D315" s="7"/>
      <c r="E315" s="37"/>
      <c r="F315" s="38"/>
      <c r="G315" s="24" t="str">
        <f aca="false">IF(OR(C315="",D315="",N(E315)=0),"",E315*IF(F315="",IFERROR(N(INDEX(Produtos!$K$5:$K$54,MATCH(D315,Produtos!$B$5:$B$54,0))),0),F315))</f>
        <v/>
      </c>
      <c r="H315" s="24" t="str">
        <f aca="false">IF(G315="","",E315*IFERROR(N(INDEX(Produtos!$F$5:$F$54,MATCH(D315,Produtos!$B$5:$B$54,0))),0))</f>
        <v/>
      </c>
      <c r="I315" s="24" t="str">
        <f aca="false">IF(G315="","",G315-H315)</f>
        <v/>
      </c>
      <c r="J315" s="37"/>
    </row>
    <row r="316" customFormat="false" ht="21" hidden="false" customHeight="true" outlineLevel="0" collapsed="false">
      <c r="B316" s="36"/>
      <c r="C316" s="7"/>
      <c r="D316" s="7"/>
      <c r="E316" s="37"/>
      <c r="F316" s="38"/>
      <c r="G316" s="24" t="str">
        <f aca="false">IF(OR(C316="",D316="",N(E316)=0),"",E316*IF(F316="",IFERROR(N(INDEX(Produtos!$K$5:$K$54,MATCH(D316,Produtos!$B$5:$B$54,0))),0),F316))</f>
        <v/>
      </c>
      <c r="H316" s="24" t="str">
        <f aca="false">IF(G316="","",E316*IFERROR(N(INDEX(Produtos!$F$5:$F$54,MATCH(D316,Produtos!$B$5:$B$54,0))),0))</f>
        <v/>
      </c>
      <c r="I316" s="24" t="str">
        <f aca="false">IF(G316="","",G316-H316)</f>
        <v/>
      </c>
      <c r="J316" s="37"/>
    </row>
    <row r="317" customFormat="false" ht="21" hidden="false" customHeight="true" outlineLevel="0" collapsed="false">
      <c r="B317" s="36"/>
      <c r="C317" s="7"/>
      <c r="D317" s="7"/>
      <c r="E317" s="37"/>
      <c r="F317" s="38"/>
      <c r="G317" s="24" t="str">
        <f aca="false">IF(OR(C317="",D317="",N(E317)=0),"",E317*IF(F317="",IFERROR(N(INDEX(Produtos!$K$5:$K$54,MATCH(D317,Produtos!$B$5:$B$54,0))),0),F317))</f>
        <v/>
      </c>
      <c r="H317" s="24" t="str">
        <f aca="false">IF(G317="","",E317*IFERROR(N(INDEX(Produtos!$F$5:$F$54,MATCH(D317,Produtos!$B$5:$B$54,0))),0))</f>
        <v/>
      </c>
      <c r="I317" s="24" t="str">
        <f aca="false">IF(G317="","",G317-H317)</f>
        <v/>
      </c>
      <c r="J317" s="37"/>
    </row>
    <row r="318" customFormat="false" ht="21" hidden="false" customHeight="true" outlineLevel="0" collapsed="false">
      <c r="B318" s="36"/>
      <c r="C318" s="7"/>
      <c r="D318" s="7"/>
      <c r="E318" s="37"/>
      <c r="F318" s="38"/>
      <c r="G318" s="24" t="str">
        <f aca="false">IF(OR(C318="",D318="",N(E318)=0),"",E318*IF(F318="",IFERROR(N(INDEX(Produtos!$K$5:$K$54,MATCH(D318,Produtos!$B$5:$B$54,0))),0),F318))</f>
        <v/>
      </c>
      <c r="H318" s="24" t="str">
        <f aca="false">IF(G318="","",E318*IFERROR(N(INDEX(Produtos!$F$5:$F$54,MATCH(D318,Produtos!$B$5:$B$54,0))),0))</f>
        <v/>
      </c>
      <c r="I318" s="24" t="str">
        <f aca="false">IF(G318="","",G318-H318)</f>
        <v/>
      </c>
      <c r="J318" s="37"/>
    </row>
    <row r="319" customFormat="false" ht="21" hidden="false" customHeight="true" outlineLevel="0" collapsed="false">
      <c r="B319" s="36"/>
      <c r="C319" s="7"/>
      <c r="D319" s="7"/>
      <c r="E319" s="37"/>
      <c r="F319" s="38"/>
      <c r="G319" s="24" t="str">
        <f aca="false">IF(OR(C319="",D319="",N(E319)=0),"",E319*IF(F319="",IFERROR(N(INDEX(Produtos!$K$5:$K$54,MATCH(D319,Produtos!$B$5:$B$54,0))),0),F319))</f>
        <v/>
      </c>
      <c r="H319" s="24" t="str">
        <f aca="false">IF(G319="","",E319*IFERROR(N(INDEX(Produtos!$F$5:$F$54,MATCH(D319,Produtos!$B$5:$B$54,0))),0))</f>
        <v/>
      </c>
      <c r="I319" s="24" t="str">
        <f aca="false">IF(G319="","",G319-H319)</f>
        <v/>
      </c>
      <c r="J319" s="37"/>
    </row>
    <row r="320" customFormat="false" ht="21" hidden="false" customHeight="true" outlineLevel="0" collapsed="false">
      <c r="B320" s="36"/>
      <c r="C320" s="7"/>
      <c r="D320" s="7"/>
      <c r="E320" s="37"/>
      <c r="F320" s="38"/>
      <c r="G320" s="24" t="str">
        <f aca="false">IF(OR(C320="",D320="",N(E320)=0),"",E320*IF(F320="",IFERROR(N(INDEX(Produtos!$K$5:$K$54,MATCH(D320,Produtos!$B$5:$B$54,0))),0),F320))</f>
        <v/>
      </c>
      <c r="H320" s="24" t="str">
        <f aca="false">IF(G320="","",E320*IFERROR(N(INDEX(Produtos!$F$5:$F$54,MATCH(D320,Produtos!$B$5:$B$54,0))),0))</f>
        <v/>
      </c>
      <c r="I320" s="24" t="str">
        <f aca="false">IF(G320="","",G320-H320)</f>
        <v/>
      </c>
      <c r="J320" s="37"/>
    </row>
    <row r="321" customFormat="false" ht="21" hidden="false" customHeight="true" outlineLevel="0" collapsed="false">
      <c r="B321" s="36"/>
      <c r="C321" s="7"/>
      <c r="D321" s="7"/>
      <c r="E321" s="37"/>
      <c r="F321" s="38"/>
      <c r="G321" s="24" t="str">
        <f aca="false">IF(OR(C321="",D321="",N(E321)=0),"",E321*IF(F321="",IFERROR(N(INDEX(Produtos!$K$5:$K$54,MATCH(D321,Produtos!$B$5:$B$54,0))),0),F321))</f>
        <v/>
      </c>
      <c r="H321" s="24" t="str">
        <f aca="false">IF(G321="","",E321*IFERROR(N(INDEX(Produtos!$F$5:$F$54,MATCH(D321,Produtos!$B$5:$B$54,0))),0))</f>
        <v/>
      </c>
      <c r="I321" s="24" t="str">
        <f aca="false">IF(G321="","",G321-H321)</f>
        <v/>
      </c>
      <c r="J321" s="37"/>
    </row>
    <row r="322" customFormat="false" ht="21" hidden="false" customHeight="true" outlineLevel="0" collapsed="false">
      <c r="B322" s="36"/>
      <c r="C322" s="7"/>
      <c r="D322" s="7"/>
      <c r="E322" s="37"/>
      <c r="F322" s="38"/>
      <c r="G322" s="24" t="str">
        <f aca="false">IF(OR(C322="",D322="",N(E322)=0),"",E322*IF(F322="",IFERROR(N(INDEX(Produtos!$K$5:$K$54,MATCH(D322,Produtos!$B$5:$B$54,0))),0),F322))</f>
        <v/>
      </c>
      <c r="H322" s="24" t="str">
        <f aca="false">IF(G322="","",E322*IFERROR(N(INDEX(Produtos!$F$5:$F$54,MATCH(D322,Produtos!$B$5:$B$54,0))),0))</f>
        <v/>
      </c>
      <c r="I322" s="24" t="str">
        <f aca="false">IF(G322="","",G322-H322)</f>
        <v/>
      </c>
      <c r="J322" s="37"/>
    </row>
    <row r="323" customFormat="false" ht="21" hidden="false" customHeight="true" outlineLevel="0" collapsed="false">
      <c r="B323" s="36"/>
      <c r="C323" s="7"/>
      <c r="D323" s="7"/>
      <c r="E323" s="37"/>
      <c r="F323" s="38"/>
      <c r="G323" s="24" t="str">
        <f aca="false">IF(OR(C323="",D323="",N(E323)=0),"",E323*IF(F323="",IFERROR(N(INDEX(Produtos!$K$5:$K$54,MATCH(D323,Produtos!$B$5:$B$54,0))),0),F323))</f>
        <v/>
      </c>
      <c r="H323" s="24" t="str">
        <f aca="false">IF(G323="","",E323*IFERROR(N(INDEX(Produtos!$F$5:$F$54,MATCH(D323,Produtos!$B$5:$B$54,0))),0))</f>
        <v/>
      </c>
      <c r="I323" s="24" t="str">
        <f aca="false">IF(G323="","",G323-H323)</f>
        <v/>
      </c>
      <c r="J323" s="37"/>
    </row>
    <row r="324" customFormat="false" ht="21" hidden="false" customHeight="true" outlineLevel="0" collapsed="false">
      <c r="B324" s="36"/>
      <c r="C324" s="7"/>
      <c r="D324" s="7"/>
      <c r="E324" s="37"/>
      <c r="F324" s="38"/>
      <c r="G324" s="24" t="str">
        <f aca="false">IF(OR(C324="",D324="",N(E324)=0),"",E324*IF(F324="",IFERROR(N(INDEX(Produtos!$K$5:$K$54,MATCH(D324,Produtos!$B$5:$B$54,0))),0),F324))</f>
        <v/>
      </c>
      <c r="H324" s="24" t="str">
        <f aca="false">IF(G324="","",E324*IFERROR(N(INDEX(Produtos!$F$5:$F$54,MATCH(D324,Produtos!$B$5:$B$54,0))),0))</f>
        <v/>
      </c>
      <c r="I324" s="24" t="str">
        <f aca="false">IF(G324="","",G324-H324)</f>
        <v/>
      </c>
      <c r="J324" s="37"/>
    </row>
    <row r="325" customFormat="false" ht="21" hidden="false" customHeight="true" outlineLevel="0" collapsed="false">
      <c r="B325" s="36"/>
      <c r="C325" s="7"/>
      <c r="D325" s="7"/>
      <c r="E325" s="37"/>
      <c r="F325" s="38"/>
      <c r="G325" s="24" t="str">
        <f aca="false">IF(OR(C325="",D325="",N(E325)=0),"",E325*IF(F325="",IFERROR(N(INDEX(Produtos!$K$5:$K$54,MATCH(D325,Produtos!$B$5:$B$54,0))),0),F325))</f>
        <v/>
      </c>
      <c r="H325" s="24" t="str">
        <f aca="false">IF(G325="","",E325*IFERROR(N(INDEX(Produtos!$F$5:$F$54,MATCH(D325,Produtos!$B$5:$B$54,0))),0))</f>
        <v/>
      </c>
      <c r="I325" s="24" t="str">
        <f aca="false">IF(G325="","",G325-H325)</f>
        <v/>
      </c>
      <c r="J325" s="37"/>
    </row>
    <row r="326" customFormat="false" ht="21" hidden="false" customHeight="true" outlineLevel="0" collapsed="false">
      <c r="B326" s="36"/>
      <c r="C326" s="7"/>
      <c r="D326" s="7"/>
      <c r="E326" s="37"/>
      <c r="F326" s="38"/>
      <c r="G326" s="24" t="str">
        <f aca="false">IF(OR(C326="",D326="",N(E326)=0),"",E326*IF(F326="",IFERROR(N(INDEX(Produtos!$K$5:$K$54,MATCH(D326,Produtos!$B$5:$B$54,0))),0),F326))</f>
        <v/>
      </c>
      <c r="H326" s="24" t="str">
        <f aca="false">IF(G326="","",E326*IFERROR(N(INDEX(Produtos!$F$5:$F$54,MATCH(D326,Produtos!$B$5:$B$54,0))),0))</f>
        <v/>
      </c>
      <c r="I326" s="24" t="str">
        <f aca="false">IF(G326="","",G326-H326)</f>
        <v/>
      </c>
      <c r="J326" s="37"/>
    </row>
    <row r="327" customFormat="false" ht="21" hidden="false" customHeight="true" outlineLevel="0" collapsed="false">
      <c r="B327" s="36"/>
      <c r="C327" s="7"/>
      <c r="D327" s="7"/>
      <c r="E327" s="37"/>
      <c r="F327" s="38"/>
      <c r="G327" s="24" t="str">
        <f aca="false">IF(OR(C327="",D327="",N(E327)=0),"",E327*IF(F327="",IFERROR(N(INDEX(Produtos!$K$5:$K$54,MATCH(D327,Produtos!$B$5:$B$54,0))),0),F327))</f>
        <v/>
      </c>
      <c r="H327" s="24" t="str">
        <f aca="false">IF(G327="","",E327*IFERROR(N(INDEX(Produtos!$F$5:$F$54,MATCH(D327,Produtos!$B$5:$B$54,0))),0))</f>
        <v/>
      </c>
      <c r="I327" s="24" t="str">
        <f aca="false">IF(G327="","",G327-H327)</f>
        <v/>
      </c>
      <c r="J327" s="37"/>
    </row>
    <row r="328" customFormat="false" ht="21" hidden="false" customHeight="true" outlineLevel="0" collapsed="false">
      <c r="B328" s="36"/>
      <c r="C328" s="7"/>
      <c r="D328" s="7"/>
      <c r="E328" s="37"/>
      <c r="F328" s="38"/>
      <c r="G328" s="24" t="str">
        <f aca="false">IF(OR(C328="",D328="",N(E328)=0),"",E328*IF(F328="",IFERROR(N(INDEX(Produtos!$K$5:$K$54,MATCH(D328,Produtos!$B$5:$B$54,0))),0),F328))</f>
        <v/>
      </c>
      <c r="H328" s="24" t="str">
        <f aca="false">IF(G328="","",E328*IFERROR(N(INDEX(Produtos!$F$5:$F$54,MATCH(D328,Produtos!$B$5:$B$54,0))),0))</f>
        <v/>
      </c>
      <c r="I328" s="24" t="str">
        <f aca="false">IF(G328="","",G328-H328)</f>
        <v/>
      </c>
      <c r="J328" s="37"/>
    </row>
    <row r="329" customFormat="false" ht="21" hidden="false" customHeight="true" outlineLevel="0" collapsed="false">
      <c r="B329" s="36"/>
      <c r="C329" s="7"/>
      <c r="D329" s="7"/>
      <c r="E329" s="37"/>
      <c r="F329" s="38"/>
      <c r="G329" s="24" t="str">
        <f aca="false">IF(OR(C329="",D329="",N(E329)=0),"",E329*IF(F329="",IFERROR(N(INDEX(Produtos!$K$5:$K$54,MATCH(D329,Produtos!$B$5:$B$54,0))),0),F329))</f>
        <v/>
      </c>
      <c r="H329" s="24" t="str">
        <f aca="false">IF(G329="","",E329*IFERROR(N(INDEX(Produtos!$F$5:$F$54,MATCH(D329,Produtos!$B$5:$B$54,0))),0))</f>
        <v/>
      </c>
      <c r="I329" s="24" t="str">
        <f aca="false">IF(G329="","",G329-H329)</f>
        <v/>
      </c>
      <c r="J329" s="37"/>
    </row>
    <row r="330" customFormat="false" ht="21" hidden="false" customHeight="true" outlineLevel="0" collapsed="false">
      <c r="B330" s="36"/>
      <c r="C330" s="7"/>
      <c r="D330" s="7"/>
      <c r="E330" s="37"/>
      <c r="F330" s="38"/>
      <c r="G330" s="24" t="str">
        <f aca="false">IF(OR(C330="",D330="",N(E330)=0),"",E330*IF(F330="",IFERROR(N(INDEX(Produtos!$K$5:$K$54,MATCH(D330,Produtos!$B$5:$B$54,0))),0),F330))</f>
        <v/>
      </c>
      <c r="H330" s="24" t="str">
        <f aca="false">IF(G330="","",E330*IFERROR(N(INDEX(Produtos!$F$5:$F$54,MATCH(D330,Produtos!$B$5:$B$54,0))),0))</f>
        <v/>
      </c>
      <c r="I330" s="24" t="str">
        <f aca="false">IF(G330="","",G330-H330)</f>
        <v/>
      </c>
      <c r="J330" s="37"/>
    </row>
    <row r="331" customFormat="false" ht="21" hidden="false" customHeight="true" outlineLevel="0" collapsed="false">
      <c r="B331" s="36"/>
      <c r="C331" s="7"/>
      <c r="D331" s="7"/>
      <c r="E331" s="37"/>
      <c r="F331" s="38"/>
      <c r="G331" s="24" t="str">
        <f aca="false">IF(OR(C331="",D331="",N(E331)=0),"",E331*IF(F331="",IFERROR(N(INDEX(Produtos!$K$5:$K$54,MATCH(D331,Produtos!$B$5:$B$54,0))),0),F331))</f>
        <v/>
      </c>
      <c r="H331" s="24" t="str">
        <f aca="false">IF(G331="","",E331*IFERROR(N(INDEX(Produtos!$F$5:$F$54,MATCH(D331,Produtos!$B$5:$B$54,0))),0))</f>
        <v/>
      </c>
      <c r="I331" s="24" t="str">
        <f aca="false">IF(G331="","",G331-H331)</f>
        <v/>
      </c>
      <c r="J331" s="37"/>
    </row>
    <row r="332" customFormat="false" ht="21" hidden="false" customHeight="true" outlineLevel="0" collapsed="false">
      <c r="B332" s="36"/>
      <c r="C332" s="7"/>
      <c r="D332" s="7"/>
      <c r="E332" s="37"/>
      <c r="F332" s="38"/>
      <c r="G332" s="24" t="str">
        <f aca="false">IF(OR(C332="",D332="",N(E332)=0),"",E332*IF(F332="",IFERROR(N(INDEX(Produtos!$K$5:$K$54,MATCH(D332,Produtos!$B$5:$B$54,0))),0),F332))</f>
        <v/>
      </c>
      <c r="H332" s="24" t="str">
        <f aca="false">IF(G332="","",E332*IFERROR(N(INDEX(Produtos!$F$5:$F$54,MATCH(D332,Produtos!$B$5:$B$54,0))),0))</f>
        <v/>
      </c>
      <c r="I332" s="24" t="str">
        <f aca="false">IF(G332="","",G332-H332)</f>
        <v/>
      </c>
      <c r="J332" s="37"/>
    </row>
    <row r="333" customFormat="false" ht="21" hidden="false" customHeight="true" outlineLevel="0" collapsed="false">
      <c r="B333" s="36"/>
      <c r="C333" s="7"/>
      <c r="D333" s="7"/>
      <c r="E333" s="37"/>
      <c r="F333" s="38"/>
      <c r="G333" s="24" t="str">
        <f aca="false">IF(OR(C333="",D333="",N(E333)=0),"",E333*IF(F333="",IFERROR(N(INDEX(Produtos!$K$5:$K$54,MATCH(D333,Produtos!$B$5:$B$54,0))),0),F333))</f>
        <v/>
      </c>
      <c r="H333" s="24" t="str">
        <f aca="false">IF(G333="","",E333*IFERROR(N(INDEX(Produtos!$F$5:$F$54,MATCH(D333,Produtos!$B$5:$B$54,0))),0))</f>
        <v/>
      </c>
      <c r="I333" s="24" t="str">
        <f aca="false">IF(G333="","",G333-H333)</f>
        <v/>
      </c>
      <c r="J333" s="37"/>
    </row>
    <row r="334" customFormat="false" ht="21" hidden="false" customHeight="true" outlineLevel="0" collapsed="false">
      <c r="B334" s="36"/>
      <c r="C334" s="7"/>
      <c r="D334" s="7"/>
      <c r="E334" s="37"/>
      <c r="F334" s="38"/>
      <c r="G334" s="24" t="str">
        <f aca="false">IF(OR(C334="",D334="",N(E334)=0),"",E334*IF(F334="",IFERROR(N(INDEX(Produtos!$K$5:$K$54,MATCH(D334,Produtos!$B$5:$B$54,0))),0),F334))</f>
        <v/>
      </c>
      <c r="H334" s="24" t="str">
        <f aca="false">IF(G334="","",E334*IFERROR(N(INDEX(Produtos!$F$5:$F$54,MATCH(D334,Produtos!$B$5:$B$54,0))),0))</f>
        <v/>
      </c>
      <c r="I334" s="24" t="str">
        <f aca="false">IF(G334="","",G334-H334)</f>
        <v/>
      </c>
      <c r="J334" s="37"/>
    </row>
    <row r="335" customFormat="false" ht="21" hidden="false" customHeight="true" outlineLevel="0" collapsed="false">
      <c r="B335" s="36"/>
      <c r="C335" s="7"/>
      <c r="D335" s="7"/>
      <c r="E335" s="37"/>
      <c r="F335" s="38"/>
      <c r="G335" s="24" t="str">
        <f aca="false">IF(OR(C335="",D335="",N(E335)=0),"",E335*IF(F335="",IFERROR(N(INDEX(Produtos!$K$5:$K$54,MATCH(D335,Produtos!$B$5:$B$54,0))),0),F335))</f>
        <v/>
      </c>
      <c r="H335" s="24" t="str">
        <f aca="false">IF(G335="","",E335*IFERROR(N(INDEX(Produtos!$F$5:$F$54,MATCH(D335,Produtos!$B$5:$B$54,0))),0))</f>
        <v/>
      </c>
      <c r="I335" s="24" t="str">
        <f aca="false">IF(G335="","",G335-H335)</f>
        <v/>
      </c>
      <c r="J335" s="37"/>
    </row>
    <row r="336" customFormat="false" ht="21" hidden="false" customHeight="true" outlineLevel="0" collapsed="false">
      <c r="B336" s="36"/>
      <c r="C336" s="7"/>
      <c r="D336" s="7"/>
      <c r="E336" s="37"/>
      <c r="F336" s="38"/>
      <c r="G336" s="24" t="str">
        <f aca="false">IF(OR(C336="",D336="",N(E336)=0),"",E336*IF(F336="",IFERROR(N(INDEX(Produtos!$K$5:$K$54,MATCH(D336,Produtos!$B$5:$B$54,0))),0),F336))</f>
        <v/>
      </c>
      <c r="H336" s="24" t="str">
        <f aca="false">IF(G336="","",E336*IFERROR(N(INDEX(Produtos!$F$5:$F$54,MATCH(D336,Produtos!$B$5:$B$54,0))),0))</f>
        <v/>
      </c>
      <c r="I336" s="24" t="str">
        <f aca="false">IF(G336="","",G336-H336)</f>
        <v/>
      </c>
      <c r="J336" s="37"/>
    </row>
    <row r="337" customFormat="false" ht="21" hidden="false" customHeight="true" outlineLevel="0" collapsed="false">
      <c r="B337" s="36"/>
      <c r="C337" s="7"/>
      <c r="D337" s="7"/>
      <c r="E337" s="37"/>
      <c r="F337" s="38"/>
      <c r="G337" s="24" t="str">
        <f aca="false">IF(OR(C337="",D337="",N(E337)=0),"",E337*IF(F337="",IFERROR(N(INDEX(Produtos!$K$5:$K$54,MATCH(D337,Produtos!$B$5:$B$54,0))),0),F337))</f>
        <v/>
      </c>
      <c r="H337" s="24" t="str">
        <f aca="false">IF(G337="","",E337*IFERROR(N(INDEX(Produtos!$F$5:$F$54,MATCH(D337,Produtos!$B$5:$B$54,0))),0))</f>
        <v/>
      </c>
      <c r="I337" s="24" t="str">
        <f aca="false">IF(G337="","",G337-H337)</f>
        <v/>
      </c>
      <c r="J337" s="37"/>
    </row>
    <row r="338" customFormat="false" ht="21" hidden="false" customHeight="true" outlineLevel="0" collapsed="false">
      <c r="B338" s="36"/>
      <c r="C338" s="7"/>
      <c r="D338" s="7"/>
      <c r="E338" s="37"/>
      <c r="F338" s="38"/>
      <c r="G338" s="24" t="str">
        <f aca="false">IF(OR(C338="",D338="",N(E338)=0),"",E338*IF(F338="",IFERROR(N(INDEX(Produtos!$K$5:$K$54,MATCH(D338,Produtos!$B$5:$B$54,0))),0),F338))</f>
        <v/>
      </c>
      <c r="H338" s="24" t="str">
        <f aca="false">IF(G338="","",E338*IFERROR(N(INDEX(Produtos!$F$5:$F$54,MATCH(D338,Produtos!$B$5:$B$54,0))),0))</f>
        <v/>
      </c>
      <c r="I338" s="24" t="str">
        <f aca="false">IF(G338="","",G338-H338)</f>
        <v/>
      </c>
      <c r="J338" s="37"/>
    </row>
    <row r="339" customFormat="false" ht="21" hidden="false" customHeight="true" outlineLevel="0" collapsed="false">
      <c r="B339" s="36"/>
      <c r="C339" s="7"/>
      <c r="D339" s="7"/>
      <c r="E339" s="37"/>
      <c r="F339" s="38"/>
      <c r="G339" s="24" t="str">
        <f aca="false">IF(OR(C339="",D339="",N(E339)=0),"",E339*IF(F339="",IFERROR(N(INDEX(Produtos!$K$5:$K$54,MATCH(D339,Produtos!$B$5:$B$54,0))),0),F339))</f>
        <v/>
      </c>
      <c r="H339" s="24" t="str">
        <f aca="false">IF(G339="","",E339*IFERROR(N(INDEX(Produtos!$F$5:$F$54,MATCH(D339,Produtos!$B$5:$B$54,0))),0))</f>
        <v/>
      </c>
      <c r="I339" s="24" t="str">
        <f aca="false">IF(G339="","",G339-H339)</f>
        <v/>
      </c>
      <c r="J339" s="37"/>
    </row>
    <row r="340" customFormat="false" ht="21" hidden="false" customHeight="true" outlineLevel="0" collapsed="false">
      <c r="B340" s="36"/>
      <c r="C340" s="7"/>
      <c r="D340" s="7"/>
      <c r="E340" s="37"/>
      <c r="F340" s="38"/>
      <c r="G340" s="24" t="str">
        <f aca="false">IF(OR(C340="",D340="",N(E340)=0),"",E340*IF(F340="",IFERROR(N(INDEX(Produtos!$K$5:$K$54,MATCH(D340,Produtos!$B$5:$B$54,0))),0),F340))</f>
        <v/>
      </c>
      <c r="H340" s="24" t="str">
        <f aca="false">IF(G340="","",E340*IFERROR(N(INDEX(Produtos!$F$5:$F$54,MATCH(D340,Produtos!$B$5:$B$54,0))),0))</f>
        <v/>
      </c>
      <c r="I340" s="24" t="str">
        <f aca="false">IF(G340="","",G340-H340)</f>
        <v/>
      </c>
      <c r="J340" s="37"/>
    </row>
    <row r="341" customFormat="false" ht="21" hidden="false" customHeight="true" outlineLevel="0" collapsed="false">
      <c r="B341" s="36"/>
      <c r="C341" s="7"/>
      <c r="D341" s="7"/>
      <c r="E341" s="37"/>
      <c r="F341" s="38"/>
      <c r="G341" s="24" t="str">
        <f aca="false">IF(OR(C341="",D341="",N(E341)=0),"",E341*IF(F341="",IFERROR(N(INDEX(Produtos!$K$5:$K$54,MATCH(D341,Produtos!$B$5:$B$54,0))),0),F341))</f>
        <v/>
      </c>
      <c r="H341" s="24" t="str">
        <f aca="false">IF(G341="","",E341*IFERROR(N(INDEX(Produtos!$F$5:$F$54,MATCH(D341,Produtos!$B$5:$B$54,0))),0))</f>
        <v/>
      </c>
      <c r="I341" s="24" t="str">
        <f aca="false">IF(G341="","",G341-H341)</f>
        <v/>
      </c>
      <c r="J341" s="37"/>
    </row>
    <row r="342" customFormat="false" ht="21" hidden="false" customHeight="true" outlineLevel="0" collapsed="false">
      <c r="B342" s="36"/>
      <c r="C342" s="7"/>
      <c r="D342" s="7"/>
      <c r="E342" s="37"/>
      <c r="F342" s="38"/>
      <c r="G342" s="24" t="str">
        <f aca="false">IF(OR(C342="",D342="",N(E342)=0),"",E342*IF(F342="",IFERROR(N(INDEX(Produtos!$K$5:$K$54,MATCH(D342,Produtos!$B$5:$B$54,0))),0),F342))</f>
        <v/>
      </c>
      <c r="H342" s="24" t="str">
        <f aca="false">IF(G342="","",E342*IFERROR(N(INDEX(Produtos!$F$5:$F$54,MATCH(D342,Produtos!$B$5:$B$54,0))),0))</f>
        <v/>
      </c>
      <c r="I342" s="24" t="str">
        <f aca="false">IF(G342="","",G342-H342)</f>
        <v/>
      </c>
      <c r="J342" s="37"/>
    </row>
    <row r="343" customFormat="false" ht="21" hidden="false" customHeight="true" outlineLevel="0" collapsed="false">
      <c r="B343" s="36"/>
      <c r="C343" s="7"/>
      <c r="D343" s="7"/>
      <c r="E343" s="37"/>
      <c r="F343" s="38"/>
      <c r="G343" s="24" t="str">
        <f aca="false">IF(OR(C343="",D343="",N(E343)=0),"",E343*IF(F343="",IFERROR(N(INDEX(Produtos!$K$5:$K$54,MATCH(D343,Produtos!$B$5:$B$54,0))),0),F343))</f>
        <v/>
      </c>
      <c r="H343" s="24" t="str">
        <f aca="false">IF(G343="","",E343*IFERROR(N(INDEX(Produtos!$F$5:$F$54,MATCH(D343,Produtos!$B$5:$B$54,0))),0))</f>
        <v/>
      </c>
      <c r="I343" s="24" t="str">
        <f aca="false">IF(G343="","",G343-H343)</f>
        <v/>
      </c>
      <c r="J343" s="37"/>
    </row>
    <row r="344" customFormat="false" ht="21" hidden="false" customHeight="true" outlineLevel="0" collapsed="false">
      <c r="B344" s="36"/>
      <c r="C344" s="7"/>
      <c r="D344" s="7"/>
      <c r="E344" s="37"/>
      <c r="F344" s="38"/>
      <c r="G344" s="24" t="str">
        <f aca="false">IF(OR(C344="",D344="",N(E344)=0),"",E344*IF(F344="",IFERROR(N(INDEX(Produtos!$K$5:$K$54,MATCH(D344,Produtos!$B$5:$B$54,0))),0),F344))</f>
        <v/>
      </c>
      <c r="H344" s="24" t="str">
        <f aca="false">IF(G344="","",E344*IFERROR(N(INDEX(Produtos!$F$5:$F$54,MATCH(D344,Produtos!$B$5:$B$54,0))),0))</f>
        <v/>
      </c>
      <c r="I344" s="24" t="str">
        <f aca="false">IF(G344="","",G344-H344)</f>
        <v/>
      </c>
      <c r="J344" s="37"/>
    </row>
    <row r="345" customFormat="false" ht="21" hidden="false" customHeight="true" outlineLevel="0" collapsed="false">
      <c r="B345" s="36"/>
      <c r="C345" s="7"/>
      <c r="D345" s="7"/>
      <c r="E345" s="37"/>
      <c r="F345" s="38"/>
      <c r="G345" s="24" t="str">
        <f aca="false">IF(OR(C345="",D345="",N(E345)=0),"",E345*IF(F345="",IFERROR(N(INDEX(Produtos!$K$5:$K$54,MATCH(D345,Produtos!$B$5:$B$54,0))),0),F345))</f>
        <v/>
      </c>
      <c r="H345" s="24" t="str">
        <f aca="false">IF(G345="","",E345*IFERROR(N(INDEX(Produtos!$F$5:$F$54,MATCH(D345,Produtos!$B$5:$B$54,0))),0))</f>
        <v/>
      </c>
      <c r="I345" s="24" t="str">
        <f aca="false">IF(G345="","",G345-H345)</f>
        <v/>
      </c>
      <c r="J345" s="37"/>
    </row>
    <row r="346" customFormat="false" ht="21" hidden="false" customHeight="true" outlineLevel="0" collapsed="false">
      <c r="B346" s="36"/>
      <c r="C346" s="7"/>
      <c r="D346" s="7"/>
      <c r="E346" s="37"/>
      <c r="F346" s="38"/>
      <c r="G346" s="24" t="str">
        <f aca="false">IF(OR(C346="",D346="",N(E346)=0),"",E346*IF(F346="",IFERROR(N(INDEX(Produtos!$K$5:$K$54,MATCH(D346,Produtos!$B$5:$B$54,0))),0),F346))</f>
        <v/>
      </c>
      <c r="H346" s="24" t="str">
        <f aca="false">IF(G346="","",E346*IFERROR(N(INDEX(Produtos!$F$5:$F$54,MATCH(D346,Produtos!$B$5:$B$54,0))),0))</f>
        <v/>
      </c>
      <c r="I346" s="24" t="str">
        <f aca="false">IF(G346="","",G346-H346)</f>
        <v/>
      </c>
      <c r="J346" s="37"/>
    </row>
    <row r="347" customFormat="false" ht="21" hidden="false" customHeight="true" outlineLevel="0" collapsed="false">
      <c r="B347" s="36"/>
      <c r="C347" s="7"/>
      <c r="D347" s="7"/>
      <c r="E347" s="37"/>
      <c r="F347" s="38"/>
      <c r="G347" s="24" t="str">
        <f aca="false">IF(OR(C347="",D347="",N(E347)=0),"",E347*IF(F347="",IFERROR(N(INDEX(Produtos!$K$5:$K$54,MATCH(D347,Produtos!$B$5:$B$54,0))),0),F347))</f>
        <v/>
      </c>
      <c r="H347" s="24" t="str">
        <f aca="false">IF(G347="","",E347*IFERROR(N(INDEX(Produtos!$F$5:$F$54,MATCH(D347,Produtos!$B$5:$B$54,0))),0))</f>
        <v/>
      </c>
      <c r="I347" s="24" t="str">
        <f aca="false">IF(G347="","",G347-H347)</f>
        <v/>
      </c>
      <c r="J347" s="37"/>
    </row>
    <row r="348" customFormat="false" ht="21" hidden="false" customHeight="true" outlineLevel="0" collapsed="false">
      <c r="B348" s="36"/>
      <c r="C348" s="7"/>
      <c r="D348" s="7"/>
      <c r="E348" s="37"/>
      <c r="F348" s="38"/>
      <c r="G348" s="24" t="str">
        <f aca="false">IF(OR(C348="",D348="",N(E348)=0),"",E348*IF(F348="",IFERROR(N(INDEX(Produtos!$K$5:$K$54,MATCH(D348,Produtos!$B$5:$B$54,0))),0),F348))</f>
        <v/>
      </c>
      <c r="H348" s="24" t="str">
        <f aca="false">IF(G348="","",E348*IFERROR(N(INDEX(Produtos!$F$5:$F$54,MATCH(D348,Produtos!$B$5:$B$54,0))),0))</f>
        <v/>
      </c>
      <c r="I348" s="24" t="str">
        <f aca="false">IF(G348="","",G348-H348)</f>
        <v/>
      </c>
      <c r="J348" s="37"/>
    </row>
    <row r="349" customFormat="false" ht="21" hidden="false" customHeight="true" outlineLevel="0" collapsed="false">
      <c r="B349" s="36"/>
      <c r="C349" s="7"/>
      <c r="D349" s="7"/>
      <c r="E349" s="37"/>
      <c r="F349" s="38"/>
      <c r="G349" s="24" t="str">
        <f aca="false">IF(OR(C349="",D349="",N(E349)=0),"",E349*IF(F349="",IFERROR(N(INDEX(Produtos!$K$5:$K$54,MATCH(D349,Produtos!$B$5:$B$54,0))),0),F349))</f>
        <v/>
      </c>
      <c r="H349" s="24" t="str">
        <f aca="false">IF(G349="","",E349*IFERROR(N(INDEX(Produtos!$F$5:$F$54,MATCH(D349,Produtos!$B$5:$B$54,0))),0))</f>
        <v/>
      </c>
      <c r="I349" s="24" t="str">
        <f aca="false">IF(G349="","",G349-H349)</f>
        <v/>
      </c>
      <c r="J349" s="37"/>
    </row>
    <row r="350" customFormat="false" ht="21" hidden="false" customHeight="true" outlineLevel="0" collapsed="false">
      <c r="B350" s="36"/>
      <c r="C350" s="7"/>
      <c r="D350" s="7"/>
      <c r="E350" s="37"/>
      <c r="F350" s="38"/>
      <c r="G350" s="24" t="str">
        <f aca="false">IF(OR(C350="",D350="",N(E350)=0),"",E350*IF(F350="",IFERROR(N(INDEX(Produtos!$K$5:$K$54,MATCH(D350,Produtos!$B$5:$B$54,0))),0),F350))</f>
        <v/>
      </c>
      <c r="H350" s="24" t="str">
        <f aca="false">IF(G350="","",E350*IFERROR(N(INDEX(Produtos!$F$5:$F$54,MATCH(D350,Produtos!$B$5:$B$54,0))),0))</f>
        <v/>
      </c>
      <c r="I350" s="24" t="str">
        <f aca="false">IF(G350="","",G350-H350)</f>
        <v/>
      </c>
      <c r="J350" s="37"/>
    </row>
    <row r="351" customFormat="false" ht="21" hidden="false" customHeight="true" outlineLevel="0" collapsed="false">
      <c r="B351" s="36"/>
      <c r="C351" s="7"/>
      <c r="D351" s="7"/>
      <c r="E351" s="37"/>
      <c r="F351" s="38"/>
      <c r="G351" s="24" t="str">
        <f aca="false">IF(OR(C351="",D351="",N(E351)=0),"",E351*IF(F351="",IFERROR(N(INDEX(Produtos!$K$5:$K$54,MATCH(D351,Produtos!$B$5:$B$54,0))),0),F351))</f>
        <v/>
      </c>
      <c r="H351" s="24" t="str">
        <f aca="false">IF(G351="","",E351*IFERROR(N(INDEX(Produtos!$F$5:$F$54,MATCH(D351,Produtos!$B$5:$B$54,0))),0))</f>
        <v/>
      </c>
      <c r="I351" s="24" t="str">
        <f aca="false">IF(G351="","",G351-H351)</f>
        <v/>
      </c>
      <c r="J351" s="37"/>
    </row>
    <row r="352" customFormat="false" ht="21" hidden="false" customHeight="true" outlineLevel="0" collapsed="false">
      <c r="B352" s="36"/>
      <c r="C352" s="7"/>
      <c r="D352" s="7"/>
      <c r="E352" s="37"/>
      <c r="F352" s="38"/>
      <c r="G352" s="24" t="str">
        <f aca="false">IF(OR(C352="",D352="",N(E352)=0),"",E352*IF(F352="",IFERROR(N(INDEX(Produtos!$K$5:$K$54,MATCH(D352,Produtos!$B$5:$B$54,0))),0),F352))</f>
        <v/>
      </c>
      <c r="H352" s="24" t="str">
        <f aca="false">IF(G352="","",E352*IFERROR(N(INDEX(Produtos!$F$5:$F$54,MATCH(D352,Produtos!$B$5:$B$54,0))),0))</f>
        <v/>
      </c>
      <c r="I352" s="24" t="str">
        <f aca="false">IF(G352="","",G352-H352)</f>
        <v/>
      </c>
      <c r="J352" s="37"/>
    </row>
    <row r="353" customFormat="false" ht="21" hidden="false" customHeight="true" outlineLevel="0" collapsed="false">
      <c r="B353" s="36"/>
      <c r="C353" s="7"/>
      <c r="D353" s="7"/>
      <c r="E353" s="37"/>
      <c r="F353" s="38"/>
      <c r="G353" s="24" t="str">
        <f aca="false">IF(OR(C353="",D353="",N(E353)=0),"",E353*IF(F353="",IFERROR(N(INDEX(Produtos!$K$5:$K$54,MATCH(D353,Produtos!$B$5:$B$54,0))),0),F353))</f>
        <v/>
      </c>
      <c r="H353" s="24" t="str">
        <f aca="false">IF(G353="","",E353*IFERROR(N(INDEX(Produtos!$F$5:$F$54,MATCH(D353,Produtos!$B$5:$B$54,0))),0))</f>
        <v/>
      </c>
      <c r="I353" s="24" t="str">
        <f aca="false">IF(G353="","",G353-H353)</f>
        <v/>
      </c>
      <c r="J353" s="37"/>
    </row>
    <row r="354" customFormat="false" ht="21" hidden="false" customHeight="true" outlineLevel="0" collapsed="false">
      <c r="B354" s="36"/>
      <c r="C354" s="7"/>
      <c r="D354" s="7"/>
      <c r="E354" s="37"/>
      <c r="F354" s="38"/>
      <c r="G354" s="24" t="str">
        <f aca="false">IF(OR(C354="",D354="",N(E354)=0),"",E354*IF(F354="",IFERROR(N(INDEX(Produtos!$K$5:$K$54,MATCH(D354,Produtos!$B$5:$B$54,0))),0),F354))</f>
        <v/>
      </c>
      <c r="H354" s="24" t="str">
        <f aca="false">IF(G354="","",E354*IFERROR(N(INDEX(Produtos!$F$5:$F$54,MATCH(D354,Produtos!$B$5:$B$54,0))),0))</f>
        <v/>
      </c>
      <c r="I354" s="24" t="str">
        <f aca="false">IF(G354="","",G354-H354)</f>
        <v/>
      </c>
      <c r="J354" s="37"/>
    </row>
    <row r="355" customFormat="false" ht="21" hidden="false" customHeight="true" outlineLevel="0" collapsed="false">
      <c r="B355" s="36"/>
      <c r="C355" s="7"/>
      <c r="D355" s="7"/>
      <c r="E355" s="37"/>
      <c r="F355" s="38"/>
      <c r="G355" s="24" t="str">
        <f aca="false">IF(OR(C355="",D355="",N(E355)=0),"",E355*IF(F355="",IFERROR(N(INDEX(Produtos!$K$5:$K$54,MATCH(D355,Produtos!$B$5:$B$54,0))),0),F355))</f>
        <v/>
      </c>
      <c r="H355" s="24" t="str">
        <f aca="false">IF(G355="","",E355*IFERROR(N(INDEX(Produtos!$F$5:$F$54,MATCH(D355,Produtos!$B$5:$B$54,0))),0))</f>
        <v/>
      </c>
      <c r="I355" s="24" t="str">
        <f aca="false">IF(G355="","",G355-H355)</f>
        <v/>
      </c>
      <c r="J355" s="37"/>
    </row>
    <row r="356" customFormat="false" ht="21" hidden="false" customHeight="true" outlineLevel="0" collapsed="false">
      <c r="B356" s="36"/>
      <c r="C356" s="7"/>
      <c r="D356" s="7"/>
      <c r="E356" s="37"/>
      <c r="F356" s="38"/>
      <c r="G356" s="24" t="str">
        <f aca="false">IF(OR(C356="",D356="",N(E356)=0),"",E356*IF(F356="",IFERROR(N(INDEX(Produtos!$K$5:$K$54,MATCH(D356,Produtos!$B$5:$B$54,0))),0),F356))</f>
        <v/>
      </c>
      <c r="H356" s="24" t="str">
        <f aca="false">IF(G356="","",E356*IFERROR(N(INDEX(Produtos!$F$5:$F$54,MATCH(D356,Produtos!$B$5:$B$54,0))),0))</f>
        <v/>
      </c>
      <c r="I356" s="24" t="str">
        <f aca="false">IF(G356="","",G356-H356)</f>
        <v/>
      </c>
      <c r="J356" s="37"/>
    </row>
    <row r="357" customFormat="false" ht="21" hidden="false" customHeight="true" outlineLevel="0" collapsed="false">
      <c r="B357" s="36"/>
      <c r="C357" s="7"/>
      <c r="D357" s="7"/>
      <c r="E357" s="37"/>
      <c r="F357" s="38"/>
      <c r="G357" s="24" t="str">
        <f aca="false">IF(OR(C357="",D357="",N(E357)=0),"",E357*IF(F357="",IFERROR(N(INDEX(Produtos!$K$5:$K$54,MATCH(D357,Produtos!$B$5:$B$54,0))),0),F357))</f>
        <v/>
      </c>
      <c r="H357" s="24" t="str">
        <f aca="false">IF(G357="","",E357*IFERROR(N(INDEX(Produtos!$F$5:$F$54,MATCH(D357,Produtos!$B$5:$B$54,0))),0))</f>
        <v/>
      </c>
      <c r="I357" s="24" t="str">
        <f aca="false">IF(G357="","",G357-H357)</f>
        <v/>
      </c>
      <c r="J357" s="37"/>
    </row>
    <row r="358" customFormat="false" ht="21" hidden="false" customHeight="true" outlineLevel="0" collapsed="false">
      <c r="B358" s="36"/>
      <c r="C358" s="7"/>
      <c r="D358" s="7"/>
      <c r="E358" s="37"/>
      <c r="F358" s="38"/>
      <c r="G358" s="24" t="str">
        <f aca="false">IF(OR(C358="",D358="",N(E358)=0),"",E358*IF(F358="",IFERROR(N(INDEX(Produtos!$K$5:$K$54,MATCH(D358,Produtos!$B$5:$B$54,0))),0),F358))</f>
        <v/>
      </c>
      <c r="H358" s="24" t="str">
        <f aca="false">IF(G358="","",E358*IFERROR(N(INDEX(Produtos!$F$5:$F$54,MATCH(D358,Produtos!$B$5:$B$54,0))),0))</f>
        <v/>
      </c>
      <c r="I358" s="24" t="str">
        <f aca="false">IF(G358="","",G358-H358)</f>
        <v/>
      </c>
      <c r="J358" s="37"/>
    </row>
    <row r="359" customFormat="false" ht="21" hidden="false" customHeight="true" outlineLevel="0" collapsed="false">
      <c r="B359" s="36"/>
      <c r="C359" s="7"/>
      <c r="D359" s="7"/>
      <c r="E359" s="37"/>
      <c r="F359" s="38"/>
      <c r="G359" s="24" t="str">
        <f aca="false">IF(OR(C359="",D359="",N(E359)=0),"",E359*IF(F359="",IFERROR(N(INDEX(Produtos!$K$5:$K$54,MATCH(D359,Produtos!$B$5:$B$54,0))),0),F359))</f>
        <v/>
      </c>
      <c r="H359" s="24" t="str">
        <f aca="false">IF(G359="","",E359*IFERROR(N(INDEX(Produtos!$F$5:$F$54,MATCH(D359,Produtos!$B$5:$B$54,0))),0))</f>
        <v/>
      </c>
      <c r="I359" s="24" t="str">
        <f aca="false">IF(G359="","",G359-H359)</f>
        <v/>
      </c>
      <c r="J359" s="37"/>
    </row>
    <row r="360" customFormat="false" ht="21" hidden="false" customHeight="true" outlineLevel="0" collapsed="false">
      <c r="B360" s="36"/>
      <c r="C360" s="7"/>
      <c r="D360" s="7"/>
      <c r="E360" s="37"/>
      <c r="F360" s="38"/>
      <c r="G360" s="24" t="str">
        <f aca="false">IF(OR(C360="",D360="",N(E360)=0),"",E360*IF(F360="",IFERROR(N(INDEX(Produtos!$K$5:$K$54,MATCH(D360,Produtos!$B$5:$B$54,0))),0),F360))</f>
        <v/>
      </c>
      <c r="H360" s="24" t="str">
        <f aca="false">IF(G360="","",E360*IFERROR(N(INDEX(Produtos!$F$5:$F$54,MATCH(D360,Produtos!$B$5:$B$54,0))),0))</f>
        <v/>
      </c>
      <c r="I360" s="24" t="str">
        <f aca="false">IF(G360="","",G360-H360)</f>
        <v/>
      </c>
      <c r="J360" s="37"/>
    </row>
    <row r="361" customFormat="false" ht="21" hidden="false" customHeight="true" outlineLevel="0" collapsed="false">
      <c r="B361" s="36"/>
      <c r="C361" s="7"/>
      <c r="D361" s="7"/>
      <c r="E361" s="37"/>
      <c r="F361" s="38"/>
      <c r="G361" s="24" t="str">
        <f aca="false">IF(OR(C361="",D361="",N(E361)=0),"",E361*IF(F361="",IFERROR(N(INDEX(Produtos!$K$5:$K$54,MATCH(D361,Produtos!$B$5:$B$54,0))),0),F361))</f>
        <v/>
      </c>
      <c r="H361" s="24" t="str">
        <f aca="false">IF(G361="","",E361*IFERROR(N(INDEX(Produtos!$F$5:$F$54,MATCH(D361,Produtos!$B$5:$B$54,0))),0))</f>
        <v/>
      </c>
      <c r="I361" s="24" t="str">
        <f aca="false">IF(G361="","",G361-H361)</f>
        <v/>
      </c>
      <c r="J361" s="37"/>
    </row>
    <row r="362" customFormat="false" ht="21" hidden="false" customHeight="true" outlineLevel="0" collapsed="false">
      <c r="B362" s="36"/>
      <c r="C362" s="7"/>
      <c r="D362" s="7"/>
      <c r="E362" s="37"/>
      <c r="F362" s="38"/>
      <c r="G362" s="24" t="str">
        <f aca="false">IF(OR(C362="",D362="",N(E362)=0),"",E362*IF(F362="",IFERROR(N(INDEX(Produtos!$K$5:$K$54,MATCH(D362,Produtos!$B$5:$B$54,0))),0),F362))</f>
        <v/>
      </c>
      <c r="H362" s="24" t="str">
        <f aca="false">IF(G362="","",E362*IFERROR(N(INDEX(Produtos!$F$5:$F$54,MATCH(D362,Produtos!$B$5:$B$54,0))),0))</f>
        <v/>
      </c>
      <c r="I362" s="24" t="str">
        <f aca="false">IF(G362="","",G362-H362)</f>
        <v/>
      </c>
      <c r="J362" s="37"/>
    </row>
    <row r="363" customFormat="false" ht="21" hidden="false" customHeight="true" outlineLevel="0" collapsed="false">
      <c r="B363" s="36"/>
      <c r="C363" s="7"/>
      <c r="D363" s="7"/>
      <c r="E363" s="37"/>
      <c r="F363" s="38"/>
      <c r="G363" s="24" t="str">
        <f aca="false">IF(OR(C363="",D363="",N(E363)=0),"",E363*IF(F363="",IFERROR(N(INDEX(Produtos!$K$5:$K$54,MATCH(D363,Produtos!$B$5:$B$54,0))),0),F363))</f>
        <v/>
      </c>
      <c r="H363" s="24" t="str">
        <f aca="false">IF(G363="","",E363*IFERROR(N(INDEX(Produtos!$F$5:$F$54,MATCH(D363,Produtos!$B$5:$B$54,0))),0))</f>
        <v/>
      </c>
      <c r="I363" s="24" t="str">
        <f aca="false">IF(G363="","",G363-H363)</f>
        <v/>
      </c>
      <c r="J363" s="37"/>
    </row>
    <row r="364" customFormat="false" ht="21" hidden="false" customHeight="true" outlineLevel="0" collapsed="false">
      <c r="B364" s="36"/>
      <c r="C364" s="7"/>
      <c r="D364" s="7"/>
      <c r="E364" s="37"/>
      <c r="F364" s="38"/>
      <c r="G364" s="24" t="str">
        <f aca="false">IF(OR(C364="",D364="",N(E364)=0),"",E364*IF(F364="",IFERROR(N(INDEX(Produtos!$K$5:$K$54,MATCH(D364,Produtos!$B$5:$B$54,0))),0),F364))</f>
        <v/>
      </c>
      <c r="H364" s="24" t="str">
        <f aca="false">IF(G364="","",E364*IFERROR(N(INDEX(Produtos!$F$5:$F$54,MATCH(D364,Produtos!$B$5:$B$54,0))),0))</f>
        <v/>
      </c>
      <c r="I364" s="24" t="str">
        <f aca="false">IF(G364="","",G364-H364)</f>
        <v/>
      </c>
      <c r="J364" s="37"/>
    </row>
    <row r="365" customFormat="false" ht="21" hidden="false" customHeight="true" outlineLevel="0" collapsed="false">
      <c r="B365" s="36"/>
      <c r="C365" s="7"/>
      <c r="D365" s="7"/>
      <c r="E365" s="37"/>
      <c r="F365" s="38"/>
      <c r="G365" s="24" t="str">
        <f aca="false">IF(OR(C365="",D365="",N(E365)=0),"",E365*IF(F365="",IFERROR(N(INDEX(Produtos!$K$5:$K$54,MATCH(D365,Produtos!$B$5:$B$54,0))),0),F365))</f>
        <v/>
      </c>
      <c r="H365" s="24" t="str">
        <f aca="false">IF(G365="","",E365*IFERROR(N(INDEX(Produtos!$F$5:$F$54,MATCH(D365,Produtos!$B$5:$B$54,0))),0))</f>
        <v/>
      </c>
      <c r="I365" s="24" t="str">
        <f aca="false">IF(G365="","",G365-H365)</f>
        <v/>
      </c>
      <c r="J365" s="37"/>
    </row>
    <row r="366" customFormat="false" ht="21" hidden="false" customHeight="true" outlineLevel="0" collapsed="false">
      <c r="B366" s="36"/>
      <c r="C366" s="7"/>
      <c r="D366" s="7"/>
      <c r="E366" s="37"/>
      <c r="F366" s="38"/>
      <c r="G366" s="24" t="str">
        <f aca="false">IF(OR(C366="",D366="",N(E366)=0),"",E366*IF(F366="",IFERROR(N(INDEX(Produtos!$K$5:$K$54,MATCH(D366,Produtos!$B$5:$B$54,0))),0),F366))</f>
        <v/>
      </c>
      <c r="H366" s="24" t="str">
        <f aca="false">IF(G366="","",E366*IFERROR(N(INDEX(Produtos!$F$5:$F$54,MATCH(D366,Produtos!$B$5:$B$54,0))),0))</f>
        <v/>
      </c>
      <c r="I366" s="24" t="str">
        <f aca="false">IF(G366="","",G366-H366)</f>
        <v/>
      </c>
      <c r="J366" s="37"/>
    </row>
    <row r="367" customFormat="false" ht="21" hidden="false" customHeight="true" outlineLevel="0" collapsed="false">
      <c r="B367" s="36"/>
      <c r="C367" s="7"/>
      <c r="D367" s="7"/>
      <c r="E367" s="37"/>
      <c r="F367" s="38"/>
      <c r="G367" s="24" t="str">
        <f aca="false">IF(OR(C367="",D367="",N(E367)=0),"",E367*IF(F367="",IFERROR(N(INDEX(Produtos!$K$5:$K$54,MATCH(D367,Produtos!$B$5:$B$54,0))),0),F367))</f>
        <v/>
      </c>
      <c r="H367" s="24" t="str">
        <f aca="false">IF(G367="","",E367*IFERROR(N(INDEX(Produtos!$F$5:$F$54,MATCH(D367,Produtos!$B$5:$B$54,0))),0))</f>
        <v/>
      </c>
      <c r="I367" s="24" t="str">
        <f aca="false">IF(G367="","",G367-H367)</f>
        <v/>
      </c>
      <c r="J367" s="37"/>
    </row>
    <row r="368" customFormat="false" ht="21" hidden="false" customHeight="true" outlineLevel="0" collapsed="false">
      <c r="B368" s="36"/>
      <c r="C368" s="7"/>
      <c r="D368" s="7"/>
      <c r="E368" s="37"/>
      <c r="F368" s="38"/>
      <c r="G368" s="24" t="str">
        <f aca="false">IF(OR(C368="",D368="",N(E368)=0),"",E368*IF(F368="",IFERROR(N(INDEX(Produtos!$K$5:$K$54,MATCH(D368,Produtos!$B$5:$B$54,0))),0),F368))</f>
        <v/>
      </c>
      <c r="H368" s="24" t="str">
        <f aca="false">IF(G368="","",E368*IFERROR(N(INDEX(Produtos!$F$5:$F$54,MATCH(D368,Produtos!$B$5:$B$54,0))),0))</f>
        <v/>
      </c>
      <c r="I368" s="24" t="str">
        <f aca="false">IF(G368="","",G368-H368)</f>
        <v/>
      </c>
      <c r="J368" s="37"/>
    </row>
    <row r="369" customFormat="false" ht="21" hidden="false" customHeight="true" outlineLevel="0" collapsed="false">
      <c r="B369" s="36"/>
      <c r="C369" s="7"/>
      <c r="D369" s="7"/>
      <c r="E369" s="37"/>
      <c r="F369" s="38"/>
      <c r="G369" s="24" t="str">
        <f aca="false">IF(OR(C369="",D369="",N(E369)=0),"",E369*IF(F369="",IFERROR(N(INDEX(Produtos!$K$5:$K$54,MATCH(D369,Produtos!$B$5:$B$54,0))),0),F369))</f>
        <v/>
      </c>
      <c r="H369" s="24" t="str">
        <f aca="false">IF(G369="","",E369*IFERROR(N(INDEX(Produtos!$F$5:$F$54,MATCH(D369,Produtos!$B$5:$B$54,0))),0))</f>
        <v/>
      </c>
      <c r="I369" s="24" t="str">
        <f aca="false">IF(G369="","",G369-H369)</f>
        <v/>
      </c>
      <c r="J369" s="37"/>
    </row>
    <row r="370" customFormat="false" ht="21" hidden="false" customHeight="true" outlineLevel="0" collapsed="false">
      <c r="B370" s="36"/>
      <c r="C370" s="7"/>
      <c r="D370" s="7"/>
      <c r="E370" s="37"/>
      <c r="F370" s="38"/>
      <c r="G370" s="24" t="str">
        <f aca="false">IF(OR(C370="",D370="",N(E370)=0),"",E370*IF(F370="",IFERROR(N(INDEX(Produtos!$K$5:$K$54,MATCH(D370,Produtos!$B$5:$B$54,0))),0),F370))</f>
        <v/>
      </c>
      <c r="H370" s="24" t="str">
        <f aca="false">IF(G370="","",E370*IFERROR(N(INDEX(Produtos!$F$5:$F$54,MATCH(D370,Produtos!$B$5:$B$54,0))),0))</f>
        <v/>
      </c>
      <c r="I370" s="24" t="str">
        <f aca="false">IF(G370="","",G370-H370)</f>
        <v/>
      </c>
      <c r="J370" s="37"/>
    </row>
    <row r="371" customFormat="false" ht="21" hidden="false" customHeight="true" outlineLevel="0" collapsed="false">
      <c r="B371" s="36"/>
      <c r="C371" s="7"/>
      <c r="D371" s="7"/>
      <c r="E371" s="37"/>
      <c r="F371" s="38"/>
      <c r="G371" s="24" t="str">
        <f aca="false">IF(OR(C371="",D371="",N(E371)=0),"",E371*IF(F371="",IFERROR(N(INDEX(Produtos!$K$5:$K$54,MATCH(D371,Produtos!$B$5:$B$54,0))),0),F371))</f>
        <v/>
      </c>
      <c r="H371" s="24" t="str">
        <f aca="false">IF(G371="","",E371*IFERROR(N(INDEX(Produtos!$F$5:$F$54,MATCH(D371,Produtos!$B$5:$B$54,0))),0))</f>
        <v/>
      </c>
      <c r="I371" s="24" t="str">
        <f aca="false">IF(G371="","",G371-H371)</f>
        <v/>
      </c>
      <c r="J371" s="37"/>
    </row>
    <row r="372" customFormat="false" ht="21" hidden="false" customHeight="true" outlineLevel="0" collapsed="false">
      <c r="B372" s="36"/>
      <c r="C372" s="7"/>
      <c r="D372" s="7"/>
      <c r="E372" s="37"/>
      <c r="F372" s="38"/>
      <c r="G372" s="24" t="str">
        <f aca="false">IF(OR(C372="",D372="",N(E372)=0),"",E372*IF(F372="",IFERROR(N(INDEX(Produtos!$K$5:$K$54,MATCH(D372,Produtos!$B$5:$B$54,0))),0),F372))</f>
        <v/>
      </c>
      <c r="H372" s="24" t="str">
        <f aca="false">IF(G372="","",E372*IFERROR(N(INDEX(Produtos!$F$5:$F$54,MATCH(D372,Produtos!$B$5:$B$54,0))),0))</f>
        <v/>
      </c>
      <c r="I372" s="24" t="str">
        <f aca="false">IF(G372="","",G372-H372)</f>
        <v/>
      </c>
      <c r="J372" s="37"/>
    </row>
    <row r="373" customFormat="false" ht="21" hidden="false" customHeight="true" outlineLevel="0" collapsed="false">
      <c r="B373" s="36"/>
      <c r="C373" s="7"/>
      <c r="D373" s="7"/>
      <c r="E373" s="37"/>
      <c r="F373" s="38"/>
      <c r="G373" s="24" t="str">
        <f aca="false">IF(OR(C373="",D373="",N(E373)=0),"",E373*IF(F373="",IFERROR(N(INDEX(Produtos!$K$5:$K$54,MATCH(D373,Produtos!$B$5:$B$54,0))),0),F373))</f>
        <v/>
      </c>
      <c r="H373" s="24" t="str">
        <f aca="false">IF(G373="","",E373*IFERROR(N(INDEX(Produtos!$F$5:$F$54,MATCH(D373,Produtos!$B$5:$B$54,0))),0))</f>
        <v/>
      </c>
      <c r="I373" s="24" t="str">
        <f aca="false">IF(G373="","",G373-H373)</f>
        <v/>
      </c>
      <c r="J373" s="37"/>
    </row>
    <row r="374" customFormat="false" ht="21" hidden="false" customHeight="true" outlineLevel="0" collapsed="false">
      <c r="B374" s="36"/>
      <c r="C374" s="7"/>
      <c r="D374" s="7"/>
      <c r="E374" s="37"/>
      <c r="F374" s="38"/>
      <c r="G374" s="24" t="str">
        <f aca="false">IF(OR(C374="",D374="",N(E374)=0),"",E374*IF(F374="",IFERROR(N(INDEX(Produtos!$K$5:$K$54,MATCH(D374,Produtos!$B$5:$B$54,0))),0),F374))</f>
        <v/>
      </c>
      <c r="H374" s="24" t="str">
        <f aca="false">IF(G374="","",E374*IFERROR(N(INDEX(Produtos!$F$5:$F$54,MATCH(D374,Produtos!$B$5:$B$54,0))),0))</f>
        <v/>
      </c>
      <c r="I374" s="24" t="str">
        <f aca="false">IF(G374="","",G374-H374)</f>
        <v/>
      </c>
      <c r="J374" s="37"/>
    </row>
    <row r="375" customFormat="false" ht="21" hidden="false" customHeight="true" outlineLevel="0" collapsed="false">
      <c r="B375" s="36"/>
      <c r="C375" s="7"/>
      <c r="D375" s="7"/>
      <c r="E375" s="37"/>
      <c r="F375" s="38"/>
      <c r="G375" s="24" t="str">
        <f aca="false">IF(OR(C375="",D375="",N(E375)=0),"",E375*IF(F375="",IFERROR(N(INDEX(Produtos!$K$5:$K$54,MATCH(D375,Produtos!$B$5:$B$54,0))),0),F375))</f>
        <v/>
      </c>
      <c r="H375" s="24" t="str">
        <f aca="false">IF(G375="","",E375*IFERROR(N(INDEX(Produtos!$F$5:$F$54,MATCH(D375,Produtos!$B$5:$B$54,0))),0))</f>
        <v/>
      </c>
      <c r="I375" s="24" t="str">
        <f aca="false">IF(G375="","",G375-H375)</f>
        <v/>
      </c>
      <c r="J375" s="37"/>
    </row>
    <row r="376" customFormat="false" ht="21" hidden="false" customHeight="true" outlineLevel="0" collapsed="false">
      <c r="B376" s="36"/>
      <c r="C376" s="7"/>
      <c r="D376" s="7"/>
      <c r="E376" s="37"/>
      <c r="F376" s="38"/>
      <c r="G376" s="24" t="str">
        <f aca="false">IF(OR(C376="",D376="",N(E376)=0),"",E376*IF(F376="",IFERROR(N(INDEX(Produtos!$K$5:$K$54,MATCH(D376,Produtos!$B$5:$B$54,0))),0),F376))</f>
        <v/>
      </c>
      <c r="H376" s="24" t="str">
        <f aca="false">IF(G376="","",E376*IFERROR(N(INDEX(Produtos!$F$5:$F$54,MATCH(D376,Produtos!$B$5:$B$54,0))),0))</f>
        <v/>
      </c>
      <c r="I376" s="24" t="str">
        <f aca="false">IF(G376="","",G376-H376)</f>
        <v/>
      </c>
      <c r="J376" s="37"/>
    </row>
    <row r="377" customFormat="false" ht="21" hidden="false" customHeight="true" outlineLevel="0" collapsed="false">
      <c r="B377" s="36"/>
      <c r="C377" s="7"/>
      <c r="D377" s="7"/>
      <c r="E377" s="37"/>
      <c r="F377" s="38"/>
      <c r="G377" s="24" t="str">
        <f aca="false">IF(OR(C377="",D377="",N(E377)=0),"",E377*IF(F377="",IFERROR(N(INDEX(Produtos!$K$5:$K$54,MATCH(D377,Produtos!$B$5:$B$54,0))),0),F377))</f>
        <v/>
      </c>
      <c r="H377" s="24" t="str">
        <f aca="false">IF(G377="","",E377*IFERROR(N(INDEX(Produtos!$F$5:$F$54,MATCH(D377,Produtos!$B$5:$B$54,0))),0))</f>
        <v/>
      </c>
      <c r="I377" s="24" t="str">
        <f aca="false">IF(G377="","",G377-H377)</f>
        <v/>
      </c>
      <c r="J377" s="37"/>
    </row>
    <row r="378" customFormat="false" ht="21" hidden="false" customHeight="true" outlineLevel="0" collapsed="false">
      <c r="B378" s="36"/>
      <c r="C378" s="7"/>
      <c r="D378" s="7"/>
      <c r="E378" s="37"/>
      <c r="F378" s="38"/>
      <c r="G378" s="24" t="str">
        <f aca="false">IF(OR(C378="",D378="",N(E378)=0),"",E378*IF(F378="",IFERROR(N(INDEX(Produtos!$K$5:$K$54,MATCH(D378,Produtos!$B$5:$B$54,0))),0),F378))</f>
        <v/>
      </c>
      <c r="H378" s="24" t="str">
        <f aca="false">IF(G378="","",E378*IFERROR(N(INDEX(Produtos!$F$5:$F$54,MATCH(D378,Produtos!$B$5:$B$54,0))),0))</f>
        <v/>
      </c>
      <c r="I378" s="24" t="str">
        <f aca="false">IF(G378="","",G378-H378)</f>
        <v/>
      </c>
      <c r="J378" s="37"/>
    </row>
    <row r="379" customFormat="false" ht="21" hidden="false" customHeight="true" outlineLevel="0" collapsed="false">
      <c r="B379" s="36"/>
      <c r="C379" s="7"/>
      <c r="D379" s="7"/>
      <c r="E379" s="37"/>
      <c r="F379" s="38"/>
      <c r="G379" s="24" t="str">
        <f aca="false">IF(OR(C379="",D379="",N(E379)=0),"",E379*IF(F379="",IFERROR(N(INDEX(Produtos!$K$5:$K$54,MATCH(D379,Produtos!$B$5:$B$54,0))),0),F379))</f>
        <v/>
      </c>
      <c r="H379" s="24" t="str">
        <f aca="false">IF(G379="","",E379*IFERROR(N(INDEX(Produtos!$F$5:$F$54,MATCH(D379,Produtos!$B$5:$B$54,0))),0))</f>
        <v/>
      </c>
      <c r="I379" s="24" t="str">
        <f aca="false">IF(G379="","",G379-H379)</f>
        <v/>
      </c>
      <c r="J379" s="37"/>
    </row>
    <row r="380" customFormat="false" ht="21" hidden="false" customHeight="true" outlineLevel="0" collapsed="false">
      <c r="B380" s="36"/>
      <c r="C380" s="7"/>
      <c r="D380" s="7"/>
      <c r="E380" s="37"/>
      <c r="F380" s="38"/>
      <c r="G380" s="24" t="str">
        <f aca="false">IF(OR(C380="",D380="",N(E380)=0),"",E380*IF(F380="",IFERROR(N(INDEX(Produtos!$K$5:$K$54,MATCH(D380,Produtos!$B$5:$B$54,0))),0),F380))</f>
        <v/>
      </c>
      <c r="H380" s="24" t="str">
        <f aca="false">IF(G380="","",E380*IFERROR(N(INDEX(Produtos!$F$5:$F$54,MATCH(D380,Produtos!$B$5:$B$54,0))),0))</f>
        <v/>
      </c>
      <c r="I380" s="24" t="str">
        <f aca="false">IF(G380="","",G380-H380)</f>
        <v/>
      </c>
      <c r="J380" s="37"/>
    </row>
    <row r="381" customFormat="false" ht="21" hidden="false" customHeight="true" outlineLevel="0" collapsed="false">
      <c r="B381" s="36"/>
      <c r="C381" s="7"/>
      <c r="D381" s="7"/>
      <c r="E381" s="37"/>
      <c r="F381" s="38"/>
      <c r="G381" s="24" t="str">
        <f aca="false">IF(OR(C381="",D381="",N(E381)=0),"",E381*IF(F381="",IFERROR(N(INDEX(Produtos!$K$5:$K$54,MATCH(D381,Produtos!$B$5:$B$54,0))),0),F381))</f>
        <v/>
      </c>
      <c r="H381" s="24" t="str">
        <f aca="false">IF(G381="","",E381*IFERROR(N(INDEX(Produtos!$F$5:$F$54,MATCH(D381,Produtos!$B$5:$B$54,0))),0))</f>
        <v/>
      </c>
      <c r="I381" s="24" t="str">
        <f aca="false">IF(G381="","",G381-H381)</f>
        <v/>
      </c>
      <c r="J381" s="37"/>
    </row>
    <row r="382" customFormat="false" ht="21" hidden="false" customHeight="true" outlineLevel="0" collapsed="false">
      <c r="B382" s="36"/>
      <c r="C382" s="7"/>
      <c r="D382" s="7"/>
      <c r="E382" s="37"/>
      <c r="F382" s="38"/>
      <c r="G382" s="24" t="str">
        <f aca="false">IF(OR(C382="",D382="",N(E382)=0),"",E382*IF(F382="",IFERROR(N(INDEX(Produtos!$K$5:$K$54,MATCH(D382,Produtos!$B$5:$B$54,0))),0),F382))</f>
        <v/>
      </c>
      <c r="H382" s="24" t="str">
        <f aca="false">IF(G382="","",E382*IFERROR(N(INDEX(Produtos!$F$5:$F$54,MATCH(D382,Produtos!$B$5:$B$54,0))),0))</f>
        <v/>
      </c>
      <c r="I382" s="24" t="str">
        <f aca="false">IF(G382="","",G382-H382)</f>
        <v/>
      </c>
      <c r="J382" s="37"/>
    </row>
    <row r="383" customFormat="false" ht="21" hidden="false" customHeight="true" outlineLevel="0" collapsed="false">
      <c r="B383" s="36"/>
      <c r="C383" s="7"/>
      <c r="D383" s="7"/>
      <c r="E383" s="37"/>
      <c r="F383" s="38"/>
      <c r="G383" s="24" t="str">
        <f aca="false">IF(OR(C383="",D383="",N(E383)=0),"",E383*IF(F383="",IFERROR(N(INDEX(Produtos!$K$5:$K$54,MATCH(D383,Produtos!$B$5:$B$54,0))),0),F383))</f>
        <v/>
      </c>
      <c r="H383" s="24" t="str">
        <f aca="false">IF(G383="","",E383*IFERROR(N(INDEX(Produtos!$F$5:$F$54,MATCH(D383,Produtos!$B$5:$B$54,0))),0))</f>
        <v/>
      </c>
      <c r="I383" s="24" t="str">
        <f aca="false">IF(G383="","",G383-H383)</f>
        <v/>
      </c>
      <c r="J383" s="37"/>
    </row>
    <row r="384" customFormat="false" ht="21" hidden="false" customHeight="true" outlineLevel="0" collapsed="false">
      <c r="B384" s="36"/>
      <c r="C384" s="7"/>
      <c r="D384" s="7"/>
      <c r="E384" s="37"/>
      <c r="F384" s="38"/>
      <c r="G384" s="24" t="str">
        <f aca="false">IF(OR(C384="",D384="",N(E384)=0),"",E384*IF(F384="",IFERROR(N(INDEX(Produtos!$K$5:$K$54,MATCH(D384,Produtos!$B$5:$B$54,0))),0),F384))</f>
        <v/>
      </c>
      <c r="H384" s="24" t="str">
        <f aca="false">IF(G384="","",E384*IFERROR(N(INDEX(Produtos!$F$5:$F$54,MATCH(D384,Produtos!$B$5:$B$54,0))),0))</f>
        <v/>
      </c>
      <c r="I384" s="24" t="str">
        <f aca="false">IF(G384="","",G384-H384)</f>
        <v/>
      </c>
      <c r="J384" s="37"/>
    </row>
    <row r="385" customFormat="false" ht="21" hidden="false" customHeight="true" outlineLevel="0" collapsed="false">
      <c r="B385" s="36"/>
      <c r="C385" s="7"/>
      <c r="D385" s="7"/>
      <c r="E385" s="37"/>
      <c r="F385" s="38"/>
      <c r="G385" s="24" t="str">
        <f aca="false">IF(OR(C385="",D385="",N(E385)=0),"",E385*IF(F385="",IFERROR(N(INDEX(Produtos!$K$5:$K$54,MATCH(D385,Produtos!$B$5:$B$54,0))),0),F385))</f>
        <v/>
      </c>
      <c r="H385" s="24" t="str">
        <f aca="false">IF(G385="","",E385*IFERROR(N(INDEX(Produtos!$F$5:$F$54,MATCH(D385,Produtos!$B$5:$B$54,0))),0))</f>
        <v/>
      </c>
      <c r="I385" s="24" t="str">
        <f aca="false">IF(G385="","",G385-H385)</f>
        <v/>
      </c>
      <c r="J385" s="37"/>
    </row>
    <row r="386" customFormat="false" ht="21" hidden="false" customHeight="true" outlineLevel="0" collapsed="false">
      <c r="B386" s="36"/>
      <c r="C386" s="7"/>
      <c r="D386" s="7"/>
      <c r="E386" s="37"/>
      <c r="F386" s="38"/>
      <c r="G386" s="24" t="str">
        <f aca="false">IF(OR(C386="",D386="",N(E386)=0),"",E386*IF(F386="",IFERROR(N(INDEX(Produtos!$K$5:$K$54,MATCH(D386,Produtos!$B$5:$B$54,0))),0),F386))</f>
        <v/>
      </c>
      <c r="H386" s="24" t="str">
        <f aca="false">IF(G386="","",E386*IFERROR(N(INDEX(Produtos!$F$5:$F$54,MATCH(D386,Produtos!$B$5:$B$54,0))),0))</f>
        <v/>
      </c>
      <c r="I386" s="24" t="str">
        <f aca="false">IF(G386="","",G386-H386)</f>
        <v/>
      </c>
      <c r="J386" s="37"/>
    </row>
    <row r="387" customFormat="false" ht="21" hidden="false" customHeight="true" outlineLevel="0" collapsed="false">
      <c r="B387" s="36"/>
      <c r="C387" s="7"/>
      <c r="D387" s="7"/>
      <c r="E387" s="37"/>
      <c r="F387" s="38"/>
      <c r="G387" s="24" t="str">
        <f aca="false">IF(OR(C387="",D387="",N(E387)=0),"",E387*IF(F387="",IFERROR(N(INDEX(Produtos!$K$5:$K$54,MATCH(D387,Produtos!$B$5:$B$54,0))),0),F387))</f>
        <v/>
      </c>
      <c r="H387" s="24" t="str">
        <f aca="false">IF(G387="","",E387*IFERROR(N(INDEX(Produtos!$F$5:$F$54,MATCH(D387,Produtos!$B$5:$B$54,0))),0))</f>
        <v/>
      </c>
      <c r="I387" s="24" t="str">
        <f aca="false">IF(G387="","",G387-H387)</f>
        <v/>
      </c>
      <c r="J387" s="37"/>
    </row>
    <row r="388" customFormat="false" ht="21" hidden="false" customHeight="true" outlineLevel="0" collapsed="false">
      <c r="B388" s="36"/>
      <c r="C388" s="7"/>
      <c r="D388" s="7"/>
      <c r="E388" s="37"/>
      <c r="F388" s="38"/>
      <c r="G388" s="24" t="str">
        <f aca="false">IF(OR(C388="",D388="",N(E388)=0),"",E388*IF(F388="",IFERROR(N(INDEX(Produtos!$K$5:$K$54,MATCH(D388,Produtos!$B$5:$B$54,0))),0),F388))</f>
        <v/>
      </c>
      <c r="H388" s="24" t="str">
        <f aca="false">IF(G388="","",E388*IFERROR(N(INDEX(Produtos!$F$5:$F$54,MATCH(D388,Produtos!$B$5:$B$54,0))),0))</f>
        <v/>
      </c>
      <c r="I388" s="24" t="str">
        <f aca="false">IF(G388="","",G388-H388)</f>
        <v/>
      </c>
      <c r="J388" s="37"/>
    </row>
    <row r="389" customFormat="false" ht="21" hidden="false" customHeight="true" outlineLevel="0" collapsed="false">
      <c r="B389" s="36"/>
      <c r="C389" s="7"/>
      <c r="D389" s="7"/>
      <c r="E389" s="37"/>
      <c r="F389" s="38"/>
      <c r="G389" s="24" t="str">
        <f aca="false">IF(OR(C389="",D389="",N(E389)=0),"",E389*IF(F389="",IFERROR(N(INDEX(Produtos!$K$5:$K$54,MATCH(D389,Produtos!$B$5:$B$54,0))),0),F389))</f>
        <v/>
      </c>
      <c r="H389" s="24" t="str">
        <f aca="false">IF(G389="","",E389*IFERROR(N(INDEX(Produtos!$F$5:$F$54,MATCH(D389,Produtos!$B$5:$B$54,0))),0))</f>
        <v/>
      </c>
      <c r="I389" s="24" t="str">
        <f aca="false">IF(G389="","",G389-H389)</f>
        <v/>
      </c>
      <c r="J389" s="37"/>
    </row>
    <row r="390" customFormat="false" ht="21" hidden="false" customHeight="true" outlineLevel="0" collapsed="false">
      <c r="B390" s="36"/>
      <c r="C390" s="7"/>
      <c r="D390" s="7"/>
      <c r="E390" s="37"/>
      <c r="F390" s="38"/>
      <c r="G390" s="24" t="str">
        <f aca="false">IF(OR(C390="",D390="",N(E390)=0),"",E390*IF(F390="",IFERROR(N(INDEX(Produtos!$K$5:$K$54,MATCH(D390,Produtos!$B$5:$B$54,0))),0),F390))</f>
        <v/>
      </c>
      <c r="H390" s="24" t="str">
        <f aca="false">IF(G390="","",E390*IFERROR(N(INDEX(Produtos!$F$5:$F$54,MATCH(D390,Produtos!$B$5:$B$54,0))),0))</f>
        <v/>
      </c>
      <c r="I390" s="24" t="str">
        <f aca="false">IF(G390="","",G390-H390)</f>
        <v/>
      </c>
      <c r="J390" s="37"/>
    </row>
    <row r="391" customFormat="false" ht="21" hidden="false" customHeight="true" outlineLevel="0" collapsed="false">
      <c r="B391" s="36"/>
      <c r="C391" s="7"/>
      <c r="D391" s="7"/>
      <c r="E391" s="37"/>
      <c r="F391" s="38"/>
      <c r="G391" s="24" t="str">
        <f aca="false">IF(OR(C391="",D391="",N(E391)=0),"",E391*IF(F391="",IFERROR(N(INDEX(Produtos!$K$5:$K$54,MATCH(D391,Produtos!$B$5:$B$54,0))),0),F391))</f>
        <v/>
      </c>
      <c r="H391" s="24" t="str">
        <f aca="false">IF(G391="","",E391*IFERROR(N(INDEX(Produtos!$F$5:$F$54,MATCH(D391,Produtos!$B$5:$B$54,0))),0))</f>
        <v/>
      </c>
      <c r="I391" s="24" t="str">
        <f aca="false">IF(G391="","",G391-H391)</f>
        <v/>
      </c>
      <c r="J391" s="37"/>
    </row>
    <row r="392" customFormat="false" ht="21" hidden="false" customHeight="true" outlineLevel="0" collapsed="false">
      <c r="B392" s="36"/>
      <c r="C392" s="7"/>
      <c r="D392" s="7"/>
      <c r="E392" s="37"/>
      <c r="F392" s="38"/>
      <c r="G392" s="24" t="str">
        <f aca="false">IF(OR(C392="",D392="",N(E392)=0),"",E392*IF(F392="",IFERROR(N(INDEX(Produtos!$K$5:$K$54,MATCH(D392,Produtos!$B$5:$B$54,0))),0),F392))</f>
        <v/>
      </c>
      <c r="H392" s="24" t="str">
        <f aca="false">IF(G392="","",E392*IFERROR(N(INDEX(Produtos!$F$5:$F$54,MATCH(D392,Produtos!$B$5:$B$54,0))),0))</f>
        <v/>
      </c>
      <c r="I392" s="24" t="str">
        <f aca="false">IF(G392="","",G392-H392)</f>
        <v/>
      </c>
      <c r="J392" s="37"/>
    </row>
    <row r="393" customFormat="false" ht="21" hidden="false" customHeight="true" outlineLevel="0" collapsed="false">
      <c r="B393" s="36"/>
      <c r="C393" s="7"/>
      <c r="D393" s="7"/>
      <c r="E393" s="37"/>
      <c r="F393" s="38"/>
      <c r="G393" s="24" t="str">
        <f aca="false">IF(OR(C393="",D393="",N(E393)=0),"",E393*IF(F393="",IFERROR(N(INDEX(Produtos!$K$5:$K$54,MATCH(D393,Produtos!$B$5:$B$54,0))),0),F393))</f>
        <v/>
      </c>
      <c r="H393" s="24" t="str">
        <f aca="false">IF(G393="","",E393*IFERROR(N(INDEX(Produtos!$F$5:$F$54,MATCH(D393,Produtos!$B$5:$B$54,0))),0))</f>
        <v/>
      </c>
      <c r="I393" s="24" t="str">
        <f aca="false">IF(G393="","",G393-H393)</f>
        <v/>
      </c>
      <c r="J393" s="37"/>
    </row>
    <row r="394" customFormat="false" ht="21" hidden="false" customHeight="true" outlineLevel="0" collapsed="false">
      <c r="B394" s="36"/>
      <c r="C394" s="7"/>
      <c r="D394" s="7"/>
      <c r="E394" s="37"/>
      <c r="F394" s="38"/>
      <c r="G394" s="24" t="str">
        <f aca="false">IF(OR(C394="",D394="",N(E394)=0),"",E394*IF(F394="",IFERROR(N(INDEX(Produtos!$K$5:$K$54,MATCH(D394,Produtos!$B$5:$B$54,0))),0),F394))</f>
        <v/>
      </c>
      <c r="H394" s="24" t="str">
        <f aca="false">IF(G394="","",E394*IFERROR(N(INDEX(Produtos!$F$5:$F$54,MATCH(D394,Produtos!$B$5:$B$54,0))),0))</f>
        <v/>
      </c>
      <c r="I394" s="24" t="str">
        <f aca="false">IF(G394="","",G394-H394)</f>
        <v/>
      </c>
      <c r="J394" s="37"/>
    </row>
    <row r="395" customFormat="false" ht="21" hidden="false" customHeight="true" outlineLevel="0" collapsed="false">
      <c r="B395" s="36"/>
      <c r="C395" s="7"/>
      <c r="D395" s="7"/>
      <c r="E395" s="37"/>
      <c r="F395" s="38"/>
      <c r="G395" s="24" t="str">
        <f aca="false">IF(OR(C395="",D395="",N(E395)=0),"",E395*IF(F395="",IFERROR(N(INDEX(Produtos!$K$5:$K$54,MATCH(D395,Produtos!$B$5:$B$54,0))),0),F395))</f>
        <v/>
      </c>
      <c r="H395" s="24" t="str">
        <f aca="false">IF(G395="","",E395*IFERROR(N(INDEX(Produtos!$F$5:$F$54,MATCH(D395,Produtos!$B$5:$B$54,0))),0))</f>
        <v/>
      </c>
      <c r="I395" s="24" t="str">
        <f aca="false">IF(G395="","",G395-H395)</f>
        <v/>
      </c>
      <c r="J395" s="37"/>
    </row>
    <row r="396" customFormat="false" ht="21" hidden="false" customHeight="true" outlineLevel="0" collapsed="false">
      <c r="B396" s="36"/>
      <c r="C396" s="7"/>
      <c r="D396" s="7"/>
      <c r="E396" s="37"/>
      <c r="F396" s="38"/>
      <c r="G396" s="24" t="str">
        <f aca="false">IF(OR(C396="",D396="",N(E396)=0),"",E396*IF(F396="",IFERROR(N(INDEX(Produtos!$K$5:$K$54,MATCH(D396,Produtos!$B$5:$B$54,0))),0),F396))</f>
        <v/>
      </c>
      <c r="H396" s="24" t="str">
        <f aca="false">IF(G396="","",E396*IFERROR(N(INDEX(Produtos!$F$5:$F$54,MATCH(D396,Produtos!$B$5:$B$54,0))),0))</f>
        <v/>
      </c>
      <c r="I396" s="24" t="str">
        <f aca="false">IF(G396="","",G396-H396)</f>
        <v/>
      </c>
      <c r="J396" s="37"/>
    </row>
    <row r="397" customFormat="false" ht="21" hidden="false" customHeight="true" outlineLevel="0" collapsed="false">
      <c r="B397" s="36"/>
      <c r="C397" s="7"/>
      <c r="D397" s="7"/>
      <c r="E397" s="37"/>
      <c r="F397" s="38"/>
      <c r="G397" s="24" t="str">
        <f aca="false">IF(OR(C397="",D397="",N(E397)=0),"",E397*IF(F397="",IFERROR(N(INDEX(Produtos!$K$5:$K$54,MATCH(D397,Produtos!$B$5:$B$54,0))),0),F397))</f>
        <v/>
      </c>
      <c r="H397" s="24" t="str">
        <f aca="false">IF(G397="","",E397*IFERROR(N(INDEX(Produtos!$F$5:$F$54,MATCH(D397,Produtos!$B$5:$B$54,0))),0))</f>
        <v/>
      </c>
      <c r="I397" s="24" t="str">
        <f aca="false">IF(G397="","",G397-H397)</f>
        <v/>
      </c>
      <c r="J397" s="37"/>
    </row>
    <row r="398" customFormat="false" ht="21" hidden="false" customHeight="true" outlineLevel="0" collapsed="false">
      <c r="B398" s="36"/>
      <c r="C398" s="7"/>
      <c r="D398" s="7"/>
      <c r="E398" s="37"/>
      <c r="F398" s="38"/>
      <c r="G398" s="24" t="str">
        <f aca="false">IF(OR(C398="",D398="",N(E398)=0),"",E398*IF(F398="",IFERROR(N(INDEX(Produtos!$K$5:$K$54,MATCH(D398,Produtos!$B$5:$B$54,0))),0),F398))</f>
        <v/>
      </c>
      <c r="H398" s="24" t="str">
        <f aca="false">IF(G398="","",E398*IFERROR(N(INDEX(Produtos!$F$5:$F$54,MATCH(D398,Produtos!$B$5:$B$54,0))),0))</f>
        <v/>
      </c>
      <c r="I398" s="24" t="str">
        <f aca="false">IF(G398="","",G398-H398)</f>
        <v/>
      </c>
      <c r="J398" s="37"/>
    </row>
    <row r="399" customFormat="false" ht="21" hidden="false" customHeight="true" outlineLevel="0" collapsed="false">
      <c r="B399" s="36"/>
      <c r="C399" s="7"/>
      <c r="D399" s="7"/>
      <c r="E399" s="37"/>
      <c r="F399" s="38"/>
      <c r="G399" s="24" t="str">
        <f aca="false">IF(OR(C399="",D399="",N(E399)=0),"",E399*IF(F399="",IFERROR(N(INDEX(Produtos!$K$5:$K$54,MATCH(D399,Produtos!$B$5:$B$54,0))),0),F399))</f>
        <v/>
      </c>
      <c r="H399" s="24" t="str">
        <f aca="false">IF(G399="","",E399*IFERROR(N(INDEX(Produtos!$F$5:$F$54,MATCH(D399,Produtos!$B$5:$B$54,0))),0))</f>
        <v/>
      </c>
      <c r="I399" s="24" t="str">
        <f aca="false">IF(G399="","",G399-H399)</f>
        <v/>
      </c>
      <c r="J399" s="37"/>
    </row>
    <row r="400" customFormat="false" ht="21" hidden="false" customHeight="true" outlineLevel="0" collapsed="false">
      <c r="B400" s="36"/>
      <c r="C400" s="7"/>
      <c r="D400" s="7"/>
      <c r="E400" s="37"/>
      <c r="F400" s="38"/>
      <c r="G400" s="24" t="str">
        <f aca="false">IF(OR(C400="",D400="",N(E400)=0),"",E400*IF(F400="",IFERROR(N(INDEX(Produtos!$K$5:$K$54,MATCH(D400,Produtos!$B$5:$B$54,0))),0),F400))</f>
        <v/>
      </c>
      <c r="H400" s="24" t="str">
        <f aca="false">IF(G400="","",E400*IFERROR(N(INDEX(Produtos!$F$5:$F$54,MATCH(D400,Produtos!$B$5:$B$54,0))),0))</f>
        <v/>
      </c>
      <c r="I400" s="24" t="str">
        <f aca="false">IF(G400="","",G400-H400)</f>
        <v/>
      </c>
      <c r="J400" s="37"/>
    </row>
    <row r="401" customFormat="false" ht="21" hidden="false" customHeight="true" outlineLevel="0" collapsed="false">
      <c r="B401" s="36"/>
      <c r="C401" s="7"/>
      <c r="D401" s="7"/>
      <c r="E401" s="37"/>
      <c r="F401" s="38"/>
      <c r="G401" s="24" t="str">
        <f aca="false">IF(OR(C401="",D401="",N(E401)=0),"",E401*IF(F401="",IFERROR(N(INDEX(Produtos!$K$5:$K$54,MATCH(D401,Produtos!$B$5:$B$54,0))),0),F401))</f>
        <v/>
      </c>
      <c r="H401" s="24" t="str">
        <f aca="false">IF(G401="","",E401*IFERROR(N(INDEX(Produtos!$F$5:$F$54,MATCH(D401,Produtos!$B$5:$B$54,0))),0))</f>
        <v/>
      </c>
      <c r="I401" s="24" t="str">
        <f aca="false">IF(G401="","",G401-H401)</f>
        <v/>
      </c>
      <c r="J401" s="37"/>
    </row>
    <row r="402" customFormat="false" ht="21" hidden="false" customHeight="true" outlineLevel="0" collapsed="false">
      <c r="B402" s="36"/>
      <c r="C402" s="7"/>
      <c r="D402" s="7"/>
      <c r="E402" s="37"/>
      <c r="F402" s="38"/>
      <c r="G402" s="24" t="str">
        <f aca="false">IF(OR(C402="",D402="",N(E402)=0),"",E402*IF(F402="",IFERROR(N(INDEX(Produtos!$K$5:$K$54,MATCH(D402,Produtos!$B$5:$B$54,0))),0),F402))</f>
        <v/>
      </c>
      <c r="H402" s="24" t="str">
        <f aca="false">IF(G402="","",E402*IFERROR(N(INDEX(Produtos!$F$5:$F$54,MATCH(D402,Produtos!$B$5:$B$54,0))),0))</f>
        <v/>
      </c>
      <c r="I402" s="24" t="str">
        <f aca="false">IF(G402="","",G402-H402)</f>
        <v/>
      </c>
      <c r="J402" s="37"/>
    </row>
    <row r="403" customFormat="false" ht="21" hidden="false" customHeight="true" outlineLevel="0" collapsed="false">
      <c r="B403" s="36"/>
      <c r="C403" s="7"/>
      <c r="D403" s="7"/>
      <c r="E403" s="37"/>
      <c r="F403" s="38"/>
      <c r="G403" s="24" t="str">
        <f aca="false">IF(OR(C403="",D403="",N(E403)=0),"",E403*IF(F403="",IFERROR(N(INDEX(Produtos!$K$5:$K$54,MATCH(D403,Produtos!$B$5:$B$54,0))),0),F403))</f>
        <v/>
      </c>
      <c r="H403" s="24" t="str">
        <f aca="false">IF(G403="","",E403*IFERROR(N(INDEX(Produtos!$F$5:$F$54,MATCH(D403,Produtos!$B$5:$B$54,0))),0))</f>
        <v/>
      </c>
      <c r="I403" s="24" t="str">
        <f aca="false">IF(G403="","",G403-H403)</f>
        <v/>
      </c>
      <c r="J403" s="37"/>
    </row>
    <row r="404" customFormat="false" ht="21" hidden="false" customHeight="true" outlineLevel="0" collapsed="false">
      <c r="B404" s="36"/>
      <c r="C404" s="7"/>
      <c r="D404" s="7"/>
      <c r="E404" s="37"/>
      <c r="F404" s="38"/>
      <c r="G404" s="24" t="str">
        <f aca="false">IF(OR(C404="",D404="",N(E404)=0),"",E404*IF(F404="",IFERROR(N(INDEX(Produtos!$K$5:$K$54,MATCH(D404,Produtos!$B$5:$B$54,0))),0),F404))</f>
        <v/>
      </c>
      <c r="H404" s="24" t="str">
        <f aca="false">IF(G404="","",E404*IFERROR(N(INDEX(Produtos!$F$5:$F$54,MATCH(D404,Produtos!$B$5:$B$54,0))),0))</f>
        <v/>
      </c>
      <c r="I404" s="24" t="str">
        <f aca="false">IF(G404="","",G404-H404)</f>
        <v/>
      </c>
      <c r="J404" s="37"/>
    </row>
    <row r="405" customFormat="false" ht="21" hidden="false" customHeight="true" outlineLevel="0" collapsed="false">
      <c r="B405" s="36"/>
      <c r="C405" s="7"/>
      <c r="D405" s="7"/>
      <c r="E405" s="37"/>
      <c r="F405" s="38"/>
      <c r="G405" s="24" t="str">
        <f aca="false">IF(OR(C405="",D405="",N(E405)=0),"",E405*IF(F405="",IFERROR(N(INDEX(Produtos!$K$5:$K$54,MATCH(D405,Produtos!$B$5:$B$54,0))),0),F405))</f>
        <v/>
      </c>
      <c r="H405" s="24" t="str">
        <f aca="false">IF(G405="","",E405*IFERROR(N(INDEX(Produtos!$F$5:$F$54,MATCH(D405,Produtos!$B$5:$B$54,0))),0))</f>
        <v/>
      </c>
      <c r="I405" s="24" t="str">
        <f aca="false">IF(G405="","",G405-H405)</f>
        <v/>
      </c>
      <c r="J405" s="37"/>
    </row>
    <row r="406" customFormat="false" ht="21" hidden="false" customHeight="true" outlineLevel="0" collapsed="false">
      <c r="B406" s="36"/>
      <c r="C406" s="7"/>
      <c r="D406" s="7"/>
      <c r="E406" s="37"/>
      <c r="F406" s="38"/>
      <c r="G406" s="24" t="str">
        <f aca="false">IF(OR(C406="",D406="",N(E406)=0),"",E406*IF(F406="",IFERROR(N(INDEX(Produtos!$K$5:$K$54,MATCH(D406,Produtos!$B$5:$B$54,0))),0),F406))</f>
        <v/>
      </c>
      <c r="H406" s="24" t="str">
        <f aca="false">IF(G406="","",E406*IFERROR(N(INDEX(Produtos!$F$5:$F$54,MATCH(D406,Produtos!$B$5:$B$54,0))),0))</f>
        <v/>
      </c>
      <c r="I406" s="24" t="str">
        <f aca="false">IF(G406="","",G406-H406)</f>
        <v/>
      </c>
      <c r="J406" s="37"/>
    </row>
    <row r="407" customFormat="false" ht="21" hidden="false" customHeight="true" outlineLevel="0" collapsed="false">
      <c r="B407" s="36"/>
      <c r="C407" s="7"/>
      <c r="D407" s="7"/>
      <c r="E407" s="37"/>
      <c r="F407" s="38"/>
      <c r="G407" s="24" t="str">
        <f aca="false">IF(OR(C407="",D407="",N(E407)=0),"",E407*IF(F407="",IFERROR(N(INDEX(Produtos!$K$5:$K$54,MATCH(D407,Produtos!$B$5:$B$54,0))),0),F407))</f>
        <v/>
      </c>
      <c r="H407" s="24" t="str">
        <f aca="false">IF(G407="","",E407*IFERROR(N(INDEX(Produtos!$F$5:$F$54,MATCH(D407,Produtos!$B$5:$B$54,0))),0))</f>
        <v/>
      </c>
      <c r="I407" s="24" t="str">
        <f aca="false">IF(G407="","",G407-H407)</f>
        <v/>
      </c>
      <c r="J407" s="37"/>
    </row>
    <row r="408" customFormat="false" ht="21" hidden="false" customHeight="true" outlineLevel="0" collapsed="false">
      <c r="B408" s="36"/>
      <c r="C408" s="7"/>
      <c r="D408" s="7"/>
      <c r="E408" s="37"/>
      <c r="F408" s="38"/>
      <c r="G408" s="24" t="str">
        <f aca="false">IF(OR(C408="",D408="",N(E408)=0),"",E408*IF(F408="",IFERROR(N(INDEX(Produtos!$K$5:$K$54,MATCH(D408,Produtos!$B$5:$B$54,0))),0),F408))</f>
        <v/>
      </c>
      <c r="H408" s="24" t="str">
        <f aca="false">IF(G408="","",E408*IFERROR(N(INDEX(Produtos!$F$5:$F$54,MATCH(D408,Produtos!$B$5:$B$54,0))),0))</f>
        <v/>
      </c>
      <c r="I408" s="24" t="str">
        <f aca="false">IF(G408="","",G408-H408)</f>
        <v/>
      </c>
      <c r="J408" s="37"/>
    </row>
    <row r="409" customFormat="false" ht="21" hidden="false" customHeight="true" outlineLevel="0" collapsed="false">
      <c r="B409" s="36"/>
      <c r="C409" s="7"/>
      <c r="D409" s="7"/>
      <c r="E409" s="37"/>
      <c r="F409" s="38"/>
      <c r="G409" s="24" t="str">
        <f aca="false">IF(OR(C409="",D409="",N(E409)=0),"",E409*IF(F409="",IFERROR(N(INDEX(Produtos!$K$5:$K$54,MATCH(D409,Produtos!$B$5:$B$54,0))),0),F409))</f>
        <v/>
      </c>
      <c r="H409" s="24" t="str">
        <f aca="false">IF(G409="","",E409*IFERROR(N(INDEX(Produtos!$F$5:$F$54,MATCH(D409,Produtos!$B$5:$B$54,0))),0))</f>
        <v/>
      </c>
      <c r="I409" s="24" t="str">
        <f aca="false">IF(G409="","",G409-H409)</f>
        <v/>
      </c>
      <c r="J409" s="37"/>
    </row>
    <row r="410" customFormat="false" ht="21" hidden="false" customHeight="true" outlineLevel="0" collapsed="false">
      <c r="B410" s="36"/>
      <c r="C410" s="7"/>
      <c r="D410" s="7"/>
      <c r="E410" s="37"/>
      <c r="F410" s="38"/>
      <c r="G410" s="24" t="str">
        <f aca="false">IF(OR(C410="",D410="",N(E410)=0),"",E410*IF(F410="",IFERROR(N(INDEX(Produtos!$K$5:$K$54,MATCH(D410,Produtos!$B$5:$B$54,0))),0),F410))</f>
        <v/>
      </c>
      <c r="H410" s="24" t="str">
        <f aca="false">IF(G410="","",E410*IFERROR(N(INDEX(Produtos!$F$5:$F$54,MATCH(D410,Produtos!$B$5:$B$54,0))),0))</f>
        <v/>
      </c>
      <c r="I410" s="24" t="str">
        <f aca="false">IF(G410="","",G410-H410)</f>
        <v/>
      </c>
      <c r="J410" s="37"/>
    </row>
    <row r="411" customFormat="false" ht="21" hidden="false" customHeight="true" outlineLevel="0" collapsed="false">
      <c r="B411" s="36"/>
      <c r="C411" s="7"/>
      <c r="D411" s="7"/>
      <c r="E411" s="37"/>
      <c r="F411" s="38"/>
      <c r="G411" s="24" t="str">
        <f aca="false">IF(OR(C411="",D411="",N(E411)=0),"",E411*IF(F411="",IFERROR(N(INDEX(Produtos!$K$5:$K$54,MATCH(D411,Produtos!$B$5:$B$54,0))),0),F411))</f>
        <v/>
      </c>
      <c r="H411" s="24" t="str">
        <f aca="false">IF(G411="","",E411*IFERROR(N(INDEX(Produtos!$F$5:$F$54,MATCH(D411,Produtos!$B$5:$B$54,0))),0))</f>
        <v/>
      </c>
      <c r="I411" s="24" t="str">
        <f aca="false">IF(G411="","",G411-H411)</f>
        <v/>
      </c>
      <c r="J411" s="37"/>
    </row>
    <row r="412" customFormat="false" ht="21" hidden="false" customHeight="true" outlineLevel="0" collapsed="false">
      <c r="B412" s="36"/>
      <c r="C412" s="7"/>
      <c r="D412" s="7"/>
      <c r="E412" s="37"/>
      <c r="F412" s="38"/>
      <c r="G412" s="24" t="str">
        <f aca="false">IF(OR(C412="",D412="",N(E412)=0),"",E412*IF(F412="",IFERROR(N(INDEX(Produtos!$K$5:$K$54,MATCH(D412,Produtos!$B$5:$B$54,0))),0),F412))</f>
        <v/>
      </c>
      <c r="H412" s="24" t="str">
        <f aca="false">IF(G412="","",E412*IFERROR(N(INDEX(Produtos!$F$5:$F$54,MATCH(D412,Produtos!$B$5:$B$54,0))),0))</f>
        <v/>
      </c>
      <c r="I412" s="24" t="str">
        <f aca="false">IF(G412="","",G412-H412)</f>
        <v/>
      </c>
      <c r="J412" s="37"/>
    </row>
    <row r="413" customFormat="false" ht="21" hidden="false" customHeight="true" outlineLevel="0" collapsed="false">
      <c r="B413" s="36"/>
      <c r="C413" s="7"/>
      <c r="D413" s="7"/>
      <c r="E413" s="37"/>
      <c r="F413" s="38"/>
      <c r="G413" s="24" t="str">
        <f aca="false">IF(OR(C413="",D413="",N(E413)=0),"",E413*IF(F413="",IFERROR(N(INDEX(Produtos!$K$5:$K$54,MATCH(D413,Produtos!$B$5:$B$54,0))),0),F413))</f>
        <v/>
      </c>
      <c r="H413" s="24" t="str">
        <f aca="false">IF(G413="","",E413*IFERROR(N(INDEX(Produtos!$F$5:$F$54,MATCH(D413,Produtos!$B$5:$B$54,0))),0))</f>
        <v/>
      </c>
      <c r="I413" s="24" t="str">
        <f aca="false">IF(G413="","",G413-H413)</f>
        <v/>
      </c>
      <c r="J413" s="37"/>
    </row>
    <row r="414" customFormat="false" ht="21" hidden="false" customHeight="true" outlineLevel="0" collapsed="false">
      <c r="B414" s="36"/>
      <c r="C414" s="7"/>
      <c r="D414" s="7"/>
      <c r="E414" s="37"/>
      <c r="F414" s="38"/>
      <c r="G414" s="24" t="str">
        <f aca="false">IF(OR(C414="",D414="",N(E414)=0),"",E414*IF(F414="",IFERROR(N(INDEX(Produtos!$K$5:$K$54,MATCH(D414,Produtos!$B$5:$B$54,0))),0),F414))</f>
        <v/>
      </c>
      <c r="H414" s="24" t="str">
        <f aca="false">IF(G414="","",E414*IFERROR(N(INDEX(Produtos!$F$5:$F$54,MATCH(D414,Produtos!$B$5:$B$54,0))),0))</f>
        <v/>
      </c>
      <c r="I414" s="24" t="str">
        <f aca="false">IF(G414="","",G414-H414)</f>
        <v/>
      </c>
      <c r="J414" s="37"/>
    </row>
    <row r="415" customFormat="false" ht="21" hidden="false" customHeight="true" outlineLevel="0" collapsed="false">
      <c r="B415" s="36"/>
      <c r="C415" s="7"/>
      <c r="D415" s="7"/>
      <c r="E415" s="37"/>
      <c r="F415" s="38"/>
      <c r="G415" s="24" t="str">
        <f aca="false">IF(OR(C415="",D415="",N(E415)=0),"",E415*IF(F415="",IFERROR(N(INDEX(Produtos!$K$5:$K$54,MATCH(D415,Produtos!$B$5:$B$54,0))),0),F415))</f>
        <v/>
      </c>
      <c r="H415" s="24" t="str">
        <f aca="false">IF(G415="","",E415*IFERROR(N(INDEX(Produtos!$F$5:$F$54,MATCH(D415,Produtos!$B$5:$B$54,0))),0))</f>
        <v/>
      </c>
      <c r="I415" s="24" t="str">
        <f aca="false">IF(G415="","",G415-H415)</f>
        <v/>
      </c>
      <c r="J415" s="37"/>
    </row>
    <row r="416" customFormat="false" ht="21" hidden="false" customHeight="true" outlineLevel="0" collapsed="false">
      <c r="B416" s="36"/>
      <c r="C416" s="7"/>
      <c r="D416" s="7"/>
      <c r="E416" s="37"/>
      <c r="F416" s="38"/>
      <c r="G416" s="24" t="str">
        <f aca="false">IF(OR(C416="",D416="",N(E416)=0),"",E416*IF(F416="",IFERROR(N(INDEX(Produtos!$K$5:$K$54,MATCH(D416,Produtos!$B$5:$B$54,0))),0),F416))</f>
        <v/>
      </c>
      <c r="H416" s="24" t="str">
        <f aca="false">IF(G416="","",E416*IFERROR(N(INDEX(Produtos!$F$5:$F$54,MATCH(D416,Produtos!$B$5:$B$54,0))),0))</f>
        <v/>
      </c>
      <c r="I416" s="24" t="str">
        <f aca="false">IF(G416="","",G416-H416)</f>
        <v/>
      </c>
      <c r="J416" s="37"/>
    </row>
    <row r="417" customFormat="false" ht="21" hidden="false" customHeight="true" outlineLevel="0" collapsed="false">
      <c r="B417" s="36"/>
      <c r="C417" s="7"/>
      <c r="D417" s="7"/>
      <c r="E417" s="37"/>
      <c r="F417" s="38"/>
      <c r="G417" s="24" t="str">
        <f aca="false">IF(OR(C417="",D417="",N(E417)=0),"",E417*IF(F417="",IFERROR(N(INDEX(Produtos!$K$5:$K$54,MATCH(D417,Produtos!$B$5:$B$54,0))),0),F417))</f>
        <v/>
      </c>
      <c r="H417" s="24" t="str">
        <f aca="false">IF(G417="","",E417*IFERROR(N(INDEX(Produtos!$F$5:$F$54,MATCH(D417,Produtos!$B$5:$B$54,0))),0))</f>
        <v/>
      </c>
      <c r="I417" s="24" t="str">
        <f aca="false">IF(G417="","",G417-H417)</f>
        <v/>
      </c>
      <c r="J417" s="37"/>
    </row>
    <row r="418" customFormat="false" ht="21" hidden="false" customHeight="true" outlineLevel="0" collapsed="false">
      <c r="B418" s="36"/>
      <c r="C418" s="7"/>
      <c r="D418" s="7"/>
      <c r="E418" s="37"/>
      <c r="F418" s="38"/>
      <c r="G418" s="24" t="str">
        <f aca="false">IF(OR(C418="",D418="",N(E418)=0),"",E418*IF(F418="",IFERROR(N(INDEX(Produtos!$K$5:$K$54,MATCH(D418,Produtos!$B$5:$B$54,0))),0),F418))</f>
        <v/>
      </c>
      <c r="H418" s="24" t="str">
        <f aca="false">IF(G418="","",E418*IFERROR(N(INDEX(Produtos!$F$5:$F$54,MATCH(D418,Produtos!$B$5:$B$54,0))),0))</f>
        <v/>
      </c>
      <c r="I418" s="24" t="str">
        <f aca="false">IF(G418="","",G418-H418)</f>
        <v/>
      </c>
      <c r="J418" s="37"/>
    </row>
    <row r="419" customFormat="false" ht="21" hidden="false" customHeight="true" outlineLevel="0" collapsed="false">
      <c r="B419" s="36"/>
      <c r="C419" s="7"/>
      <c r="D419" s="7"/>
      <c r="E419" s="37"/>
      <c r="F419" s="38"/>
      <c r="G419" s="24" t="str">
        <f aca="false">IF(OR(C419="",D419="",N(E419)=0),"",E419*IF(F419="",IFERROR(N(INDEX(Produtos!$K$5:$K$54,MATCH(D419,Produtos!$B$5:$B$54,0))),0),F419))</f>
        <v/>
      </c>
      <c r="H419" s="24" t="str">
        <f aca="false">IF(G419="","",E419*IFERROR(N(INDEX(Produtos!$F$5:$F$54,MATCH(D419,Produtos!$B$5:$B$54,0))),0))</f>
        <v/>
      </c>
      <c r="I419" s="24" t="str">
        <f aca="false">IF(G419="","",G419-H419)</f>
        <v/>
      </c>
      <c r="J419" s="37"/>
    </row>
    <row r="420" customFormat="false" ht="21" hidden="false" customHeight="true" outlineLevel="0" collapsed="false">
      <c r="B420" s="36"/>
      <c r="C420" s="7"/>
      <c r="D420" s="7"/>
      <c r="E420" s="37"/>
      <c r="F420" s="38"/>
      <c r="G420" s="24" t="str">
        <f aca="false">IF(OR(C420="",D420="",N(E420)=0),"",E420*IF(F420="",IFERROR(N(INDEX(Produtos!$K$5:$K$54,MATCH(D420,Produtos!$B$5:$B$54,0))),0),F420))</f>
        <v/>
      </c>
      <c r="H420" s="24" t="str">
        <f aca="false">IF(G420="","",E420*IFERROR(N(INDEX(Produtos!$F$5:$F$54,MATCH(D420,Produtos!$B$5:$B$54,0))),0))</f>
        <v/>
      </c>
      <c r="I420" s="24" t="str">
        <f aca="false">IF(G420="","",G420-H420)</f>
        <v/>
      </c>
      <c r="J420" s="37"/>
    </row>
    <row r="421" customFormat="false" ht="21" hidden="false" customHeight="true" outlineLevel="0" collapsed="false">
      <c r="B421" s="36"/>
      <c r="C421" s="7"/>
      <c r="D421" s="7"/>
      <c r="E421" s="37"/>
      <c r="F421" s="38"/>
      <c r="G421" s="24" t="str">
        <f aca="false">IF(OR(C421="",D421="",N(E421)=0),"",E421*IF(F421="",IFERROR(N(INDEX(Produtos!$K$5:$K$54,MATCH(D421,Produtos!$B$5:$B$54,0))),0),F421))</f>
        <v/>
      </c>
      <c r="H421" s="24" t="str">
        <f aca="false">IF(G421="","",E421*IFERROR(N(INDEX(Produtos!$F$5:$F$54,MATCH(D421,Produtos!$B$5:$B$54,0))),0))</f>
        <v/>
      </c>
      <c r="I421" s="24" t="str">
        <f aca="false">IF(G421="","",G421-H421)</f>
        <v/>
      </c>
      <c r="J421" s="37"/>
    </row>
    <row r="422" customFormat="false" ht="21" hidden="false" customHeight="true" outlineLevel="0" collapsed="false">
      <c r="B422" s="36"/>
      <c r="C422" s="7"/>
      <c r="D422" s="7"/>
      <c r="E422" s="37"/>
      <c r="F422" s="38"/>
      <c r="G422" s="24" t="str">
        <f aca="false">IF(OR(C422="",D422="",N(E422)=0),"",E422*IF(F422="",IFERROR(N(INDEX(Produtos!$K$5:$K$54,MATCH(D422,Produtos!$B$5:$B$54,0))),0),F422))</f>
        <v/>
      </c>
      <c r="H422" s="24" t="str">
        <f aca="false">IF(G422="","",E422*IFERROR(N(INDEX(Produtos!$F$5:$F$54,MATCH(D422,Produtos!$B$5:$B$54,0))),0))</f>
        <v/>
      </c>
      <c r="I422" s="24" t="str">
        <f aca="false">IF(G422="","",G422-H422)</f>
        <v/>
      </c>
      <c r="J422" s="37"/>
    </row>
    <row r="423" customFormat="false" ht="21" hidden="false" customHeight="true" outlineLevel="0" collapsed="false">
      <c r="B423" s="36"/>
      <c r="C423" s="7"/>
      <c r="D423" s="7"/>
      <c r="E423" s="37"/>
      <c r="F423" s="38"/>
      <c r="G423" s="24" t="str">
        <f aca="false">IF(OR(C423="",D423="",N(E423)=0),"",E423*IF(F423="",IFERROR(N(INDEX(Produtos!$K$5:$K$54,MATCH(D423,Produtos!$B$5:$B$54,0))),0),F423))</f>
        <v/>
      </c>
      <c r="H423" s="24" t="str">
        <f aca="false">IF(G423="","",E423*IFERROR(N(INDEX(Produtos!$F$5:$F$54,MATCH(D423,Produtos!$B$5:$B$54,0))),0))</f>
        <v/>
      </c>
      <c r="I423" s="24" t="str">
        <f aca="false">IF(G423="","",G423-H423)</f>
        <v/>
      </c>
      <c r="J423" s="37"/>
    </row>
    <row r="424" customFormat="false" ht="21" hidden="false" customHeight="true" outlineLevel="0" collapsed="false">
      <c r="B424" s="36"/>
      <c r="C424" s="7"/>
      <c r="D424" s="7"/>
      <c r="E424" s="37"/>
      <c r="F424" s="38"/>
      <c r="G424" s="24" t="str">
        <f aca="false">IF(OR(C424="",D424="",N(E424)=0),"",E424*IF(F424="",IFERROR(N(INDEX(Produtos!$K$5:$K$54,MATCH(D424,Produtos!$B$5:$B$54,0))),0),F424))</f>
        <v/>
      </c>
      <c r="H424" s="24" t="str">
        <f aca="false">IF(G424="","",E424*IFERROR(N(INDEX(Produtos!$F$5:$F$54,MATCH(D424,Produtos!$B$5:$B$54,0))),0))</f>
        <v/>
      </c>
      <c r="I424" s="24" t="str">
        <f aca="false">IF(G424="","",G424-H424)</f>
        <v/>
      </c>
      <c r="J424" s="37"/>
    </row>
    <row r="425" customFormat="false" ht="21" hidden="false" customHeight="true" outlineLevel="0" collapsed="false">
      <c r="B425" s="36"/>
      <c r="C425" s="7"/>
      <c r="D425" s="7"/>
      <c r="E425" s="37"/>
      <c r="F425" s="38"/>
      <c r="G425" s="24" t="str">
        <f aca="false">IF(OR(C425="",D425="",N(E425)=0),"",E425*IF(F425="",IFERROR(N(INDEX(Produtos!$K$5:$K$54,MATCH(D425,Produtos!$B$5:$B$54,0))),0),F425))</f>
        <v/>
      </c>
      <c r="H425" s="24" t="str">
        <f aca="false">IF(G425="","",E425*IFERROR(N(INDEX(Produtos!$F$5:$F$54,MATCH(D425,Produtos!$B$5:$B$54,0))),0))</f>
        <v/>
      </c>
      <c r="I425" s="24" t="str">
        <f aca="false">IF(G425="","",G425-H425)</f>
        <v/>
      </c>
      <c r="J425" s="37"/>
    </row>
    <row r="426" customFormat="false" ht="21" hidden="false" customHeight="true" outlineLevel="0" collapsed="false">
      <c r="B426" s="36"/>
      <c r="C426" s="7"/>
      <c r="D426" s="7"/>
      <c r="E426" s="37"/>
      <c r="F426" s="38"/>
      <c r="G426" s="24" t="str">
        <f aca="false">IF(OR(C426="",D426="",N(E426)=0),"",E426*IF(F426="",IFERROR(N(INDEX(Produtos!$K$5:$K$54,MATCH(D426,Produtos!$B$5:$B$54,0))),0),F426))</f>
        <v/>
      </c>
      <c r="H426" s="24" t="str">
        <f aca="false">IF(G426="","",E426*IFERROR(N(INDEX(Produtos!$F$5:$F$54,MATCH(D426,Produtos!$B$5:$B$54,0))),0))</f>
        <v/>
      </c>
      <c r="I426" s="24" t="str">
        <f aca="false">IF(G426="","",G426-H426)</f>
        <v/>
      </c>
      <c r="J426" s="37"/>
    </row>
    <row r="427" customFormat="false" ht="21" hidden="false" customHeight="true" outlineLevel="0" collapsed="false">
      <c r="B427" s="36"/>
      <c r="C427" s="7"/>
      <c r="D427" s="7"/>
      <c r="E427" s="37"/>
      <c r="F427" s="38"/>
      <c r="G427" s="24" t="str">
        <f aca="false">IF(OR(C427="",D427="",N(E427)=0),"",E427*IF(F427="",IFERROR(N(INDEX(Produtos!$K$5:$K$54,MATCH(D427,Produtos!$B$5:$B$54,0))),0),F427))</f>
        <v/>
      </c>
      <c r="H427" s="24" t="str">
        <f aca="false">IF(G427="","",E427*IFERROR(N(INDEX(Produtos!$F$5:$F$54,MATCH(D427,Produtos!$B$5:$B$54,0))),0))</f>
        <v/>
      </c>
      <c r="I427" s="24" t="str">
        <f aca="false">IF(G427="","",G427-H427)</f>
        <v/>
      </c>
      <c r="J427" s="37"/>
    </row>
    <row r="428" customFormat="false" ht="21" hidden="false" customHeight="true" outlineLevel="0" collapsed="false">
      <c r="B428" s="36"/>
      <c r="C428" s="7"/>
      <c r="D428" s="7"/>
      <c r="E428" s="37"/>
      <c r="F428" s="38"/>
      <c r="G428" s="24" t="str">
        <f aca="false">IF(OR(C428="",D428="",N(E428)=0),"",E428*IF(F428="",IFERROR(N(INDEX(Produtos!$K$5:$K$54,MATCH(D428,Produtos!$B$5:$B$54,0))),0),F428))</f>
        <v/>
      </c>
      <c r="H428" s="24" t="str">
        <f aca="false">IF(G428="","",E428*IFERROR(N(INDEX(Produtos!$F$5:$F$54,MATCH(D428,Produtos!$B$5:$B$54,0))),0))</f>
        <v/>
      </c>
      <c r="I428" s="24" t="str">
        <f aca="false">IF(G428="","",G428-H428)</f>
        <v/>
      </c>
      <c r="J428" s="37"/>
    </row>
    <row r="429" customFormat="false" ht="21" hidden="false" customHeight="true" outlineLevel="0" collapsed="false">
      <c r="B429" s="36"/>
      <c r="C429" s="7"/>
      <c r="D429" s="7"/>
      <c r="E429" s="37"/>
      <c r="F429" s="38"/>
      <c r="G429" s="24" t="str">
        <f aca="false">IF(OR(C429="",D429="",N(E429)=0),"",E429*IF(F429="",IFERROR(N(INDEX(Produtos!$K$5:$K$54,MATCH(D429,Produtos!$B$5:$B$54,0))),0),F429))</f>
        <v/>
      </c>
      <c r="H429" s="24" t="str">
        <f aca="false">IF(G429="","",E429*IFERROR(N(INDEX(Produtos!$F$5:$F$54,MATCH(D429,Produtos!$B$5:$B$54,0))),0))</f>
        <v/>
      </c>
      <c r="I429" s="24" t="str">
        <f aca="false">IF(G429="","",G429-H429)</f>
        <v/>
      </c>
      <c r="J429" s="37"/>
    </row>
    <row r="430" customFormat="false" ht="21" hidden="false" customHeight="true" outlineLevel="0" collapsed="false">
      <c r="B430" s="36"/>
      <c r="C430" s="7"/>
      <c r="D430" s="7"/>
      <c r="E430" s="37"/>
      <c r="F430" s="38"/>
      <c r="G430" s="24" t="str">
        <f aca="false">IF(OR(C430="",D430="",N(E430)=0),"",E430*IF(F430="",IFERROR(N(INDEX(Produtos!$K$5:$K$54,MATCH(D430,Produtos!$B$5:$B$54,0))),0),F430))</f>
        <v/>
      </c>
      <c r="H430" s="24" t="str">
        <f aca="false">IF(G430="","",E430*IFERROR(N(INDEX(Produtos!$F$5:$F$54,MATCH(D430,Produtos!$B$5:$B$54,0))),0))</f>
        <v/>
      </c>
      <c r="I430" s="24" t="str">
        <f aca="false">IF(G430="","",G430-H430)</f>
        <v/>
      </c>
      <c r="J430" s="37"/>
    </row>
    <row r="431" customFormat="false" ht="21" hidden="false" customHeight="true" outlineLevel="0" collapsed="false">
      <c r="B431" s="36"/>
      <c r="C431" s="7"/>
      <c r="D431" s="7"/>
      <c r="E431" s="37"/>
      <c r="F431" s="38"/>
      <c r="G431" s="24" t="str">
        <f aca="false">IF(OR(C431="",D431="",N(E431)=0),"",E431*IF(F431="",IFERROR(N(INDEX(Produtos!$K$5:$K$54,MATCH(D431,Produtos!$B$5:$B$54,0))),0),F431))</f>
        <v/>
      </c>
      <c r="H431" s="24" t="str">
        <f aca="false">IF(G431="","",E431*IFERROR(N(INDEX(Produtos!$F$5:$F$54,MATCH(D431,Produtos!$B$5:$B$54,0))),0))</f>
        <v/>
      </c>
      <c r="I431" s="24" t="str">
        <f aca="false">IF(G431="","",G431-H431)</f>
        <v/>
      </c>
      <c r="J431" s="37"/>
    </row>
    <row r="432" customFormat="false" ht="21" hidden="false" customHeight="true" outlineLevel="0" collapsed="false">
      <c r="B432" s="36"/>
      <c r="C432" s="7"/>
      <c r="D432" s="7"/>
      <c r="E432" s="37"/>
      <c r="F432" s="38"/>
      <c r="G432" s="24" t="str">
        <f aca="false">IF(OR(C432="",D432="",N(E432)=0),"",E432*IF(F432="",IFERROR(N(INDEX(Produtos!$K$5:$K$54,MATCH(D432,Produtos!$B$5:$B$54,0))),0),F432))</f>
        <v/>
      </c>
      <c r="H432" s="24" t="str">
        <f aca="false">IF(G432="","",E432*IFERROR(N(INDEX(Produtos!$F$5:$F$54,MATCH(D432,Produtos!$B$5:$B$54,0))),0))</f>
        <v/>
      </c>
      <c r="I432" s="24" t="str">
        <f aca="false">IF(G432="","",G432-H432)</f>
        <v/>
      </c>
      <c r="J432" s="37"/>
    </row>
    <row r="433" customFormat="false" ht="21" hidden="false" customHeight="true" outlineLevel="0" collapsed="false">
      <c r="B433" s="36"/>
      <c r="C433" s="7"/>
      <c r="D433" s="7"/>
      <c r="E433" s="37"/>
      <c r="F433" s="38"/>
      <c r="G433" s="24" t="str">
        <f aca="false">IF(OR(C433="",D433="",N(E433)=0),"",E433*IF(F433="",IFERROR(N(INDEX(Produtos!$K$5:$K$54,MATCH(D433,Produtos!$B$5:$B$54,0))),0),F433))</f>
        <v/>
      </c>
      <c r="H433" s="24" t="str">
        <f aca="false">IF(G433="","",E433*IFERROR(N(INDEX(Produtos!$F$5:$F$54,MATCH(D433,Produtos!$B$5:$B$54,0))),0))</f>
        <v/>
      </c>
      <c r="I433" s="24" t="str">
        <f aca="false">IF(G433="","",G433-H433)</f>
        <v/>
      </c>
      <c r="J433" s="37"/>
    </row>
    <row r="434" customFormat="false" ht="21" hidden="false" customHeight="true" outlineLevel="0" collapsed="false">
      <c r="B434" s="36"/>
      <c r="C434" s="7"/>
      <c r="D434" s="7"/>
      <c r="E434" s="37"/>
      <c r="F434" s="38"/>
      <c r="G434" s="24" t="str">
        <f aca="false">IF(OR(C434="",D434="",N(E434)=0),"",E434*IF(F434="",IFERROR(N(INDEX(Produtos!$K$5:$K$54,MATCH(D434,Produtos!$B$5:$B$54,0))),0),F434))</f>
        <v/>
      </c>
      <c r="H434" s="24" t="str">
        <f aca="false">IF(G434="","",E434*IFERROR(N(INDEX(Produtos!$F$5:$F$54,MATCH(D434,Produtos!$B$5:$B$54,0))),0))</f>
        <v/>
      </c>
      <c r="I434" s="24" t="str">
        <f aca="false">IF(G434="","",G434-H434)</f>
        <v/>
      </c>
      <c r="J434" s="37"/>
    </row>
    <row r="435" customFormat="false" ht="21" hidden="false" customHeight="true" outlineLevel="0" collapsed="false">
      <c r="B435" s="36"/>
      <c r="C435" s="7"/>
      <c r="D435" s="7"/>
      <c r="E435" s="37"/>
      <c r="F435" s="38"/>
      <c r="G435" s="24" t="str">
        <f aca="false">IF(OR(C435="",D435="",N(E435)=0),"",E435*IF(F435="",IFERROR(N(INDEX(Produtos!$K$5:$K$54,MATCH(D435,Produtos!$B$5:$B$54,0))),0),F435))</f>
        <v/>
      </c>
      <c r="H435" s="24" t="str">
        <f aca="false">IF(G435="","",E435*IFERROR(N(INDEX(Produtos!$F$5:$F$54,MATCH(D435,Produtos!$B$5:$B$54,0))),0))</f>
        <v/>
      </c>
      <c r="I435" s="24" t="str">
        <f aca="false">IF(G435="","",G435-H435)</f>
        <v/>
      </c>
      <c r="J435" s="37"/>
    </row>
    <row r="436" customFormat="false" ht="21" hidden="false" customHeight="true" outlineLevel="0" collapsed="false">
      <c r="B436" s="36"/>
      <c r="C436" s="7"/>
      <c r="D436" s="7"/>
      <c r="E436" s="37"/>
      <c r="F436" s="38"/>
      <c r="G436" s="24" t="str">
        <f aca="false">IF(OR(C436="",D436="",N(E436)=0),"",E436*IF(F436="",IFERROR(N(INDEX(Produtos!$K$5:$K$54,MATCH(D436,Produtos!$B$5:$B$54,0))),0),F436))</f>
        <v/>
      </c>
      <c r="H436" s="24" t="str">
        <f aca="false">IF(G436="","",E436*IFERROR(N(INDEX(Produtos!$F$5:$F$54,MATCH(D436,Produtos!$B$5:$B$54,0))),0))</f>
        <v/>
      </c>
      <c r="I436" s="24" t="str">
        <f aca="false">IF(G436="","",G436-H436)</f>
        <v/>
      </c>
      <c r="J436" s="37"/>
    </row>
    <row r="437" customFormat="false" ht="21" hidden="false" customHeight="true" outlineLevel="0" collapsed="false">
      <c r="B437" s="36"/>
      <c r="C437" s="7"/>
      <c r="D437" s="7"/>
      <c r="E437" s="37"/>
      <c r="F437" s="38"/>
      <c r="G437" s="24" t="str">
        <f aca="false">IF(OR(C437="",D437="",N(E437)=0),"",E437*IF(F437="",IFERROR(N(INDEX(Produtos!$K$5:$K$54,MATCH(D437,Produtos!$B$5:$B$54,0))),0),F437))</f>
        <v/>
      </c>
      <c r="H437" s="24" t="str">
        <f aca="false">IF(G437="","",E437*IFERROR(N(INDEX(Produtos!$F$5:$F$54,MATCH(D437,Produtos!$B$5:$B$54,0))),0))</f>
        <v/>
      </c>
      <c r="I437" s="24" t="str">
        <f aca="false">IF(G437="","",G437-H437)</f>
        <v/>
      </c>
      <c r="J437" s="37"/>
    </row>
    <row r="438" customFormat="false" ht="21" hidden="false" customHeight="true" outlineLevel="0" collapsed="false">
      <c r="B438" s="36"/>
      <c r="C438" s="7"/>
      <c r="D438" s="7"/>
      <c r="E438" s="37"/>
      <c r="F438" s="38"/>
      <c r="G438" s="24" t="str">
        <f aca="false">IF(OR(C438="",D438="",N(E438)=0),"",E438*IF(F438="",IFERROR(N(INDEX(Produtos!$K$5:$K$54,MATCH(D438,Produtos!$B$5:$B$54,0))),0),F438))</f>
        <v/>
      </c>
      <c r="H438" s="24" t="str">
        <f aca="false">IF(G438="","",E438*IFERROR(N(INDEX(Produtos!$F$5:$F$54,MATCH(D438,Produtos!$B$5:$B$54,0))),0))</f>
        <v/>
      </c>
      <c r="I438" s="24" t="str">
        <f aca="false">IF(G438="","",G438-H438)</f>
        <v/>
      </c>
      <c r="J438" s="37"/>
    </row>
    <row r="439" customFormat="false" ht="21" hidden="false" customHeight="true" outlineLevel="0" collapsed="false">
      <c r="B439" s="36"/>
      <c r="C439" s="7"/>
      <c r="D439" s="7"/>
      <c r="E439" s="37"/>
      <c r="F439" s="38"/>
      <c r="G439" s="24" t="str">
        <f aca="false">IF(OR(C439="",D439="",N(E439)=0),"",E439*IF(F439="",IFERROR(N(INDEX(Produtos!$K$5:$K$54,MATCH(D439,Produtos!$B$5:$B$54,0))),0),F439))</f>
        <v/>
      </c>
      <c r="H439" s="24" t="str">
        <f aca="false">IF(G439="","",E439*IFERROR(N(INDEX(Produtos!$F$5:$F$54,MATCH(D439,Produtos!$B$5:$B$54,0))),0))</f>
        <v/>
      </c>
      <c r="I439" s="24" t="str">
        <f aca="false">IF(G439="","",G439-H439)</f>
        <v/>
      </c>
      <c r="J439" s="37"/>
    </row>
    <row r="440" customFormat="false" ht="21" hidden="false" customHeight="true" outlineLevel="0" collapsed="false">
      <c r="B440" s="36"/>
      <c r="C440" s="7"/>
      <c r="D440" s="7"/>
      <c r="E440" s="37"/>
      <c r="F440" s="38"/>
      <c r="G440" s="24" t="str">
        <f aca="false">IF(OR(C440="",D440="",N(E440)=0),"",E440*IF(F440="",IFERROR(N(INDEX(Produtos!$K$5:$K$54,MATCH(D440,Produtos!$B$5:$B$54,0))),0),F440))</f>
        <v/>
      </c>
      <c r="H440" s="24" t="str">
        <f aca="false">IF(G440="","",E440*IFERROR(N(INDEX(Produtos!$F$5:$F$54,MATCH(D440,Produtos!$B$5:$B$54,0))),0))</f>
        <v/>
      </c>
      <c r="I440" s="24" t="str">
        <f aca="false">IF(G440="","",G440-H440)</f>
        <v/>
      </c>
      <c r="J440" s="37"/>
    </row>
    <row r="441" customFormat="false" ht="21" hidden="false" customHeight="true" outlineLevel="0" collapsed="false">
      <c r="B441" s="36"/>
      <c r="C441" s="7"/>
      <c r="D441" s="7"/>
      <c r="E441" s="37"/>
      <c r="F441" s="38"/>
      <c r="G441" s="24" t="str">
        <f aca="false">IF(OR(C441="",D441="",N(E441)=0),"",E441*IF(F441="",IFERROR(N(INDEX(Produtos!$K$5:$K$54,MATCH(D441,Produtos!$B$5:$B$54,0))),0),F441))</f>
        <v/>
      </c>
      <c r="H441" s="24" t="str">
        <f aca="false">IF(G441="","",E441*IFERROR(N(INDEX(Produtos!$F$5:$F$54,MATCH(D441,Produtos!$B$5:$B$54,0))),0))</f>
        <v/>
      </c>
      <c r="I441" s="24" t="str">
        <f aca="false">IF(G441="","",G441-H441)</f>
        <v/>
      </c>
      <c r="J441" s="37"/>
    </row>
    <row r="442" customFormat="false" ht="21" hidden="false" customHeight="true" outlineLevel="0" collapsed="false">
      <c r="B442" s="36"/>
      <c r="C442" s="7"/>
      <c r="D442" s="7"/>
      <c r="E442" s="37"/>
      <c r="F442" s="38"/>
      <c r="G442" s="24" t="str">
        <f aca="false">IF(OR(C442="",D442="",N(E442)=0),"",E442*IF(F442="",IFERROR(N(INDEX(Produtos!$K$5:$K$54,MATCH(D442,Produtos!$B$5:$B$54,0))),0),F442))</f>
        <v/>
      </c>
      <c r="H442" s="24" t="str">
        <f aca="false">IF(G442="","",E442*IFERROR(N(INDEX(Produtos!$F$5:$F$54,MATCH(D442,Produtos!$B$5:$B$54,0))),0))</f>
        <v/>
      </c>
      <c r="I442" s="24" t="str">
        <f aca="false">IF(G442="","",G442-H442)</f>
        <v/>
      </c>
      <c r="J442" s="37"/>
    </row>
    <row r="443" customFormat="false" ht="21" hidden="false" customHeight="true" outlineLevel="0" collapsed="false">
      <c r="B443" s="36"/>
      <c r="C443" s="7"/>
      <c r="D443" s="7"/>
      <c r="E443" s="37"/>
      <c r="F443" s="38"/>
      <c r="G443" s="24" t="str">
        <f aca="false">IF(OR(C443="",D443="",N(E443)=0),"",E443*IF(F443="",IFERROR(N(INDEX(Produtos!$K$5:$K$54,MATCH(D443,Produtos!$B$5:$B$54,0))),0),F443))</f>
        <v/>
      </c>
      <c r="H443" s="24" t="str">
        <f aca="false">IF(G443="","",E443*IFERROR(N(INDEX(Produtos!$F$5:$F$54,MATCH(D443,Produtos!$B$5:$B$54,0))),0))</f>
        <v/>
      </c>
      <c r="I443" s="24" t="str">
        <f aca="false">IF(G443="","",G443-H443)</f>
        <v/>
      </c>
      <c r="J443" s="37"/>
    </row>
    <row r="444" customFormat="false" ht="21" hidden="false" customHeight="true" outlineLevel="0" collapsed="false">
      <c r="B444" s="36"/>
      <c r="C444" s="7"/>
      <c r="D444" s="7"/>
      <c r="E444" s="37"/>
      <c r="F444" s="38"/>
      <c r="G444" s="24" t="str">
        <f aca="false">IF(OR(C444="",D444="",N(E444)=0),"",E444*IF(F444="",IFERROR(N(INDEX(Produtos!$K$5:$K$54,MATCH(D444,Produtos!$B$5:$B$54,0))),0),F444))</f>
        <v/>
      </c>
      <c r="H444" s="24" t="str">
        <f aca="false">IF(G444="","",E444*IFERROR(N(INDEX(Produtos!$F$5:$F$54,MATCH(D444,Produtos!$B$5:$B$54,0))),0))</f>
        <v/>
      </c>
      <c r="I444" s="24" t="str">
        <f aca="false">IF(G444="","",G444-H444)</f>
        <v/>
      </c>
      <c r="J444" s="37"/>
    </row>
    <row r="445" customFormat="false" ht="21" hidden="false" customHeight="true" outlineLevel="0" collapsed="false">
      <c r="B445" s="36"/>
      <c r="C445" s="7"/>
      <c r="D445" s="7"/>
      <c r="E445" s="37"/>
      <c r="F445" s="38"/>
      <c r="G445" s="24" t="str">
        <f aca="false">IF(OR(C445="",D445="",N(E445)=0),"",E445*IF(F445="",IFERROR(N(INDEX(Produtos!$K$5:$K$54,MATCH(D445,Produtos!$B$5:$B$54,0))),0),F445))</f>
        <v/>
      </c>
      <c r="H445" s="24" t="str">
        <f aca="false">IF(G445="","",E445*IFERROR(N(INDEX(Produtos!$F$5:$F$54,MATCH(D445,Produtos!$B$5:$B$54,0))),0))</f>
        <v/>
      </c>
      <c r="I445" s="24" t="str">
        <f aca="false">IF(G445="","",G445-H445)</f>
        <v/>
      </c>
      <c r="J445" s="37"/>
    </row>
    <row r="446" customFormat="false" ht="21" hidden="false" customHeight="true" outlineLevel="0" collapsed="false">
      <c r="B446" s="36"/>
      <c r="C446" s="7"/>
      <c r="D446" s="7"/>
      <c r="E446" s="37"/>
      <c r="F446" s="38"/>
      <c r="G446" s="24" t="str">
        <f aca="false">IF(OR(C446="",D446="",N(E446)=0),"",E446*IF(F446="",IFERROR(N(INDEX(Produtos!$K$5:$K$54,MATCH(D446,Produtos!$B$5:$B$54,0))),0),F446))</f>
        <v/>
      </c>
      <c r="H446" s="24" t="str">
        <f aca="false">IF(G446="","",E446*IFERROR(N(INDEX(Produtos!$F$5:$F$54,MATCH(D446,Produtos!$B$5:$B$54,0))),0))</f>
        <v/>
      </c>
      <c r="I446" s="24" t="str">
        <f aca="false">IF(G446="","",G446-H446)</f>
        <v/>
      </c>
      <c r="J446" s="37"/>
    </row>
    <row r="447" customFormat="false" ht="21" hidden="false" customHeight="true" outlineLevel="0" collapsed="false">
      <c r="B447" s="36"/>
      <c r="C447" s="7"/>
      <c r="D447" s="7"/>
      <c r="E447" s="37"/>
      <c r="F447" s="38"/>
      <c r="G447" s="24" t="str">
        <f aca="false">IF(OR(C447="",D447="",N(E447)=0),"",E447*IF(F447="",IFERROR(N(INDEX(Produtos!$K$5:$K$54,MATCH(D447,Produtos!$B$5:$B$54,0))),0),F447))</f>
        <v/>
      </c>
      <c r="H447" s="24" t="str">
        <f aca="false">IF(G447="","",E447*IFERROR(N(INDEX(Produtos!$F$5:$F$54,MATCH(D447,Produtos!$B$5:$B$54,0))),0))</f>
        <v/>
      </c>
      <c r="I447" s="24" t="str">
        <f aca="false">IF(G447="","",G447-H447)</f>
        <v/>
      </c>
      <c r="J447" s="37"/>
    </row>
    <row r="448" customFormat="false" ht="21" hidden="false" customHeight="true" outlineLevel="0" collapsed="false">
      <c r="B448" s="36"/>
      <c r="C448" s="7"/>
      <c r="D448" s="7"/>
      <c r="E448" s="37"/>
      <c r="F448" s="38"/>
      <c r="G448" s="24" t="str">
        <f aca="false">IF(OR(C448="",D448="",N(E448)=0),"",E448*IF(F448="",IFERROR(N(INDEX(Produtos!$K$5:$K$54,MATCH(D448,Produtos!$B$5:$B$54,0))),0),F448))</f>
        <v/>
      </c>
      <c r="H448" s="24" t="str">
        <f aca="false">IF(G448="","",E448*IFERROR(N(INDEX(Produtos!$F$5:$F$54,MATCH(D448,Produtos!$B$5:$B$54,0))),0))</f>
        <v/>
      </c>
      <c r="I448" s="24" t="str">
        <f aca="false">IF(G448="","",G448-H448)</f>
        <v/>
      </c>
      <c r="J448" s="37"/>
    </row>
    <row r="449" customFormat="false" ht="21" hidden="false" customHeight="true" outlineLevel="0" collapsed="false">
      <c r="B449" s="36"/>
      <c r="C449" s="7"/>
      <c r="D449" s="7"/>
      <c r="E449" s="37"/>
      <c r="F449" s="38"/>
      <c r="G449" s="24" t="str">
        <f aca="false">IF(OR(C449="",D449="",N(E449)=0),"",E449*IF(F449="",IFERROR(N(INDEX(Produtos!$K$5:$K$54,MATCH(D449,Produtos!$B$5:$B$54,0))),0),F449))</f>
        <v/>
      </c>
      <c r="H449" s="24" t="str">
        <f aca="false">IF(G449="","",E449*IFERROR(N(INDEX(Produtos!$F$5:$F$54,MATCH(D449,Produtos!$B$5:$B$54,0))),0))</f>
        <v/>
      </c>
      <c r="I449" s="24" t="str">
        <f aca="false">IF(G449="","",G449-H449)</f>
        <v/>
      </c>
      <c r="J449" s="37"/>
    </row>
    <row r="450" customFormat="false" ht="21" hidden="false" customHeight="true" outlineLevel="0" collapsed="false">
      <c r="B450" s="36"/>
      <c r="C450" s="7"/>
      <c r="D450" s="7"/>
      <c r="E450" s="37"/>
      <c r="F450" s="38"/>
      <c r="G450" s="24" t="str">
        <f aca="false">IF(OR(C450="",D450="",N(E450)=0),"",E450*IF(F450="",IFERROR(N(INDEX(Produtos!$K$5:$K$54,MATCH(D450,Produtos!$B$5:$B$54,0))),0),F450))</f>
        <v/>
      </c>
      <c r="H450" s="24" t="str">
        <f aca="false">IF(G450="","",E450*IFERROR(N(INDEX(Produtos!$F$5:$F$54,MATCH(D450,Produtos!$B$5:$B$54,0))),0))</f>
        <v/>
      </c>
      <c r="I450" s="24" t="str">
        <f aca="false">IF(G450="","",G450-H450)</f>
        <v/>
      </c>
      <c r="J450" s="37"/>
    </row>
    <row r="451" customFormat="false" ht="21" hidden="false" customHeight="true" outlineLevel="0" collapsed="false">
      <c r="B451" s="36"/>
      <c r="C451" s="7"/>
      <c r="D451" s="7"/>
      <c r="E451" s="37"/>
      <c r="F451" s="38"/>
      <c r="G451" s="24" t="str">
        <f aca="false">IF(OR(C451="",D451="",N(E451)=0),"",E451*IF(F451="",IFERROR(N(INDEX(Produtos!$K$5:$K$54,MATCH(D451,Produtos!$B$5:$B$54,0))),0),F451))</f>
        <v/>
      </c>
      <c r="H451" s="24" t="str">
        <f aca="false">IF(G451="","",E451*IFERROR(N(INDEX(Produtos!$F$5:$F$54,MATCH(D451,Produtos!$B$5:$B$54,0))),0))</f>
        <v/>
      </c>
      <c r="I451" s="24" t="str">
        <f aca="false">IF(G451="","",G451-H451)</f>
        <v/>
      </c>
      <c r="J451" s="37"/>
    </row>
    <row r="452" customFormat="false" ht="21" hidden="false" customHeight="true" outlineLevel="0" collapsed="false">
      <c r="B452" s="36"/>
      <c r="C452" s="7"/>
      <c r="D452" s="7"/>
      <c r="E452" s="37"/>
      <c r="F452" s="38"/>
      <c r="G452" s="24" t="str">
        <f aca="false">IF(OR(C452="",D452="",N(E452)=0),"",E452*IF(F452="",IFERROR(N(INDEX(Produtos!$K$5:$K$54,MATCH(D452,Produtos!$B$5:$B$54,0))),0),F452))</f>
        <v/>
      </c>
      <c r="H452" s="24" t="str">
        <f aca="false">IF(G452="","",E452*IFERROR(N(INDEX(Produtos!$F$5:$F$54,MATCH(D452,Produtos!$B$5:$B$54,0))),0))</f>
        <v/>
      </c>
      <c r="I452" s="24" t="str">
        <f aca="false">IF(G452="","",G452-H452)</f>
        <v/>
      </c>
      <c r="J452" s="37"/>
    </row>
    <row r="453" customFormat="false" ht="21" hidden="false" customHeight="true" outlineLevel="0" collapsed="false">
      <c r="B453" s="36"/>
      <c r="C453" s="7"/>
      <c r="D453" s="7"/>
      <c r="E453" s="37"/>
      <c r="F453" s="38"/>
      <c r="G453" s="24" t="str">
        <f aca="false">IF(OR(C453="",D453="",N(E453)=0),"",E453*IF(F453="",IFERROR(N(INDEX(Produtos!$K$5:$K$54,MATCH(D453,Produtos!$B$5:$B$54,0))),0),F453))</f>
        <v/>
      </c>
      <c r="H453" s="24" t="str">
        <f aca="false">IF(G453="","",E453*IFERROR(N(INDEX(Produtos!$F$5:$F$54,MATCH(D453,Produtos!$B$5:$B$54,0))),0))</f>
        <v/>
      </c>
      <c r="I453" s="24" t="str">
        <f aca="false">IF(G453="","",G453-H453)</f>
        <v/>
      </c>
      <c r="J453" s="37"/>
    </row>
    <row r="454" customFormat="false" ht="21" hidden="false" customHeight="true" outlineLevel="0" collapsed="false">
      <c r="B454" s="36"/>
      <c r="C454" s="7"/>
      <c r="D454" s="7"/>
      <c r="E454" s="37"/>
      <c r="F454" s="38"/>
      <c r="G454" s="24" t="str">
        <f aca="false">IF(OR(C454="",D454="",N(E454)=0),"",E454*IF(F454="",IFERROR(N(INDEX(Produtos!$K$5:$K$54,MATCH(D454,Produtos!$B$5:$B$54,0))),0),F454))</f>
        <v/>
      </c>
      <c r="H454" s="24" t="str">
        <f aca="false">IF(G454="","",E454*IFERROR(N(INDEX(Produtos!$F$5:$F$54,MATCH(D454,Produtos!$B$5:$B$54,0))),0))</f>
        <v/>
      </c>
      <c r="I454" s="24" t="str">
        <f aca="false">IF(G454="","",G454-H454)</f>
        <v/>
      </c>
      <c r="J454" s="37"/>
    </row>
    <row r="455" customFormat="false" ht="21" hidden="false" customHeight="true" outlineLevel="0" collapsed="false">
      <c r="B455" s="36"/>
      <c r="C455" s="7"/>
      <c r="D455" s="7"/>
      <c r="E455" s="37"/>
      <c r="F455" s="38"/>
      <c r="G455" s="24" t="str">
        <f aca="false">IF(OR(C455="",D455="",N(E455)=0),"",E455*IF(F455="",IFERROR(N(INDEX(Produtos!$K$5:$K$54,MATCH(D455,Produtos!$B$5:$B$54,0))),0),F455))</f>
        <v/>
      </c>
      <c r="H455" s="24" t="str">
        <f aca="false">IF(G455="","",E455*IFERROR(N(INDEX(Produtos!$F$5:$F$54,MATCH(D455,Produtos!$B$5:$B$54,0))),0))</f>
        <v/>
      </c>
      <c r="I455" s="24" t="str">
        <f aca="false">IF(G455="","",G455-H455)</f>
        <v/>
      </c>
      <c r="J455" s="37"/>
    </row>
    <row r="456" customFormat="false" ht="21" hidden="false" customHeight="true" outlineLevel="0" collapsed="false">
      <c r="B456" s="36"/>
      <c r="C456" s="7"/>
      <c r="D456" s="7"/>
      <c r="E456" s="37"/>
      <c r="F456" s="38"/>
      <c r="G456" s="24" t="str">
        <f aca="false">IF(OR(C456="",D456="",N(E456)=0),"",E456*IF(F456="",IFERROR(N(INDEX(Produtos!$K$5:$K$54,MATCH(D456,Produtos!$B$5:$B$54,0))),0),F456))</f>
        <v/>
      </c>
      <c r="H456" s="24" t="str">
        <f aca="false">IF(G456="","",E456*IFERROR(N(INDEX(Produtos!$F$5:$F$54,MATCH(D456,Produtos!$B$5:$B$54,0))),0))</f>
        <v/>
      </c>
      <c r="I456" s="24" t="str">
        <f aca="false">IF(G456="","",G456-H456)</f>
        <v/>
      </c>
      <c r="J456" s="37"/>
    </row>
    <row r="457" customFormat="false" ht="21" hidden="false" customHeight="true" outlineLevel="0" collapsed="false">
      <c r="B457" s="36"/>
      <c r="C457" s="7"/>
      <c r="D457" s="7"/>
      <c r="E457" s="37"/>
      <c r="F457" s="38"/>
      <c r="G457" s="24" t="str">
        <f aca="false">IF(OR(C457="",D457="",N(E457)=0),"",E457*IF(F457="",IFERROR(N(INDEX(Produtos!$K$5:$K$54,MATCH(D457,Produtos!$B$5:$B$54,0))),0),F457))</f>
        <v/>
      </c>
      <c r="H457" s="24" t="str">
        <f aca="false">IF(G457="","",E457*IFERROR(N(INDEX(Produtos!$F$5:$F$54,MATCH(D457,Produtos!$B$5:$B$54,0))),0))</f>
        <v/>
      </c>
      <c r="I457" s="24" t="str">
        <f aca="false">IF(G457="","",G457-H457)</f>
        <v/>
      </c>
      <c r="J457" s="37"/>
    </row>
    <row r="458" customFormat="false" ht="21" hidden="false" customHeight="true" outlineLevel="0" collapsed="false">
      <c r="B458" s="36"/>
      <c r="C458" s="7"/>
      <c r="D458" s="7"/>
      <c r="E458" s="37"/>
      <c r="F458" s="38"/>
      <c r="G458" s="24" t="str">
        <f aca="false">IF(OR(C458="",D458="",N(E458)=0),"",E458*IF(F458="",IFERROR(N(INDEX(Produtos!$K$5:$K$54,MATCH(D458,Produtos!$B$5:$B$54,0))),0),F458))</f>
        <v/>
      </c>
      <c r="H458" s="24" t="str">
        <f aca="false">IF(G458="","",E458*IFERROR(N(INDEX(Produtos!$F$5:$F$54,MATCH(D458,Produtos!$B$5:$B$54,0))),0))</f>
        <v/>
      </c>
      <c r="I458" s="24" t="str">
        <f aca="false">IF(G458="","",G458-H458)</f>
        <v/>
      </c>
      <c r="J458" s="37"/>
    </row>
    <row r="459" customFormat="false" ht="21" hidden="false" customHeight="true" outlineLevel="0" collapsed="false">
      <c r="B459" s="36"/>
      <c r="C459" s="7"/>
      <c r="D459" s="7"/>
      <c r="E459" s="37"/>
      <c r="F459" s="38"/>
      <c r="G459" s="24" t="str">
        <f aca="false">IF(OR(C459="",D459="",N(E459)=0),"",E459*IF(F459="",IFERROR(N(INDEX(Produtos!$K$5:$K$54,MATCH(D459,Produtos!$B$5:$B$54,0))),0),F459))</f>
        <v/>
      </c>
      <c r="H459" s="24" t="str">
        <f aca="false">IF(G459="","",E459*IFERROR(N(INDEX(Produtos!$F$5:$F$54,MATCH(D459,Produtos!$B$5:$B$54,0))),0))</f>
        <v/>
      </c>
      <c r="I459" s="24" t="str">
        <f aca="false">IF(G459="","",G459-H459)</f>
        <v/>
      </c>
      <c r="J459" s="37"/>
    </row>
    <row r="460" customFormat="false" ht="21" hidden="false" customHeight="true" outlineLevel="0" collapsed="false">
      <c r="B460" s="36"/>
      <c r="C460" s="7"/>
      <c r="D460" s="7"/>
      <c r="E460" s="37"/>
      <c r="F460" s="38"/>
      <c r="G460" s="24" t="str">
        <f aca="false">IF(OR(C460="",D460="",N(E460)=0),"",E460*IF(F460="",IFERROR(N(INDEX(Produtos!$K$5:$K$54,MATCH(D460,Produtos!$B$5:$B$54,0))),0),F460))</f>
        <v/>
      </c>
      <c r="H460" s="24" t="str">
        <f aca="false">IF(G460="","",E460*IFERROR(N(INDEX(Produtos!$F$5:$F$54,MATCH(D460,Produtos!$B$5:$B$54,0))),0))</f>
        <v/>
      </c>
      <c r="I460" s="24" t="str">
        <f aca="false">IF(G460="","",G460-H460)</f>
        <v/>
      </c>
      <c r="J460" s="37"/>
    </row>
    <row r="461" customFormat="false" ht="21" hidden="false" customHeight="true" outlineLevel="0" collapsed="false">
      <c r="B461" s="36"/>
      <c r="C461" s="7"/>
      <c r="D461" s="7"/>
      <c r="E461" s="37"/>
      <c r="F461" s="38"/>
      <c r="G461" s="24" t="str">
        <f aca="false">IF(OR(C461="",D461="",N(E461)=0),"",E461*IF(F461="",IFERROR(N(INDEX(Produtos!$K$5:$K$54,MATCH(D461,Produtos!$B$5:$B$54,0))),0),F461))</f>
        <v/>
      </c>
      <c r="H461" s="24" t="str">
        <f aca="false">IF(G461="","",E461*IFERROR(N(INDEX(Produtos!$F$5:$F$54,MATCH(D461,Produtos!$B$5:$B$54,0))),0))</f>
        <v/>
      </c>
      <c r="I461" s="24" t="str">
        <f aca="false">IF(G461="","",G461-H461)</f>
        <v/>
      </c>
      <c r="J461" s="37"/>
    </row>
    <row r="462" customFormat="false" ht="21" hidden="false" customHeight="true" outlineLevel="0" collapsed="false">
      <c r="B462" s="36"/>
      <c r="C462" s="7"/>
      <c r="D462" s="7"/>
      <c r="E462" s="37"/>
      <c r="F462" s="38"/>
      <c r="G462" s="24" t="str">
        <f aca="false">IF(OR(C462="",D462="",N(E462)=0),"",E462*IF(F462="",IFERROR(N(INDEX(Produtos!$K$5:$K$54,MATCH(D462,Produtos!$B$5:$B$54,0))),0),F462))</f>
        <v/>
      </c>
      <c r="H462" s="24" t="str">
        <f aca="false">IF(G462="","",E462*IFERROR(N(INDEX(Produtos!$F$5:$F$54,MATCH(D462,Produtos!$B$5:$B$54,0))),0))</f>
        <v/>
      </c>
      <c r="I462" s="24" t="str">
        <f aca="false">IF(G462="","",G462-H462)</f>
        <v/>
      </c>
      <c r="J462" s="37"/>
    </row>
    <row r="463" customFormat="false" ht="21" hidden="false" customHeight="true" outlineLevel="0" collapsed="false">
      <c r="B463" s="36"/>
      <c r="C463" s="7"/>
      <c r="D463" s="7"/>
      <c r="E463" s="37"/>
      <c r="F463" s="38"/>
      <c r="G463" s="24" t="str">
        <f aca="false">IF(OR(C463="",D463="",N(E463)=0),"",E463*IF(F463="",IFERROR(N(INDEX(Produtos!$K$5:$K$54,MATCH(D463,Produtos!$B$5:$B$54,0))),0),F463))</f>
        <v/>
      </c>
      <c r="H463" s="24" t="str">
        <f aca="false">IF(G463="","",E463*IFERROR(N(INDEX(Produtos!$F$5:$F$54,MATCH(D463,Produtos!$B$5:$B$54,0))),0))</f>
        <v/>
      </c>
      <c r="I463" s="24" t="str">
        <f aca="false">IF(G463="","",G463-H463)</f>
        <v/>
      </c>
      <c r="J463" s="37"/>
    </row>
    <row r="464" customFormat="false" ht="21" hidden="false" customHeight="true" outlineLevel="0" collapsed="false">
      <c r="B464" s="36"/>
      <c r="C464" s="7"/>
      <c r="D464" s="7"/>
      <c r="E464" s="37"/>
      <c r="F464" s="38"/>
      <c r="G464" s="24" t="str">
        <f aca="false">IF(OR(C464="",D464="",N(E464)=0),"",E464*IF(F464="",IFERROR(N(INDEX(Produtos!$K$5:$K$54,MATCH(D464,Produtos!$B$5:$B$54,0))),0),F464))</f>
        <v/>
      </c>
      <c r="H464" s="24" t="str">
        <f aca="false">IF(G464="","",E464*IFERROR(N(INDEX(Produtos!$F$5:$F$54,MATCH(D464,Produtos!$B$5:$B$54,0))),0))</f>
        <v/>
      </c>
      <c r="I464" s="24" t="str">
        <f aca="false">IF(G464="","",G464-H464)</f>
        <v/>
      </c>
      <c r="J464" s="37"/>
    </row>
    <row r="465" customFormat="false" ht="21" hidden="false" customHeight="true" outlineLevel="0" collapsed="false">
      <c r="B465" s="36"/>
      <c r="C465" s="7"/>
      <c r="D465" s="7"/>
      <c r="E465" s="37"/>
      <c r="F465" s="38"/>
      <c r="G465" s="24" t="str">
        <f aca="false">IF(OR(C465="",D465="",N(E465)=0),"",E465*IF(F465="",IFERROR(N(INDEX(Produtos!$K$5:$K$54,MATCH(D465,Produtos!$B$5:$B$54,0))),0),F465))</f>
        <v/>
      </c>
      <c r="H465" s="24" t="str">
        <f aca="false">IF(G465="","",E465*IFERROR(N(INDEX(Produtos!$F$5:$F$54,MATCH(D465,Produtos!$B$5:$B$54,0))),0))</f>
        <v/>
      </c>
      <c r="I465" s="24" t="str">
        <f aca="false">IF(G465="","",G465-H465)</f>
        <v/>
      </c>
      <c r="J465" s="37"/>
    </row>
    <row r="466" customFormat="false" ht="21" hidden="false" customHeight="true" outlineLevel="0" collapsed="false">
      <c r="B466" s="36"/>
      <c r="C466" s="7"/>
      <c r="D466" s="7"/>
      <c r="E466" s="37"/>
      <c r="F466" s="38"/>
      <c r="G466" s="24" t="str">
        <f aca="false">IF(OR(C466="",D466="",N(E466)=0),"",E466*IF(F466="",IFERROR(N(INDEX(Produtos!$K$5:$K$54,MATCH(D466,Produtos!$B$5:$B$54,0))),0),F466))</f>
        <v/>
      </c>
      <c r="H466" s="24" t="str">
        <f aca="false">IF(G466="","",E466*IFERROR(N(INDEX(Produtos!$F$5:$F$54,MATCH(D466,Produtos!$B$5:$B$54,0))),0))</f>
        <v/>
      </c>
      <c r="I466" s="24" t="str">
        <f aca="false">IF(G466="","",G466-H466)</f>
        <v/>
      </c>
      <c r="J466" s="37"/>
    </row>
    <row r="467" customFormat="false" ht="21" hidden="false" customHeight="true" outlineLevel="0" collapsed="false">
      <c r="B467" s="36"/>
      <c r="C467" s="7"/>
      <c r="D467" s="7"/>
      <c r="E467" s="37"/>
      <c r="F467" s="38"/>
      <c r="G467" s="24" t="str">
        <f aca="false">IF(OR(C467="",D467="",N(E467)=0),"",E467*IF(F467="",IFERROR(N(INDEX(Produtos!$K$5:$K$54,MATCH(D467,Produtos!$B$5:$B$54,0))),0),F467))</f>
        <v/>
      </c>
      <c r="H467" s="24" t="str">
        <f aca="false">IF(G467="","",E467*IFERROR(N(INDEX(Produtos!$F$5:$F$54,MATCH(D467,Produtos!$B$5:$B$54,0))),0))</f>
        <v/>
      </c>
      <c r="I467" s="24" t="str">
        <f aca="false">IF(G467="","",G467-H467)</f>
        <v/>
      </c>
      <c r="J467" s="37"/>
    </row>
    <row r="468" customFormat="false" ht="21" hidden="false" customHeight="true" outlineLevel="0" collapsed="false">
      <c r="B468" s="36"/>
      <c r="C468" s="7"/>
      <c r="D468" s="7"/>
      <c r="E468" s="37"/>
      <c r="F468" s="38"/>
      <c r="G468" s="24" t="str">
        <f aca="false">IF(OR(C468="",D468="",N(E468)=0),"",E468*IF(F468="",IFERROR(N(INDEX(Produtos!$K$5:$K$54,MATCH(D468,Produtos!$B$5:$B$54,0))),0),F468))</f>
        <v/>
      </c>
      <c r="H468" s="24" t="str">
        <f aca="false">IF(G468="","",E468*IFERROR(N(INDEX(Produtos!$F$5:$F$54,MATCH(D468,Produtos!$B$5:$B$54,0))),0))</f>
        <v/>
      </c>
      <c r="I468" s="24" t="str">
        <f aca="false">IF(G468="","",G468-H468)</f>
        <v/>
      </c>
      <c r="J468" s="37"/>
    </row>
    <row r="469" customFormat="false" ht="21" hidden="false" customHeight="true" outlineLevel="0" collapsed="false">
      <c r="B469" s="36"/>
      <c r="C469" s="7"/>
      <c r="D469" s="7"/>
      <c r="E469" s="37"/>
      <c r="F469" s="38"/>
      <c r="G469" s="24" t="str">
        <f aca="false">IF(OR(C469="",D469="",N(E469)=0),"",E469*IF(F469="",IFERROR(N(INDEX(Produtos!$K$5:$K$54,MATCH(D469,Produtos!$B$5:$B$54,0))),0),F469))</f>
        <v/>
      </c>
      <c r="H469" s="24" t="str">
        <f aca="false">IF(G469="","",E469*IFERROR(N(INDEX(Produtos!$F$5:$F$54,MATCH(D469,Produtos!$B$5:$B$54,0))),0))</f>
        <v/>
      </c>
      <c r="I469" s="24" t="str">
        <f aca="false">IF(G469="","",G469-H469)</f>
        <v/>
      </c>
      <c r="J469" s="37"/>
    </row>
    <row r="470" customFormat="false" ht="21" hidden="false" customHeight="true" outlineLevel="0" collapsed="false">
      <c r="B470" s="36"/>
      <c r="C470" s="7"/>
      <c r="D470" s="7"/>
      <c r="E470" s="37"/>
      <c r="F470" s="38"/>
      <c r="G470" s="24" t="str">
        <f aca="false">IF(OR(C470="",D470="",N(E470)=0),"",E470*IF(F470="",IFERROR(N(INDEX(Produtos!$K$5:$K$54,MATCH(D470,Produtos!$B$5:$B$54,0))),0),F470))</f>
        <v/>
      </c>
      <c r="H470" s="24" t="str">
        <f aca="false">IF(G470="","",E470*IFERROR(N(INDEX(Produtos!$F$5:$F$54,MATCH(D470,Produtos!$B$5:$B$54,0))),0))</f>
        <v/>
      </c>
      <c r="I470" s="24" t="str">
        <f aca="false">IF(G470="","",G470-H470)</f>
        <v/>
      </c>
      <c r="J470" s="37"/>
    </row>
    <row r="471" customFormat="false" ht="21" hidden="false" customHeight="true" outlineLevel="0" collapsed="false">
      <c r="B471" s="36"/>
      <c r="C471" s="7"/>
      <c r="D471" s="7"/>
      <c r="E471" s="37"/>
      <c r="F471" s="38"/>
      <c r="G471" s="24" t="str">
        <f aca="false">IF(OR(C471="",D471="",N(E471)=0),"",E471*IF(F471="",IFERROR(N(INDEX(Produtos!$K$5:$K$54,MATCH(D471,Produtos!$B$5:$B$54,0))),0),F471))</f>
        <v/>
      </c>
      <c r="H471" s="24" t="str">
        <f aca="false">IF(G471="","",E471*IFERROR(N(INDEX(Produtos!$F$5:$F$54,MATCH(D471,Produtos!$B$5:$B$54,0))),0))</f>
        <v/>
      </c>
      <c r="I471" s="24" t="str">
        <f aca="false">IF(G471="","",G471-H471)</f>
        <v/>
      </c>
      <c r="J471" s="37"/>
    </row>
    <row r="472" customFormat="false" ht="21" hidden="false" customHeight="true" outlineLevel="0" collapsed="false">
      <c r="B472" s="36"/>
      <c r="C472" s="7"/>
      <c r="D472" s="7"/>
      <c r="E472" s="37"/>
      <c r="F472" s="38"/>
      <c r="G472" s="24" t="str">
        <f aca="false">IF(OR(C472="",D472="",N(E472)=0),"",E472*IF(F472="",IFERROR(N(INDEX(Produtos!$K$5:$K$54,MATCH(D472,Produtos!$B$5:$B$54,0))),0),F472))</f>
        <v/>
      </c>
      <c r="H472" s="24" t="str">
        <f aca="false">IF(G472="","",E472*IFERROR(N(INDEX(Produtos!$F$5:$F$54,MATCH(D472,Produtos!$B$5:$B$54,0))),0))</f>
        <v/>
      </c>
      <c r="I472" s="24" t="str">
        <f aca="false">IF(G472="","",G472-H472)</f>
        <v/>
      </c>
      <c r="J472" s="37"/>
    </row>
    <row r="473" customFormat="false" ht="21" hidden="false" customHeight="true" outlineLevel="0" collapsed="false">
      <c r="B473" s="36"/>
      <c r="C473" s="7"/>
      <c r="D473" s="7"/>
      <c r="E473" s="37"/>
      <c r="F473" s="38"/>
      <c r="G473" s="24" t="str">
        <f aca="false">IF(OR(C473="",D473="",N(E473)=0),"",E473*IF(F473="",IFERROR(N(INDEX(Produtos!$K$5:$K$54,MATCH(D473,Produtos!$B$5:$B$54,0))),0),F473))</f>
        <v/>
      </c>
      <c r="H473" s="24" t="str">
        <f aca="false">IF(G473="","",E473*IFERROR(N(INDEX(Produtos!$F$5:$F$54,MATCH(D473,Produtos!$B$5:$B$54,0))),0))</f>
        <v/>
      </c>
      <c r="I473" s="24" t="str">
        <f aca="false">IF(G473="","",G473-H473)</f>
        <v/>
      </c>
      <c r="J473" s="37"/>
    </row>
    <row r="474" customFormat="false" ht="21" hidden="false" customHeight="true" outlineLevel="0" collapsed="false">
      <c r="B474" s="36"/>
      <c r="C474" s="7"/>
      <c r="D474" s="7"/>
      <c r="E474" s="37"/>
      <c r="F474" s="38"/>
      <c r="G474" s="24" t="str">
        <f aca="false">IF(OR(C474="",D474="",N(E474)=0),"",E474*IF(F474="",IFERROR(N(INDEX(Produtos!$K$5:$K$54,MATCH(D474,Produtos!$B$5:$B$54,0))),0),F474))</f>
        <v/>
      </c>
      <c r="H474" s="24" t="str">
        <f aca="false">IF(G474="","",E474*IFERROR(N(INDEX(Produtos!$F$5:$F$54,MATCH(D474,Produtos!$B$5:$B$54,0))),0))</f>
        <v/>
      </c>
      <c r="I474" s="24" t="str">
        <f aca="false">IF(G474="","",G474-H474)</f>
        <v/>
      </c>
      <c r="J474" s="37"/>
    </row>
    <row r="475" customFormat="false" ht="21" hidden="false" customHeight="true" outlineLevel="0" collapsed="false">
      <c r="B475" s="36"/>
      <c r="C475" s="7"/>
      <c r="D475" s="7"/>
      <c r="E475" s="37"/>
      <c r="F475" s="38"/>
      <c r="G475" s="24" t="str">
        <f aca="false">IF(OR(C475="",D475="",N(E475)=0),"",E475*IF(F475="",IFERROR(N(INDEX(Produtos!$K$5:$K$54,MATCH(D475,Produtos!$B$5:$B$54,0))),0),F475))</f>
        <v/>
      </c>
      <c r="H475" s="24" t="str">
        <f aca="false">IF(G475="","",E475*IFERROR(N(INDEX(Produtos!$F$5:$F$54,MATCH(D475,Produtos!$B$5:$B$54,0))),0))</f>
        <v/>
      </c>
      <c r="I475" s="24" t="str">
        <f aca="false">IF(G475="","",G475-H475)</f>
        <v/>
      </c>
      <c r="J475" s="37"/>
    </row>
    <row r="476" customFormat="false" ht="21" hidden="false" customHeight="true" outlineLevel="0" collapsed="false">
      <c r="B476" s="36"/>
      <c r="C476" s="7"/>
      <c r="D476" s="7"/>
      <c r="E476" s="37"/>
      <c r="F476" s="38"/>
      <c r="G476" s="24" t="str">
        <f aca="false">IF(OR(C476="",D476="",N(E476)=0),"",E476*IF(F476="",IFERROR(N(INDEX(Produtos!$K$5:$K$54,MATCH(D476,Produtos!$B$5:$B$54,0))),0),F476))</f>
        <v/>
      </c>
      <c r="H476" s="24" t="str">
        <f aca="false">IF(G476="","",E476*IFERROR(N(INDEX(Produtos!$F$5:$F$54,MATCH(D476,Produtos!$B$5:$B$54,0))),0))</f>
        <v/>
      </c>
      <c r="I476" s="24" t="str">
        <f aca="false">IF(G476="","",G476-H476)</f>
        <v/>
      </c>
      <c r="J476" s="37"/>
    </row>
    <row r="477" customFormat="false" ht="21" hidden="false" customHeight="true" outlineLevel="0" collapsed="false">
      <c r="B477" s="36"/>
      <c r="C477" s="7"/>
      <c r="D477" s="7"/>
      <c r="E477" s="37"/>
      <c r="F477" s="38"/>
      <c r="G477" s="24" t="str">
        <f aca="false">IF(OR(C477="",D477="",N(E477)=0),"",E477*IF(F477="",IFERROR(N(INDEX(Produtos!$K$5:$K$54,MATCH(D477,Produtos!$B$5:$B$54,0))),0),F477))</f>
        <v/>
      </c>
      <c r="H477" s="24" t="str">
        <f aca="false">IF(G477="","",E477*IFERROR(N(INDEX(Produtos!$F$5:$F$54,MATCH(D477,Produtos!$B$5:$B$54,0))),0))</f>
        <v/>
      </c>
      <c r="I477" s="24" t="str">
        <f aca="false">IF(G477="","",G477-H477)</f>
        <v/>
      </c>
      <c r="J477" s="37"/>
    </row>
    <row r="478" customFormat="false" ht="21" hidden="false" customHeight="true" outlineLevel="0" collapsed="false">
      <c r="B478" s="36"/>
      <c r="C478" s="7"/>
      <c r="D478" s="7"/>
      <c r="E478" s="37"/>
      <c r="F478" s="38"/>
      <c r="G478" s="24" t="str">
        <f aca="false">IF(OR(C478="",D478="",N(E478)=0),"",E478*IF(F478="",IFERROR(N(INDEX(Produtos!$K$5:$K$54,MATCH(D478,Produtos!$B$5:$B$54,0))),0),F478))</f>
        <v/>
      </c>
      <c r="H478" s="24" t="str">
        <f aca="false">IF(G478="","",E478*IFERROR(N(INDEX(Produtos!$F$5:$F$54,MATCH(D478,Produtos!$B$5:$B$54,0))),0))</f>
        <v/>
      </c>
      <c r="I478" s="24" t="str">
        <f aca="false">IF(G478="","",G478-H478)</f>
        <v/>
      </c>
      <c r="J478" s="37"/>
    </row>
    <row r="479" customFormat="false" ht="21" hidden="false" customHeight="true" outlineLevel="0" collapsed="false">
      <c r="B479" s="36"/>
      <c r="C479" s="7"/>
      <c r="D479" s="7"/>
      <c r="E479" s="37"/>
      <c r="F479" s="38"/>
      <c r="G479" s="24" t="str">
        <f aca="false">IF(OR(C479="",D479="",N(E479)=0),"",E479*IF(F479="",IFERROR(N(INDEX(Produtos!$K$5:$K$54,MATCH(D479,Produtos!$B$5:$B$54,0))),0),F479))</f>
        <v/>
      </c>
      <c r="H479" s="24" t="str">
        <f aca="false">IF(G479="","",E479*IFERROR(N(INDEX(Produtos!$F$5:$F$54,MATCH(D479,Produtos!$B$5:$B$54,0))),0))</f>
        <v/>
      </c>
      <c r="I479" s="24" t="str">
        <f aca="false">IF(G479="","",G479-H479)</f>
        <v/>
      </c>
      <c r="J479" s="37"/>
    </row>
    <row r="480" customFormat="false" ht="21" hidden="false" customHeight="true" outlineLevel="0" collapsed="false">
      <c r="B480" s="36"/>
      <c r="C480" s="7"/>
      <c r="D480" s="7"/>
      <c r="E480" s="37"/>
      <c r="F480" s="38"/>
      <c r="G480" s="24" t="str">
        <f aca="false">IF(OR(C480="",D480="",N(E480)=0),"",E480*IF(F480="",IFERROR(N(INDEX(Produtos!$K$5:$K$54,MATCH(D480,Produtos!$B$5:$B$54,0))),0),F480))</f>
        <v/>
      </c>
      <c r="H480" s="24" t="str">
        <f aca="false">IF(G480="","",E480*IFERROR(N(INDEX(Produtos!$F$5:$F$54,MATCH(D480,Produtos!$B$5:$B$54,0))),0))</f>
        <v/>
      </c>
      <c r="I480" s="24" t="str">
        <f aca="false">IF(G480="","",G480-H480)</f>
        <v/>
      </c>
      <c r="J480" s="37"/>
    </row>
    <row r="481" customFormat="false" ht="21" hidden="false" customHeight="true" outlineLevel="0" collapsed="false">
      <c r="B481" s="36"/>
      <c r="C481" s="7"/>
      <c r="D481" s="7"/>
      <c r="E481" s="37"/>
      <c r="F481" s="38"/>
      <c r="G481" s="24" t="str">
        <f aca="false">IF(OR(C481="",D481="",N(E481)=0),"",E481*IF(F481="",IFERROR(N(INDEX(Produtos!$K$5:$K$54,MATCH(D481,Produtos!$B$5:$B$54,0))),0),F481))</f>
        <v/>
      </c>
      <c r="H481" s="24" t="str">
        <f aca="false">IF(G481="","",E481*IFERROR(N(INDEX(Produtos!$F$5:$F$54,MATCH(D481,Produtos!$B$5:$B$54,0))),0))</f>
        <v/>
      </c>
      <c r="I481" s="24" t="str">
        <f aca="false">IF(G481="","",G481-H481)</f>
        <v/>
      </c>
      <c r="J481" s="37"/>
    </row>
    <row r="482" customFormat="false" ht="21" hidden="false" customHeight="true" outlineLevel="0" collapsed="false">
      <c r="B482" s="36"/>
      <c r="C482" s="7"/>
      <c r="D482" s="7"/>
      <c r="E482" s="37"/>
      <c r="F482" s="38"/>
      <c r="G482" s="24" t="str">
        <f aca="false">IF(OR(C482="",D482="",N(E482)=0),"",E482*IF(F482="",IFERROR(N(INDEX(Produtos!$K$5:$K$54,MATCH(D482,Produtos!$B$5:$B$54,0))),0),F482))</f>
        <v/>
      </c>
      <c r="H482" s="24" t="str">
        <f aca="false">IF(G482="","",E482*IFERROR(N(INDEX(Produtos!$F$5:$F$54,MATCH(D482,Produtos!$B$5:$B$54,0))),0))</f>
        <v/>
      </c>
      <c r="I482" s="24" t="str">
        <f aca="false">IF(G482="","",G482-H482)</f>
        <v/>
      </c>
      <c r="J482" s="37"/>
    </row>
    <row r="483" customFormat="false" ht="21" hidden="false" customHeight="true" outlineLevel="0" collapsed="false">
      <c r="B483" s="36"/>
      <c r="C483" s="7"/>
      <c r="D483" s="7"/>
      <c r="E483" s="37"/>
      <c r="F483" s="38"/>
      <c r="G483" s="24" t="str">
        <f aca="false">IF(OR(C483="",D483="",N(E483)=0),"",E483*IF(F483="",IFERROR(N(INDEX(Produtos!$K$5:$K$54,MATCH(D483,Produtos!$B$5:$B$54,0))),0),F483))</f>
        <v/>
      </c>
      <c r="H483" s="24" t="str">
        <f aca="false">IF(G483="","",E483*IFERROR(N(INDEX(Produtos!$F$5:$F$54,MATCH(D483,Produtos!$B$5:$B$54,0))),0))</f>
        <v/>
      </c>
      <c r="I483" s="24" t="str">
        <f aca="false">IF(G483="","",G483-H483)</f>
        <v/>
      </c>
      <c r="J483" s="37"/>
    </row>
    <row r="484" customFormat="false" ht="21" hidden="false" customHeight="true" outlineLevel="0" collapsed="false">
      <c r="B484" s="36"/>
      <c r="C484" s="7"/>
      <c r="D484" s="7"/>
      <c r="E484" s="37"/>
      <c r="F484" s="38"/>
      <c r="G484" s="24" t="str">
        <f aca="false">IF(OR(C484="",D484="",N(E484)=0),"",E484*IF(F484="",IFERROR(N(INDEX(Produtos!$K$5:$K$54,MATCH(D484,Produtos!$B$5:$B$54,0))),0),F484))</f>
        <v/>
      </c>
      <c r="H484" s="24" t="str">
        <f aca="false">IF(G484="","",E484*IFERROR(N(INDEX(Produtos!$F$5:$F$54,MATCH(D484,Produtos!$B$5:$B$54,0))),0))</f>
        <v/>
      </c>
      <c r="I484" s="24" t="str">
        <f aca="false">IF(G484="","",G484-H484)</f>
        <v/>
      </c>
      <c r="J484" s="37"/>
    </row>
    <row r="485" customFormat="false" ht="21" hidden="false" customHeight="true" outlineLevel="0" collapsed="false">
      <c r="B485" s="36"/>
      <c r="C485" s="7"/>
      <c r="D485" s="7"/>
      <c r="E485" s="37"/>
      <c r="F485" s="38"/>
      <c r="G485" s="24" t="str">
        <f aca="false">IF(OR(C485="",D485="",N(E485)=0),"",E485*IF(F485="",IFERROR(N(INDEX(Produtos!$K$5:$K$54,MATCH(D485,Produtos!$B$5:$B$54,0))),0),F485))</f>
        <v/>
      </c>
      <c r="H485" s="24" t="str">
        <f aca="false">IF(G485="","",E485*IFERROR(N(INDEX(Produtos!$F$5:$F$54,MATCH(D485,Produtos!$B$5:$B$54,0))),0))</f>
        <v/>
      </c>
      <c r="I485" s="24" t="str">
        <f aca="false">IF(G485="","",G485-H485)</f>
        <v/>
      </c>
      <c r="J485" s="37"/>
    </row>
    <row r="486" customFormat="false" ht="21" hidden="false" customHeight="true" outlineLevel="0" collapsed="false">
      <c r="B486" s="36"/>
      <c r="C486" s="7"/>
      <c r="D486" s="7"/>
      <c r="E486" s="37"/>
      <c r="F486" s="38"/>
      <c r="G486" s="24" t="str">
        <f aca="false">IF(OR(C486="",D486="",N(E486)=0),"",E486*IF(F486="",IFERROR(N(INDEX(Produtos!$K$5:$K$54,MATCH(D486,Produtos!$B$5:$B$54,0))),0),F486))</f>
        <v/>
      </c>
      <c r="H486" s="24" t="str">
        <f aca="false">IF(G486="","",E486*IFERROR(N(INDEX(Produtos!$F$5:$F$54,MATCH(D486,Produtos!$B$5:$B$54,0))),0))</f>
        <v/>
      </c>
      <c r="I486" s="24" t="str">
        <f aca="false">IF(G486="","",G486-H486)</f>
        <v/>
      </c>
      <c r="J486" s="37"/>
    </row>
    <row r="487" customFormat="false" ht="21" hidden="false" customHeight="true" outlineLevel="0" collapsed="false">
      <c r="B487" s="36"/>
      <c r="C487" s="7"/>
      <c r="D487" s="7"/>
      <c r="E487" s="37"/>
      <c r="F487" s="38"/>
      <c r="G487" s="24" t="str">
        <f aca="false">IF(OR(C487="",D487="",N(E487)=0),"",E487*IF(F487="",IFERROR(N(INDEX(Produtos!$K$5:$K$54,MATCH(D487,Produtos!$B$5:$B$54,0))),0),F487))</f>
        <v/>
      </c>
      <c r="H487" s="24" t="str">
        <f aca="false">IF(G487="","",E487*IFERROR(N(INDEX(Produtos!$F$5:$F$54,MATCH(D487,Produtos!$B$5:$B$54,0))),0))</f>
        <v/>
      </c>
      <c r="I487" s="24" t="str">
        <f aca="false">IF(G487="","",G487-H487)</f>
        <v/>
      </c>
      <c r="J487" s="37"/>
    </row>
    <row r="488" customFormat="false" ht="21" hidden="false" customHeight="true" outlineLevel="0" collapsed="false">
      <c r="B488" s="36"/>
      <c r="C488" s="7"/>
      <c r="D488" s="7"/>
      <c r="E488" s="37"/>
      <c r="F488" s="38"/>
      <c r="G488" s="24" t="str">
        <f aca="false">IF(OR(C488="",D488="",N(E488)=0),"",E488*IF(F488="",IFERROR(N(INDEX(Produtos!$K$5:$K$54,MATCH(D488,Produtos!$B$5:$B$54,0))),0),F488))</f>
        <v/>
      </c>
      <c r="H488" s="24" t="str">
        <f aca="false">IF(G488="","",E488*IFERROR(N(INDEX(Produtos!$F$5:$F$54,MATCH(D488,Produtos!$B$5:$B$54,0))),0))</f>
        <v/>
      </c>
      <c r="I488" s="24" t="str">
        <f aca="false">IF(G488="","",G488-H488)</f>
        <v/>
      </c>
      <c r="J488" s="37"/>
    </row>
    <row r="489" customFormat="false" ht="21" hidden="false" customHeight="true" outlineLevel="0" collapsed="false">
      <c r="B489" s="36"/>
      <c r="C489" s="7"/>
      <c r="D489" s="7"/>
      <c r="E489" s="37"/>
      <c r="F489" s="38"/>
      <c r="G489" s="24" t="str">
        <f aca="false">IF(OR(C489="",D489="",N(E489)=0),"",E489*IF(F489="",IFERROR(N(INDEX(Produtos!$K$5:$K$54,MATCH(D489,Produtos!$B$5:$B$54,0))),0),F489))</f>
        <v/>
      </c>
      <c r="H489" s="24" t="str">
        <f aca="false">IF(G489="","",E489*IFERROR(N(INDEX(Produtos!$F$5:$F$54,MATCH(D489,Produtos!$B$5:$B$54,0))),0))</f>
        <v/>
      </c>
      <c r="I489" s="24" t="str">
        <f aca="false">IF(G489="","",G489-H489)</f>
        <v/>
      </c>
      <c r="J489" s="37"/>
    </row>
    <row r="490" customFormat="false" ht="21" hidden="false" customHeight="true" outlineLevel="0" collapsed="false">
      <c r="B490" s="36"/>
      <c r="C490" s="7"/>
      <c r="D490" s="7"/>
      <c r="E490" s="37"/>
      <c r="F490" s="38"/>
      <c r="G490" s="24" t="str">
        <f aca="false">IF(OR(C490="",D490="",N(E490)=0),"",E490*IF(F490="",IFERROR(N(INDEX(Produtos!$K$5:$K$54,MATCH(D490,Produtos!$B$5:$B$54,0))),0),F490))</f>
        <v/>
      </c>
      <c r="H490" s="24" t="str">
        <f aca="false">IF(G490="","",E490*IFERROR(N(INDEX(Produtos!$F$5:$F$54,MATCH(D490,Produtos!$B$5:$B$54,0))),0))</f>
        <v/>
      </c>
      <c r="I490" s="24" t="str">
        <f aca="false">IF(G490="","",G490-H490)</f>
        <v/>
      </c>
      <c r="J490" s="37"/>
    </row>
    <row r="491" customFormat="false" ht="21" hidden="false" customHeight="true" outlineLevel="0" collapsed="false">
      <c r="B491" s="36"/>
      <c r="C491" s="7"/>
      <c r="D491" s="7"/>
      <c r="E491" s="37"/>
      <c r="F491" s="38"/>
      <c r="G491" s="24" t="str">
        <f aca="false">IF(OR(C491="",D491="",N(E491)=0),"",E491*IF(F491="",IFERROR(N(INDEX(Produtos!$K$5:$K$54,MATCH(D491,Produtos!$B$5:$B$54,0))),0),F491))</f>
        <v/>
      </c>
      <c r="H491" s="24" t="str">
        <f aca="false">IF(G491="","",E491*IFERROR(N(INDEX(Produtos!$F$5:$F$54,MATCH(D491,Produtos!$B$5:$B$54,0))),0))</f>
        <v/>
      </c>
      <c r="I491" s="24" t="str">
        <f aca="false">IF(G491="","",G491-H491)</f>
        <v/>
      </c>
      <c r="J491" s="37"/>
    </row>
    <row r="492" customFormat="false" ht="21" hidden="false" customHeight="true" outlineLevel="0" collapsed="false">
      <c r="B492" s="36"/>
      <c r="C492" s="7"/>
      <c r="D492" s="7"/>
      <c r="E492" s="37"/>
      <c r="F492" s="38"/>
      <c r="G492" s="24" t="str">
        <f aca="false">IF(OR(C492="",D492="",N(E492)=0),"",E492*IF(F492="",IFERROR(N(INDEX(Produtos!$K$5:$K$54,MATCH(D492,Produtos!$B$5:$B$54,0))),0),F492))</f>
        <v/>
      </c>
      <c r="H492" s="24" t="str">
        <f aca="false">IF(G492="","",E492*IFERROR(N(INDEX(Produtos!$F$5:$F$54,MATCH(D492,Produtos!$B$5:$B$54,0))),0))</f>
        <v/>
      </c>
      <c r="I492" s="24" t="str">
        <f aca="false">IF(G492="","",G492-H492)</f>
        <v/>
      </c>
      <c r="J492" s="37"/>
    </row>
    <row r="493" customFormat="false" ht="21" hidden="false" customHeight="true" outlineLevel="0" collapsed="false">
      <c r="B493" s="36"/>
      <c r="C493" s="7"/>
      <c r="D493" s="7"/>
      <c r="E493" s="37"/>
      <c r="F493" s="38"/>
      <c r="G493" s="24" t="str">
        <f aca="false">IF(OR(C493="",D493="",N(E493)=0),"",E493*IF(F493="",IFERROR(N(INDEX(Produtos!$K$5:$K$54,MATCH(D493,Produtos!$B$5:$B$54,0))),0),F493))</f>
        <v/>
      </c>
      <c r="H493" s="24" t="str">
        <f aca="false">IF(G493="","",E493*IFERROR(N(INDEX(Produtos!$F$5:$F$54,MATCH(D493,Produtos!$B$5:$B$54,0))),0))</f>
        <v/>
      </c>
      <c r="I493" s="24" t="str">
        <f aca="false">IF(G493="","",G493-H493)</f>
        <v/>
      </c>
      <c r="J493" s="37"/>
    </row>
    <row r="494" customFormat="false" ht="21" hidden="false" customHeight="true" outlineLevel="0" collapsed="false">
      <c r="B494" s="36"/>
      <c r="C494" s="7"/>
      <c r="D494" s="7"/>
      <c r="E494" s="37"/>
      <c r="F494" s="38"/>
      <c r="G494" s="24" t="str">
        <f aca="false">IF(OR(C494="",D494="",N(E494)=0),"",E494*IF(F494="",IFERROR(N(INDEX(Produtos!$K$5:$K$54,MATCH(D494,Produtos!$B$5:$B$54,0))),0),F494))</f>
        <v/>
      </c>
      <c r="H494" s="24" t="str">
        <f aca="false">IF(G494="","",E494*IFERROR(N(INDEX(Produtos!$F$5:$F$54,MATCH(D494,Produtos!$B$5:$B$54,0))),0))</f>
        <v/>
      </c>
      <c r="I494" s="24" t="str">
        <f aca="false">IF(G494="","",G494-H494)</f>
        <v/>
      </c>
      <c r="J494" s="37"/>
    </row>
    <row r="495" customFormat="false" ht="21" hidden="false" customHeight="true" outlineLevel="0" collapsed="false">
      <c r="B495" s="36"/>
      <c r="C495" s="7"/>
      <c r="D495" s="7"/>
      <c r="E495" s="37"/>
      <c r="F495" s="38"/>
      <c r="G495" s="24" t="str">
        <f aca="false">IF(OR(C495="",D495="",N(E495)=0),"",E495*IF(F495="",IFERROR(N(INDEX(Produtos!$K$5:$K$54,MATCH(D495,Produtos!$B$5:$B$54,0))),0),F495))</f>
        <v/>
      </c>
      <c r="H495" s="24" t="str">
        <f aca="false">IF(G495="","",E495*IFERROR(N(INDEX(Produtos!$F$5:$F$54,MATCH(D495,Produtos!$B$5:$B$54,0))),0))</f>
        <v/>
      </c>
      <c r="I495" s="24" t="str">
        <f aca="false">IF(G495="","",G495-H495)</f>
        <v/>
      </c>
      <c r="J495" s="37"/>
    </row>
    <row r="496" customFormat="false" ht="21" hidden="false" customHeight="true" outlineLevel="0" collapsed="false">
      <c r="B496" s="36"/>
      <c r="C496" s="7"/>
      <c r="D496" s="7"/>
      <c r="E496" s="37"/>
      <c r="F496" s="38"/>
      <c r="G496" s="24" t="str">
        <f aca="false">IF(OR(C496="",D496="",N(E496)=0),"",E496*IF(F496="",IFERROR(N(INDEX(Produtos!$K$5:$K$54,MATCH(D496,Produtos!$B$5:$B$54,0))),0),F496))</f>
        <v/>
      </c>
      <c r="H496" s="24" t="str">
        <f aca="false">IF(G496="","",E496*IFERROR(N(INDEX(Produtos!$F$5:$F$54,MATCH(D496,Produtos!$B$5:$B$54,0))),0))</f>
        <v/>
      </c>
      <c r="I496" s="24" t="str">
        <f aca="false">IF(G496="","",G496-H496)</f>
        <v/>
      </c>
      <c r="J496" s="37"/>
    </row>
    <row r="497" customFormat="false" ht="21" hidden="false" customHeight="true" outlineLevel="0" collapsed="false">
      <c r="B497" s="36"/>
      <c r="C497" s="7"/>
      <c r="D497" s="7"/>
      <c r="E497" s="37"/>
      <c r="F497" s="38"/>
      <c r="G497" s="24" t="str">
        <f aca="false">IF(OR(C497="",D497="",N(E497)=0),"",E497*IF(F497="",IFERROR(N(INDEX(Produtos!$K$5:$K$54,MATCH(D497,Produtos!$B$5:$B$54,0))),0),F497))</f>
        <v/>
      </c>
      <c r="H497" s="24" t="str">
        <f aca="false">IF(G497="","",E497*IFERROR(N(INDEX(Produtos!$F$5:$F$54,MATCH(D497,Produtos!$B$5:$B$54,0))),0))</f>
        <v/>
      </c>
      <c r="I497" s="24" t="str">
        <f aca="false">IF(G497="","",G497-H497)</f>
        <v/>
      </c>
      <c r="J497" s="37"/>
    </row>
    <row r="498" customFormat="false" ht="21" hidden="false" customHeight="true" outlineLevel="0" collapsed="false">
      <c r="B498" s="36"/>
      <c r="C498" s="7"/>
      <c r="D498" s="7"/>
      <c r="E498" s="37"/>
      <c r="F498" s="38"/>
      <c r="G498" s="24" t="str">
        <f aca="false">IF(OR(C498="",D498="",N(E498)=0),"",E498*IF(F498="",IFERROR(N(INDEX(Produtos!$K$5:$K$54,MATCH(D498,Produtos!$B$5:$B$54,0))),0),F498))</f>
        <v/>
      </c>
      <c r="H498" s="24" t="str">
        <f aca="false">IF(G498="","",E498*IFERROR(N(INDEX(Produtos!$F$5:$F$54,MATCH(D498,Produtos!$B$5:$B$54,0))),0))</f>
        <v/>
      </c>
      <c r="I498" s="24" t="str">
        <f aca="false">IF(G498="","",G498-H498)</f>
        <v/>
      </c>
      <c r="J498" s="37"/>
    </row>
    <row r="499" customFormat="false" ht="21" hidden="false" customHeight="true" outlineLevel="0" collapsed="false">
      <c r="B499" s="36"/>
      <c r="C499" s="7"/>
      <c r="D499" s="7"/>
      <c r="E499" s="37"/>
      <c r="F499" s="38"/>
      <c r="G499" s="24" t="str">
        <f aca="false">IF(OR(C499="",D499="",N(E499)=0),"",E499*IF(F499="",IFERROR(N(INDEX(Produtos!$K$5:$K$54,MATCH(D499,Produtos!$B$5:$B$54,0))),0),F499))</f>
        <v/>
      </c>
      <c r="H499" s="24" t="str">
        <f aca="false">IF(G499="","",E499*IFERROR(N(INDEX(Produtos!$F$5:$F$54,MATCH(D499,Produtos!$B$5:$B$54,0))),0))</f>
        <v/>
      </c>
      <c r="I499" s="24" t="str">
        <f aca="false">IF(G499="","",G499-H499)</f>
        <v/>
      </c>
      <c r="J499" s="37"/>
    </row>
    <row r="500" customFormat="false" ht="21" hidden="false" customHeight="true" outlineLevel="0" collapsed="false">
      <c r="B500" s="36"/>
      <c r="C500" s="7"/>
      <c r="D500" s="7"/>
      <c r="E500" s="37"/>
      <c r="F500" s="38"/>
      <c r="G500" s="24" t="str">
        <f aca="false">IF(OR(C500="",D500="",N(E500)=0),"",E500*IF(F500="",IFERROR(N(INDEX(Produtos!$K$5:$K$54,MATCH(D500,Produtos!$B$5:$B$54,0))),0),F500))</f>
        <v/>
      </c>
      <c r="H500" s="24" t="str">
        <f aca="false">IF(G500="","",E500*IFERROR(N(INDEX(Produtos!$F$5:$F$54,MATCH(D500,Produtos!$B$5:$B$54,0))),0))</f>
        <v/>
      </c>
      <c r="I500" s="24" t="str">
        <f aca="false">IF(G500="","",G500-H500)</f>
        <v/>
      </c>
      <c r="J500" s="37"/>
    </row>
    <row r="501" customFormat="false" ht="21" hidden="false" customHeight="true" outlineLevel="0" collapsed="false">
      <c r="B501" s="36"/>
      <c r="C501" s="7"/>
      <c r="D501" s="7"/>
      <c r="E501" s="37"/>
      <c r="F501" s="38"/>
      <c r="G501" s="24" t="str">
        <f aca="false">IF(OR(C501="",D501="",N(E501)=0),"",E501*IF(F501="",IFERROR(N(INDEX(Produtos!$K$5:$K$54,MATCH(D501,Produtos!$B$5:$B$54,0))),0),F501))</f>
        <v/>
      </c>
      <c r="H501" s="24" t="str">
        <f aca="false">IF(G501="","",E501*IFERROR(N(INDEX(Produtos!$F$5:$F$54,MATCH(D501,Produtos!$B$5:$B$54,0))),0))</f>
        <v/>
      </c>
      <c r="I501" s="24" t="str">
        <f aca="false">IF(G501="","",G501-H501)</f>
        <v/>
      </c>
      <c r="J501" s="37"/>
    </row>
    <row r="502" customFormat="false" ht="21" hidden="false" customHeight="true" outlineLevel="0" collapsed="false">
      <c r="B502" s="36"/>
      <c r="C502" s="7"/>
      <c r="D502" s="7"/>
      <c r="E502" s="37"/>
      <c r="F502" s="38"/>
      <c r="G502" s="24" t="str">
        <f aca="false">IF(OR(C502="",D502="",N(E502)=0),"",E502*IF(F502="",IFERROR(N(INDEX(Produtos!$K$5:$K$54,MATCH(D502,Produtos!$B$5:$B$54,0))),0),F502))</f>
        <v/>
      </c>
      <c r="H502" s="24" t="str">
        <f aca="false">IF(G502="","",E502*IFERROR(N(INDEX(Produtos!$F$5:$F$54,MATCH(D502,Produtos!$B$5:$B$54,0))),0))</f>
        <v/>
      </c>
      <c r="I502" s="24" t="str">
        <f aca="false">IF(G502="","",G502-H502)</f>
        <v/>
      </c>
      <c r="J502" s="37"/>
    </row>
    <row r="503" customFormat="false" ht="21" hidden="false" customHeight="true" outlineLevel="0" collapsed="false">
      <c r="B503" s="36"/>
      <c r="C503" s="7"/>
      <c r="D503" s="7"/>
      <c r="E503" s="37"/>
      <c r="F503" s="38"/>
      <c r="G503" s="24" t="str">
        <f aca="false">IF(OR(C503="",D503="",N(E503)=0),"",E503*IF(F503="",IFERROR(N(INDEX(Produtos!$K$5:$K$54,MATCH(D503,Produtos!$B$5:$B$54,0))),0),F503))</f>
        <v/>
      </c>
      <c r="H503" s="24" t="str">
        <f aca="false">IF(G503="","",E503*IFERROR(N(INDEX(Produtos!$F$5:$F$54,MATCH(D503,Produtos!$B$5:$B$54,0))),0))</f>
        <v/>
      </c>
      <c r="I503" s="24" t="str">
        <f aca="false">IF(G503="","",G503-H503)</f>
        <v/>
      </c>
      <c r="J503" s="37"/>
    </row>
    <row r="504" customFormat="false" ht="21" hidden="false" customHeight="true" outlineLevel="0" collapsed="false">
      <c r="B504" s="36"/>
      <c r="C504" s="7"/>
      <c r="D504" s="7"/>
      <c r="E504" s="37"/>
      <c r="F504" s="38"/>
      <c r="G504" s="24" t="str">
        <f aca="false">IF(OR(C504="",D504="",N(E504)=0),"",E504*IF(F504="",IFERROR(N(INDEX(Produtos!$K$5:$K$54,MATCH(D504,Produtos!$B$5:$B$54,0))),0),F504))</f>
        <v/>
      </c>
      <c r="H504" s="24" t="str">
        <f aca="false">IF(G504="","",E504*IFERROR(N(INDEX(Produtos!$F$5:$F$54,MATCH(D504,Produtos!$B$5:$B$54,0))),0))</f>
        <v/>
      </c>
      <c r="I504" s="24" t="str">
        <f aca="false">IF(G504="","",G504-H504)</f>
        <v/>
      </c>
      <c r="J504" s="37"/>
    </row>
    <row r="505" customFormat="false" ht="21" hidden="false" customHeight="true" outlineLevel="0" collapsed="false">
      <c r="B505" s="36"/>
      <c r="C505" s="7"/>
      <c r="D505" s="7"/>
      <c r="E505" s="37"/>
      <c r="F505" s="38"/>
      <c r="G505" s="24" t="str">
        <f aca="false">IF(OR(C505="",D505="",N(E505)=0),"",E505*IF(F505="",IFERROR(N(INDEX(Produtos!$K$5:$K$54,MATCH(D505,Produtos!$B$5:$B$54,0))),0),F505))</f>
        <v/>
      </c>
      <c r="H505" s="24" t="str">
        <f aca="false">IF(G505="","",E505*IFERROR(N(INDEX(Produtos!$F$5:$F$54,MATCH(D505,Produtos!$B$5:$B$54,0))),0))</f>
        <v/>
      </c>
      <c r="I505" s="24" t="str">
        <f aca="false">IF(G505="","",G505-H505)</f>
        <v/>
      </c>
      <c r="J505" s="37"/>
    </row>
    <row r="506" customFormat="false" ht="21" hidden="false" customHeight="true" outlineLevel="0" collapsed="false">
      <c r="B506" s="36"/>
      <c r="C506" s="7"/>
      <c r="D506" s="7"/>
      <c r="E506" s="37"/>
      <c r="F506" s="38"/>
      <c r="G506" s="24" t="str">
        <f aca="false">IF(OR(C506="",D506="",N(E506)=0),"",E506*IF(F506="",IFERROR(N(INDEX(Produtos!$K$5:$K$54,MATCH(D506,Produtos!$B$5:$B$54,0))),0),F506))</f>
        <v/>
      </c>
      <c r="H506" s="24" t="str">
        <f aca="false">IF(G506="","",E506*IFERROR(N(INDEX(Produtos!$F$5:$F$54,MATCH(D506,Produtos!$B$5:$B$54,0))),0))</f>
        <v/>
      </c>
      <c r="I506" s="24" t="str">
        <f aca="false">IF(G506="","",G506-H506)</f>
        <v/>
      </c>
      <c r="J506" s="37"/>
    </row>
    <row r="507" customFormat="false" ht="21" hidden="false" customHeight="true" outlineLevel="0" collapsed="false">
      <c r="B507" s="36"/>
      <c r="C507" s="7"/>
      <c r="D507" s="7"/>
      <c r="E507" s="37"/>
      <c r="F507" s="38"/>
      <c r="G507" s="24" t="str">
        <f aca="false">IF(OR(C507="",D507="",N(E507)=0),"",E507*IF(F507="",IFERROR(N(INDEX(Produtos!$K$5:$K$54,MATCH(D507,Produtos!$B$5:$B$54,0))),0),F507))</f>
        <v/>
      </c>
      <c r="H507" s="24" t="str">
        <f aca="false">IF(G507="","",E507*IFERROR(N(INDEX(Produtos!$F$5:$F$54,MATCH(D507,Produtos!$B$5:$B$54,0))),0))</f>
        <v/>
      </c>
      <c r="I507" s="24" t="str">
        <f aca="false">IF(G507="","",G507-H507)</f>
        <v/>
      </c>
      <c r="J507" s="37"/>
    </row>
    <row r="508" customFormat="false" ht="21" hidden="false" customHeight="true" outlineLevel="0" collapsed="false">
      <c r="B508" s="36"/>
      <c r="C508" s="7"/>
      <c r="D508" s="7"/>
      <c r="E508" s="37"/>
      <c r="F508" s="38"/>
      <c r="G508" s="24" t="str">
        <f aca="false">IF(OR(C508="",D508="",N(E508)=0),"",E508*IF(F508="",IFERROR(N(INDEX(Produtos!$K$5:$K$54,MATCH(D508,Produtos!$B$5:$B$54,0))),0),F508))</f>
        <v/>
      </c>
      <c r="H508" s="24" t="str">
        <f aca="false">IF(G508="","",E508*IFERROR(N(INDEX(Produtos!$F$5:$F$54,MATCH(D508,Produtos!$B$5:$B$54,0))),0))</f>
        <v/>
      </c>
      <c r="I508" s="24" t="str">
        <f aca="false">IF(G508="","",G508-H508)</f>
        <v/>
      </c>
      <c r="J508" s="37"/>
    </row>
    <row r="509" customFormat="false" ht="21" hidden="false" customHeight="true" outlineLevel="0" collapsed="false">
      <c r="B509" s="36"/>
      <c r="C509" s="7"/>
      <c r="D509" s="7"/>
      <c r="E509" s="37"/>
      <c r="F509" s="38"/>
      <c r="G509" s="24" t="str">
        <f aca="false">IF(OR(C509="",D509="",N(E509)=0),"",E509*IF(F509="",IFERROR(N(INDEX(Produtos!$K$5:$K$54,MATCH(D509,Produtos!$B$5:$B$54,0))),0),F509))</f>
        <v/>
      </c>
      <c r="H509" s="24" t="str">
        <f aca="false">IF(G509="","",E509*IFERROR(N(INDEX(Produtos!$F$5:$F$54,MATCH(D509,Produtos!$B$5:$B$54,0))),0))</f>
        <v/>
      </c>
      <c r="I509" s="24" t="str">
        <f aca="false">IF(G509="","",G509-H509)</f>
        <v/>
      </c>
      <c r="J509" s="37"/>
    </row>
    <row r="510" customFormat="false" ht="21" hidden="false" customHeight="true" outlineLevel="0" collapsed="false">
      <c r="B510" s="36"/>
      <c r="C510" s="7"/>
      <c r="D510" s="7"/>
      <c r="E510" s="37"/>
      <c r="F510" s="38"/>
      <c r="G510" s="24" t="str">
        <f aca="false">IF(OR(C510="",D510="",N(E510)=0),"",E510*IF(F510="",IFERROR(N(INDEX(Produtos!$K$5:$K$54,MATCH(D510,Produtos!$B$5:$B$54,0))),0),F510))</f>
        <v/>
      </c>
      <c r="H510" s="24" t="str">
        <f aca="false">IF(G510="","",E510*IFERROR(N(INDEX(Produtos!$F$5:$F$54,MATCH(D510,Produtos!$B$5:$B$54,0))),0))</f>
        <v/>
      </c>
      <c r="I510" s="24" t="str">
        <f aca="false">IF(G510="","",G510-H510)</f>
        <v/>
      </c>
      <c r="J510" s="37"/>
    </row>
    <row r="511" customFormat="false" ht="21" hidden="false" customHeight="true" outlineLevel="0" collapsed="false">
      <c r="B511" s="36"/>
      <c r="C511" s="7"/>
      <c r="D511" s="7"/>
      <c r="E511" s="37"/>
      <c r="F511" s="38"/>
      <c r="G511" s="24" t="str">
        <f aca="false">IF(OR(C511="",D511="",N(E511)=0),"",E511*IF(F511="",IFERROR(N(INDEX(Produtos!$K$5:$K$54,MATCH(D511,Produtos!$B$5:$B$54,0))),0),F511))</f>
        <v/>
      </c>
      <c r="H511" s="24" t="str">
        <f aca="false">IF(G511="","",E511*IFERROR(N(INDEX(Produtos!$F$5:$F$54,MATCH(D511,Produtos!$B$5:$B$54,0))),0))</f>
        <v/>
      </c>
      <c r="I511" s="24" t="str">
        <f aca="false">IF(G511="","",G511-H511)</f>
        <v/>
      </c>
      <c r="J511" s="37"/>
    </row>
    <row r="512" customFormat="false" ht="21" hidden="false" customHeight="true" outlineLevel="0" collapsed="false">
      <c r="B512" s="36"/>
      <c r="C512" s="7"/>
      <c r="D512" s="7"/>
      <c r="E512" s="37"/>
      <c r="F512" s="38"/>
      <c r="G512" s="24" t="str">
        <f aca="false">IF(OR(C512="",D512="",N(E512)=0),"",E512*IF(F512="",IFERROR(N(INDEX(Produtos!$K$5:$K$54,MATCH(D512,Produtos!$B$5:$B$54,0))),0),F512))</f>
        <v/>
      </c>
      <c r="H512" s="24" t="str">
        <f aca="false">IF(G512="","",E512*IFERROR(N(INDEX(Produtos!$F$5:$F$54,MATCH(D512,Produtos!$B$5:$B$54,0))),0))</f>
        <v/>
      </c>
      <c r="I512" s="24" t="str">
        <f aca="false">IF(G512="","",G512-H512)</f>
        <v/>
      </c>
      <c r="J512" s="37"/>
    </row>
    <row r="513" customFormat="false" ht="21" hidden="false" customHeight="true" outlineLevel="0" collapsed="false">
      <c r="B513" s="36"/>
      <c r="C513" s="7"/>
      <c r="D513" s="7"/>
      <c r="E513" s="37"/>
      <c r="F513" s="38"/>
      <c r="G513" s="24" t="str">
        <f aca="false">IF(OR(C513="",D513="",N(E513)=0),"",E513*IF(F513="",IFERROR(N(INDEX(Produtos!$K$5:$K$54,MATCH(D513,Produtos!$B$5:$B$54,0))),0),F513))</f>
        <v/>
      </c>
      <c r="H513" s="24" t="str">
        <f aca="false">IF(G513="","",E513*IFERROR(N(INDEX(Produtos!$F$5:$F$54,MATCH(D513,Produtos!$B$5:$B$54,0))),0))</f>
        <v/>
      </c>
      <c r="I513" s="24" t="str">
        <f aca="false">IF(G513="","",G513-H513)</f>
        <v/>
      </c>
      <c r="J513" s="37"/>
    </row>
    <row r="514" customFormat="false" ht="21" hidden="false" customHeight="true" outlineLevel="0" collapsed="false">
      <c r="B514" s="36"/>
      <c r="C514" s="7"/>
      <c r="D514" s="7"/>
      <c r="E514" s="37"/>
      <c r="F514" s="38"/>
      <c r="G514" s="24" t="str">
        <f aca="false">IF(OR(C514="",D514="",N(E514)=0),"",E514*IF(F514="",IFERROR(N(INDEX(Produtos!$K$5:$K$54,MATCH(D514,Produtos!$B$5:$B$54,0))),0),F514))</f>
        <v/>
      </c>
      <c r="H514" s="24" t="str">
        <f aca="false">IF(G514="","",E514*IFERROR(N(INDEX(Produtos!$F$5:$F$54,MATCH(D514,Produtos!$B$5:$B$54,0))),0))</f>
        <v/>
      </c>
      <c r="I514" s="24" t="str">
        <f aca="false">IF(G514="","",G514-H514)</f>
        <v/>
      </c>
      <c r="J514" s="37"/>
    </row>
    <row r="515" customFormat="false" ht="21" hidden="false" customHeight="true" outlineLevel="0" collapsed="false">
      <c r="B515" s="36"/>
      <c r="C515" s="7"/>
      <c r="D515" s="7"/>
      <c r="E515" s="37"/>
      <c r="F515" s="38"/>
      <c r="G515" s="24" t="str">
        <f aca="false">IF(OR(C515="",D515="",N(E515)=0),"",E515*IF(F515="",IFERROR(N(INDEX(Produtos!$K$5:$K$54,MATCH(D515,Produtos!$B$5:$B$54,0))),0),F515))</f>
        <v/>
      </c>
      <c r="H515" s="24" t="str">
        <f aca="false">IF(G515="","",E515*IFERROR(N(INDEX(Produtos!$F$5:$F$54,MATCH(D515,Produtos!$B$5:$B$54,0))),0))</f>
        <v/>
      </c>
      <c r="I515" s="24" t="str">
        <f aca="false">IF(G515="","",G515-H515)</f>
        <v/>
      </c>
      <c r="J515" s="37"/>
    </row>
    <row r="516" customFormat="false" ht="21" hidden="false" customHeight="true" outlineLevel="0" collapsed="false">
      <c r="B516" s="36"/>
      <c r="C516" s="7"/>
      <c r="D516" s="7"/>
      <c r="E516" s="37"/>
      <c r="F516" s="38"/>
      <c r="G516" s="24" t="str">
        <f aca="false">IF(OR(C516="",D516="",N(E516)=0),"",E516*IF(F516="",IFERROR(N(INDEX(Produtos!$K$5:$K$54,MATCH(D516,Produtos!$B$5:$B$54,0))),0),F516))</f>
        <v/>
      </c>
      <c r="H516" s="24" t="str">
        <f aca="false">IF(G516="","",E516*IFERROR(N(INDEX(Produtos!$F$5:$F$54,MATCH(D516,Produtos!$B$5:$B$54,0))),0))</f>
        <v/>
      </c>
      <c r="I516" s="24" t="str">
        <f aca="false">IF(G516="","",G516-H516)</f>
        <v/>
      </c>
      <c r="J516" s="37"/>
    </row>
    <row r="517" customFormat="false" ht="21" hidden="false" customHeight="true" outlineLevel="0" collapsed="false">
      <c r="B517" s="36"/>
      <c r="C517" s="7"/>
      <c r="D517" s="7"/>
      <c r="E517" s="37"/>
      <c r="F517" s="38"/>
      <c r="G517" s="24" t="str">
        <f aca="false">IF(OR(C517="",D517="",N(E517)=0),"",E517*IF(F517="",IFERROR(N(INDEX(Produtos!$K$5:$K$54,MATCH(D517,Produtos!$B$5:$B$54,0))),0),F517))</f>
        <v/>
      </c>
      <c r="H517" s="24" t="str">
        <f aca="false">IF(G517="","",E517*IFERROR(N(INDEX(Produtos!$F$5:$F$54,MATCH(D517,Produtos!$B$5:$B$54,0))),0))</f>
        <v/>
      </c>
      <c r="I517" s="24" t="str">
        <f aca="false">IF(G517="","",G517-H517)</f>
        <v/>
      </c>
      <c r="J517" s="37"/>
    </row>
    <row r="518" customFormat="false" ht="21" hidden="false" customHeight="true" outlineLevel="0" collapsed="false">
      <c r="B518" s="36"/>
      <c r="C518" s="7"/>
      <c r="D518" s="7"/>
      <c r="E518" s="37"/>
      <c r="F518" s="38"/>
      <c r="G518" s="24" t="str">
        <f aca="false">IF(OR(C518="",D518="",N(E518)=0),"",E518*IF(F518="",IFERROR(N(INDEX(Produtos!$K$5:$K$54,MATCH(D518,Produtos!$B$5:$B$54,0))),0),F518))</f>
        <v/>
      </c>
      <c r="H518" s="24" t="str">
        <f aca="false">IF(G518="","",E518*IFERROR(N(INDEX(Produtos!$F$5:$F$54,MATCH(D518,Produtos!$B$5:$B$54,0))),0))</f>
        <v/>
      </c>
      <c r="I518" s="24" t="str">
        <f aca="false">IF(G518="","",G518-H518)</f>
        <v/>
      </c>
      <c r="J518" s="37"/>
    </row>
    <row r="519" customFormat="false" ht="21" hidden="false" customHeight="true" outlineLevel="0" collapsed="false">
      <c r="B519" s="36"/>
      <c r="C519" s="7"/>
      <c r="D519" s="7"/>
      <c r="E519" s="37"/>
      <c r="F519" s="38"/>
      <c r="G519" s="24" t="str">
        <f aca="false">IF(OR(C519="",D519="",N(E519)=0),"",E519*IF(F519="",IFERROR(N(INDEX(Produtos!$K$5:$K$54,MATCH(D519,Produtos!$B$5:$B$54,0))),0),F519))</f>
        <v/>
      </c>
      <c r="H519" s="24" t="str">
        <f aca="false">IF(G519="","",E519*IFERROR(N(INDEX(Produtos!$F$5:$F$54,MATCH(D519,Produtos!$B$5:$B$54,0))),0))</f>
        <v/>
      </c>
      <c r="I519" s="24" t="str">
        <f aca="false">IF(G519="","",G519-H519)</f>
        <v/>
      </c>
      <c r="J519" s="37"/>
    </row>
    <row r="520" customFormat="false" ht="21" hidden="false" customHeight="true" outlineLevel="0" collapsed="false">
      <c r="B520" s="36"/>
      <c r="C520" s="7"/>
      <c r="D520" s="7"/>
      <c r="E520" s="37"/>
      <c r="F520" s="38"/>
      <c r="G520" s="24" t="str">
        <f aca="false">IF(OR(C520="",D520="",N(E520)=0),"",E520*IF(F520="",IFERROR(N(INDEX(Produtos!$K$5:$K$54,MATCH(D520,Produtos!$B$5:$B$54,0))),0),F520))</f>
        <v/>
      </c>
      <c r="H520" s="24" t="str">
        <f aca="false">IF(G520="","",E520*IFERROR(N(INDEX(Produtos!$F$5:$F$54,MATCH(D520,Produtos!$B$5:$B$54,0))),0))</f>
        <v/>
      </c>
      <c r="I520" s="24" t="str">
        <f aca="false">IF(G520="","",G520-H520)</f>
        <v/>
      </c>
      <c r="J520" s="37"/>
    </row>
    <row r="521" customFormat="false" ht="21" hidden="false" customHeight="true" outlineLevel="0" collapsed="false">
      <c r="B521" s="36"/>
      <c r="C521" s="7"/>
      <c r="D521" s="7"/>
      <c r="E521" s="37"/>
      <c r="F521" s="38"/>
      <c r="G521" s="24" t="str">
        <f aca="false">IF(OR(C521="",D521="",N(E521)=0),"",E521*IF(F521="",IFERROR(N(INDEX(Produtos!$K$5:$K$54,MATCH(D521,Produtos!$B$5:$B$54,0))),0),F521))</f>
        <v/>
      </c>
      <c r="H521" s="24" t="str">
        <f aca="false">IF(G521="","",E521*IFERROR(N(INDEX(Produtos!$F$5:$F$54,MATCH(D521,Produtos!$B$5:$B$54,0))),0))</f>
        <v/>
      </c>
      <c r="I521" s="24" t="str">
        <f aca="false">IF(G521="","",G521-H521)</f>
        <v/>
      </c>
      <c r="J521" s="37"/>
    </row>
    <row r="522" customFormat="false" ht="21" hidden="false" customHeight="true" outlineLevel="0" collapsed="false">
      <c r="B522" s="36"/>
      <c r="C522" s="7"/>
      <c r="D522" s="7"/>
      <c r="E522" s="37"/>
      <c r="F522" s="38"/>
      <c r="G522" s="24" t="str">
        <f aca="false">IF(OR(C522="",D522="",N(E522)=0),"",E522*IF(F522="",IFERROR(N(INDEX(Produtos!$K$5:$K$54,MATCH(D522,Produtos!$B$5:$B$54,0))),0),F522))</f>
        <v/>
      </c>
      <c r="H522" s="24" t="str">
        <f aca="false">IF(G522="","",E522*IFERROR(N(INDEX(Produtos!$F$5:$F$54,MATCH(D522,Produtos!$B$5:$B$54,0))),0))</f>
        <v/>
      </c>
      <c r="I522" s="24" t="str">
        <f aca="false">IF(G522="","",G522-H522)</f>
        <v/>
      </c>
      <c r="J522" s="37"/>
    </row>
    <row r="523" customFormat="false" ht="21" hidden="false" customHeight="true" outlineLevel="0" collapsed="false">
      <c r="B523" s="36"/>
      <c r="C523" s="7"/>
      <c r="D523" s="7"/>
      <c r="E523" s="37"/>
      <c r="F523" s="38"/>
      <c r="G523" s="24" t="str">
        <f aca="false">IF(OR(C523="",D523="",N(E523)=0),"",E523*IF(F523="",IFERROR(N(INDEX(Produtos!$K$5:$K$54,MATCH(D523,Produtos!$B$5:$B$54,0))),0),F523))</f>
        <v/>
      </c>
      <c r="H523" s="24" t="str">
        <f aca="false">IF(G523="","",E523*IFERROR(N(INDEX(Produtos!$F$5:$F$54,MATCH(D523,Produtos!$B$5:$B$54,0))),0))</f>
        <v/>
      </c>
      <c r="I523" s="24" t="str">
        <f aca="false">IF(G523="","",G523-H523)</f>
        <v/>
      </c>
      <c r="J523" s="37"/>
    </row>
    <row r="524" customFormat="false" ht="21" hidden="false" customHeight="true" outlineLevel="0" collapsed="false">
      <c r="B524" s="36"/>
      <c r="C524" s="7"/>
      <c r="D524" s="7"/>
      <c r="E524" s="37"/>
      <c r="F524" s="38"/>
      <c r="G524" s="24" t="str">
        <f aca="false">IF(OR(C524="",D524="",N(E524)=0),"",E524*IF(F524="",IFERROR(N(INDEX(Produtos!$K$5:$K$54,MATCH(D524,Produtos!$B$5:$B$54,0))),0),F524))</f>
        <v/>
      </c>
      <c r="H524" s="24" t="str">
        <f aca="false">IF(G524="","",E524*IFERROR(N(INDEX(Produtos!$F$5:$F$54,MATCH(D524,Produtos!$B$5:$B$54,0))),0))</f>
        <v/>
      </c>
      <c r="I524" s="24" t="str">
        <f aca="false">IF(G524="","",G524-H524)</f>
        <v/>
      </c>
      <c r="J524" s="37"/>
    </row>
    <row r="525" customFormat="false" ht="21" hidden="false" customHeight="true" outlineLevel="0" collapsed="false">
      <c r="B525" s="36"/>
      <c r="C525" s="7"/>
      <c r="D525" s="7"/>
      <c r="E525" s="37"/>
      <c r="F525" s="38"/>
      <c r="G525" s="24" t="str">
        <f aca="false">IF(OR(C525="",D525="",N(E525)=0),"",E525*IF(F525="",IFERROR(N(INDEX(Produtos!$K$5:$K$54,MATCH(D525,Produtos!$B$5:$B$54,0))),0),F525))</f>
        <v/>
      </c>
      <c r="H525" s="24" t="str">
        <f aca="false">IF(G525="","",E525*IFERROR(N(INDEX(Produtos!$F$5:$F$54,MATCH(D525,Produtos!$B$5:$B$54,0))),0))</f>
        <v/>
      </c>
      <c r="I525" s="24" t="str">
        <f aca="false">IF(G525="","",G525-H525)</f>
        <v/>
      </c>
      <c r="J525" s="37"/>
    </row>
    <row r="526" customFormat="false" ht="21" hidden="false" customHeight="true" outlineLevel="0" collapsed="false">
      <c r="B526" s="36"/>
      <c r="C526" s="7"/>
      <c r="D526" s="7"/>
      <c r="E526" s="37"/>
      <c r="F526" s="38"/>
      <c r="G526" s="24" t="str">
        <f aca="false">IF(OR(C526="",D526="",N(E526)=0),"",E526*IF(F526="",IFERROR(N(INDEX(Produtos!$K$5:$K$54,MATCH(D526,Produtos!$B$5:$B$54,0))),0),F526))</f>
        <v/>
      </c>
      <c r="H526" s="24" t="str">
        <f aca="false">IF(G526="","",E526*IFERROR(N(INDEX(Produtos!$F$5:$F$54,MATCH(D526,Produtos!$B$5:$B$54,0))),0))</f>
        <v/>
      </c>
      <c r="I526" s="24" t="str">
        <f aca="false">IF(G526="","",G526-H526)</f>
        <v/>
      </c>
      <c r="J526" s="37"/>
    </row>
    <row r="527" customFormat="false" ht="21" hidden="false" customHeight="true" outlineLevel="0" collapsed="false">
      <c r="B527" s="36"/>
      <c r="C527" s="7"/>
      <c r="D527" s="7"/>
      <c r="E527" s="37"/>
      <c r="F527" s="38"/>
      <c r="G527" s="24" t="str">
        <f aca="false">IF(OR(C527="",D527="",N(E527)=0),"",E527*IF(F527="",IFERROR(N(INDEX(Produtos!$K$5:$K$54,MATCH(D527,Produtos!$B$5:$B$54,0))),0),F527))</f>
        <v/>
      </c>
      <c r="H527" s="24" t="str">
        <f aca="false">IF(G527="","",E527*IFERROR(N(INDEX(Produtos!$F$5:$F$54,MATCH(D527,Produtos!$B$5:$B$54,0))),0))</f>
        <v/>
      </c>
      <c r="I527" s="24" t="str">
        <f aca="false">IF(G527="","",G527-H527)</f>
        <v/>
      </c>
      <c r="J527" s="37"/>
    </row>
    <row r="528" customFormat="false" ht="21" hidden="false" customHeight="true" outlineLevel="0" collapsed="false">
      <c r="B528" s="36"/>
      <c r="C528" s="7"/>
      <c r="D528" s="7"/>
      <c r="E528" s="37"/>
      <c r="F528" s="38"/>
      <c r="G528" s="24" t="str">
        <f aca="false">IF(OR(C528="",D528="",N(E528)=0),"",E528*IF(F528="",IFERROR(N(INDEX(Produtos!$K$5:$K$54,MATCH(D528,Produtos!$B$5:$B$54,0))),0),F528))</f>
        <v/>
      </c>
      <c r="H528" s="24" t="str">
        <f aca="false">IF(G528="","",E528*IFERROR(N(INDEX(Produtos!$F$5:$F$54,MATCH(D528,Produtos!$B$5:$B$54,0))),0))</f>
        <v/>
      </c>
      <c r="I528" s="24" t="str">
        <f aca="false">IF(G528="","",G528-H528)</f>
        <v/>
      </c>
      <c r="J528" s="37"/>
    </row>
    <row r="529" customFormat="false" ht="21" hidden="false" customHeight="true" outlineLevel="0" collapsed="false">
      <c r="B529" s="36"/>
      <c r="C529" s="7"/>
      <c r="D529" s="7"/>
      <c r="E529" s="37"/>
      <c r="F529" s="38"/>
      <c r="G529" s="24" t="str">
        <f aca="false">IF(OR(C529="",D529="",N(E529)=0),"",E529*IF(F529="",IFERROR(N(INDEX(Produtos!$K$5:$K$54,MATCH(D529,Produtos!$B$5:$B$54,0))),0),F529))</f>
        <v/>
      </c>
      <c r="H529" s="24" t="str">
        <f aca="false">IF(G529="","",E529*IFERROR(N(INDEX(Produtos!$F$5:$F$54,MATCH(D529,Produtos!$B$5:$B$54,0))),0))</f>
        <v/>
      </c>
      <c r="I529" s="24" t="str">
        <f aca="false">IF(G529="","",G529-H529)</f>
        <v/>
      </c>
      <c r="J529" s="37"/>
    </row>
    <row r="530" customFormat="false" ht="21" hidden="false" customHeight="true" outlineLevel="0" collapsed="false">
      <c r="B530" s="36"/>
      <c r="C530" s="7"/>
      <c r="D530" s="7"/>
      <c r="E530" s="37"/>
      <c r="F530" s="38"/>
      <c r="G530" s="24" t="str">
        <f aca="false">IF(OR(C530="",D530="",N(E530)=0),"",E530*IF(F530="",IFERROR(N(INDEX(Produtos!$K$5:$K$54,MATCH(D530,Produtos!$B$5:$B$54,0))),0),F530))</f>
        <v/>
      </c>
      <c r="H530" s="24" t="str">
        <f aca="false">IF(G530="","",E530*IFERROR(N(INDEX(Produtos!$F$5:$F$54,MATCH(D530,Produtos!$B$5:$B$54,0))),0))</f>
        <v/>
      </c>
      <c r="I530" s="24" t="str">
        <f aca="false">IF(G530="","",G530-H530)</f>
        <v/>
      </c>
      <c r="J530" s="37"/>
    </row>
    <row r="531" customFormat="false" ht="21" hidden="false" customHeight="true" outlineLevel="0" collapsed="false">
      <c r="B531" s="36"/>
      <c r="C531" s="7"/>
      <c r="D531" s="7"/>
      <c r="E531" s="37"/>
      <c r="F531" s="38"/>
      <c r="G531" s="24" t="str">
        <f aca="false">IF(OR(C531="",D531="",N(E531)=0),"",E531*IF(F531="",IFERROR(N(INDEX(Produtos!$K$5:$K$54,MATCH(D531,Produtos!$B$5:$B$54,0))),0),F531))</f>
        <v/>
      </c>
      <c r="H531" s="24" t="str">
        <f aca="false">IF(G531="","",E531*IFERROR(N(INDEX(Produtos!$F$5:$F$54,MATCH(D531,Produtos!$B$5:$B$54,0))),0))</f>
        <v/>
      </c>
      <c r="I531" s="24" t="str">
        <f aca="false">IF(G531="","",G531-H531)</f>
        <v/>
      </c>
      <c r="J531" s="37"/>
    </row>
    <row r="532" customFormat="false" ht="21" hidden="false" customHeight="true" outlineLevel="0" collapsed="false">
      <c r="B532" s="36"/>
      <c r="C532" s="7"/>
      <c r="D532" s="7"/>
      <c r="E532" s="37"/>
      <c r="F532" s="38"/>
      <c r="G532" s="24" t="str">
        <f aca="false">IF(OR(C532="",D532="",N(E532)=0),"",E532*IF(F532="",IFERROR(N(INDEX(Produtos!$K$5:$K$54,MATCH(D532,Produtos!$B$5:$B$54,0))),0),F532))</f>
        <v/>
      </c>
      <c r="H532" s="24" t="str">
        <f aca="false">IF(G532="","",E532*IFERROR(N(INDEX(Produtos!$F$5:$F$54,MATCH(D532,Produtos!$B$5:$B$54,0))),0))</f>
        <v/>
      </c>
      <c r="I532" s="24" t="str">
        <f aca="false">IF(G532="","",G532-H532)</f>
        <v/>
      </c>
      <c r="J532" s="37"/>
    </row>
    <row r="533" customFormat="false" ht="21" hidden="false" customHeight="true" outlineLevel="0" collapsed="false">
      <c r="B533" s="36"/>
      <c r="C533" s="7"/>
      <c r="D533" s="7"/>
      <c r="E533" s="37"/>
      <c r="F533" s="38"/>
      <c r="G533" s="24" t="str">
        <f aca="false">IF(OR(C533="",D533="",N(E533)=0),"",E533*IF(F533="",IFERROR(N(INDEX(Produtos!$K$5:$K$54,MATCH(D533,Produtos!$B$5:$B$54,0))),0),F533))</f>
        <v/>
      </c>
      <c r="H533" s="24" t="str">
        <f aca="false">IF(G533="","",E533*IFERROR(N(INDEX(Produtos!$F$5:$F$54,MATCH(D533,Produtos!$B$5:$B$54,0))),0))</f>
        <v/>
      </c>
      <c r="I533" s="24" t="str">
        <f aca="false">IF(G533="","",G533-H533)</f>
        <v/>
      </c>
      <c r="J533" s="37"/>
    </row>
    <row r="534" customFormat="false" ht="21" hidden="false" customHeight="true" outlineLevel="0" collapsed="false">
      <c r="B534" s="36"/>
      <c r="C534" s="7"/>
      <c r="D534" s="7"/>
      <c r="E534" s="37"/>
      <c r="F534" s="38"/>
      <c r="G534" s="24" t="str">
        <f aca="false">IF(OR(C534="",D534="",N(E534)=0),"",E534*IF(F534="",IFERROR(N(INDEX(Produtos!$K$5:$K$54,MATCH(D534,Produtos!$B$5:$B$54,0))),0),F534))</f>
        <v/>
      </c>
      <c r="H534" s="24" t="str">
        <f aca="false">IF(G534="","",E534*IFERROR(N(INDEX(Produtos!$F$5:$F$54,MATCH(D534,Produtos!$B$5:$B$54,0))),0))</f>
        <v/>
      </c>
      <c r="I534" s="24" t="str">
        <f aca="false">IF(G534="","",G534-H534)</f>
        <v/>
      </c>
      <c r="J534" s="37"/>
    </row>
    <row r="535" customFormat="false" ht="21" hidden="false" customHeight="true" outlineLevel="0" collapsed="false">
      <c r="B535" s="36"/>
      <c r="C535" s="7"/>
      <c r="D535" s="7"/>
      <c r="E535" s="37"/>
      <c r="F535" s="38"/>
      <c r="G535" s="24" t="str">
        <f aca="false">IF(OR(C535="",D535="",N(E535)=0),"",E535*IF(F535="",IFERROR(N(INDEX(Produtos!$K$5:$K$54,MATCH(D535,Produtos!$B$5:$B$54,0))),0),F535))</f>
        <v/>
      </c>
      <c r="H535" s="24" t="str">
        <f aca="false">IF(G535="","",E535*IFERROR(N(INDEX(Produtos!$F$5:$F$54,MATCH(D535,Produtos!$B$5:$B$54,0))),0))</f>
        <v/>
      </c>
      <c r="I535" s="24" t="str">
        <f aca="false">IF(G535="","",G535-H535)</f>
        <v/>
      </c>
      <c r="J535" s="37"/>
    </row>
    <row r="536" customFormat="false" ht="21" hidden="false" customHeight="true" outlineLevel="0" collapsed="false">
      <c r="B536" s="36"/>
      <c r="C536" s="7"/>
      <c r="D536" s="7"/>
      <c r="E536" s="37"/>
      <c r="F536" s="38"/>
      <c r="G536" s="24" t="str">
        <f aca="false">IF(OR(C536="",D536="",N(E536)=0),"",E536*IF(F536="",IFERROR(N(INDEX(Produtos!$K$5:$K$54,MATCH(D536,Produtos!$B$5:$B$54,0))),0),F536))</f>
        <v/>
      </c>
      <c r="H536" s="24" t="str">
        <f aca="false">IF(G536="","",E536*IFERROR(N(INDEX(Produtos!$F$5:$F$54,MATCH(D536,Produtos!$B$5:$B$54,0))),0))</f>
        <v/>
      </c>
      <c r="I536" s="24" t="str">
        <f aca="false">IF(G536="","",G536-H536)</f>
        <v/>
      </c>
      <c r="J536" s="37"/>
    </row>
    <row r="537" customFormat="false" ht="21" hidden="false" customHeight="true" outlineLevel="0" collapsed="false">
      <c r="B537" s="36"/>
      <c r="C537" s="7"/>
      <c r="D537" s="7"/>
      <c r="E537" s="37"/>
      <c r="F537" s="38"/>
      <c r="G537" s="24" t="str">
        <f aca="false">IF(OR(C537="",D537="",N(E537)=0),"",E537*IF(F537="",IFERROR(N(INDEX(Produtos!$K$5:$K$54,MATCH(D537,Produtos!$B$5:$B$54,0))),0),F537))</f>
        <v/>
      </c>
      <c r="H537" s="24" t="str">
        <f aca="false">IF(G537="","",E537*IFERROR(N(INDEX(Produtos!$F$5:$F$54,MATCH(D537,Produtos!$B$5:$B$54,0))),0))</f>
        <v/>
      </c>
      <c r="I537" s="24" t="str">
        <f aca="false">IF(G537="","",G537-H537)</f>
        <v/>
      </c>
      <c r="J537" s="37"/>
    </row>
    <row r="538" customFormat="false" ht="21" hidden="false" customHeight="true" outlineLevel="0" collapsed="false">
      <c r="B538" s="36"/>
      <c r="C538" s="7"/>
      <c r="D538" s="7"/>
      <c r="E538" s="37"/>
      <c r="F538" s="38"/>
      <c r="G538" s="24" t="str">
        <f aca="false">IF(OR(C538="",D538="",N(E538)=0),"",E538*IF(F538="",IFERROR(N(INDEX(Produtos!$K$5:$K$54,MATCH(D538,Produtos!$B$5:$B$54,0))),0),F538))</f>
        <v/>
      </c>
      <c r="H538" s="24" t="str">
        <f aca="false">IF(G538="","",E538*IFERROR(N(INDEX(Produtos!$F$5:$F$54,MATCH(D538,Produtos!$B$5:$B$54,0))),0))</f>
        <v/>
      </c>
      <c r="I538" s="24" t="str">
        <f aca="false">IF(G538="","",G538-H538)</f>
        <v/>
      </c>
      <c r="J538" s="37"/>
    </row>
    <row r="539" customFormat="false" ht="21" hidden="false" customHeight="true" outlineLevel="0" collapsed="false">
      <c r="B539" s="36"/>
      <c r="C539" s="7"/>
      <c r="D539" s="7"/>
      <c r="E539" s="37"/>
      <c r="F539" s="38"/>
      <c r="G539" s="24" t="str">
        <f aca="false">IF(OR(C539="",D539="",N(E539)=0),"",E539*IF(F539="",IFERROR(N(INDEX(Produtos!$K$5:$K$54,MATCH(D539,Produtos!$B$5:$B$54,0))),0),F539))</f>
        <v/>
      </c>
      <c r="H539" s="24" t="str">
        <f aca="false">IF(G539="","",E539*IFERROR(N(INDEX(Produtos!$F$5:$F$54,MATCH(D539,Produtos!$B$5:$B$54,0))),0))</f>
        <v/>
      </c>
      <c r="I539" s="24" t="str">
        <f aca="false">IF(G539="","",G539-H539)</f>
        <v/>
      </c>
      <c r="J539" s="37"/>
    </row>
    <row r="540" customFormat="false" ht="21" hidden="false" customHeight="true" outlineLevel="0" collapsed="false">
      <c r="B540" s="36"/>
      <c r="C540" s="7"/>
      <c r="D540" s="7"/>
      <c r="E540" s="37"/>
      <c r="F540" s="38"/>
      <c r="G540" s="24" t="str">
        <f aca="false">IF(OR(C540="",D540="",N(E540)=0),"",E540*IF(F540="",IFERROR(N(INDEX(Produtos!$K$5:$K$54,MATCH(D540,Produtos!$B$5:$B$54,0))),0),F540))</f>
        <v/>
      </c>
      <c r="H540" s="24" t="str">
        <f aca="false">IF(G540="","",E540*IFERROR(N(INDEX(Produtos!$F$5:$F$54,MATCH(D540,Produtos!$B$5:$B$54,0))),0))</f>
        <v/>
      </c>
      <c r="I540" s="24" t="str">
        <f aca="false">IF(G540="","",G540-H540)</f>
        <v/>
      </c>
      <c r="J540" s="37"/>
    </row>
    <row r="541" customFormat="false" ht="21" hidden="false" customHeight="true" outlineLevel="0" collapsed="false">
      <c r="B541" s="36"/>
      <c r="C541" s="7"/>
      <c r="D541" s="7"/>
      <c r="E541" s="37"/>
      <c r="F541" s="38"/>
      <c r="G541" s="24" t="str">
        <f aca="false">IF(OR(C541="",D541="",N(E541)=0),"",E541*IF(F541="",IFERROR(N(INDEX(Produtos!$K$5:$K$54,MATCH(D541,Produtos!$B$5:$B$54,0))),0),F541))</f>
        <v/>
      </c>
      <c r="H541" s="24" t="str">
        <f aca="false">IF(G541="","",E541*IFERROR(N(INDEX(Produtos!$F$5:$F$54,MATCH(D541,Produtos!$B$5:$B$54,0))),0))</f>
        <v/>
      </c>
      <c r="I541" s="24" t="str">
        <f aca="false">IF(G541="","",G541-H541)</f>
        <v/>
      </c>
      <c r="J541" s="37"/>
    </row>
    <row r="542" customFormat="false" ht="21" hidden="false" customHeight="true" outlineLevel="0" collapsed="false">
      <c r="B542" s="36"/>
      <c r="C542" s="7"/>
      <c r="D542" s="7"/>
      <c r="E542" s="37"/>
      <c r="F542" s="38"/>
      <c r="G542" s="24" t="str">
        <f aca="false">IF(OR(C542="",D542="",N(E542)=0),"",E542*IF(F542="",IFERROR(N(INDEX(Produtos!$K$5:$K$54,MATCH(D542,Produtos!$B$5:$B$54,0))),0),F542))</f>
        <v/>
      </c>
      <c r="H542" s="24" t="str">
        <f aca="false">IF(G542="","",E542*IFERROR(N(INDEX(Produtos!$F$5:$F$54,MATCH(D542,Produtos!$B$5:$B$54,0))),0))</f>
        <v/>
      </c>
      <c r="I542" s="24" t="str">
        <f aca="false">IF(G542="","",G542-H542)</f>
        <v/>
      </c>
      <c r="J542" s="37"/>
    </row>
    <row r="543" customFormat="false" ht="21" hidden="false" customHeight="true" outlineLevel="0" collapsed="false">
      <c r="B543" s="36"/>
      <c r="C543" s="7"/>
      <c r="D543" s="7"/>
      <c r="E543" s="37"/>
      <c r="F543" s="38"/>
      <c r="G543" s="24" t="str">
        <f aca="false">IF(OR(C543="",D543="",N(E543)=0),"",E543*IF(F543="",IFERROR(N(INDEX(Produtos!$K$5:$K$54,MATCH(D543,Produtos!$B$5:$B$54,0))),0),F543))</f>
        <v/>
      </c>
      <c r="H543" s="24" t="str">
        <f aca="false">IF(G543="","",E543*IFERROR(N(INDEX(Produtos!$F$5:$F$54,MATCH(D543,Produtos!$B$5:$B$54,0))),0))</f>
        <v/>
      </c>
      <c r="I543" s="24" t="str">
        <f aca="false">IF(G543="","",G543-H543)</f>
        <v/>
      </c>
      <c r="J543" s="37"/>
    </row>
    <row r="544" customFormat="false" ht="21" hidden="false" customHeight="true" outlineLevel="0" collapsed="false">
      <c r="B544" s="36"/>
      <c r="C544" s="7"/>
      <c r="D544" s="7"/>
      <c r="E544" s="37"/>
      <c r="F544" s="38"/>
      <c r="G544" s="24" t="str">
        <f aca="false">IF(OR(C544="",D544="",N(E544)=0),"",E544*IF(F544="",IFERROR(N(INDEX(Produtos!$K$5:$K$54,MATCH(D544,Produtos!$B$5:$B$54,0))),0),F544))</f>
        <v/>
      </c>
      <c r="H544" s="24" t="str">
        <f aca="false">IF(G544="","",E544*IFERROR(N(INDEX(Produtos!$F$5:$F$54,MATCH(D544,Produtos!$B$5:$B$54,0))),0))</f>
        <v/>
      </c>
      <c r="I544" s="24" t="str">
        <f aca="false">IF(G544="","",G544-H544)</f>
        <v/>
      </c>
      <c r="J544" s="37"/>
    </row>
    <row r="545" customFormat="false" ht="21" hidden="false" customHeight="true" outlineLevel="0" collapsed="false">
      <c r="B545" s="36"/>
      <c r="C545" s="7"/>
      <c r="D545" s="7"/>
      <c r="E545" s="37"/>
      <c r="F545" s="38"/>
      <c r="G545" s="24" t="str">
        <f aca="false">IF(OR(C545="",D545="",N(E545)=0),"",E545*IF(F545="",IFERROR(N(INDEX(Produtos!$K$5:$K$54,MATCH(D545,Produtos!$B$5:$B$54,0))),0),F545))</f>
        <v/>
      </c>
      <c r="H545" s="24" t="str">
        <f aca="false">IF(G545="","",E545*IFERROR(N(INDEX(Produtos!$F$5:$F$54,MATCH(D545,Produtos!$B$5:$B$54,0))),0))</f>
        <v/>
      </c>
      <c r="I545" s="24" t="str">
        <f aca="false">IF(G545="","",G545-H545)</f>
        <v/>
      </c>
      <c r="J545" s="37"/>
    </row>
    <row r="546" customFormat="false" ht="21" hidden="false" customHeight="true" outlineLevel="0" collapsed="false">
      <c r="B546" s="36"/>
      <c r="C546" s="7"/>
      <c r="D546" s="7"/>
      <c r="E546" s="37"/>
      <c r="F546" s="38"/>
      <c r="G546" s="24" t="str">
        <f aca="false">IF(OR(C546="",D546="",N(E546)=0),"",E546*IF(F546="",IFERROR(N(INDEX(Produtos!$K$5:$K$54,MATCH(D546,Produtos!$B$5:$B$54,0))),0),F546))</f>
        <v/>
      </c>
      <c r="H546" s="24" t="str">
        <f aca="false">IF(G546="","",E546*IFERROR(N(INDEX(Produtos!$F$5:$F$54,MATCH(D546,Produtos!$B$5:$B$54,0))),0))</f>
        <v/>
      </c>
      <c r="I546" s="24" t="str">
        <f aca="false">IF(G546="","",G546-H546)</f>
        <v/>
      </c>
      <c r="J546" s="37"/>
    </row>
    <row r="547" customFormat="false" ht="21" hidden="false" customHeight="true" outlineLevel="0" collapsed="false">
      <c r="B547" s="36"/>
      <c r="C547" s="7"/>
      <c r="D547" s="7"/>
      <c r="E547" s="37"/>
      <c r="F547" s="38"/>
      <c r="G547" s="24" t="str">
        <f aca="false">IF(OR(C547="",D547="",N(E547)=0),"",E547*IF(F547="",IFERROR(N(INDEX(Produtos!$K$5:$K$54,MATCH(D547,Produtos!$B$5:$B$54,0))),0),F547))</f>
        <v/>
      </c>
      <c r="H547" s="24" t="str">
        <f aca="false">IF(G547="","",E547*IFERROR(N(INDEX(Produtos!$F$5:$F$54,MATCH(D547,Produtos!$B$5:$B$54,0))),0))</f>
        <v/>
      </c>
      <c r="I547" s="24" t="str">
        <f aca="false">IF(G547="","",G547-H547)</f>
        <v/>
      </c>
      <c r="J547" s="37"/>
    </row>
    <row r="548" customFormat="false" ht="21" hidden="false" customHeight="true" outlineLevel="0" collapsed="false">
      <c r="B548" s="36"/>
      <c r="C548" s="7"/>
      <c r="D548" s="7"/>
      <c r="E548" s="37"/>
      <c r="F548" s="38"/>
      <c r="G548" s="24" t="str">
        <f aca="false">IF(OR(C548="",D548="",N(E548)=0),"",E548*IF(F548="",IFERROR(N(INDEX(Produtos!$K$5:$K$54,MATCH(D548,Produtos!$B$5:$B$54,0))),0),F548))</f>
        <v/>
      </c>
      <c r="H548" s="24" t="str">
        <f aca="false">IF(G548="","",E548*IFERROR(N(INDEX(Produtos!$F$5:$F$54,MATCH(D548,Produtos!$B$5:$B$54,0))),0))</f>
        <v/>
      </c>
      <c r="I548" s="24" t="str">
        <f aca="false">IF(G548="","",G548-H548)</f>
        <v/>
      </c>
      <c r="J548" s="37"/>
    </row>
    <row r="549" customFormat="false" ht="21" hidden="false" customHeight="true" outlineLevel="0" collapsed="false">
      <c r="B549" s="36"/>
      <c r="C549" s="7"/>
      <c r="D549" s="7"/>
      <c r="E549" s="37"/>
      <c r="F549" s="38"/>
      <c r="G549" s="24" t="str">
        <f aca="false">IF(OR(C549="",D549="",N(E549)=0),"",E549*IF(F549="",IFERROR(N(INDEX(Produtos!$K$5:$K$54,MATCH(D549,Produtos!$B$5:$B$54,0))),0),F549))</f>
        <v/>
      </c>
      <c r="H549" s="24" t="str">
        <f aca="false">IF(G549="","",E549*IFERROR(N(INDEX(Produtos!$F$5:$F$54,MATCH(D549,Produtos!$B$5:$B$54,0))),0))</f>
        <v/>
      </c>
      <c r="I549" s="24" t="str">
        <f aca="false">IF(G549="","",G549-H549)</f>
        <v/>
      </c>
      <c r="J549" s="37"/>
    </row>
    <row r="550" customFormat="false" ht="21" hidden="false" customHeight="true" outlineLevel="0" collapsed="false">
      <c r="B550" s="36"/>
      <c r="C550" s="7"/>
      <c r="D550" s="7"/>
      <c r="E550" s="37"/>
      <c r="F550" s="38"/>
      <c r="G550" s="24" t="str">
        <f aca="false">IF(OR(C550="",D550="",N(E550)=0),"",E550*IF(F550="",IFERROR(N(INDEX(Produtos!$K$5:$K$54,MATCH(D550,Produtos!$B$5:$B$54,0))),0),F550))</f>
        <v/>
      </c>
      <c r="H550" s="24" t="str">
        <f aca="false">IF(G550="","",E550*IFERROR(N(INDEX(Produtos!$F$5:$F$54,MATCH(D550,Produtos!$B$5:$B$54,0))),0))</f>
        <v/>
      </c>
      <c r="I550" s="24" t="str">
        <f aca="false">IF(G550="","",G550-H550)</f>
        <v/>
      </c>
      <c r="J550" s="37"/>
    </row>
    <row r="551" customFormat="false" ht="21" hidden="false" customHeight="true" outlineLevel="0" collapsed="false">
      <c r="B551" s="36"/>
      <c r="C551" s="7"/>
      <c r="D551" s="7"/>
      <c r="E551" s="37"/>
      <c r="F551" s="38"/>
      <c r="G551" s="24" t="str">
        <f aca="false">IF(OR(C551="",D551="",N(E551)=0),"",E551*IF(F551="",IFERROR(N(INDEX(Produtos!$K$5:$K$54,MATCH(D551,Produtos!$B$5:$B$54,0))),0),F551))</f>
        <v/>
      </c>
      <c r="H551" s="24" t="str">
        <f aca="false">IF(G551="","",E551*IFERROR(N(INDEX(Produtos!$F$5:$F$54,MATCH(D551,Produtos!$B$5:$B$54,0))),0))</f>
        <v/>
      </c>
      <c r="I551" s="24" t="str">
        <f aca="false">IF(G551="","",G551-H551)</f>
        <v/>
      </c>
      <c r="J551" s="37"/>
    </row>
    <row r="552" customFormat="false" ht="21" hidden="false" customHeight="true" outlineLevel="0" collapsed="false">
      <c r="B552" s="36"/>
      <c r="C552" s="7"/>
      <c r="D552" s="7"/>
      <c r="E552" s="37"/>
      <c r="F552" s="38"/>
      <c r="G552" s="24" t="str">
        <f aca="false">IF(OR(C552="",D552="",N(E552)=0),"",E552*IF(F552="",IFERROR(N(INDEX(Produtos!$K$5:$K$54,MATCH(D552,Produtos!$B$5:$B$54,0))),0),F552))</f>
        <v/>
      </c>
      <c r="H552" s="24" t="str">
        <f aca="false">IF(G552="","",E552*IFERROR(N(INDEX(Produtos!$F$5:$F$54,MATCH(D552,Produtos!$B$5:$B$54,0))),0))</f>
        <v/>
      </c>
      <c r="I552" s="24" t="str">
        <f aca="false">IF(G552="","",G552-H552)</f>
        <v/>
      </c>
      <c r="J552" s="37"/>
    </row>
    <row r="553" customFormat="false" ht="21" hidden="false" customHeight="true" outlineLevel="0" collapsed="false">
      <c r="B553" s="36"/>
      <c r="C553" s="7"/>
      <c r="D553" s="7"/>
      <c r="E553" s="37"/>
      <c r="F553" s="38"/>
      <c r="G553" s="24" t="str">
        <f aca="false">IF(OR(C553="",D553="",N(E553)=0),"",E553*IF(F553="",IFERROR(N(INDEX(Produtos!$K$5:$K$54,MATCH(D553,Produtos!$B$5:$B$54,0))),0),F553))</f>
        <v/>
      </c>
      <c r="H553" s="24" t="str">
        <f aca="false">IF(G553="","",E553*IFERROR(N(INDEX(Produtos!$F$5:$F$54,MATCH(D553,Produtos!$B$5:$B$54,0))),0))</f>
        <v/>
      </c>
      <c r="I553" s="24" t="str">
        <f aca="false">IF(G553="","",G553-H553)</f>
        <v/>
      </c>
      <c r="J553" s="37"/>
    </row>
    <row r="554" customFormat="false" ht="21" hidden="false" customHeight="true" outlineLevel="0" collapsed="false">
      <c r="B554" s="36"/>
      <c r="C554" s="7"/>
      <c r="D554" s="7"/>
      <c r="E554" s="37"/>
      <c r="F554" s="38"/>
      <c r="G554" s="24" t="str">
        <f aca="false">IF(OR(C554="",D554="",N(E554)=0),"",E554*IF(F554="",IFERROR(N(INDEX(Produtos!$K$5:$K$54,MATCH(D554,Produtos!$B$5:$B$54,0))),0),F554))</f>
        <v/>
      </c>
      <c r="H554" s="24" t="str">
        <f aca="false">IF(G554="","",E554*IFERROR(N(INDEX(Produtos!$F$5:$F$54,MATCH(D554,Produtos!$B$5:$B$54,0))),0))</f>
        <v/>
      </c>
      <c r="I554" s="24" t="str">
        <f aca="false">IF(G554="","",G554-H554)</f>
        <v/>
      </c>
      <c r="J554" s="37"/>
    </row>
    <row r="555" customFormat="false" ht="21" hidden="false" customHeight="true" outlineLevel="0" collapsed="false">
      <c r="B555" s="36"/>
      <c r="C555" s="7"/>
      <c r="D555" s="7"/>
      <c r="E555" s="37"/>
      <c r="F555" s="38"/>
      <c r="G555" s="24" t="str">
        <f aca="false">IF(OR(C555="",D555="",N(E555)=0),"",E555*IF(F555="",IFERROR(N(INDEX(Produtos!$K$5:$K$54,MATCH(D555,Produtos!$B$5:$B$54,0))),0),F555))</f>
        <v/>
      </c>
      <c r="H555" s="24" t="str">
        <f aca="false">IF(G555="","",E555*IFERROR(N(INDEX(Produtos!$F$5:$F$54,MATCH(D555,Produtos!$B$5:$B$54,0))),0))</f>
        <v/>
      </c>
      <c r="I555" s="24" t="str">
        <f aca="false">IF(G555="","",G555-H555)</f>
        <v/>
      </c>
      <c r="J555" s="37"/>
    </row>
    <row r="556" customFormat="false" ht="21" hidden="false" customHeight="true" outlineLevel="0" collapsed="false">
      <c r="B556" s="36"/>
      <c r="C556" s="7"/>
      <c r="D556" s="7"/>
      <c r="E556" s="37"/>
      <c r="F556" s="38"/>
      <c r="G556" s="24" t="str">
        <f aca="false">IF(OR(C556="",D556="",N(E556)=0),"",E556*IF(F556="",IFERROR(N(INDEX(Produtos!$K$5:$K$54,MATCH(D556,Produtos!$B$5:$B$54,0))),0),F556))</f>
        <v/>
      </c>
      <c r="H556" s="24" t="str">
        <f aca="false">IF(G556="","",E556*IFERROR(N(INDEX(Produtos!$F$5:$F$54,MATCH(D556,Produtos!$B$5:$B$54,0))),0))</f>
        <v/>
      </c>
      <c r="I556" s="24" t="str">
        <f aca="false">IF(G556="","",G556-H556)</f>
        <v/>
      </c>
      <c r="J556" s="37"/>
    </row>
    <row r="557" customFormat="false" ht="21" hidden="false" customHeight="true" outlineLevel="0" collapsed="false">
      <c r="B557" s="36"/>
      <c r="C557" s="7"/>
      <c r="D557" s="7"/>
      <c r="E557" s="37"/>
      <c r="F557" s="38"/>
      <c r="G557" s="24" t="str">
        <f aca="false">IF(OR(C557="",D557="",N(E557)=0),"",E557*IF(F557="",IFERROR(N(INDEX(Produtos!$K$5:$K$54,MATCH(D557,Produtos!$B$5:$B$54,0))),0),F557))</f>
        <v/>
      </c>
      <c r="H557" s="24" t="str">
        <f aca="false">IF(G557="","",E557*IFERROR(N(INDEX(Produtos!$F$5:$F$54,MATCH(D557,Produtos!$B$5:$B$54,0))),0))</f>
        <v/>
      </c>
      <c r="I557" s="24" t="str">
        <f aca="false">IF(G557="","",G557-H557)</f>
        <v/>
      </c>
      <c r="J557" s="37"/>
    </row>
    <row r="558" customFormat="false" ht="21" hidden="false" customHeight="true" outlineLevel="0" collapsed="false">
      <c r="B558" s="36"/>
      <c r="C558" s="7"/>
      <c r="D558" s="7"/>
      <c r="E558" s="37"/>
      <c r="F558" s="38"/>
      <c r="G558" s="24" t="str">
        <f aca="false">IF(OR(C558="",D558="",N(E558)=0),"",E558*IF(F558="",IFERROR(N(INDEX(Produtos!$K$5:$K$54,MATCH(D558,Produtos!$B$5:$B$54,0))),0),F558))</f>
        <v/>
      </c>
      <c r="H558" s="24" t="str">
        <f aca="false">IF(G558="","",E558*IFERROR(N(INDEX(Produtos!$F$5:$F$54,MATCH(D558,Produtos!$B$5:$B$54,0))),0))</f>
        <v/>
      </c>
      <c r="I558" s="24" t="str">
        <f aca="false">IF(G558="","",G558-H558)</f>
        <v/>
      </c>
      <c r="J558" s="37"/>
    </row>
    <row r="559" customFormat="false" ht="21" hidden="false" customHeight="true" outlineLevel="0" collapsed="false">
      <c r="B559" s="36"/>
      <c r="C559" s="7"/>
      <c r="D559" s="7"/>
      <c r="E559" s="37"/>
      <c r="F559" s="38"/>
      <c r="G559" s="24" t="str">
        <f aca="false">IF(OR(C559="",D559="",N(E559)=0),"",E559*IF(F559="",IFERROR(N(INDEX(Produtos!$K$5:$K$54,MATCH(D559,Produtos!$B$5:$B$54,0))),0),F559))</f>
        <v/>
      </c>
      <c r="H559" s="24" t="str">
        <f aca="false">IF(G559="","",E559*IFERROR(N(INDEX(Produtos!$F$5:$F$54,MATCH(D559,Produtos!$B$5:$B$54,0))),0))</f>
        <v/>
      </c>
      <c r="I559" s="24" t="str">
        <f aca="false">IF(G559="","",G559-H559)</f>
        <v/>
      </c>
      <c r="J559" s="37"/>
    </row>
    <row r="560" customFormat="false" ht="21" hidden="false" customHeight="true" outlineLevel="0" collapsed="false">
      <c r="B560" s="36"/>
      <c r="C560" s="7"/>
      <c r="D560" s="7"/>
      <c r="E560" s="37"/>
      <c r="F560" s="38"/>
      <c r="G560" s="24" t="str">
        <f aca="false">IF(OR(C560="",D560="",N(E560)=0),"",E560*IF(F560="",IFERROR(N(INDEX(Produtos!$K$5:$K$54,MATCH(D560,Produtos!$B$5:$B$54,0))),0),F560))</f>
        <v/>
      </c>
      <c r="H560" s="24" t="str">
        <f aca="false">IF(G560="","",E560*IFERROR(N(INDEX(Produtos!$F$5:$F$54,MATCH(D560,Produtos!$B$5:$B$54,0))),0))</f>
        <v/>
      </c>
      <c r="I560" s="24" t="str">
        <f aca="false">IF(G560="","",G560-H560)</f>
        <v/>
      </c>
      <c r="J560" s="37"/>
    </row>
    <row r="561" customFormat="false" ht="21" hidden="false" customHeight="true" outlineLevel="0" collapsed="false">
      <c r="B561" s="36"/>
      <c r="C561" s="7"/>
      <c r="D561" s="7"/>
      <c r="E561" s="37"/>
      <c r="F561" s="38"/>
      <c r="G561" s="24" t="str">
        <f aca="false">IF(OR(C561="",D561="",N(E561)=0),"",E561*IF(F561="",IFERROR(N(INDEX(Produtos!$K$5:$K$54,MATCH(D561,Produtos!$B$5:$B$54,0))),0),F561))</f>
        <v/>
      </c>
      <c r="H561" s="24" t="str">
        <f aca="false">IF(G561="","",E561*IFERROR(N(INDEX(Produtos!$F$5:$F$54,MATCH(D561,Produtos!$B$5:$B$54,0))),0))</f>
        <v/>
      </c>
      <c r="I561" s="24" t="str">
        <f aca="false">IF(G561="","",G561-H561)</f>
        <v/>
      </c>
      <c r="J561" s="37"/>
    </row>
    <row r="562" customFormat="false" ht="21" hidden="false" customHeight="true" outlineLevel="0" collapsed="false">
      <c r="B562" s="36"/>
      <c r="C562" s="7"/>
      <c r="D562" s="7"/>
      <c r="E562" s="37"/>
      <c r="F562" s="38"/>
      <c r="G562" s="24" t="str">
        <f aca="false">IF(OR(C562="",D562="",N(E562)=0),"",E562*IF(F562="",IFERROR(N(INDEX(Produtos!$K$5:$K$54,MATCH(D562,Produtos!$B$5:$B$54,0))),0),F562))</f>
        <v/>
      </c>
      <c r="H562" s="24" t="str">
        <f aca="false">IF(G562="","",E562*IFERROR(N(INDEX(Produtos!$F$5:$F$54,MATCH(D562,Produtos!$B$5:$B$54,0))),0))</f>
        <v/>
      </c>
      <c r="I562" s="24" t="str">
        <f aca="false">IF(G562="","",G562-H562)</f>
        <v/>
      </c>
      <c r="J562" s="37"/>
    </row>
    <row r="563" customFormat="false" ht="21" hidden="false" customHeight="true" outlineLevel="0" collapsed="false">
      <c r="B563" s="36"/>
      <c r="C563" s="7"/>
      <c r="D563" s="7"/>
      <c r="E563" s="37"/>
      <c r="F563" s="38"/>
      <c r="G563" s="24" t="str">
        <f aca="false">IF(OR(C563="",D563="",N(E563)=0),"",E563*IF(F563="",IFERROR(N(INDEX(Produtos!$K$5:$K$54,MATCH(D563,Produtos!$B$5:$B$54,0))),0),F563))</f>
        <v/>
      </c>
      <c r="H563" s="24" t="str">
        <f aca="false">IF(G563="","",E563*IFERROR(N(INDEX(Produtos!$F$5:$F$54,MATCH(D563,Produtos!$B$5:$B$54,0))),0))</f>
        <v/>
      </c>
      <c r="I563" s="24" t="str">
        <f aca="false">IF(G563="","",G563-H563)</f>
        <v/>
      </c>
      <c r="J563" s="37"/>
    </row>
    <row r="564" customFormat="false" ht="21" hidden="false" customHeight="true" outlineLevel="0" collapsed="false">
      <c r="B564" s="36"/>
      <c r="C564" s="7"/>
      <c r="D564" s="7"/>
      <c r="E564" s="37"/>
      <c r="F564" s="38"/>
      <c r="G564" s="24" t="str">
        <f aca="false">IF(OR(C564="",D564="",N(E564)=0),"",E564*IF(F564="",IFERROR(N(INDEX(Produtos!$K$5:$K$54,MATCH(D564,Produtos!$B$5:$B$54,0))),0),F564))</f>
        <v/>
      </c>
      <c r="H564" s="24" t="str">
        <f aca="false">IF(G564="","",E564*IFERROR(N(INDEX(Produtos!$F$5:$F$54,MATCH(D564,Produtos!$B$5:$B$54,0))),0))</f>
        <v/>
      </c>
      <c r="I564" s="24" t="str">
        <f aca="false">IF(G564="","",G564-H564)</f>
        <v/>
      </c>
      <c r="J564" s="37"/>
    </row>
    <row r="565" customFormat="false" ht="21" hidden="false" customHeight="true" outlineLevel="0" collapsed="false">
      <c r="B565" s="36"/>
      <c r="C565" s="7"/>
      <c r="D565" s="7"/>
      <c r="E565" s="37"/>
      <c r="F565" s="38"/>
      <c r="G565" s="24" t="str">
        <f aca="false">IF(OR(C565="",D565="",N(E565)=0),"",E565*IF(F565="",IFERROR(N(INDEX(Produtos!$K$5:$K$54,MATCH(D565,Produtos!$B$5:$B$54,0))),0),F565))</f>
        <v/>
      </c>
      <c r="H565" s="24" t="str">
        <f aca="false">IF(G565="","",E565*IFERROR(N(INDEX(Produtos!$F$5:$F$54,MATCH(D565,Produtos!$B$5:$B$54,0))),0))</f>
        <v/>
      </c>
      <c r="I565" s="24" t="str">
        <f aca="false">IF(G565="","",G565-H565)</f>
        <v/>
      </c>
      <c r="J565" s="37"/>
    </row>
    <row r="566" customFormat="false" ht="21" hidden="false" customHeight="true" outlineLevel="0" collapsed="false">
      <c r="B566" s="36"/>
      <c r="C566" s="7"/>
      <c r="D566" s="7"/>
      <c r="E566" s="37"/>
      <c r="F566" s="38"/>
      <c r="G566" s="24" t="str">
        <f aca="false">IF(OR(C566="",D566="",N(E566)=0),"",E566*IF(F566="",IFERROR(N(INDEX(Produtos!$K$5:$K$54,MATCH(D566,Produtos!$B$5:$B$54,0))),0),F566))</f>
        <v/>
      </c>
      <c r="H566" s="24" t="str">
        <f aca="false">IF(G566="","",E566*IFERROR(N(INDEX(Produtos!$F$5:$F$54,MATCH(D566,Produtos!$B$5:$B$54,0))),0))</f>
        <v/>
      </c>
      <c r="I566" s="24" t="str">
        <f aca="false">IF(G566="","",G566-H566)</f>
        <v/>
      </c>
      <c r="J566" s="37"/>
    </row>
    <row r="567" customFormat="false" ht="21" hidden="false" customHeight="true" outlineLevel="0" collapsed="false">
      <c r="B567" s="36"/>
      <c r="C567" s="7"/>
      <c r="D567" s="7"/>
      <c r="E567" s="37"/>
      <c r="F567" s="38"/>
      <c r="G567" s="24" t="str">
        <f aca="false">IF(OR(C567="",D567="",N(E567)=0),"",E567*IF(F567="",IFERROR(N(INDEX(Produtos!$K$5:$K$54,MATCH(D567,Produtos!$B$5:$B$54,0))),0),F567))</f>
        <v/>
      </c>
      <c r="H567" s="24" t="str">
        <f aca="false">IF(G567="","",E567*IFERROR(N(INDEX(Produtos!$F$5:$F$54,MATCH(D567,Produtos!$B$5:$B$54,0))),0))</f>
        <v/>
      </c>
      <c r="I567" s="24" t="str">
        <f aca="false">IF(G567="","",G567-H567)</f>
        <v/>
      </c>
      <c r="J567" s="37"/>
    </row>
    <row r="568" customFormat="false" ht="21" hidden="false" customHeight="true" outlineLevel="0" collapsed="false">
      <c r="B568" s="36"/>
      <c r="C568" s="7"/>
      <c r="D568" s="7"/>
      <c r="E568" s="37"/>
      <c r="F568" s="38"/>
      <c r="G568" s="24" t="str">
        <f aca="false">IF(OR(C568="",D568="",N(E568)=0),"",E568*IF(F568="",IFERROR(N(INDEX(Produtos!$K$5:$K$54,MATCH(D568,Produtos!$B$5:$B$54,0))),0),F568))</f>
        <v/>
      </c>
      <c r="H568" s="24" t="str">
        <f aca="false">IF(G568="","",E568*IFERROR(N(INDEX(Produtos!$F$5:$F$54,MATCH(D568,Produtos!$B$5:$B$54,0))),0))</f>
        <v/>
      </c>
      <c r="I568" s="24" t="str">
        <f aca="false">IF(G568="","",G568-H568)</f>
        <v/>
      </c>
      <c r="J568" s="37"/>
    </row>
    <row r="569" customFormat="false" ht="21" hidden="false" customHeight="true" outlineLevel="0" collapsed="false">
      <c r="B569" s="36"/>
      <c r="C569" s="7"/>
      <c r="D569" s="7"/>
      <c r="E569" s="37"/>
      <c r="F569" s="38"/>
      <c r="G569" s="24" t="str">
        <f aca="false">IF(OR(C569="",D569="",N(E569)=0),"",E569*IF(F569="",IFERROR(N(INDEX(Produtos!$K$5:$K$54,MATCH(D569,Produtos!$B$5:$B$54,0))),0),F569))</f>
        <v/>
      </c>
      <c r="H569" s="24" t="str">
        <f aca="false">IF(G569="","",E569*IFERROR(N(INDEX(Produtos!$F$5:$F$54,MATCH(D569,Produtos!$B$5:$B$54,0))),0))</f>
        <v/>
      </c>
      <c r="I569" s="24" t="str">
        <f aca="false">IF(G569="","",G569-H569)</f>
        <v/>
      </c>
      <c r="J569" s="37"/>
    </row>
    <row r="570" customFormat="false" ht="21" hidden="false" customHeight="true" outlineLevel="0" collapsed="false">
      <c r="B570" s="36"/>
      <c r="C570" s="7"/>
      <c r="D570" s="7"/>
      <c r="E570" s="37"/>
      <c r="F570" s="38"/>
      <c r="G570" s="24" t="str">
        <f aca="false">IF(OR(C570="",D570="",N(E570)=0),"",E570*IF(F570="",IFERROR(N(INDEX(Produtos!$K$5:$K$54,MATCH(D570,Produtos!$B$5:$B$54,0))),0),F570))</f>
        <v/>
      </c>
      <c r="H570" s="24" t="str">
        <f aca="false">IF(G570="","",E570*IFERROR(N(INDEX(Produtos!$F$5:$F$54,MATCH(D570,Produtos!$B$5:$B$54,0))),0))</f>
        <v/>
      </c>
      <c r="I570" s="24" t="str">
        <f aca="false">IF(G570="","",G570-H570)</f>
        <v/>
      </c>
      <c r="J570" s="37"/>
    </row>
    <row r="571" customFormat="false" ht="21" hidden="false" customHeight="true" outlineLevel="0" collapsed="false">
      <c r="B571" s="36"/>
      <c r="C571" s="7"/>
      <c r="D571" s="7"/>
      <c r="E571" s="37"/>
      <c r="F571" s="38"/>
      <c r="G571" s="24" t="str">
        <f aca="false">IF(OR(C571="",D571="",N(E571)=0),"",E571*IF(F571="",IFERROR(N(INDEX(Produtos!$K$5:$K$54,MATCH(D571,Produtos!$B$5:$B$54,0))),0),F571))</f>
        <v/>
      </c>
      <c r="H571" s="24" t="str">
        <f aca="false">IF(G571="","",E571*IFERROR(N(INDEX(Produtos!$F$5:$F$54,MATCH(D571,Produtos!$B$5:$B$54,0))),0))</f>
        <v/>
      </c>
      <c r="I571" s="24" t="str">
        <f aca="false">IF(G571="","",G571-H571)</f>
        <v/>
      </c>
      <c r="J571" s="37"/>
    </row>
    <row r="572" customFormat="false" ht="21" hidden="false" customHeight="true" outlineLevel="0" collapsed="false">
      <c r="B572" s="36"/>
      <c r="C572" s="7"/>
      <c r="D572" s="7"/>
      <c r="E572" s="37"/>
      <c r="F572" s="38"/>
      <c r="G572" s="24" t="str">
        <f aca="false">IF(OR(C572="",D572="",N(E572)=0),"",E572*IF(F572="",IFERROR(N(INDEX(Produtos!$K$5:$K$54,MATCH(D572,Produtos!$B$5:$B$54,0))),0),F572))</f>
        <v/>
      </c>
      <c r="H572" s="24" t="str">
        <f aca="false">IF(G572="","",E572*IFERROR(N(INDEX(Produtos!$F$5:$F$54,MATCH(D572,Produtos!$B$5:$B$54,0))),0))</f>
        <v/>
      </c>
      <c r="I572" s="24" t="str">
        <f aca="false">IF(G572="","",G572-H572)</f>
        <v/>
      </c>
      <c r="J572" s="37"/>
    </row>
    <row r="573" customFormat="false" ht="21" hidden="false" customHeight="true" outlineLevel="0" collapsed="false">
      <c r="B573" s="36"/>
      <c r="C573" s="7"/>
      <c r="D573" s="7"/>
      <c r="E573" s="37"/>
      <c r="F573" s="38"/>
      <c r="G573" s="24" t="str">
        <f aca="false">IF(OR(C573="",D573="",N(E573)=0),"",E573*IF(F573="",IFERROR(N(INDEX(Produtos!$K$5:$K$54,MATCH(D573,Produtos!$B$5:$B$54,0))),0),F573))</f>
        <v/>
      </c>
      <c r="H573" s="24" t="str">
        <f aca="false">IF(G573="","",E573*IFERROR(N(INDEX(Produtos!$F$5:$F$54,MATCH(D573,Produtos!$B$5:$B$54,0))),0))</f>
        <v/>
      </c>
      <c r="I573" s="24" t="str">
        <f aca="false">IF(G573="","",G573-H573)</f>
        <v/>
      </c>
      <c r="J573" s="37"/>
    </row>
    <row r="574" customFormat="false" ht="21" hidden="false" customHeight="true" outlineLevel="0" collapsed="false">
      <c r="B574" s="36"/>
      <c r="C574" s="7"/>
      <c r="D574" s="7"/>
      <c r="E574" s="37"/>
      <c r="F574" s="38"/>
      <c r="G574" s="24" t="str">
        <f aca="false">IF(OR(C574="",D574="",N(E574)=0),"",E574*IF(F574="",IFERROR(N(INDEX(Produtos!$K$5:$K$54,MATCH(D574,Produtos!$B$5:$B$54,0))),0),F574))</f>
        <v/>
      </c>
      <c r="H574" s="24" t="str">
        <f aca="false">IF(G574="","",E574*IFERROR(N(INDEX(Produtos!$F$5:$F$54,MATCH(D574,Produtos!$B$5:$B$54,0))),0))</f>
        <v/>
      </c>
      <c r="I574" s="24" t="str">
        <f aca="false">IF(G574="","",G574-H574)</f>
        <v/>
      </c>
      <c r="J574" s="37"/>
    </row>
    <row r="575" customFormat="false" ht="21" hidden="false" customHeight="true" outlineLevel="0" collapsed="false">
      <c r="B575" s="36"/>
      <c r="C575" s="7"/>
      <c r="D575" s="7"/>
      <c r="E575" s="37"/>
      <c r="F575" s="38"/>
      <c r="G575" s="24" t="str">
        <f aca="false">IF(OR(C575="",D575="",N(E575)=0),"",E575*IF(F575="",IFERROR(N(INDEX(Produtos!$K$5:$K$54,MATCH(D575,Produtos!$B$5:$B$54,0))),0),F575))</f>
        <v/>
      </c>
      <c r="H575" s="24" t="str">
        <f aca="false">IF(G575="","",E575*IFERROR(N(INDEX(Produtos!$F$5:$F$54,MATCH(D575,Produtos!$B$5:$B$54,0))),0))</f>
        <v/>
      </c>
      <c r="I575" s="24" t="str">
        <f aca="false">IF(G575="","",G575-H575)</f>
        <v/>
      </c>
      <c r="J575" s="37"/>
    </row>
    <row r="576" customFormat="false" ht="21" hidden="false" customHeight="true" outlineLevel="0" collapsed="false">
      <c r="B576" s="36"/>
      <c r="C576" s="7"/>
      <c r="D576" s="7"/>
      <c r="E576" s="37"/>
      <c r="F576" s="38"/>
      <c r="G576" s="24" t="str">
        <f aca="false">IF(OR(C576="",D576="",N(E576)=0),"",E576*IF(F576="",IFERROR(N(INDEX(Produtos!$K$5:$K$54,MATCH(D576,Produtos!$B$5:$B$54,0))),0),F576))</f>
        <v/>
      </c>
      <c r="H576" s="24" t="str">
        <f aca="false">IF(G576="","",E576*IFERROR(N(INDEX(Produtos!$F$5:$F$54,MATCH(D576,Produtos!$B$5:$B$54,0))),0))</f>
        <v/>
      </c>
      <c r="I576" s="24" t="str">
        <f aca="false">IF(G576="","",G576-H576)</f>
        <v/>
      </c>
      <c r="J576" s="37"/>
    </row>
    <row r="577" customFormat="false" ht="21" hidden="false" customHeight="true" outlineLevel="0" collapsed="false">
      <c r="B577" s="36"/>
      <c r="C577" s="7"/>
      <c r="D577" s="7"/>
      <c r="E577" s="37"/>
      <c r="F577" s="38"/>
      <c r="G577" s="24" t="str">
        <f aca="false">IF(OR(C577="",D577="",N(E577)=0),"",E577*IF(F577="",IFERROR(N(INDEX(Produtos!$K$5:$K$54,MATCH(D577,Produtos!$B$5:$B$54,0))),0),F577))</f>
        <v/>
      </c>
      <c r="H577" s="24" t="str">
        <f aca="false">IF(G577="","",E577*IFERROR(N(INDEX(Produtos!$F$5:$F$54,MATCH(D577,Produtos!$B$5:$B$54,0))),0))</f>
        <v/>
      </c>
      <c r="I577" s="24" t="str">
        <f aca="false">IF(G577="","",G577-H577)</f>
        <v/>
      </c>
      <c r="J577" s="37"/>
    </row>
    <row r="578" customFormat="false" ht="21" hidden="false" customHeight="true" outlineLevel="0" collapsed="false">
      <c r="B578" s="36"/>
      <c r="C578" s="7"/>
      <c r="D578" s="7"/>
      <c r="E578" s="37"/>
      <c r="F578" s="38"/>
      <c r="G578" s="24" t="str">
        <f aca="false">IF(OR(C578="",D578="",N(E578)=0),"",E578*IF(F578="",IFERROR(N(INDEX(Produtos!$K$5:$K$54,MATCH(D578,Produtos!$B$5:$B$54,0))),0),F578))</f>
        <v/>
      </c>
      <c r="H578" s="24" t="str">
        <f aca="false">IF(G578="","",E578*IFERROR(N(INDEX(Produtos!$F$5:$F$54,MATCH(D578,Produtos!$B$5:$B$54,0))),0))</f>
        <v/>
      </c>
      <c r="I578" s="24" t="str">
        <f aca="false">IF(G578="","",G578-H578)</f>
        <v/>
      </c>
      <c r="J578" s="37"/>
    </row>
    <row r="579" customFormat="false" ht="21" hidden="false" customHeight="true" outlineLevel="0" collapsed="false">
      <c r="B579" s="36"/>
      <c r="C579" s="7"/>
      <c r="D579" s="7"/>
      <c r="E579" s="37"/>
      <c r="F579" s="38"/>
      <c r="G579" s="24" t="str">
        <f aca="false">IF(OR(C579="",D579="",N(E579)=0),"",E579*IF(F579="",IFERROR(N(INDEX(Produtos!$K$5:$K$54,MATCH(D579,Produtos!$B$5:$B$54,0))),0),F579))</f>
        <v/>
      </c>
      <c r="H579" s="24" t="str">
        <f aca="false">IF(G579="","",E579*IFERROR(N(INDEX(Produtos!$F$5:$F$54,MATCH(D579,Produtos!$B$5:$B$54,0))),0))</f>
        <v/>
      </c>
      <c r="I579" s="24" t="str">
        <f aca="false">IF(G579="","",G579-H579)</f>
        <v/>
      </c>
      <c r="J579" s="37"/>
    </row>
    <row r="580" customFormat="false" ht="21" hidden="false" customHeight="true" outlineLevel="0" collapsed="false">
      <c r="B580" s="36"/>
      <c r="C580" s="7"/>
      <c r="D580" s="7"/>
      <c r="E580" s="37"/>
      <c r="F580" s="38"/>
      <c r="G580" s="24" t="str">
        <f aca="false">IF(OR(C580="",D580="",N(E580)=0),"",E580*IF(F580="",IFERROR(N(INDEX(Produtos!$K$5:$K$54,MATCH(D580,Produtos!$B$5:$B$54,0))),0),F580))</f>
        <v/>
      </c>
      <c r="H580" s="24" t="str">
        <f aca="false">IF(G580="","",E580*IFERROR(N(INDEX(Produtos!$F$5:$F$54,MATCH(D580,Produtos!$B$5:$B$54,0))),0))</f>
        <v/>
      </c>
      <c r="I580" s="24" t="str">
        <f aca="false">IF(G580="","",G580-H580)</f>
        <v/>
      </c>
      <c r="J580" s="37"/>
    </row>
    <row r="581" customFormat="false" ht="21" hidden="false" customHeight="true" outlineLevel="0" collapsed="false">
      <c r="B581" s="36"/>
      <c r="C581" s="7"/>
      <c r="D581" s="7"/>
      <c r="E581" s="37"/>
      <c r="F581" s="38"/>
      <c r="G581" s="24" t="str">
        <f aca="false">IF(OR(C581="",D581="",N(E581)=0),"",E581*IF(F581="",IFERROR(N(INDEX(Produtos!$K$5:$K$54,MATCH(D581,Produtos!$B$5:$B$54,0))),0),F581))</f>
        <v/>
      </c>
      <c r="H581" s="24" t="str">
        <f aca="false">IF(G581="","",E581*IFERROR(N(INDEX(Produtos!$F$5:$F$54,MATCH(D581,Produtos!$B$5:$B$54,0))),0))</f>
        <v/>
      </c>
      <c r="I581" s="24" t="str">
        <f aca="false">IF(G581="","",G581-H581)</f>
        <v/>
      </c>
      <c r="J581" s="37"/>
    </row>
    <row r="582" customFormat="false" ht="21" hidden="false" customHeight="true" outlineLevel="0" collapsed="false">
      <c r="B582" s="36"/>
      <c r="C582" s="7"/>
      <c r="D582" s="7"/>
      <c r="E582" s="37"/>
      <c r="F582" s="38"/>
      <c r="G582" s="24" t="str">
        <f aca="false">IF(OR(C582="",D582="",N(E582)=0),"",E582*IF(F582="",IFERROR(N(INDEX(Produtos!$K$5:$K$54,MATCH(D582,Produtos!$B$5:$B$54,0))),0),F582))</f>
        <v/>
      </c>
      <c r="H582" s="24" t="str">
        <f aca="false">IF(G582="","",E582*IFERROR(N(INDEX(Produtos!$F$5:$F$54,MATCH(D582,Produtos!$B$5:$B$54,0))),0))</f>
        <v/>
      </c>
      <c r="I582" s="24" t="str">
        <f aca="false">IF(G582="","",G582-H582)</f>
        <v/>
      </c>
      <c r="J582" s="37"/>
    </row>
    <row r="583" customFormat="false" ht="21" hidden="false" customHeight="true" outlineLevel="0" collapsed="false">
      <c r="B583" s="36"/>
      <c r="C583" s="7"/>
      <c r="D583" s="7"/>
      <c r="E583" s="37"/>
      <c r="F583" s="38"/>
      <c r="G583" s="24" t="str">
        <f aca="false">IF(OR(C583="",D583="",N(E583)=0),"",E583*IF(F583="",IFERROR(N(INDEX(Produtos!$K$5:$K$54,MATCH(D583,Produtos!$B$5:$B$54,0))),0),F583))</f>
        <v/>
      </c>
      <c r="H583" s="24" t="str">
        <f aca="false">IF(G583="","",E583*IFERROR(N(INDEX(Produtos!$F$5:$F$54,MATCH(D583,Produtos!$B$5:$B$54,0))),0))</f>
        <v/>
      </c>
      <c r="I583" s="24" t="str">
        <f aca="false">IF(G583="","",G583-H583)</f>
        <v/>
      </c>
      <c r="J583" s="37"/>
    </row>
    <row r="584" customFormat="false" ht="21" hidden="false" customHeight="true" outlineLevel="0" collapsed="false">
      <c r="B584" s="36"/>
      <c r="C584" s="7"/>
      <c r="D584" s="7"/>
      <c r="E584" s="37"/>
      <c r="F584" s="38"/>
      <c r="G584" s="24" t="str">
        <f aca="false">IF(OR(C584="",D584="",N(E584)=0),"",E584*IF(F584="",IFERROR(N(INDEX(Produtos!$K$5:$K$54,MATCH(D584,Produtos!$B$5:$B$54,0))),0),F584))</f>
        <v/>
      </c>
      <c r="H584" s="24" t="str">
        <f aca="false">IF(G584="","",E584*IFERROR(N(INDEX(Produtos!$F$5:$F$54,MATCH(D584,Produtos!$B$5:$B$54,0))),0))</f>
        <v/>
      </c>
      <c r="I584" s="24" t="str">
        <f aca="false">IF(G584="","",G584-H584)</f>
        <v/>
      </c>
      <c r="J584" s="37"/>
    </row>
    <row r="585" customFormat="false" ht="21" hidden="false" customHeight="true" outlineLevel="0" collapsed="false">
      <c r="B585" s="36"/>
      <c r="C585" s="7"/>
      <c r="D585" s="7"/>
      <c r="E585" s="37"/>
      <c r="F585" s="38"/>
      <c r="G585" s="24" t="str">
        <f aca="false">IF(OR(C585="",D585="",N(E585)=0),"",E585*IF(F585="",IFERROR(N(INDEX(Produtos!$K$5:$K$54,MATCH(D585,Produtos!$B$5:$B$54,0))),0),F585))</f>
        <v/>
      </c>
      <c r="H585" s="24" t="str">
        <f aca="false">IF(G585="","",E585*IFERROR(N(INDEX(Produtos!$F$5:$F$54,MATCH(D585,Produtos!$B$5:$B$54,0))),0))</f>
        <v/>
      </c>
      <c r="I585" s="24" t="str">
        <f aca="false">IF(G585="","",G585-H585)</f>
        <v/>
      </c>
      <c r="J585" s="37"/>
    </row>
    <row r="586" customFormat="false" ht="21" hidden="false" customHeight="true" outlineLevel="0" collapsed="false">
      <c r="B586" s="36"/>
      <c r="C586" s="7"/>
      <c r="D586" s="7"/>
      <c r="E586" s="37"/>
      <c r="F586" s="38"/>
      <c r="G586" s="24" t="str">
        <f aca="false">IF(OR(C586="",D586="",N(E586)=0),"",E586*IF(F586="",IFERROR(N(INDEX(Produtos!$K$5:$K$54,MATCH(D586,Produtos!$B$5:$B$54,0))),0),F586))</f>
        <v/>
      </c>
      <c r="H586" s="24" t="str">
        <f aca="false">IF(G586="","",E586*IFERROR(N(INDEX(Produtos!$F$5:$F$54,MATCH(D586,Produtos!$B$5:$B$54,0))),0))</f>
        <v/>
      </c>
      <c r="I586" s="24" t="str">
        <f aca="false">IF(G586="","",G586-H586)</f>
        <v/>
      </c>
      <c r="J586" s="37"/>
    </row>
    <row r="587" customFormat="false" ht="21" hidden="false" customHeight="true" outlineLevel="0" collapsed="false">
      <c r="B587" s="36"/>
      <c r="C587" s="7"/>
      <c r="D587" s="7"/>
      <c r="E587" s="37"/>
      <c r="F587" s="38"/>
      <c r="G587" s="24" t="str">
        <f aca="false">IF(OR(C587="",D587="",N(E587)=0),"",E587*IF(F587="",IFERROR(N(INDEX(Produtos!$K$5:$K$54,MATCH(D587,Produtos!$B$5:$B$54,0))),0),F587))</f>
        <v/>
      </c>
      <c r="H587" s="24" t="str">
        <f aca="false">IF(G587="","",E587*IFERROR(N(INDEX(Produtos!$F$5:$F$54,MATCH(D587,Produtos!$B$5:$B$54,0))),0))</f>
        <v/>
      </c>
      <c r="I587" s="24" t="str">
        <f aca="false">IF(G587="","",G587-H587)</f>
        <v/>
      </c>
      <c r="J587" s="37"/>
    </row>
    <row r="588" customFormat="false" ht="21" hidden="false" customHeight="true" outlineLevel="0" collapsed="false">
      <c r="B588" s="36"/>
      <c r="C588" s="7"/>
      <c r="D588" s="7"/>
      <c r="E588" s="37"/>
      <c r="F588" s="38"/>
      <c r="G588" s="24" t="str">
        <f aca="false">IF(OR(C588="",D588="",N(E588)=0),"",E588*IF(F588="",IFERROR(N(INDEX(Produtos!$K$5:$K$54,MATCH(D588,Produtos!$B$5:$B$54,0))),0),F588))</f>
        <v/>
      </c>
      <c r="H588" s="24" t="str">
        <f aca="false">IF(G588="","",E588*IFERROR(N(INDEX(Produtos!$F$5:$F$54,MATCH(D588,Produtos!$B$5:$B$54,0))),0))</f>
        <v/>
      </c>
      <c r="I588" s="24" t="str">
        <f aca="false">IF(G588="","",G588-H588)</f>
        <v/>
      </c>
      <c r="J588" s="37"/>
    </row>
    <row r="589" customFormat="false" ht="21" hidden="false" customHeight="true" outlineLevel="0" collapsed="false">
      <c r="B589" s="36"/>
      <c r="C589" s="7"/>
      <c r="D589" s="7"/>
      <c r="E589" s="37"/>
      <c r="F589" s="38"/>
      <c r="G589" s="24" t="str">
        <f aca="false">IF(OR(C589="",D589="",N(E589)=0),"",E589*IF(F589="",IFERROR(N(INDEX(Produtos!$K$5:$K$54,MATCH(D589,Produtos!$B$5:$B$54,0))),0),F589))</f>
        <v/>
      </c>
      <c r="H589" s="24" t="str">
        <f aca="false">IF(G589="","",E589*IFERROR(N(INDEX(Produtos!$F$5:$F$54,MATCH(D589,Produtos!$B$5:$B$54,0))),0))</f>
        <v/>
      </c>
      <c r="I589" s="24" t="str">
        <f aca="false">IF(G589="","",G589-H589)</f>
        <v/>
      </c>
      <c r="J589" s="37"/>
    </row>
    <row r="590" customFormat="false" ht="21" hidden="false" customHeight="true" outlineLevel="0" collapsed="false">
      <c r="B590" s="36"/>
      <c r="C590" s="7"/>
      <c r="D590" s="7"/>
      <c r="E590" s="37"/>
      <c r="F590" s="38"/>
      <c r="G590" s="24" t="str">
        <f aca="false">IF(OR(C590="",D590="",N(E590)=0),"",E590*IF(F590="",IFERROR(N(INDEX(Produtos!$K$5:$K$54,MATCH(D590,Produtos!$B$5:$B$54,0))),0),F590))</f>
        <v/>
      </c>
      <c r="H590" s="24" t="str">
        <f aca="false">IF(G590="","",E590*IFERROR(N(INDEX(Produtos!$F$5:$F$54,MATCH(D590,Produtos!$B$5:$B$54,0))),0))</f>
        <v/>
      </c>
      <c r="I590" s="24" t="str">
        <f aca="false">IF(G590="","",G590-H590)</f>
        <v/>
      </c>
      <c r="J590" s="37"/>
    </row>
    <row r="591" customFormat="false" ht="21" hidden="false" customHeight="true" outlineLevel="0" collapsed="false">
      <c r="B591" s="36"/>
      <c r="C591" s="7"/>
      <c r="D591" s="7"/>
      <c r="E591" s="37"/>
      <c r="F591" s="38"/>
      <c r="G591" s="24" t="str">
        <f aca="false">IF(OR(C591="",D591="",N(E591)=0),"",E591*IF(F591="",IFERROR(N(INDEX(Produtos!$K$5:$K$54,MATCH(D591,Produtos!$B$5:$B$54,0))),0),F591))</f>
        <v/>
      </c>
      <c r="H591" s="24" t="str">
        <f aca="false">IF(G591="","",E591*IFERROR(N(INDEX(Produtos!$F$5:$F$54,MATCH(D591,Produtos!$B$5:$B$54,0))),0))</f>
        <v/>
      </c>
      <c r="I591" s="24" t="str">
        <f aca="false">IF(G591="","",G591-H591)</f>
        <v/>
      </c>
      <c r="J591" s="37"/>
    </row>
    <row r="592" customFormat="false" ht="21" hidden="false" customHeight="true" outlineLevel="0" collapsed="false">
      <c r="B592" s="36"/>
      <c r="C592" s="7"/>
      <c r="D592" s="7"/>
      <c r="E592" s="37"/>
      <c r="F592" s="38"/>
      <c r="G592" s="24" t="str">
        <f aca="false">IF(OR(C592="",D592="",N(E592)=0),"",E592*IF(F592="",IFERROR(N(INDEX(Produtos!$K$5:$K$54,MATCH(D592,Produtos!$B$5:$B$54,0))),0),F592))</f>
        <v/>
      </c>
      <c r="H592" s="24" t="str">
        <f aca="false">IF(G592="","",E592*IFERROR(N(INDEX(Produtos!$F$5:$F$54,MATCH(D592,Produtos!$B$5:$B$54,0))),0))</f>
        <v/>
      </c>
      <c r="I592" s="24" t="str">
        <f aca="false">IF(G592="","",G592-H592)</f>
        <v/>
      </c>
      <c r="J592" s="37"/>
    </row>
    <row r="593" customFormat="false" ht="21" hidden="false" customHeight="true" outlineLevel="0" collapsed="false">
      <c r="B593" s="36"/>
      <c r="C593" s="7"/>
      <c r="D593" s="7"/>
      <c r="E593" s="37"/>
      <c r="F593" s="38"/>
      <c r="G593" s="24" t="str">
        <f aca="false">IF(OR(C593="",D593="",N(E593)=0),"",E593*IF(F593="",IFERROR(N(INDEX(Produtos!$K$5:$K$54,MATCH(D593,Produtos!$B$5:$B$54,0))),0),F593))</f>
        <v/>
      </c>
      <c r="H593" s="24" t="str">
        <f aca="false">IF(G593="","",E593*IFERROR(N(INDEX(Produtos!$F$5:$F$54,MATCH(D593,Produtos!$B$5:$B$54,0))),0))</f>
        <v/>
      </c>
      <c r="I593" s="24" t="str">
        <f aca="false">IF(G593="","",G593-H593)</f>
        <v/>
      </c>
      <c r="J593" s="37"/>
    </row>
    <row r="594" customFormat="false" ht="21" hidden="false" customHeight="true" outlineLevel="0" collapsed="false">
      <c r="B594" s="36"/>
      <c r="C594" s="7"/>
      <c r="D594" s="7"/>
      <c r="E594" s="37"/>
      <c r="F594" s="38"/>
      <c r="G594" s="24" t="str">
        <f aca="false">IF(OR(C594="",D594="",N(E594)=0),"",E594*IF(F594="",IFERROR(N(INDEX(Produtos!$K$5:$K$54,MATCH(D594,Produtos!$B$5:$B$54,0))),0),F594))</f>
        <v/>
      </c>
      <c r="H594" s="24" t="str">
        <f aca="false">IF(G594="","",E594*IFERROR(N(INDEX(Produtos!$F$5:$F$54,MATCH(D594,Produtos!$B$5:$B$54,0))),0))</f>
        <v/>
      </c>
      <c r="I594" s="24" t="str">
        <f aca="false">IF(G594="","",G594-H594)</f>
        <v/>
      </c>
      <c r="J594" s="37"/>
    </row>
    <row r="595" customFormat="false" ht="21" hidden="false" customHeight="true" outlineLevel="0" collapsed="false">
      <c r="B595" s="36"/>
      <c r="C595" s="7"/>
      <c r="D595" s="7"/>
      <c r="E595" s="37"/>
      <c r="F595" s="38"/>
      <c r="G595" s="24" t="str">
        <f aca="false">IF(OR(C595="",D595="",N(E595)=0),"",E595*IF(F595="",IFERROR(N(INDEX(Produtos!$K$5:$K$54,MATCH(D595,Produtos!$B$5:$B$54,0))),0),F595))</f>
        <v/>
      </c>
      <c r="H595" s="24" t="str">
        <f aca="false">IF(G595="","",E595*IFERROR(N(INDEX(Produtos!$F$5:$F$54,MATCH(D595,Produtos!$B$5:$B$54,0))),0))</f>
        <v/>
      </c>
      <c r="I595" s="24" t="str">
        <f aca="false">IF(G595="","",G595-H595)</f>
        <v/>
      </c>
      <c r="J595" s="37"/>
    </row>
    <row r="596" customFormat="false" ht="21" hidden="false" customHeight="true" outlineLevel="0" collapsed="false">
      <c r="B596" s="36"/>
      <c r="C596" s="7"/>
      <c r="D596" s="7"/>
      <c r="E596" s="37"/>
      <c r="F596" s="38"/>
      <c r="G596" s="24" t="str">
        <f aca="false">IF(OR(C596="",D596="",N(E596)=0),"",E596*IF(F596="",IFERROR(N(INDEX(Produtos!$K$5:$K$54,MATCH(D596,Produtos!$B$5:$B$54,0))),0),F596))</f>
        <v/>
      </c>
      <c r="H596" s="24" t="str">
        <f aca="false">IF(G596="","",E596*IFERROR(N(INDEX(Produtos!$F$5:$F$54,MATCH(D596,Produtos!$B$5:$B$54,0))),0))</f>
        <v/>
      </c>
      <c r="I596" s="24" t="str">
        <f aca="false">IF(G596="","",G596-H596)</f>
        <v/>
      </c>
      <c r="J596" s="37"/>
    </row>
    <row r="597" customFormat="false" ht="21" hidden="false" customHeight="true" outlineLevel="0" collapsed="false">
      <c r="B597" s="36"/>
      <c r="C597" s="7"/>
      <c r="D597" s="7"/>
      <c r="E597" s="37"/>
      <c r="F597" s="38"/>
      <c r="G597" s="24" t="str">
        <f aca="false">IF(OR(C597="",D597="",N(E597)=0),"",E597*IF(F597="",IFERROR(N(INDEX(Produtos!$K$5:$K$54,MATCH(D597,Produtos!$B$5:$B$54,0))),0),F597))</f>
        <v/>
      </c>
      <c r="H597" s="24" t="str">
        <f aca="false">IF(G597="","",E597*IFERROR(N(INDEX(Produtos!$F$5:$F$54,MATCH(D597,Produtos!$B$5:$B$54,0))),0))</f>
        <v/>
      </c>
      <c r="I597" s="24" t="str">
        <f aca="false">IF(G597="","",G597-H597)</f>
        <v/>
      </c>
      <c r="J597" s="37"/>
    </row>
    <row r="598" customFormat="false" ht="21" hidden="false" customHeight="true" outlineLevel="0" collapsed="false">
      <c r="B598" s="36"/>
      <c r="C598" s="7"/>
      <c r="D598" s="7"/>
      <c r="E598" s="37"/>
      <c r="F598" s="38"/>
      <c r="G598" s="24" t="str">
        <f aca="false">IF(OR(C598="",D598="",N(E598)=0),"",E598*IF(F598="",IFERROR(N(INDEX(Produtos!$K$5:$K$54,MATCH(D598,Produtos!$B$5:$B$54,0))),0),F598))</f>
        <v/>
      </c>
      <c r="H598" s="24" t="str">
        <f aca="false">IF(G598="","",E598*IFERROR(N(INDEX(Produtos!$F$5:$F$54,MATCH(D598,Produtos!$B$5:$B$54,0))),0))</f>
        <v/>
      </c>
      <c r="I598" s="24" t="str">
        <f aca="false">IF(G598="","",G598-H598)</f>
        <v/>
      </c>
      <c r="J598" s="37"/>
    </row>
    <row r="599" customFormat="false" ht="21" hidden="false" customHeight="true" outlineLevel="0" collapsed="false">
      <c r="B599" s="36"/>
      <c r="C599" s="7"/>
      <c r="D599" s="7"/>
      <c r="E599" s="37"/>
      <c r="F599" s="38"/>
      <c r="G599" s="24" t="str">
        <f aca="false">IF(OR(C599="",D599="",N(E599)=0),"",E599*IF(F599="",IFERROR(N(INDEX(Produtos!$K$5:$K$54,MATCH(D599,Produtos!$B$5:$B$54,0))),0),F599))</f>
        <v/>
      </c>
      <c r="H599" s="24" t="str">
        <f aca="false">IF(G599="","",E599*IFERROR(N(INDEX(Produtos!$F$5:$F$54,MATCH(D599,Produtos!$B$5:$B$54,0))),0))</f>
        <v/>
      </c>
      <c r="I599" s="24" t="str">
        <f aca="false">IF(G599="","",G599-H599)</f>
        <v/>
      </c>
      <c r="J599" s="37"/>
    </row>
    <row r="600" customFormat="false" ht="21" hidden="false" customHeight="true" outlineLevel="0" collapsed="false">
      <c r="B600" s="36"/>
      <c r="C600" s="7"/>
      <c r="D600" s="7"/>
      <c r="E600" s="37"/>
      <c r="F600" s="38"/>
      <c r="G600" s="24" t="str">
        <f aca="false">IF(OR(C600="",D600="",N(E600)=0),"",E600*IF(F600="",IFERROR(N(INDEX(Produtos!$K$5:$K$54,MATCH(D600,Produtos!$B$5:$B$54,0))),0),F600))</f>
        <v/>
      </c>
      <c r="H600" s="24" t="str">
        <f aca="false">IF(G600="","",E600*IFERROR(N(INDEX(Produtos!$F$5:$F$54,MATCH(D600,Produtos!$B$5:$B$54,0))),0))</f>
        <v/>
      </c>
      <c r="I600" s="24" t="str">
        <f aca="false">IF(G600="","",G600-H600)</f>
        <v/>
      </c>
      <c r="J600" s="37"/>
    </row>
    <row r="601" customFormat="false" ht="21" hidden="false" customHeight="true" outlineLevel="0" collapsed="false">
      <c r="B601" s="36"/>
      <c r="C601" s="7"/>
      <c r="D601" s="7"/>
      <c r="E601" s="37"/>
      <c r="F601" s="38"/>
      <c r="G601" s="24" t="str">
        <f aca="false">IF(OR(C601="",D601="",N(E601)=0),"",E601*IF(F601="",IFERROR(N(INDEX(Produtos!$K$5:$K$54,MATCH(D601,Produtos!$B$5:$B$54,0))),0),F601))</f>
        <v/>
      </c>
      <c r="H601" s="24" t="str">
        <f aca="false">IF(G601="","",E601*IFERROR(N(INDEX(Produtos!$F$5:$F$54,MATCH(D601,Produtos!$B$5:$B$54,0))),0))</f>
        <v/>
      </c>
      <c r="I601" s="24" t="str">
        <f aca="false">IF(G601="","",G601-H601)</f>
        <v/>
      </c>
      <c r="J601" s="37"/>
    </row>
    <row r="602" customFormat="false" ht="21" hidden="false" customHeight="true" outlineLevel="0" collapsed="false">
      <c r="B602" s="36"/>
      <c r="C602" s="7"/>
      <c r="D602" s="7"/>
      <c r="E602" s="37"/>
      <c r="F602" s="38"/>
      <c r="G602" s="24" t="str">
        <f aca="false">IF(OR(C602="",D602="",N(E602)=0),"",E602*IF(F602="",IFERROR(N(INDEX(Produtos!$K$5:$K$54,MATCH(D602,Produtos!$B$5:$B$54,0))),0),F602))</f>
        <v/>
      </c>
      <c r="H602" s="24" t="str">
        <f aca="false">IF(G602="","",E602*IFERROR(N(INDEX(Produtos!$F$5:$F$54,MATCH(D602,Produtos!$B$5:$B$54,0))),0))</f>
        <v/>
      </c>
      <c r="I602" s="24" t="str">
        <f aca="false">IF(G602="","",G602-H602)</f>
        <v/>
      </c>
      <c r="J602" s="37"/>
    </row>
    <row r="603" customFormat="false" ht="21" hidden="false" customHeight="true" outlineLevel="0" collapsed="false">
      <c r="B603" s="36"/>
      <c r="C603" s="7"/>
      <c r="D603" s="7"/>
      <c r="E603" s="37"/>
      <c r="F603" s="38"/>
      <c r="G603" s="24" t="str">
        <f aca="false">IF(OR(C603="",D603="",N(E603)=0),"",E603*IF(F603="",IFERROR(N(INDEX(Produtos!$K$5:$K$54,MATCH(D603,Produtos!$B$5:$B$54,0))),0),F603))</f>
        <v/>
      </c>
      <c r="H603" s="24" t="str">
        <f aca="false">IF(G603="","",E603*IFERROR(N(INDEX(Produtos!$F$5:$F$54,MATCH(D603,Produtos!$B$5:$B$54,0))),0))</f>
        <v/>
      </c>
      <c r="I603" s="24" t="str">
        <f aca="false">IF(G603="","",G603-H603)</f>
        <v/>
      </c>
      <c r="J603" s="37"/>
    </row>
    <row r="604" customFormat="false" ht="21" hidden="false" customHeight="true" outlineLevel="0" collapsed="false">
      <c r="B604" s="36"/>
      <c r="C604" s="7"/>
      <c r="D604" s="7"/>
      <c r="E604" s="37"/>
      <c r="F604" s="38"/>
      <c r="G604" s="24" t="str">
        <f aca="false">IF(OR(C604="",D604="",N(E604)=0),"",E604*IF(F604="",IFERROR(N(INDEX(Produtos!$K$5:$K$54,MATCH(D604,Produtos!$B$5:$B$54,0))),0),F604))</f>
        <v/>
      </c>
      <c r="H604" s="24" t="str">
        <f aca="false">IF(G604="","",E604*IFERROR(N(INDEX(Produtos!$F$5:$F$54,MATCH(D604,Produtos!$B$5:$B$54,0))),0))</f>
        <v/>
      </c>
      <c r="I604" s="24" t="str">
        <f aca="false">IF(G604="","",G604-H604)</f>
        <v/>
      </c>
      <c r="J604" s="37"/>
    </row>
    <row r="605" customFormat="false" ht="21" hidden="false" customHeight="true" outlineLevel="0" collapsed="false">
      <c r="B605" s="36"/>
      <c r="C605" s="7"/>
      <c r="D605" s="7"/>
      <c r="E605" s="37"/>
      <c r="F605" s="38"/>
      <c r="G605" s="24" t="str">
        <f aca="false">IF(OR(C605="",D605="",N(E605)=0),"",E605*IF(F605="",IFERROR(N(INDEX(Produtos!$K$5:$K$54,MATCH(D605,Produtos!$B$5:$B$54,0))),0),F605))</f>
        <v/>
      </c>
      <c r="H605" s="24" t="str">
        <f aca="false">IF(G605="","",E605*IFERROR(N(INDEX(Produtos!$F$5:$F$54,MATCH(D605,Produtos!$B$5:$B$54,0))),0))</f>
        <v/>
      </c>
      <c r="I605" s="24" t="str">
        <f aca="false">IF(G605="","",G605-H605)</f>
        <v/>
      </c>
      <c r="J605" s="37"/>
    </row>
    <row r="606" customFormat="false" ht="21" hidden="false" customHeight="true" outlineLevel="0" collapsed="false">
      <c r="B606" s="36"/>
      <c r="C606" s="7"/>
      <c r="D606" s="7"/>
      <c r="E606" s="37"/>
      <c r="F606" s="38"/>
      <c r="G606" s="24" t="str">
        <f aca="false">IF(OR(C606="",D606="",N(E606)=0),"",E606*IF(F606="",IFERROR(N(INDEX(Produtos!$K$5:$K$54,MATCH(D606,Produtos!$B$5:$B$54,0))),0),F606))</f>
        <v/>
      </c>
      <c r="H606" s="24" t="str">
        <f aca="false">IF(G606="","",E606*IFERROR(N(INDEX(Produtos!$F$5:$F$54,MATCH(D606,Produtos!$B$5:$B$54,0))),0))</f>
        <v/>
      </c>
      <c r="I606" s="24" t="str">
        <f aca="false">IF(G606="","",G606-H606)</f>
        <v/>
      </c>
      <c r="J606" s="37"/>
    </row>
    <row r="607" customFormat="false" ht="21" hidden="false" customHeight="true" outlineLevel="0" collapsed="false">
      <c r="B607" s="36"/>
      <c r="C607" s="7"/>
      <c r="D607" s="7"/>
      <c r="E607" s="37"/>
      <c r="F607" s="38"/>
      <c r="G607" s="24" t="str">
        <f aca="false">IF(OR(C607="",D607="",N(E607)=0),"",E607*IF(F607="",IFERROR(N(INDEX(Produtos!$K$5:$K$54,MATCH(D607,Produtos!$B$5:$B$54,0))),0),F607))</f>
        <v/>
      </c>
      <c r="H607" s="24" t="str">
        <f aca="false">IF(G607="","",E607*IFERROR(N(INDEX(Produtos!$F$5:$F$54,MATCH(D607,Produtos!$B$5:$B$54,0))),0))</f>
        <v/>
      </c>
      <c r="I607" s="24" t="str">
        <f aca="false">IF(G607="","",G607-H607)</f>
        <v/>
      </c>
      <c r="J607" s="37"/>
    </row>
    <row r="608" customFormat="false" ht="21" hidden="false" customHeight="true" outlineLevel="0" collapsed="false">
      <c r="B608" s="36"/>
      <c r="C608" s="7"/>
      <c r="D608" s="7"/>
      <c r="E608" s="37"/>
      <c r="F608" s="38"/>
      <c r="G608" s="24" t="str">
        <f aca="false">IF(OR(C608="",D608="",N(E608)=0),"",E608*IF(F608="",IFERROR(N(INDEX(Produtos!$K$5:$K$54,MATCH(D608,Produtos!$B$5:$B$54,0))),0),F608))</f>
        <v/>
      </c>
      <c r="H608" s="24" t="str">
        <f aca="false">IF(G608="","",E608*IFERROR(N(INDEX(Produtos!$F$5:$F$54,MATCH(D608,Produtos!$B$5:$B$54,0))),0))</f>
        <v/>
      </c>
      <c r="I608" s="24" t="str">
        <f aca="false">IF(G608="","",G608-H608)</f>
        <v/>
      </c>
      <c r="J608" s="37"/>
    </row>
    <row r="609" customFormat="false" ht="21" hidden="false" customHeight="true" outlineLevel="0" collapsed="false">
      <c r="B609" s="36"/>
      <c r="C609" s="7"/>
      <c r="D609" s="7"/>
      <c r="E609" s="37"/>
      <c r="F609" s="38"/>
      <c r="G609" s="24" t="str">
        <f aca="false">IF(OR(C609="",D609="",N(E609)=0),"",E609*IF(F609="",IFERROR(N(INDEX(Produtos!$K$5:$K$54,MATCH(D609,Produtos!$B$5:$B$54,0))),0),F609))</f>
        <v/>
      </c>
      <c r="H609" s="24" t="str">
        <f aca="false">IF(G609="","",E609*IFERROR(N(INDEX(Produtos!$F$5:$F$54,MATCH(D609,Produtos!$B$5:$B$54,0))),0))</f>
        <v/>
      </c>
      <c r="I609" s="24" t="str">
        <f aca="false">IF(G609="","",G609-H609)</f>
        <v/>
      </c>
      <c r="J609" s="37"/>
    </row>
    <row r="610" customFormat="false" ht="21" hidden="false" customHeight="true" outlineLevel="0" collapsed="false">
      <c r="B610" s="36"/>
      <c r="C610" s="7"/>
      <c r="D610" s="7"/>
      <c r="E610" s="37"/>
      <c r="F610" s="38"/>
      <c r="G610" s="24" t="str">
        <f aca="false">IF(OR(C610="",D610="",N(E610)=0),"",E610*IF(F610="",IFERROR(N(INDEX(Produtos!$K$5:$K$54,MATCH(D610,Produtos!$B$5:$B$54,0))),0),F610))</f>
        <v/>
      </c>
      <c r="H610" s="24" t="str">
        <f aca="false">IF(G610="","",E610*IFERROR(N(INDEX(Produtos!$F$5:$F$54,MATCH(D610,Produtos!$B$5:$B$54,0))),0))</f>
        <v/>
      </c>
      <c r="I610" s="24" t="str">
        <f aca="false">IF(G610="","",G610-H610)</f>
        <v/>
      </c>
      <c r="J610" s="37"/>
    </row>
    <row r="611" customFormat="false" ht="21" hidden="false" customHeight="true" outlineLevel="0" collapsed="false">
      <c r="B611" s="36"/>
      <c r="C611" s="7"/>
      <c r="D611" s="7"/>
      <c r="E611" s="37"/>
      <c r="F611" s="38"/>
      <c r="G611" s="24" t="str">
        <f aca="false">IF(OR(C611="",D611="",N(E611)=0),"",E611*IF(F611="",IFERROR(N(INDEX(Produtos!$K$5:$K$54,MATCH(D611,Produtos!$B$5:$B$54,0))),0),F611))</f>
        <v/>
      </c>
      <c r="H611" s="24" t="str">
        <f aca="false">IF(G611="","",E611*IFERROR(N(INDEX(Produtos!$F$5:$F$54,MATCH(D611,Produtos!$B$5:$B$54,0))),0))</f>
        <v/>
      </c>
      <c r="I611" s="24" t="str">
        <f aca="false">IF(G611="","",G611-H611)</f>
        <v/>
      </c>
      <c r="J611" s="37"/>
    </row>
    <row r="612" customFormat="false" ht="21" hidden="false" customHeight="true" outlineLevel="0" collapsed="false">
      <c r="B612" s="36"/>
      <c r="C612" s="7"/>
      <c r="D612" s="7"/>
      <c r="E612" s="37"/>
      <c r="F612" s="38"/>
      <c r="G612" s="24" t="str">
        <f aca="false">IF(OR(C612="",D612="",N(E612)=0),"",E612*IF(F612="",IFERROR(N(INDEX(Produtos!$K$5:$K$54,MATCH(D612,Produtos!$B$5:$B$54,0))),0),F612))</f>
        <v/>
      </c>
      <c r="H612" s="24" t="str">
        <f aca="false">IF(G612="","",E612*IFERROR(N(INDEX(Produtos!$F$5:$F$54,MATCH(D612,Produtos!$B$5:$B$54,0))),0))</f>
        <v/>
      </c>
      <c r="I612" s="24" t="str">
        <f aca="false">IF(G612="","",G612-H612)</f>
        <v/>
      </c>
      <c r="J612" s="37"/>
    </row>
    <row r="613" customFormat="false" ht="21" hidden="false" customHeight="true" outlineLevel="0" collapsed="false">
      <c r="B613" s="36"/>
      <c r="C613" s="7"/>
      <c r="D613" s="7"/>
      <c r="E613" s="37"/>
      <c r="F613" s="38"/>
      <c r="G613" s="24" t="str">
        <f aca="false">IF(OR(C613="",D613="",N(E613)=0),"",E613*IF(F613="",IFERROR(N(INDEX(Produtos!$K$5:$K$54,MATCH(D613,Produtos!$B$5:$B$54,0))),0),F613))</f>
        <v/>
      </c>
      <c r="H613" s="24" t="str">
        <f aca="false">IF(G613="","",E613*IFERROR(N(INDEX(Produtos!$F$5:$F$54,MATCH(D613,Produtos!$B$5:$B$54,0))),0))</f>
        <v/>
      </c>
      <c r="I613" s="24" t="str">
        <f aca="false">IF(G613="","",G613-H613)</f>
        <v/>
      </c>
      <c r="J613" s="37"/>
    </row>
    <row r="614" customFormat="false" ht="21" hidden="false" customHeight="true" outlineLevel="0" collapsed="false">
      <c r="B614" s="36"/>
      <c r="C614" s="7"/>
      <c r="D614" s="7"/>
      <c r="E614" s="37"/>
      <c r="F614" s="38"/>
      <c r="G614" s="24" t="str">
        <f aca="false">IF(OR(C614="",D614="",N(E614)=0),"",E614*IF(F614="",IFERROR(N(INDEX(Produtos!$K$5:$K$54,MATCH(D614,Produtos!$B$5:$B$54,0))),0),F614))</f>
        <v/>
      </c>
      <c r="H614" s="24" t="str">
        <f aca="false">IF(G614="","",E614*IFERROR(N(INDEX(Produtos!$F$5:$F$54,MATCH(D614,Produtos!$B$5:$B$54,0))),0))</f>
        <v/>
      </c>
      <c r="I614" s="24" t="str">
        <f aca="false">IF(G614="","",G614-H614)</f>
        <v/>
      </c>
      <c r="J614" s="37"/>
    </row>
    <row r="615" customFormat="false" ht="21" hidden="false" customHeight="true" outlineLevel="0" collapsed="false">
      <c r="B615" s="36"/>
      <c r="C615" s="7"/>
      <c r="D615" s="7"/>
      <c r="E615" s="37"/>
      <c r="F615" s="38"/>
      <c r="G615" s="24" t="str">
        <f aca="false">IF(OR(C615="",D615="",N(E615)=0),"",E615*IF(F615="",IFERROR(N(INDEX(Produtos!$K$5:$K$54,MATCH(D615,Produtos!$B$5:$B$54,0))),0),F615))</f>
        <v/>
      </c>
      <c r="H615" s="24" t="str">
        <f aca="false">IF(G615="","",E615*IFERROR(N(INDEX(Produtos!$F$5:$F$54,MATCH(D615,Produtos!$B$5:$B$54,0))),0))</f>
        <v/>
      </c>
      <c r="I615" s="24" t="str">
        <f aca="false">IF(G615="","",G615-H615)</f>
        <v/>
      </c>
      <c r="J615" s="37"/>
    </row>
    <row r="616" customFormat="false" ht="21" hidden="false" customHeight="true" outlineLevel="0" collapsed="false">
      <c r="B616" s="36"/>
      <c r="C616" s="7"/>
      <c r="D616" s="7"/>
      <c r="E616" s="37"/>
      <c r="F616" s="38"/>
      <c r="G616" s="24" t="str">
        <f aca="false">IF(OR(C616="",D616="",N(E616)=0),"",E616*IF(F616="",IFERROR(N(INDEX(Produtos!$K$5:$K$54,MATCH(D616,Produtos!$B$5:$B$54,0))),0),F616))</f>
        <v/>
      </c>
      <c r="H616" s="24" t="str">
        <f aca="false">IF(G616="","",E616*IFERROR(N(INDEX(Produtos!$F$5:$F$54,MATCH(D616,Produtos!$B$5:$B$54,0))),0))</f>
        <v/>
      </c>
      <c r="I616" s="24" t="str">
        <f aca="false">IF(G616="","",G616-H616)</f>
        <v/>
      </c>
      <c r="J616" s="37"/>
    </row>
    <row r="617" customFormat="false" ht="21" hidden="false" customHeight="true" outlineLevel="0" collapsed="false">
      <c r="B617" s="36"/>
      <c r="C617" s="7"/>
      <c r="D617" s="7"/>
      <c r="E617" s="37"/>
      <c r="F617" s="38"/>
      <c r="G617" s="24" t="str">
        <f aca="false">IF(OR(C617="",D617="",N(E617)=0),"",E617*IF(F617="",IFERROR(N(INDEX(Produtos!$K$5:$K$54,MATCH(D617,Produtos!$B$5:$B$54,0))),0),F617))</f>
        <v/>
      </c>
      <c r="H617" s="24" t="str">
        <f aca="false">IF(G617="","",E617*IFERROR(N(INDEX(Produtos!$F$5:$F$54,MATCH(D617,Produtos!$B$5:$B$54,0))),0))</f>
        <v/>
      </c>
      <c r="I617" s="24" t="str">
        <f aca="false">IF(G617="","",G617-H617)</f>
        <v/>
      </c>
      <c r="J617" s="37"/>
    </row>
    <row r="618" customFormat="false" ht="21" hidden="false" customHeight="true" outlineLevel="0" collapsed="false">
      <c r="B618" s="36"/>
      <c r="C618" s="7"/>
      <c r="D618" s="7"/>
      <c r="E618" s="37"/>
      <c r="F618" s="38"/>
      <c r="G618" s="24" t="str">
        <f aca="false">IF(OR(C618="",D618="",N(E618)=0),"",E618*IF(F618="",IFERROR(N(INDEX(Produtos!$K$5:$K$54,MATCH(D618,Produtos!$B$5:$B$54,0))),0),F618))</f>
        <v/>
      </c>
      <c r="H618" s="24" t="str">
        <f aca="false">IF(G618="","",E618*IFERROR(N(INDEX(Produtos!$F$5:$F$54,MATCH(D618,Produtos!$B$5:$B$54,0))),0))</f>
        <v/>
      </c>
      <c r="I618" s="24" t="str">
        <f aca="false">IF(G618="","",G618-H618)</f>
        <v/>
      </c>
      <c r="J618" s="37"/>
    </row>
    <row r="619" customFormat="false" ht="21" hidden="false" customHeight="true" outlineLevel="0" collapsed="false">
      <c r="B619" s="36"/>
      <c r="C619" s="7"/>
      <c r="D619" s="7"/>
      <c r="E619" s="37"/>
      <c r="F619" s="38"/>
      <c r="G619" s="24" t="str">
        <f aca="false">IF(OR(C619="",D619="",N(E619)=0),"",E619*IF(F619="",IFERROR(N(INDEX(Produtos!$K$5:$K$54,MATCH(D619,Produtos!$B$5:$B$54,0))),0),F619))</f>
        <v/>
      </c>
      <c r="H619" s="24" t="str">
        <f aca="false">IF(G619="","",E619*IFERROR(N(INDEX(Produtos!$F$5:$F$54,MATCH(D619,Produtos!$B$5:$B$54,0))),0))</f>
        <v/>
      </c>
      <c r="I619" s="24" t="str">
        <f aca="false">IF(G619="","",G619-H619)</f>
        <v/>
      </c>
      <c r="J619" s="37"/>
    </row>
    <row r="620" customFormat="false" ht="21" hidden="false" customHeight="true" outlineLevel="0" collapsed="false">
      <c r="B620" s="36"/>
      <c r="C620" s="7"/>
      <c r="D620" s="7"/>
      <c r="E620" s="37"/>
      <c r="F620" s="38"/>
      <c r="G620" s="24" t="str">
        <f aca="false">IF(OR(C620="",D620="",N(E620)=0),"",E620*IF(F620="",IFERROR(N(INDEX(Produtos!$K$5:$K$54,MATCH(D620,Produtos!$B$5:$B$54,0))),0),F620))</f>
        <v/>
      </c>
      <c r="H620" s="24" t="str">
        <f aca="false">IF(G620="","",E620*IFERROR(N(INDEX(Produtos!$F$5:$F$54,MATCH(D620,Produtos!$B$5:$B$54,0))),0))</f>
        <v/>
      </c>
      <c r="I620" s="24" t="str">
        <f aca="false">IF(G620="","",G620-H620)</f>
        <v/>
      </c>
      <c r="J620" s="37"/>
    </row>
    <row r="621" customFormat="false" ht="21" hidden="false" customHeight="true" outlineLevel="0" collapsed="false">
      <c r="B621" s="36"/>
      <c r="C621" s="7"/>
      <c r="D621" s="7"/>
      <c r="E621" s="37"/>
      <c r="F621" s="38"/>
      <c r="G621" s="24" t="str">
        <f aca="false">IF(OR(C621="",D621="",N(E621)=0),"",E621*IF(F621="",IFERROR(N(INDEX(Produtos!$K$5:$K$54,MATCH(D621,Produtos!$B$5:$B$54,0))),0),F621))</f>
        <v/>
      </c>
      <c r="H621" s="24" t="str">
        <f aca="false">IF(G621="","",E621*IFERROR(N(INDEX(Produtos!$F$5:$F$54,MATCH(D621,Produtos!$B$5:$B$54,0))),0))</f>
        <v/>
      </c>
      <c r="I621" s="24" t="str">
        <f aca="false">IF(G621="","",G621-H621)</f>
        <v/>
      </c>
      <c r="J621" s="37"/>
    </row>
    <row r="622" customFormat="false" ht="21" hidden="false" customHeight="true" outlineLevel="0" collapsed="false">
      <c r="B622" s="36"/>
      <c r="C622" s="7"/>
      <c r="D622" s="7"/>
      <c r="E622" s="37"/>
      <c r="F622" s="38"/>
      <c r="G622" s="24" t="str">
        <f aca="false">IF(OR(C622="",D622="",N(E622)=0),"",E622*IF(F622="",IFERROR(N(INDEX(Produtos!$K$5:$K$54,MATCH(D622,Produtos!$B$5:$B$54,0))),0),F622))</f>
        <v/>
      </c>
      <c r="H622" s="24" t="str">
        <f aca="false">IF(G622="","",E622*IFERROR(N(INDEX(Produtos!$F$5:$F$54,MATCH(D622,Produtos!$B$5:$B$54,0))),0))</f>
        <v/>
      </c>
      <c r="I622" s="24" t="str">
        <f aca="false">IF(G622="","",G622-H622)</f>
        <v/>
      </c>
      <c r="J622" s="37"/>
    </row>
    <row r="623" customFormat="false" ht="21" hidden="false" customHeight="true" outlineLevel="0" collapsed="false">
      <c r="B623" s="36"/>
      <c r="C623" s="7"/>
      <c r="D623" s="7"/>
      <c r="E623" s="37"/>
      <c r="F623" s="38"/>
      <c r="G623" s="24" t="str">
        <f aca="false">IF(OR(C623="",D623="",N(E623)=0),"",E623*IF(F623="",IFERROR(N(INDEX(Produtos!$K$5:$K$54,MATCH(D623,Produtos!$B$5:$B$54,0))),0),F623))</f>
        <v/>
      </c>
      <c r="H623" s="24" t="str">
        <f aca="false">IF(G623="","",E623*IFERROR(N(INDEX(Produtos!$F$5:$F$54,MATCH(D623,Produtos!$B$5:$B$54,0))),0))</f>
        <v/>
      </c>
      <c r="I623" s="24" t="str">
        <f aca="false">IF(G623="","",G623-H623)</f>
        <v/>
      </c>
      <c r="J623" s="37"/>
    </row>
    <row r="624" customFormat="false" ht="21" hidden="false" customHeight="true" outlineLevel="0" collapsed="false">
      <c r="B624" s="36"/>
      <c r="C624" s="7"/>
      <c r="D624" s="7"/>
      <c r="E624" s="37"/>
      <c r="F624" s="38"/>
      <c r="G624" s="24" t="str">
        <f aca="false">IF(OR(C624="",D624="",N(E624)=0),"",E624*IF(F624="",IFERROR(N(INDEX(Produtos!$K$5:$K$54,MATCH(D624,Produtos!$B$5:$B$54,0))),0),F624))</f>
        <v/>
      </c>
      <c r="H624" s="24" t="str">
        <f aca="false">IF(G624="","",E624*IFERROR(N(INDEX(Produtos!$F$5:$F$54,MATCH(D624,Produtos!$B$5:$B$54,0))),0))</f>
        <v/>
      </c>
      <c r="I624" s="24" t="str">
        <f aca="false">IF(G624="","",G624-H624)</f>
        <v/>
      </c>
      <c r="J624" s="37"/>
    </row>
    <row r="625" customFormat="false" ht="21" hidden="false" customHeight="true" outlineLevel="0" collapsed="false">
      <c r="B625" s="36"/>
      <c r="C625" s="7"/>
      <c r="D625" s="7"/>
      <c r="E625" s="37"/>
      <c r="F625" s="38"/>
      <c r="G625" s="24" t="str">
        <f aca="false">IF(OR(C625="",D625="",N(E625)=0),"",E625*IF(F625="",IFERROR(N(INDEX(Produtos!$K$5:$K$54,MATCH(D625,Produtos!$B$5:$B$54,0))),0),F625))</f>
        <v/>
      </c>
      <c r="H625" s="24" t="str">
        <f aca="false">IF(G625="","",E625*IFERROR(N(INDEX(Produtos!$F$5:$F$54,MATCH(D625,Produtos!$B$5:$B$54,0))),0))</f>
        <v/>
      </c>
      <c r="I625" s="24" t="str">
        <f aca="false">IF(G625="","",G625-H625)</f>
        <v/>
      </c>
      <c r="J625" s="37"/>
    </row>
    <row r="626" customFormat="false" ht="21" hidden="false" customHeight="true" outlineLevel="0" collapsed="false">
      <c r="B626" s="36"/>
      <c r="C626" s="7"/>
      <c r="D626" s="7"/>
      <c r="E626" s="37"/>
      <c r="F626" s="38"/>
      <c r="G626" s="24" t="str">
        <f aca="false">IF(OR(C626="",D626="",N(E626)=0),"",E626*IF(F626="",IFERROR(N(INDEX(Produtos!$K$5:$K$54,MATCH(D626,Produtos!$B$5:$B$54,0))),0),F626))</f>
        <v/>
      </c>
      <c r="H626" s="24" t="str">
        <f aca="false">IF(G626="","",E626*IFERROR(N(INDEX(Produtos!$F$5:$F$54,MATCH(D626,Produtos!$B$5:$B$54,0))),0))</f>
        <v/>
      </c>
      <c r="I626" s="24" t="str">
        <f aca="false">IF(G626="","",G626-H626)</f>
        <v/>
      </c>
      <c r="J626" s="37"/>
    </row>
    <row r="627" customFormat="false" ht="21" hidden="false" customHeight="true" outlineLevel="0" collapsed="false">
      <c r="B627" s="36"/>
      <c r="C627" s="7"/>
      <c r="D627" s="7"/>
      <c r="E627" s="37"/>
      <c r="F627" s="38"/>
      <c r="G627" s="24" t="str">
        <f aca="false">IF(OR(C627="",D627="",N(E627)=0),"",E627*IF(F627="",IFERROR(N(INDEX(Produtos!$K$5:$K$54,MATCH(D627,Produtos!$B$5:$B$54,0))),0),F627))</f>
        <v/>
      </c>
      <c r="H627" s="24" t="str">
        <f aca="false">IF(G627="","",E627*IFERROR(N(INDEX(Produtos!$F$5:$F$54,MATCH(D627,Produtos!$B$5:$B$54,0))),0))</f>
        <v/>
      </c>
      <c r="I627" s="24" t="str">
        <f aca="false">IF(G627="","",G627-H627)</f>
        <v/>
      </c>
      <c r="J627" s="37"/>
    </row>
    <row r="628" customFormat="false" ht="21" hidden="false" customHeight="true" outlineLevel="0" collapsed="false">
      <c r="B628" s="36"/>
      <c r="C628" s="7"/>
      <c r="D628" s="7"/>
      <c r="E628" s="37"/>
      <c r="F628" s="38"/>
      <c r="G628" s="24" t="str">
        <f aca="false">IF(OR(C628="",D628="",N(E628)=0),"",E628*IF(F628="",IFERROR(N(INDEX(Produtos!$K$5:$K$54,MATCH(D628,Produtos!$B$5:$B$54,0))),0),F628))</f>
        <v/>
      </c>
      <c r="H628" s="24" t="str">
        <f aca="false">IF(G628="","",E628*IFERROR(N(INDEX(Produtos!$F$5:$F$54,MATCH(D628,Produtos!$B$5:$B$54,0))),0))</f>
        <v/>
      </c>
      <c r="I628" s="24" t="str">
        <f aca="false">IF(G628="","",G628-H628)</f>
        <v/>
      </c>
      <c r="J628" s="37"/>
    </row>
    <row r="629" customFormat="false" ht="21" hidden="false" customHeight="true" outlineLevel="0" collapsed="false">
      <c r="B629" s="36"/>
      <c r="C629" s="7"/>
      <c r="D629" s="7"/>
      <c r="E629" s="37"/>
      <c r="F629" s="38"/>
      <c r="G629" s="24" t="str">
        <f aca="false">IF(OR(C629="",D629="",N(E629)=0),"",E629*IF(F629="",IFERROR(N(INDEX(Produtos!$K$5:$K$54,MATCH(D629,Produtos!$B$5:$B$54,0))),0),F629))</f>
        <v/>
      </c>
      <c r="H629" s="24" t="str">
        <f aca="false">IF(G629="","",E629*IFERROR(N(INDEX(Produtos!$F$5:$F$54,MATCH(D629,Produtos!$B$5:$B$54,0))),0))</f>
        <v/>
      </c>
      <c r="I629" s="24" t="str">
        <f aca="false">IF(G629="","",G629-H629)</f>
        <v/>
      </c>
      <c r="J629" s="37"/>
    </row>
    <row r="630" customFormat="false" ht="21" hidden="false" customHeight="true" outlineLevel="0" collapsed="false">
      <c r="B630" s="36"/>
      <c r="C630" s="7"/>
      <c r="D630" s="7"/>
      <c r="E630" s="37"/>
      <c r="F630" s="38"/>
      <c r="G630" s="24" t="str">
        <f aca="false">IF(OR(C630="",D630="",N(E630)=0),"",E630*IF(F630="",IFERROR(N(INDEX(Produtos!$K$5:$K$54,MATCH(D630,Produtos!$B$5:$B$54,0))),0),F630))</f>
        <v/>
      </c>
      <c r="H630" s="24" t="str">
        <f aca="false">IF(G630="","",E630*IFERROR(N(INDEX(Produtos!$F$5:$F$54,MATCH(D630,Produtos!$B$5:$B$54,0))),0))</f>
        <v/>
      </c>
      <c r="I630" s="24" t="str">
        <f aca="false">IF(G630="","",G630-H630)</f>
        <v/>
      </c>
      <c r="J630" s="37"/>
    </row>
    <row r="631" customFormat="false" ht="21" hidden="false" customHeight="true" outlineLevel="0" collapsed="false">
      <c r="B631" s="36"/>
      <c r="C631" s="7"/>
      <c r="D631" s="7"/>
      <c r="E631" s="37"/>
      <c r="F631" s="38"/>
      <c r="G631" s="24" t="str">
        <f aca="false">IF(OR(C631="",D631="",N(E631)=0),"",E631*IF(F631="",IFERROR(N(INDEX(Produtos!$K$5:$K$54,MATCH(D631,Produtos!$B$5:$B$54,0))),0),F631))</f>
        <v/>
      </c>
      <c r="H631" s="24" t="str">
        <f aca="false">IF(G631="","",E631*IFERROR(N(INDEX(Produtos!$F$5:$F$54,MATCH(D631,Produtos!$B$5:$B$54,0))),0))</f>
        <v/>
      </c>
      <c r="I631" s="24" t="str">
        <f aca="false">IF(G631="","",G631-H631)</f>
        <v/>
      </c>
      <c r="J631" s="37"/>
    </row>
    <row r="632" customFormat="false" ht="21" hidden="false" customHeight="true" outlineLevel="0" collapsed="false">
      <c r="B632" s="36"/>
      <c r="C632" s="7"/>
      <c r="D632" s="7"/>
      <c r="E632" s="37"/>
      <c r="F632" s="38"/>
      <c r="G632" s="24" t="str">
        <f aca="false">IF(OR(C632="",D632="",N(E632)=0),"",E632*IF(F632="",IFERROR(N(INDEX(Produtos!$K$5:$K$54,MATCH(D632,Produtos!$B$5:$B$54,0))),0),F632))</f>
        <v/>
      </c>
      <c r="H632" s="24" t="str">
        <f aca="false">IF(G632="","",E632*IFERROR(N(INDEX(Produtos!$F$5:$F$54,MATCH(D632,Produtos!$B$5:$B$54,0))),0))</f>
        <v/>
      </c>
      <c r="I632" s="24" t="str">
        <f aca="false">IF(G632="","",G632-H632)</f>
        <v/>
      </c>
      <c r="J632" s="37"/>
    </row>
    <row r="633" customFormat="false" ht="21" hidden="false" customHeight="true" outlineLevel="0" collapsed="false">
      <c r="B633" s="36"/>
      <c r="C633" s="7"/>
      <c r="D633" s="7"/>
      <c r="E633" s="37"/>
      <c r="F633" s="38"/>
      <c r="G633" s="24" t="str">
        <f aca="false">IF(OR(C633="",D633="",N(E633)=0),"",E633*IF(F633="",IFERROR(N(INDEX(Produtos!$K$5:$K$54,MATCH(D633,Produtos!$B$5:$B$54,0))),0),F633))</f>
        <v/>
      </c>
      <c r="H633" s="24" t="str">
        <f aca="false">IF(G633="","",E633*IFERROR(N(INDEX(Produtos!$F$5:$F$54,MATCH(D633,Produtos!$B$5:$B$54,0))),0))</f>
        <v/>
      </c>
      <c r="I633" s="24" t="str">
        <f aca="false">IF(G633="","",G633-H633)</f>
        <v/>
      </c>
      <c r="J633" s="37"/>
    </row>
    <row r="634" customFormat="false" ht="21" hidden="false" customHeight="true" outlineLevel="0" collapsed="false">
      <c r="B634" s="36"/>
      <c r="C634" s="7"/>
      <c r="D634" s="7"/>
      <c r="E634" s="37"/>
      <c r="F634" s="38"/>
      <c r="G634" s="24" t="str">
        <f aca="false">IF(OR(C634="",D634="",N(E634)=0),"",E634*IF(F634="",IFERROR(N(INDEX(Produtos!$K$5:$K$54,MATCH(D634,Produtos!$B$5:$B$54,0))),0),F634))</f>
        <v/>
      </c>
      <c r="H634" s="24" t="str">
        <f aca="false">IF(G634="","",E634*IFERROR(N(INDEX(Produtos!$F$5:$F$54,MATCH(D634,Produtos!$B$5:$B$54,0))),0))</f>
        <v/>
      </c>
      <c r="I634" s="24" t="str">
        <f aca="false">IF(G634="","",G634-H634)</f>
        <v/>
      </c>
      <c r="J634" s="37"/>
    </row>
    <row r="635" customFormat="false" ht="21" hidden="false" customHeight="true" outlineLevel="0" collapsed="false">
      <c r="B635" s="36"/>
      <c r="C635" s="7"/>
      <c r="D635" s="7"/>
      <c r="E635" s="37"/>
      <c r="F635" s="38"/>
      <c r="G635" s="24" t="str">
        <f aca="false">IF(OR(C635="",D635="",N(E635)=0),"",E635*IF(F635="",IFERROR(N(INDEX(Produtos!$K$5:$K$54,MATCH(D635,Produtos!$B$5:$B$54,0))),0),F635))</f>
        <v/>
      </c>
      <c r="H635" s="24" t="str">
        <f aca="false">IF(G635="","",E635*IFERROR(N(INDEX(Produtos!$F$5:$F$54,MATCH(D635,Produtos!$B$5:$B$54,0))),0))</f>
        <v/>
      </c>
      <c r="I635" s="24" t="str">
        <f aca="false">IF(G635="","",G635-H635)</f>
        <v/>
      </c>
      <c r="J635" s="37"/>
    </row>
    <row r="636" customFormat="false" ht="21" hidden="false" customHeight="true" outlineLevel="0" collapsed="false">
      <c r="B636" s="36"/>
      <c r="C636" s="7"/>
      <c r="D636" s="7"/>
      <c r="E636" s="37"/>
      <c r="F636" s="38"/>
      <c r="G636" s="24" t="str">
        <f aca="false">IF(OR(C636="",D636="",N(E636)=0),"",E636*IF(F636="",IFERROR(N(INDEX(Produtos!$K$5:$K$54,MATCH(D636,Produtos!$B$5:$B$54,0))),0),F636))</f>
        <v/>
      </c>
      <c r="H636" s="24" t="str">
        <f aca="false">IF(G636="","",E636*IFERROR(N(INDEX(Produtos!$F$5:$F$54,MATCH(D636,Produtos!$B$5:$B$54,0))),0))</f>
        <v/>
      </c>
      <c r="I636" s="24" t="str">
        <f aca="false">IF(G636="","",G636-H636)</f>
        <v/>
      </c>
      <c r="J636" s="37"/>
    </row>
    <row r="637" customFormat="false" ht="21" hidden="false" customHeight="true" outlineLevel="0" collapsed="false">
      <c r="B637" s="36"/>
      <c r="C637" s="7"/>
      <c r="D637" s="7"/>
      <c r="E637" s="37"/>
      <c r="F637" s="38"/>
      <c r="G637" s="24" t="str">
        <f aca="false">IF(OR(C637="",D637="",N(E637)=0),"",E637*IF(F637="",IFERROR(N(INDEX(Produtos!$K$5:$K$54,MATCH(D637,Produtos!$B$5:$B$54,0))),0),F637))</f>
        <v/>
      </c>
      <c r="H637" s="24" t="str">
        <f aca="false">IF(G637="","",E637*IFERROR(N(INDEX(Produtos!$F$5:$F$54,MATCH(D637,Produtos!$B$5:$B$54,0))),0))</f>
        <v/>
      </c>
      <c r="I637" s="24" t="str">
        <f aca="false">IF(G637="","",G637-H637)</f>
        <v/>
      </c>
      <c r="J637" s="37"/>
    </row>
    <row r="638" customFormat="false" ht="21" hidden="false" customHeight="true" outlineLevel="0" collapsed="false">
      <c r="B638" s="36"/>
      <c r="C638" s="7"/>
      <c r="D638" s="7"/>
      <c r="E638" s="37"/>
      <c r="F638" s="38"/>
      <c r="G638" s="24" t="str">
        <f aca="false">IF(OR(C638="",D638="",N(E638)=0),"",E638*IF(F638="",IFERROR(N(INDEX(Produtos!$K$5:$K$54,MATCH(D638,Produtos!$B$5:$B$54,0))),0),F638))</f>
        <v/>
      </c>
      <c r="H638" s="24" t="str">
        <f aca="false">IF(G638="","",E638*IFERROR(N(INDEX(Produtos!$F$5:$F$54,MATCH(D638,Produtos!$B$5:$B$54,0))),0))</f>
        <v/>
      </c>
      <c r="I638" s="24" t="str">
        <f aca="false">IF(G638="","",G638-H638)</f>
        <v/>
      </c>
      <c r="J638" s="37"/>
    </row>
    <row r="639" customFormat="false" ht="21" hidden="false" customHeight="true" outlineLevel="0" collapsed="false">
      <c r="B639" s="36"/>
      <c r="C639" s="7"/>
      <c r="D639" s="7"/>
      <c r="E639" s="37"/>
      <c r="F639" s="38"/>
      <c r="G639" s="24" t="str">
        <f aca="false">IF(OR(C639="",D639="",N(E639)=0),"",E639*IF(F639="",IFERROR(N(INDEX(Produtos!$K$5:$K$54,MATCH(D639,Produtos!$B$5:$B$54,0))),0),F639))</f>
        <v/>
      </c>
      <c r="H639" s="24" t="str">
        <f aca="false">IF(G639="","",E639*IFERROR(N(INDEX(Produtos!$F$5:$F$54,MATCH(D639,Produtos!$B$5:$B$54,0))),0))</f>
        <v/>
      </c>
      <c r="I639" s="24" t="str">
        <f aca="false">IF(G639="","",G639-H639)</f>
        <v/>
      </c>
      <c r="J639" s="37"/>
    </row>
    <row r="640" customFormat="false" ht="21" hidden="false" customHeight="true" outlineLevel="0" collapsed="false">
      <c r="B640" s="36"/>
      <c r="C640" s="7"/>
      <c r="D640" s="7"/>
      <c r="E640" s="37"/>
      <c r="F640" s="38"/>
      <c r="G640" s="24" t="str">
        <f aca="false">IF(OR(C640="",D640="",N(E640)=0),"",E640*IF(F640="",IFERROR(N(INDEX(Produtos!$K$5:$K$54,MATCH(D640,Produtos!$B$5:$B$54,0))),0),F640))</f>
        <v/>
      </c>
      <c r="H640" s="24" t="str">
        <f aca="false">IF(G640="","",E640*IFERROR(N(INDEX(Produtos!$F$5:$F$54,MATCH(D640,Produtos!$B$5:$B$54,0))),0))</f>
        <v/>
      </c>
      <c r="I640" s="24" t="str">
        <f aca="false">IF(G640="","",G640-H640)</f>
        <v/>
      </c>
      <c r="J640" s="37"/>
    </row>
    <row r="641" customFormat="false" ht="21" hidden="false" customHeight="true" outlineLevel="0" collapsed="false">
      <c r="B641" s="36"/>
      <c r="C641" s="7"/>
      <c r="D641" s="7"/>
      <c r="E641" s="37"/>
      <c r="F641" s="38"/>
      <c r="G641" s="24" t="str">
        <f aca="false">IF(OR(C641="",D641="",N(E641)=0),"",E641*IF(F641="",IFERROR(N(INDEX(Produtos!$K$5:$K$54,MATCH(D641,Produtos!$B$5:$B$54,0))),0),F641))</f>
        <v/>
      </c>
      <c r="H641" s="24" t="str">
        <f aca="false">IF(G641="","",E641*IFERROR(N(INDEX(Produtos!$F$5:$F$54,MATCH(D641,Produtos!$B$5:$B$54,0))),0))</f>
        <v/>
      </c>
      <c r="I641" s="24" t="str">
        <f aca="false">IF(G641="","",G641-H641)</f>
        <v/>
      </c>
      <c r="J641" s="37"/>
    </row>
    <row r="642" customFormat="false" ht="21" hidden="false" customHeight="true" outlineLevel="0" collapsed="false">
      <c r="B642" s="36"/>
      <c r="C642" s="7"/>
      <c r="D642" s="7"/>
      <c r="E642" s="37"/>
      <c r="F642" s="38"/>
      <c r="G642" s="24" t="str">
        <f aca="false">IF(OR(C642="",D642="",N(E642)=0),"",E642*IF(F642="",IFERROR(N(INDEX(Produtos!$K$5:$K$54,MATCH(D642,Produtos!$B$5:$B$54,0))),0),F642))</f>
        <v/>
      </c>
      <c r="H642" s="24" t="str">
        <f aca="false">IF(G642="","",E642*IFERROR(N(INDEX(Produtos!$F$5:$F$54,MATCH(D642,Produtos!$B$5:$B$54,0))),0))</f>
        <v/>
      </c>
      <c r="I642" s="24" t="str">
        <f aca="false">IF(G642="","",G642-H642)</f>
        <v/>
      </c>
      <c r="J642" s="37"/>
    </row>
    <row r="643" customFormat="false" ht="21" hidden="false" customHeight="true" outlineLevel="0" collapsed="false">
      <c r="B643" s="36"/>
      <c r="C643" s="7"/>
      <c r="D643" s="7"/>
      <c r="E643" s="37"/>
      <c r="F643" s="38"/>
      <c r="G643" s="24" t="str">
        <f aca="false">IF(OR(C643="",D643="",N(E643)=0),"",E643*IF(F643="",IFERROR(N(INDEX(Produtos!$K$5:$K$54,MATCH(D643,Produtos!$B$5:$B$54,0))),0),F643))</f>
        <v/>
      </c>
      <c r="H643" s="24" t="str">
        <f aca="false">IF(G643="","",E643*IFERROR(N(INDEX(Produtos!$F$5:$F$54,MATCH(D643,Produtos!$B$5:$B$54,0))),0))</f>
        <v/>
      </c>
      <c r="I643" s="24" t="str">
        <f aca="false">IF(G643="","",G643-H643)</f>
        <v/>
      </c>
      <c r="J643" s="37"/>
    </row>
    <row r="644" customFormat="false" ht="21" hidden="false" customHeight="true" outlineLevel="0" collapsed="false">
      <c r="B644" s="36"/>
      <c r="C644" s="7"/>
      <c r="D644" s="7"/>
      <c r="E644" s="37"/>
      <c r="F644" s="38"/>
      <c r="G644" s="24" t="str">
        <f aca="false">IF(OR(C644="",D644="",N(E644)=0),"",E644*IF(F644="",IFERROR(N(INDEX(Produtos!$K$5:$K$54,MATCH(D644,Produtos!$B$5:$B$54,0))),0),F644))</f>
        <v/>
      </c>
      <c r="H644" s="24" t="str">
        <f aca="false">IF(G644="","",E644*IFERROR(N(INDEX(Produtos!$F$5:$F$54,MATCH(D644,Produtos!$B$5:$B$54,0))),0))</f>
        <v/>
      </c>
      <c r="I644" s="24" t="str">
        <f aca="false">IF(G644="","",G644-H644)</f>
        <v/>
      </c>
      <c r="J644" s="37"/>
    </row>
    <row r="645" customFormat="false" ht="21" hidden="false" customHeight="true" outlineLevel="0" collapsed="false">
      <c r="B645" s="36"/>
      <c r="C645" s="7"/>
      <c r="D645" s="7"/>
      <c r="E645" s="37"/>
      <c r="F645" s="38"/>
      <c r="G645" s="24" t="str">
        <f aca="false">IF(OR(C645="",D645="",N(E645)=0),"",E645*IF(F645="",IFERROR(N(INDEX(Produtos!$K$5:$K$54,MATCH(D645,Produtos!$B$5:$B$54,0))),0),F645))</f>
        <v/>
      </c>
      <c r="H645" s="24" t="str">
        <f aca="false">IF(G645="","",E645*IFERROR(N(INDEX(Produtos!$F$5:$F$54,MATCH(D645,Produtos!$B$5:$B$54,0))),0))</f>
        <v/>
      </c>
      <c r="I645" s="24" t="str">
        <f aca="false">IF(G645="","",G645-H645)</f>
        <v/>
      </c>
      <c r="J645" s="37"/>
    </row>
    <row r="646" customFormat="false" ht="21" hidden="false" customHeight="true" outlineLevel="0" collapsed="false">
      <c r="B646" s="36"/>
      <c r="C646" s="7"/>
      <c r="D646" s="7"/>
      <c r="E646" s="37"/>
      <c r="F646" s="38"/>
      <c r="G646" s="24" t="str">
        <f aca="false">IF(OR(C646="",D646="",N(E646)=0),"",E646*IF(F646="",IFERROR(N(INDEX(Produtos!$K$5:$K$54,MATCH(D646,Produtos!$B$5:$B$54,0))),0),F646))</f>
        <v/>
      </c>
      <c r="H646" s="24" t="str">
        <f aca="false">IF(G646="","",E646*IFERROR(N(INDEX(Produtos!$F$5:$F$54,MATCH(D646,Produtos!$B$5:$B$54,0))),0))</f>
        <v/>
      </c>
      <c r="I646" s="24" t="str">
        <f aca="false">IF(G646="","",G646-H646)</f>
        <v/>
      </c>
      <c r="J646" s="37"/>
    </row>
    <row r="647" customFormat="false" ht="21" hidden="false" customHeight="true" outlineLevel="0" collapsed="false">
      <c r="B647" s="36"/>
      <c r="C647" s="7"/>
      <c r="D647" s="7"/>
      <c r="E647" s="37"/>
      <c r="F647" s="38"/>
      <c r="G647" s="24" t="str">
        <f aca="false">IF(OR(C647="",D647="",N(E647)=0),"",E647*IF(F647="",IFERROR(N(INDEX(Produtos!$K$5:$K$54,MATCH(D647,Produtos!$B$5:$B$54,0))),0),F647))</f>
        <v/>
      </c>
      <c r="H647" s="24" t="str">
        <f aca="false">IF(G647="","",E647*IFERROR(N(INDEX(Produtos!$F$5:$F$54,MATCH(D647,Produtos!$B$5:$B$54,0))),0))</f>
        <v/>
      </c>
      <c r="I647" s="24" t="str">
        <f aca="false">IF(G647="","",G647-H647)</f>
        <v/>
      </c>
      <c r="J647" s="37"/>
    </row>
    <row r="648" customFormat="false" ht="21" hidden="false" customHeight="true" outlineLevel="0" collapsed="false">
      <c r="B648" s="36"/>
      <c r="C648" s="7"/>
      <c r="D648" s="7"/>
      <c r="E648" s="37"/>
      <c r="F648" s="38"/>
      <c r="G648" s="24" t="str">
        <f aca="false">IF(OR(C648="",D648="",N(E648)=0),"",E648*IF(F648="",IFERROR(N(INDEX(Produtos!$K$5:$K$54,MATCH(D648,Produtos!$B$5:$B$54,0))),0),F648))</f>
        <v/>
      </c>
      <c r="H648" s="24" t="str">
        <f aca="false">IF(G648="","",E648*IFERROR(N(INDEX(Produtos!$F$5:$F$54,MATCH(D648,Produtos!$B$5:$B$54,0))),0))</f>
        <v/>
      </c>
      <c r="I648" s="24" t="str">
        <f aca="false">IF(G648="","",G648-H648)</f>
        <v/>
      </c>
      <c r="J648" s="37"/>
    </row>
    <row r="649" customFormat="false" ht="21" hidden="false" customHeight="true" outlineLevel="0" collapsed="false">
      <c r="B649" s="36"/>
      <c r="C649" s="7"/>
      <c r="D649" s="7"/>
      <c r="E649" s="37"/>
      <c r="F649" s="38"/>
      <c r="G649" s="24" t="str">
        <f aca="false">IF(OR(C649="",D649="",N(E649)=0),"",E649*IF(F649="",IFERROR(N(INDEX(Produtos!$K$5:$K$54,MATCH(D649,Produtos!$B$5:$B$54,0))),0),F649))</f>
        <v/>
      </c>
      <c r="H649" s="24" t="str">
        <f aca="false">IF(G649="","",E649*IFERROR(N(INDEX(Produtos!$F$5:$F$54,MATCH(D649,Produtos!$B$5:$B$54,0))),0))</f>
        <v/>
      </c>
      <c r="I649" s="24" t="str">
        <f aca="false">IF(G649="","",G649-H649)</f>
        <v/>
      </c>
      <c r="J649" s="37"/>
    </row>
    <row r="650" customFormat="false" ht="21" hidden="false" customHeight="true" outlineLevel="0" collapsed="false">
      <c r="B650" s="36"/>
      <c r="C650" s="7"/>
      <c r="D650" s="7"/>
      <c r="E650" s="37"/>
      <c r="F650" s="38"/>
      <c r="G650" s="24" t="str">
        <f aca="false">IF(OR(C650="",D650="",N(E650)=0),"",E650*IF(F650="",IFERROR(N(INDEX(Produtos!$K$5:$K$54,MATCH(D650,Produtos!$B$5:$B$54,0))),0),F650))</f>
        <v/>
      </c>
      <c r="H650" s="24" t="str">
        <f aca="false">IF(G650="","",E650*IFERROR(N(INDEX(Produtos!$F$5:$F$54,MATCH(D650,Produtos!$B$5:$B$54,0))),0))</f>
        <v/>
      </c>
      <c r="I650" s="24" t="str">
        <f aca="false">IF(G650="","",G650-H650)</f>
        <v/>
      </c>
      <c r="J650" s="37"/>
    </row>
    <row r="651" customFormat="false" ht="21" hidden="false" customHeight="true" outlineLevel="0" collapsed="false">
      <c r="B651" s="36"/>
      <c r="C651" s="7"/>
      <c r="D651" s="7"/>
      <c r="E651" s="37"/>
      <c r="F651" s="38"/>
      <c r="G651" s="24" t="str">
        <f aca="false">IF(OR(C651="",D651="",N(E651)=0),"",E651*IF(F651="",IFERROR(N(INDEX(Produtos!$K$5:$K$54,MATCH(D651,Produtos!$B$5:$B$54,0))),0),F651))</f>
        <v/>
      </c>
      <c r="H651" s="24" t="str">
        <f aca="false">IF(G651="","",E651*IFERROR(N(INDEX(Produtos!$F$5:$F$54,MATCH(D651,Produtos!$B$5:$B$54,0))),0))</f>
        <v/>
      </c>
      <c r="I651" s="24" t="str">
        <f aca="false">IF(G651="","",G651-H651)</f>
        <v/>
      </c>
      <c r="J651" s="37"/>
    </row>
    <row r="652" customFormat="false" ht="21" hidden="false" customHeight="true" outlineLevel="0" collapsed="false">
      <c r="B652" s="36"/>
      <c r="C652" s="7"/>
      <c r="D652" s="7"/>
      <c r="E652" s="37"/>
      <c r="F652" s="38"/>
      <c r="G652" s="24" t="str">
        <f aca="false">IF(OR(C652="",D652="",N(E652)=0),"",E652*IF(F652="",IFERROR(N(INDEX(Produtos!$K$5:$K$54,MATCH(D652,Produtos!$B$5:$B$54,0))),0),F652))</f>
        <v/>
      </c>
      <c r="H652" s="24" t="str">
        <f aca="false">IF(G652="","",E652*IFERROR(N(INDEX(Produtos!$F$5:$F$54,MATCH(D652,Produtos!$B$5:$B$54,0))),0))</f>
        <v/>
      </c>
      <c r="I652" s="24" t="str">
        <f aca="false">IF(G652="","",G652-H652)</f>
        <v/>
      </c>
      <c r="J652" s="37"/>
    </row>
    <row r="653" customFormat="false" ht="21" hidden="false" customHeight="true" outlineLevel="0" collapsed="false">
      <c r="B653" s="36"/>
      <c r="C653" s="7"/>
      <c r="D653" s="7"/>
      <c r="E653" s="37"/>
      <c r="F653" s="38"/>
      <c r="G653" s="24" t="str">
        <f aca="false">IF(OR(C653="",D653="",N(E653)=0),"",E653*IF(F653="",IFERROR(N(INDEX(Produtos!$K$5:$K$54,MATCH(D653,Produtos!$B$5:$B$54,0))),0),F653))</f>
        <v/>
      </c>
      <c r="H653" s="24" t="str">
        <f aca="false">IF(G653="","",E653*IFERROR(N(INDEX(Produtos!$F$5:$F$54,MATCH(D653,Produtos!$B$5:$B$54,0))),0))</f>
        <v/>
      </c>
      <c r="I653" s="24" t="str">
        <f aca="false">IF(G653="","",G653-H653)</f>
        <v/>
      </c>
      <c r="J653" s="37"/>
    </row>
    <row r="654" customFormat="false" ht="21" hidden="false" customHeight="true" outlineLevel="0" collapsed="false">
      <c r="B654" s="36"/>
      <c r="C654" s="7"/>
      <c r="D654" s="7"/>
      <c r="E654" s="37"/>
      <c r="F654" s="38"/>
      <c r="G654" s="24" t="str">
        <f aca="false">IF(OR(C654="",D654="",N(E654)=0),"",E654*IF(F654="",IFERROR(N(INDEX(Produtos!$K$5:$K$54,MATCH(D654,Produtos!$B$5:$B$54,0))),0),F654))</f>
        <v/>
      </c>
      <c r="H654" s="24" t="str">
        <f aca="false">IF(G654="","",E654*IFERROR(N(INDEX(Produtos!$F$5:$F$54,MATCH(D654,Produtos!$B$5:$B$54,0))),0))</f>
        <v/>
      </c>
      <c r="I654" s="24" t="str">
        <f aca="false">IF(G654="","",G654-H654)</f>
        <v/>
      </c>
      <c r="J654" s="37"/>
    </row>
    <row r="655" customFormat="false" ht="21" hidden="false" customHeight="true" outlineLevel="0" collapsed="false">
      <c r="B655" s="36"/>
      <c r="C655" s="7"/>
      <c r="D655" s="7"/>
      <c r="E655" s="37"/>
      <c r="F655" s="38"/>
      <c r="G655" s="24" t="str">
        <f aca="false">IF(OR(C655="",D655="",N(E655)=0),"",E655*IF(F655="",IFERROR(N(INDEX(Produtos!$K$5:$K$54,MATCH(D655,Produtos!$B$5:$B$54,0))),0),F655))</f>
        <v/>
      </c>
      <c r="H655" s="24" t="str">
        <f aca="false">IF(G655="","",E655*IFERROR(N(INDEX(Produtos!$F$5:$F$54,MATCH(D655,Produtos!$B$5:$B$54,0))),0))</f>
        <v/>
      </c>
      <c r="I655" s="24" t="str">
        <f aca="false">IF(G655="","",G655-H655)</f>
        <v/>
      </c>
      <c r="J655" s="37"/>
    </row>
    <row r="656" customFormat="false" ht="21" hidden="false" customHeight="true" outlineLevel="0" collapsed="false">
      <c r="B656" s="36"/>
      <c r="C656" s="7"/>
      <c r="D656" s="7"/>
      <c r="E656" s="37"/>
      <c r="F656" s="38"/>
      <c r="G656" s="24" t="str">
        <f aca="false">IF(OR(C656="",D656="",N(E656)=0),"",E656*IF(F656="",IFERROR(N(INDEX(Produtos!$K$5:$K$54,MATCH(D656,Produtos!$B$5:$B$54,0))),0),F656))</f>
        <v/>
      </c>
      <c r="H656" s="24" t="str">
        <f aca="false">IF(G656="","",E656*IFERROR(N(INDEX(Produtos!$F$5:$F$54,MATCH(D656,Produtos!$B$5:$B$54,0))),0))</f>
        <v/>
      </c>
      <c r="I656" s="24" t="str">
        <f aca="false">IF(G656="","",G656-H656)</f>
        <v/>
      </c>
      <c r="J656" s="37"/>
    </row>
    <row r="657" customFormat="false" ht="21" hidden="false" customHeight="true" outlineLevel="0" collapsed="false">
      <c r="B657" s="36"/>
      <c r="C657" s="7"/>
      <c r="D657" s="7"/>
      <c r="E657" s="37"/>
      <c r="F657" s="38"/>
      <c r="G657" s="24" t="str">
        <f aca="false">IF(OR(C657="",D657="",N(E657)=0),"",E657*IF(F657="",IFERROR(N(INDEX(Produtos!$K$5:$K$54,MATCH(D657,Produtos!$B$5:$B$54,0))),0),F657))</f>
        <v/>
      </c>
      <c r="H657" s="24" t="str">
        <f aca="false">IF(G657="","",E657*IFERROR(N(INDEX(Produtos!$F$5:$F$54,MATCH(D657,Produtos!$B$5:$B$54,0))),0))</f>
        <v/>
      </c>
      <c r="I657" s="24" t="str">
        <f aca="false">IF(G657="","",G657-H657)</f>
        <v/>
      </c>
      <c r="J657" s="37"/>
    </row>
    <row r="658" customFormat="false" ht="21" hidden="false" customHeight="true" outlineLevel="0" collapsed="false">
      <c r="B658" s="36"/>
      <c r="C658" s="7"/>
      <c r="D658" s="7"/>
      <c r="E658" s="37"/>
      <c r="F658" s="38"/>
      <c r="G658" s="24" t="str">
        <f aca="false">IF(OR(C658="",D658="",N(E658)=0),"",E658*IF(F658="",IFERROR(N(INDEX(Produtos!$K$5:$K$54,MATCH(D658,Produtos!$B$5:$B$54,0))),0),F658))</f>
        <v/>
      </c>
      <c r="H658" s="24" t="str">
        <f aca="false">IF(G658="","",E658*IFERROR(N(INDEX(Produtos!$F$5:$F$54,MATCH(D658,Produtos!$B$5:$B$54,0))),0))</f>
        <v/>
      </c>
      <c r="I658" s="24" t="str">
        <f aca="false">IF(G658="","",G658-H658)</f>
        <v/>
      </c>
      <c r="J658" s="37"/>
    </row>
    <row r="659" customFormat="false" ht="21" hidden="false" customHeight="true" outlineLevel="0" collapsed="false">
      <c r="B659" s="36"/>
      <c r="C659" s="7"/>
      <c r="D659" s="7"/>
      <c r="E659" s="37"/>
      <c r="F659" s="38"/>
      <c r="G659" s="24" t="str">
        <f aca="false">IF(OR(C659="",D659="",N(E659)=0),"",E659*IF(F659="",IFERROR(N(INDEX(Produtos!$K$5:$K$54,MATCH(D659,Produtos!$B$5:$B$54,0))),0),F659))</f>
        <v/>
      </c>
      <c r="H659" s="24" t="str">
        <f aca="false">IF(G659="","",E659*IFERROR(N(INDEX(Produtos!$F$5:$F$54,MATCH(D659,Produtos!$B$5:$B$54,0))),0))</f>
        <v/>
      </c>
      <c r="I659" s="24" t="str">
        <f aca="false">IF(G659="","",G659-H659)</f>
        <v/>
      </c>
      <c r="J659" s="37"/>
    </row>
    <row r="660" customFormat="false" ht="21" hidden="false" customHeight="true" outlineLevel="0" collapsed="false">
      <c r="B660" s="36"/>
      <c r="C660" s="7"/>
      <c r="D660" s="7"/>
      <c r="E660" s="37"/>
      <c r="F660" s="38"/>
      <c r="G660" s="24" t="str">
        <f aca="false">IF(OR(C660="",D660="",N(E660)=0),"",E660*IF(F660="",IFERROR(N(INDEX(Produtos!$K$5:$K$54,MATCH(D660,Produtos!$B$5:$B$54,0))),0),F660))</f>
        <v/>
      </c>
      <c r="H660" s="24" t="str">
        <f aca="false">IF(G660="","",E660*IFERROR(N(INDEX(Produtos!$F$5:$F$54,MATCH(D660,Produtos!$B$5:$B$54,0))),0))</f>
        <v/>
      </c>
      <c r="I660" s="24" t="str">
        <f aca="false">IF(G660="","",G660-H660)</f>
        <v/>
      </c>
      <c r="J660" s="37"/>
    </row>
    <row r="661" customFormat="false" ht="21" hidden="false" customHeight="true" outlineLevel="0" collapsed="false">
      <c r="B661" s="36"/>
      <c r="C661" s="7"/>
      <c r="D661" s="7"/>
      <c r="E661" s="37"/>
      <c r="F661" s="38"/>
      <c r="G661" s="24" t="str">
        <f aca="false">IF(OR(C661="",D661="",N(E661)=0),"",E661*IF(F661="",IFERROR(N(INDEX(Produtos!$K$5:$K$54,MATCH(D661,Produtos!$B$5:$B$54,0))),0),F661))</f>
        <v/>
      </c>
      <c r="H661" s="24" t="str">
        <f aca="false">IF(G661="","",E661*IFERROR(N(INDEX(Produtos!$F$5:$F$54,MATCH(D661,Produtos!$B$5:$B$54,0))),0))</f>
        <v/>
      </c>
      <c r="I661" s="24" t="str">
        <f aca="false">IF(G661="","",G661-H661)</f>
        <v/>
      </c>
      <c r="J661" s="37"/>
    </row>
    <row r="662" customFormat="false" ht="21" hidden="false" customHeight="true" outlineLevel="0" collapsed="false">
      <c r="B662" s="36"/>
      <c r="C662" s="7"/>
      <c r="D662" s="7"/>
      <c r="E662" s="37"/>
      <c r="F662" s="38"/>
      <c r="G662" s="24" t="str">
        <f aca="false">IF(OR(C662="",D662="",N(E662)=0),"",E662*IF(F662="",IFERROR(N(INDEX(Produtos!$K$5:$K$54,MATCH(D662,Produtos!$B$5:$B$54,0))),0),F662))</f>
        <v/>
      </c>
      <c r="H662" s="24" t="str">
        <f aca="false">IF(G662="","",E662*IFERROR(N(INDEX(Produtos!$F$5:$F$54,MATCH(D662,Produtos!$B$5:$B$54,0))),0))</f>
        <v/>
      </c>
      <c r="I662" s="24" t="str">
        <f aca="false">IF(G662="","",G662-H662)</f>
        <v/>
      </c>
      <c r="J662" s="37"/>
    </row>
    <row r="663" customFormat="false" ht="21" hidden="false" customHeight="true" outlineLevel="0" collapsed="false">
      <c r="B663" s="36"/>
      <c r="C663" s="7"/>
      <c r="D663" s="7"/>
      <c r="E663" s="37"/>
      <c r="F663" s="38"/>
      <c r="G663" s="24" t="str">
        <f aca="false">IF(OR(C663="",D663="",N(E663)=0),"",E663*IF(F663="",IFERROR(N(INDEX(Produtos!$K$5:$K$54,MATCH(D663,Produtos!$B$5:$B$54,0))),0),F663))</f>
        <v/>
      </c>
      <c r="H663" s="24" t="str">
        <f aca="false">IF(G663="","",E663*IFERROR(N(INDEX(Produtos!$F$5:$F$54,MATCH(D663,Produtos!$B$5:$B$54,0))),0))</f>
        <v/>
      </c>
      <c r="I663" s="24" t="str">
        <f aca="false">IF(G663="","",G663-H663)</f>
        <v/>
      </c>
      <c r="J663" s="37"/>
    </row>
    <row r="664" customFormat="false" ht="21" hidden="false" customHeight="true" outlineLevel="0" collapsed="false">
      <c r="B664" s="36"/>
      <c r="C664" s="7"/>
      <c r="D664" s="7"/>
      <c r="E664" s="37"/>
      <c r="F664" s="38"/>
      <c r="G664" s="24" t="str">
        <f aca="false">IF(OR(C664="",D664="",N(E664)=0),"",E664*IF(F664="",IFERROR(N(INDEX(Produtos!$K$5:$K$54,MATCH(D664,Produtos!$B$5:$B$54,0))),0),F664))</f>
        <v/>
      </c>
      <c r="H664" s="24" t="str">
        <f aca="false">IF(G664="","",E664*IFERROR(N(INDEX(Produtos!$F$5:$F$54,MATCH(D664,Produtos!$B$5:$B$54,0))),0))</f>
        <v/>
      </c>
      <c r="I664" s="24" t="str">
        <f aca="false">IF(G664="","",G664-H664)</f>
        <v/>
      </c>
      <c r="J664" s="37"/>
    </row>
    <row r="665" customFormat="false" ht="21" hidden="false" customHeight="true" outlineLevel="0" collapsed="false">
      <c r="B665" s="36"/>
      <c r="C665" s="7"/>
      <c r="D665" s="7"/>
      <c r="E665" s="37"/>
      <c r="F665" s="38"/>
      <c r="G665" s="24" t="str">
        <f aca="false">IF(OR(C665="",D665="",N(E665)=0),"",E665*IF(F665="",IFERROR(N(INDEX(Produtos!$K$5:$K$54,MATCH(D665,Produtos!$B$5:$B$54,0))),0),F665))</f>
        <v/>
      </c>
      <c r="H665" s="24" t="str">
        <f aca="false">IF(G665="","",E665*IFERROR(N(INDEX(Produtos!$F$5:$F$54,MATCH(D665,Produtos!$B$5:$B$54,0))),0))</f>
        <v/>
      </c>
      <c r="I665" s="24" t="str">
        <f aca="false">IF(G665="","",G665-H665)</f>
        <v/>
      </c>
      <c r="J665" s="37"/>
    </row>
    <row r="666" customFormat="false" ht="21" hidden="false" customHeight="true" outlineLevel="0" collapsed="false">
      <c r="B666" s="36"/>
      <c r="C666" s="7"/>
      <c r="D666" s="7"/>
      <c r="E666" s="37"/>
      <c r="F666" s="38"/>
      <c r="G666" s="24" t="str">
        <f aca="false">IF(OR(C666="",D666="",N(E666)=0),"",E666*IF(F666="",IFERROR(N(INDEX(Produtos!$K$5:$K$54,MATCH(D666,Produtos!$B$5:$B$54,0))),0),F666))</f>
        <v/>
      </c>
      <c r="H666" s="24" t="str">
        <f aca="false">IF(G666="","",E666*IFERROR(N(INDEX(Produtos!$F$5:$F$54,MATCH(D666,Produtos!$B$5:$B$54,0))),0))</f>
        <v/>
      </c>
      <c r="I666" s="24" t="str">
        <f aca="false">IF(G666="","",G666-H666)</f>
        <v/>
      </c>
      <c r="J666" s="37"/>
    </row>
    <row r="667" customFormat="false" ht="21" hidden="false" customHeight="true" outlineLevel="0" collapsed="false">
      <c r="B667" s="36"/>
      <c r="C667" s="7"/>
      <c r="D667" s="7"/>
      <c r="E667" s="37"/>
      <c r="F667" s="38"/>
      <c r="G667" s="24" t="str">
        <f aca="false">IF(OR(C667="",D667="",N(E667)=0),"",E667*IF(F667="",IFERROR(N(INDEX(Produtos!$K$5:$K$54,MATCH(D667,Produtos!$B$5:$B$54,0))),0),F667))</f>
        <v/>
      </c>
      <c r="H667" s="24" t="str">
        <f aca="false">IF(G667="","",E667*IFERROR(N(INDEX(Produtos!$F$5:$F$54,MATCH(D667,Produtos!$B$5:$B$54,0))),0))</f>
        <v/>
      </c>
      <c r="I667" s="24" t="str">
        <f aca="false">IF(G667="","",G667-H667)</f>
        <v/>
      </c>
      <c r="J667" s="37"/>
    </row>
    <row r="668" customFormat="false" ht="21" hidden="false" customHeight="true" outlineLevel="0" collapsed="false">
      <c r="B668" s="36"/>
      <c r="C668" s="7"/>
      <c r="D668" s="7"/>
      <c r="E668" s="37"/>
      <c r="F668" s="38"/>
      <c r="G668" s="24" t="str">
        <f aca="false">IF(OR(C668="",D668="",N(E668)=0),"",E668*IF(F668="",IFERROR(N(INDEX(Produtos!$K$5:$K$54,MATCH(D668,Produtos!$B$5:$B$54,0))),0),F668))</f>
        <v/>
      </c>
      <c r="H668" s="24" t="str">
        <f aca="false">IF(G668="","",E668*IFERROR(N(INDEX(Produtos!$F$5:$F$54,MATCH(D668,Produtos!$B$5:$B$54,0))),0))</f>
        <v/>
      </c>
      <c r="I668" s="24" t="str">
        <f aca="false">IF(G668="","",G668-H668)</f>
        <v/>
      </c>
      <c r="J668" s="37"/>
    </row>
    <row r="669" customFormat="false" ht="21" hidden="false" customHeight="true" outlineLevel="0" collapsed="false">
      <c r="B669" s="36"/>
      <c r="C669" s="7"/>
      <c r="D669" s="7"/>
      <c r="E669" s="37"/>
      <c r="F669" s="38"/>
      <c r="G669" s="24" t="str">
        <f aca="false">IF(OR(C669="",D669="",N(E669)=0),"",E669*IF(F669="",IFERROR(N(INDEX(Produtos!$K$5:$K$54,MATCH(D669,Produtos!$B$5:$B$54,0))),0),F669))</f>
        <v/>
      </c>
      <c r="H669" s="24" t="str">
        <f aca="false">IF(G669="","",E669*IFERROR(N(INDEX(Produtos!$F$5:$F$54,MATCH(D669,Produtos!$B$5:$B$54,0))),0))</f>
        <v/>
      </c>
      <c r="I669" s="24" t="str">
        <f aca="false">IF(G669="","",G669-H669)</f>
        <v/>
      </c>
      <c r="J669" s="37"/>
    </row>
    <row r="670" customFormat="false" ht="21" hidden="false" customHeight="true" outlineLevel="0" collapsed="false">
      <c r="B670" s="36"/>
      <c r="C670" s="7"/>
      <c r="D670" s="7"/>
      <c r="E670" s="37"/>
      <c r="F670" s="38"/>
      <c r="G670" s="24" t="str">
        <f aca="false">IF(OR(C670="",D670="",N(E670)=0),"",E670*IF(F670="",IFERROR(N(INDEX(Produtos!$K$5:$K$54,MATCH(D670,Produtos!$B$5:$B$54,0))),0),F670))</f>
        <v/>
      </c>
      <c r="H670" s="24" t="str">
        <f aca="false">IF(G670="","",E670*IFERROR(N(INDEX(Produtos!$F$5:$F$54,MATCH(D670,Produtos!$B$5:$B$54,0))),0))</f>
        <v/>
      </c>
      <c r="I670" s="24" t="str">
        <f aca="false">IF(G670="","",G670-H670)</f>
        <v/>
      </c>
      <c r="J670" s="37"/>
    </row>
    <row r="671" customFormat="false" ht="21" hidden="false" customHeight="true" outlineLevel="0" collapsed="false">
      <c r="B671" s="36"/>
      <c r="C671" s="7"/>
      <c r="D671" s="7"/>
      <c r="E671" s="37"/>
      <c r="F671" s="38"/>
      <c r="G671" s="24" t="str">
        <f aca="false">IF(OR(C671="",D671="",N(E671)=0),"",E671*IF(F671="",IFERROR(N(INDEX(Produtos!$K$5:$K$54,MATCH(D671,Produtos!$B$5:$B$54,0))),0),F671))</f>
        <v/>
      </c>
      <c r="H671" s="24" t="str">
        <f aca="false">IF(G671="","",E671*IFERROR(N(INDEX(Produtos!$F$5:$F$54,MATCH(D671,Produtos!$B$5:$B$54,0))),0))</f>
        <v/>
      </c>
      <c r="I671" s="24" t="str">
        <f aca="false">IF(G671="","",G671-H671)</f>
        <v/>
      </c>
      <c r="J671" s="37"/>
    </row>
    <row r="672" customFormat="false" ht="21" hidden="false" customHeight="true" outlineLevel="0" collapsed="false">
      <c r="B672" s="36"/>
      <c r="C672" s="7"/>
      <c r="D672" s="7"/>
      <c r="E672" s="37"/>
      <c r="F672" s="38"/>
      <c r="G672" s="24" t="str">
        <f aca="false">IF(OR(C672="",D672="",N(E672)=0),"",E672*IF(F672="",IFERROR(N(INDEX(Produtos!$K$5:$K$54,MATCH(D672,Produtos!$B$5:$B$54,0))),0),F672))</f>
        <v/>
      </c>
      <c r="H672" s="24" t="str">
        <f aca="false">IF(G672="","",E672*IFERROR(N(INDEX(Produtos!$F$5:$F$54,MATCH(D672,Produtos!$B$5:$B$54,0))),0))</f>
        <v/>
      </c>
      <c r="I672" s="24" t="str">
        <f aca="false">IF(G672="","",G672-H672)</f>
        <v/>
      </c>
      <c r="J672" s="37"/>
    </row>
    <row r="673" customFormat="false" ht="21" hidden="false" customHeight="true" outlineLevel="0" collapsed="false">
      <c r="B673" s="36"/>
      <c r="C673" s="7"/>
      <c r="D673" s="7"/>
      <c r="E673" s="37"/>
      <c r="F673" s="38"/>
      <c r="G673" s="24" t="str">
        <f aca="false">IF(OR(C673="",D673="",N(E673)=0),"",E673*IF(F673="",IFERROR(N(INDEX(Produtos!$K$5:$K$54,MATCH(D673,Produtos!$B$5:$B$54,0))),0),F673))</f>
        <v/>
      </c>
      <c r="H673" s="24" t="str">
        <f aca="false">IF(G673="","",E673*IFERROR(N(INDEX(Produtos!$F$5:$F$54,MATCH(D673,Produtos!$B$5:$B$54,0))),0))</f>
        <v/>
      </c>
      <c r="I673" s="24" t="str">
        <f aca="false">IF(G673="","",G673-H673)</f>
        <v/>
      </c>
      <c r="J673" s="37"/>
    </row>
    <row r="674" customFormat="false" ht="21" hidden="false" customHeight="true" outlineLevel="0" collapsed="false">
      <c r="B674" s="36"/>
      <c r="C674" s="7"/>
      <c r="D674" s="7"/>
      <c r="E674" s="37"/>
      <c r="F674" s="38"/>
      <c r="G674" s="24" t="str">
        <f aca="false">IF(OR(C674="",D674="",N(E674)=0),"",E674*IF(F674="",IFERROR(N(INDEX(Produtos!$K$5:$K$54,MATCH(D674,Produtos!$B$5:$B$54,0))),0),F674))</f>
        <v/>
      </c>
      <c r="H674" s="24" t="str">
        <f aca="false">IF(G674="","",E674*IFERROR(N(INDEX(Produtos!$F$5:$F$54,MATCH(D674,Produtos!$B$5:$B$54,0))),0))</f>
        <v/>
      </c>
      <c r="I674" s="24" t="str">
        <f aca="false">IF(G674="","",G674-H674)</f>
        <v/>
      </c>
      <c r="J674" s="37"/>
    </row>
    <row r="675" customFormat="false" ht="21" hidden="false" customHeight="true" outlineLevel="0" collapsed="false">
      <c r="B675" s="36"/>
      <c r="C675" s="7"/>
      <c r="D675" s="7"/>
      <c r="E675" s="37"/>
      <c r="F675" s="38"/>
      <c r="G675" s="24" t="str">
        <f aca="false">IF(OR(C675="",D675="",N(E675)=0),"",E675*IF(F675="",IFERROR(N(INDEX(Produtos!$K$5:$K$54,MATCH(D675,Produtos!$B$5:$B$54,0))),0),F675))</f>
        <v/>
      </c>
      <c r="H675" s="24" t="str">
        <f aca="false">IF(G675="","",E675*IFERROR(N(INDEX(Produtos!$F$5:$F$54,MATCH(D675,Produtos!$B$5:$B$54,0))),0))</f>
        <v/>
      </c>
      <c r="I675" s="24" t="str">
        <f aca="false">IF(G675="","",G675-H675)</f>
        <v/>
      </c>
      <c r="J675" s="37"/>
    </row>
    <row r="676" customFormat="false" ht="21" hidden="false" customHeight="true" outlineLevel="0" collapsed="false">
      <c r="B676" s="36"/>
      <c r="C676" s="7"/>
      <c r="D676" s="7"/>
      <c r="E676" s="37"/>
      <c r="F676" s="38"/>
      <c r="G676" s="24" t="str">
        <f aca="false">IF(OR(C676="",D676="",N(E676)=0),"",E676*IF(F676="",IFERROR(N(INDEX(Produtos!$K$5:$K$54,MATCH(D676,Produtos!$B$5:$B$54,0))),0),F676))</f>
        <v/>
      </c>
      <c r="H676" s="24" t="str">
        <f aca="false">IF(G676="","",E676*IFERROR(N(INDEX(Produtos!$F$5:$F$54,MATCH(D676,Produtos!$B$5:$B$54,0))),0))</f>
        <v/>
      </c>
      <c r="I676" s="24" t="str">
        <f aca="false">IF(G676="","",G676-H676)</f>
        <v/>
      </c>
      <c r="J676" s="37"/>
    </row>
    <row r="677" customFormat="false" ht="21" hidden="false" customHeight="true" outlineLevel="0" collapsed="false">
      <c r="B677" s="36"/>
      <c r="C677" s="7"/>
      <c r="D677" s="7"/>
      <c r="E677" s="37"/>
      <c r="F677" s="38"/>
      <c r="G677" s="24" t="str">
        <f aca="false">IF(OR(C677="",D677="",N(E677)=0),"",E677*IF(F677="",IFERROR(N(INDEX(Produtos!$K$5:$K$54,MATCH(D677,Produtos!$B$5:$B$54,0))),0),F677))</f>
        <v/>
      </c>
      <c r="H677" s="24" t="str">
        <f aca="false">IF(G677="","",E677*IFERROR(N(INDEX(Produtos!$F$5:$F$54,MATCH(D677,Produtos!$B$5:$B$54,0))),0))</f>
        <v/>
      </c>
      <c r="I677" s="24" t="str">
        <f aca="false">IF(G677="","",G677-H677)</f>
        <v/>
      </c>
      <c r="J677" s="37"/>
    </row>
    <row r="678" customFormat="false" ht="21" hidden="false" customHeight="true" outlineLevel="0" collapsed="false">
      <c r="B678" s="36"/>
      <c r="C678" s="7"/>
      <c r="D678" s="7"/>
      <c r="E678" s="37"/>
      <c r="F678" s="38"/>
      <c r="G678" s="24" t="str">
        <f aca="false">IF(OR(C678="",D678="",N(E678)=0),"",E678*IF(F678="",IFERROR(N(INDEX(Produtos!$K$5:$K$54,MATCH(D678,Produtos!$B$5:$B$54,0))),0),F678))</f>
        <v/>
      </c>
      <c r="H678" s="24" t="str">
        <f aca="false">IF(G678="","",E678*IFERROR(N(INDEX(Produtos!$F$5:$F$54,MATCH(D678,Produtos!$B$5:$B$54,0))),0))</f>
        <v/>
      </c>
      <c r="I678" s="24" t="str">
        <f aca="false">IF(G678="","",G678-H678)</f>
        <v/>
      </c>
      <c r="J678" s="37"/>
    </row>
    <row r="679" customFormat="false" ht="21" hidden="false" customHeight="true" outlineLevel="0" collapsed="false">
      <c r="B679" s="36"/>
      <c r="C679" s="7"/>
      <c r="D679" s="7"/>
      <c r="E679" s="37"/>
      <c r="F679" s="38"/>
      <c r="G679" s="24" t="str">
        <f aca="false">IF(OR(C679="",D679="",N(E679)=0),"",E679*IF(F679="",IFERROR(N(INDEX(Produtos!$K$5:$K$54,MATCH(D679,Produtos!$B$5:$B$54,0))),0),F679))</f>
        <v/>
      </c>
      <c r="H679" s="24" t="str">
        <f aca="false">IF(G679="","",E679*IFERROR(N(INDEX(Produtos!$F$5:$F$54,MATCH(D679,Produtos!$B$5:$B$54,0))),0))</f>
        <v/>
      </c>
      <c r="I679" s="24" t="str">
        <f aca="false">IF(G679="","",G679-H679)</f>
        <v/>
      </c>
      <c r="J679" s="37"/>
    </row>
    <row r="680" customFormat="false" ht="21" hidden="false" customHeight="true" outlineLevel="0" collapsed="false">
      <c r="B680" s="36"/>
      <c r="C680" s="7"/>
      <c r="D680" s="7"/>
      <c r="E680" s="37"/>
      <c r="F680" s="38"/>
      <c r="G680" s="24" t="str">
        <f aca="false">IF(OR(C680="",D680="",N(E680)=0),"",E680*IF(F680="",IFERROR(N(INDEX(Produtos!$K$5:$K$54,MATCH(D680,Produtos!$B$5:$B$54,0))),0),F680))</f>
        <v/>
      </c>
      <c r="H680" s="24" t="str">
        <f aca="false">IF(G680="","",E680*IFERROR(N(INDEX(Produtos!$F$5:$F$54,MATCH(D680,Produtos!$B$5:$B$54,0))),0))</f>
        <v/>
      </c>
      <c r="I680" s="24" t="str">
        <f aca="false">IF(G680="","",G680-H680)</f>
        <v/>
      </c>
      <c r="J680" s="37"/>
    </row>
    <row r="681" customFormat="false" ht="21" hidden="false" customHeight="true" outlineLevel="0" collapsed="false">
      <c r="B681" s="36"/>
      <c r="C681" s="7"/>
      <c r="D681" s="7"/>
      <c r="E681" s="37"/>
      <c r="F681" s="38"/>
      <c r="G681" s="24" t="str">
        <f aca="false">IF(OR(C681="",D681="",N(E681)=0),"",E681*IF(F681="",IFERROR(N(INDEX(Produtos!$K$5:$K$54,MATCH(D681,Produtos!$B$5:$B$54,0))),0),F681))</f>
        <v/>
      </c>
      <c r="H681" s="24" t="str">
        <f aca="false">IF(G681="","",E681*IFERROR(N(INDEX(Produtos!$F$5:$F$54,MATCH(D681,Produtos!$B$5:$B$54,0))),0))</f>
        <v/>
      </c>
      <c r="I681" s="24" t="str">
        <f aca="false">IF(G681="","",G681-H681)</f>
        <v/>
      </c>
      <c r="J681" s="37"/>
    </row>
    <row r="682" customFormat="false" ht="21" hidden="false" customHeight="true" outlineLevel="0" collapsed="false">
      <c r="B682" s="36"/>
      <c r="C682" s="7"/>
      <c r="D682" s="7"/>
      <c r="E682" s="37"/>
      <c r="F682" s="38"/>
      <c r="G682" s="24" t="str">
        <f aca="false">IF(OR(C682="",D682="",N(E682)=0),"",E682*IF(F682="",IFERROR(N(INDEX(Produtos!$K$5:$K$54,MATCH(D682,Produtos!$B$5:$B$54,0))),0),F682))</f>
        <v/>
      </c>
      <c r="H682" s="24" t="str">
        <f aca="false">IF(G682="","",E682*IFERROR(N(INDEX(Produtos!$F$5:$F$54,MATCH(D682,Produtos!$B$5:$B$54,0))),0))</f>
        <v/>
      </c>
      <c r="I682" s="24" t="str">
        <f aca="false">IF(G682="","",G682-H682)</f>
        <v/>
      </c>
      <c r="J682" s="37"/>
    </row>
    <row r="683" customFormat="false" ht="21" hidden="false" customHeight="true" outlineLevel="0" collapsed="false">
      <c r="B683" s="36"/>
      <c r="C683" s="7"/>
      <c r="D683" s="7"/>
      <c r="E683" s="37"/>
      <c r="F683" s="38"/>
      <c r="G683" s="24" t="str">
        <f aca="false">IF(OR(C683="",D683="",N(E683)=0),"",E683*IF(F683="",IFERROR(N(INDEX(Produtos!$K$5:$K$54,MATCH(D683,Produtos!$B$5:$B$54,0))),0),F683))</f>
        <v/>
      </c>
      <c r="H683" s="24" t="str">
        <f aca="false">IF(G683="","",E683*IFERROR(N(INDEX(Produtos!$F$5:$F$54,MATCH(D683,Produtos!$B$5:$B$54,0))),0))</f>
        <v/>
      </c>
      <c r="I683" s="24" t="str">
        <f aca="false">IF(G683="","",G683-H683)</f>
        <v/>
      </c>
      <c r="J683" s="37"/>
    </row>
    <row r="684" customFormat="false" ht="21" hidden="false" customHeight="true" outlineLevel="0" collapsed="false">
      <c r="B684" s="36"/>
      <c r="C684" s="7"/>
      <c r="D684" s="7"/>
      <c r="E684" s="37"/>
      <c r="F684" s="38"/>
      <c r="G684" s="24" t="str">
        <f aca="false">IF(OR(C684="",D684="",N(E684)=0),"",E684*IF(F684="",IFERROR(N(INDEX(Produtos!$K$5:$K$54,MATCH(D684,Produtos!$B$5:$B$54,0))),0),F684))</f>
        <v/>
      </c>
      <c r="H684" s="24" t="str">
        <f aca="false">IF(G684="","",E684*IFERROR(N(INDEX(Produtos!$F$5:$F$54,MATCH(D684,Produtos!$B$5:$B$54,0))),0))</f>
        <v/>
      </c>
      <c r="I684" s="24" t="str">
        <f aca="false">IF(G684="","",G684-H684)</f>
        <v/>
      </c>
      <c r="J684" s="37"/>
    </row>
    <row r="685" customFormat="false" ht="21" hidden="false" customHeight="true" outlineLevel="0" collapsed="false">
      <c r="B685" s="36"/>
      <c r="C685" s="7"/>
      <c r="D685" s="7"/>
      <c r="E685" s="37"/>
      <c r="F685" s="38"/>
      <c r="G685" s="24" t="str">
        <f aca="false">IF(OR(C685="",D685="",N(E685)=0),"",E685*IF(F685="",IFERROR(N(INDEX(Produtos!$K$5:$K$54,MATCH(D685,Produtos!$B$5:$B$54,0))),0),F685))</f>
        <v/>
      </c>
      <c r="H685" s="24" t="str">
        <f aca="false">IF(G685="","",E685*IFERROR(N(INDEX(Produtos!$F$5:$F$54,MATCH(D685,Produtos!$B$5:$B$54,0))),0))</f>
        <v/>
      </c>
      <c r="I685" s="24" t="str">
        <f aca="false">IF(G685="","",G685-H685)</f>
        <v/>
      </c>
      <c r="J685" s="37"/>
    </row>
    <row r="686" customFormat="false" ht="21" hidden="false" customHeight="true" outlineLevel="0" collapsed="false">
      <c r="B686" s="36"/>
      <c r="C686" s="7"/>
      <c r="D686" s="7"/>
      <c r="E686" s="37"/>
      <c r="F686" s="38"/>
      <c r="G686" s="24" t="str">
        <f aca="false">IF(OR(C686="",D686="",N(E686)=0),"",E686*IF(F686="",IFERROR(N(INDEX(Produtos!$K$5:$K$54,MATCH(D686,Produtos!$B$5:$B$54,0))),0),F686))</f>
        <v/>
      </c>
      <c r="H686" s="24" t="str">
        <f aca="false">IF(G686="","",E686*IFERROR(N(INDEX(Produtos!$F$5:$F$54,MATCH(D686,Produtos!$B$5:$B$54,0))),0))</f>
        <v/>
      </c>
      <c r="I686" s="24" t="str">
        <f aca="false">IF(G686="","",G686-H686)</f>
        <v/>
      </c>
      <c r="J686" s="37"/>
    </row>
    <row r="687" customFormat="false" ht="21" hidden="false" customHeight="true" outlineLevel="0" collapsed="false">
      <c r="B687" s="36"/>
      <c r="C687" s="7"/>
      <c r="D687" s="7"/>
      <c r="E687" s="37"/>
      <c r="F687" s="38"/>
      <c r="G687" s="24" t="str">
        <f aca="false">IF(OR(C687="",D687="",N(E687)=0),"",E687*IF(F687="",IFERROR(N(INDEX(Produtos!$K$5:$K$54,MATCH(D687,Produtos!$B$5:$B$54,0))),0),F687))</f>
        <v/>
      </c>
      <c r="H687" s="24" t="str">
        <f aca="false">IF(G687="","",E687*IFERROR(N(INDEX(Produtos!$F$5:$F$54,MATCH(D687,Produtos!$B$5:$B$54,0))),0))</f>
        <v/>
      </c>
      <c r="I687" s="24" t="str">
        <f aca="false">IF(G687="","",G687-H687)</f>
        <v/>
      </c>
      <c r="J687" s="37"/>
    </row>
    <row r="688" customFormat="false" ht="21" hidden="false" customHeight="true" outlineLevel="0" collapsed="false">
      <c r="B688" s="36"/>
      <c r="C688" s="7"/>
      <c r="D688" s="7"/>
      <c r="E688" s="37"/>
      <c r="F688" s="38"/>
      <c r="G688" s="24" t="str">
        <f aca="false">IF(OR(C688="",D688="",N(E688)=0),"",E688*IF(F688="",IFERROR(N(INDEX(Produtos!$K$5:$K$54,MATCH(D688,Produtos!$B$5:$B$54,0))),0),F688))</f>
        <v/>
      </c>
      <c r="H688" s="24" t="str">
        <f aca="false">IF(G688="","",E688*IFERROR(N(INDEX(Produtos!$F$5:$F$54,MATCH(D688,Produtos!$B$5:$B$54,0))),0))</f>
        <v/>
      </c>
      <c r="I688" s="24" t="str">
        <f aca="false">IF(G688="","",G688-H688)</f>
        <v/>
      </c>
      <c r="J688" s="37"/>
    </row>
    <row r="689" customFormat="false" ht="21" hidden="false" customHeight="true" outlineLevel="0" collapsed="false">
      <c r="B689" s="36"/>
      <c r="C689" s="7"/>
      <c r="D689" s="7"/>
      <c r="E689" s="37"/>
      <c r="F689" s="38"/>
      <c r="G689" s="24" t="str">
        <f aca="false">IF(OR(C689="",D689="",N(E689)=0),"",E689*IF(F689="",IFERROR(N(INDEX(Produtos!$K$5:$K$54,MATCH(D689,Produtos!$B$5:$B$54,0))),0),F689))</f>
        <v/>
      </c>
      <c r="H689" s="24" t="str">
        <f aca="false">IF(G689="","",E689*IFERROR(N(INDEX(Produtos!$F$5:$F$54,MATCH(D689,Produtos!$B$5:$B$54,0))),0))</f>
        <v/>
      </c>
      <c r="I689" s="24" t="str">
        <f aca="false">IF(G689="","",G689-H689)</f>
        <v/>
      </c>
      <c r="J689" s="37"/>
    </row>
    <row r="690" customFormat="false" ht="21" hidden="false" customHeight="true" outlineLevel="0" collapsed="false">
      <c r="B690" s="36"/>
      <c r="C690" s="7"/>
      <c r="D690" s="7"/>
      <c r="E690" s="37"/>
      <c r="F690" s="38"/>
      <c r="G690" s="24" t="str">
        <f aca="false">IF(OR(C690="",D690="",N(E690)=0),"",E690*IF(F690="",IFERROR(N(INDEX(Produtos!$K$5:$K$54,MATCH(D690,Produtos!$B$5:$B$54,0))),0),F690))</f>
        <v/>
      </c>
      <c r="H690" s="24" t="str">
        <f aca="false">IF(G690="","",E690*IFERROR(N(INDEX(Produtos!$F$5:$F$54,MATCH(D690,Produtos!$B$5:$B$54,0))),0))</f>
        <v/>
      </c>
      <c r="I690" s="24" t="str">
        <f aca="false">IF(G690="","",G690-H690)</f>
        <v/>
      </c>
      <c r="J690" s="37"/>
    </row>
    <row r="691" customFormat="false" ht="21" hidden="false" customHeight="true" outlineLevel="0" collapsed="false">
      <c r="B691" s="36"/>
      <c r="C691" s="7"/>
      <c r="D691" s="7"/>
      <c r="E691" s="37"/>
      <c r="F691" s="38"/>
      <c r="G691" s="24" t="str">
        <f aca="false">IF(OR(C691="",D691="",N(E691)=0),"",E691*IF(F691="",IFERROR(N(INDEX(Produtos!$K$5:$K$54,MATCH(D691,Produtos!$B$5:$B$54,0))),0),F691))</f>
        <v/>
      </c>
      <c r="H691" s="24" t="str">
        <f aca="false">IF(G691="","",E691*IFERROR(N(INDEX(Produtos!$F$5:$F$54,MATCH(D691,Produtos!$B$5:$B$54,0))),0))</f>
        <v/>
      </c>
      <c r="I691" s="24" t="str">
        <f aca="false">IF(G691="","",G691-H691)</f>
        <v/>
      </c>
      <c r="J691" s="37"/>
    </row>
    <row r="692" customFormat="false" ht="21" hidden="false" customHeight="true" outlineLevel="0" collapsed="false">
      <c r="B692" s="36"/>
      <c r="C692" s="7"/>
      <c r="D692" s="7"/>
      <c r="E692" s="37"/>
      <c r="F692" s="38"/>
      <c r="G692" s="24" t="str">
        <f aca="false">IF(OR(C692="",D692="",N(E692)=0),"",E692*IF(F692="",IFERROR(N(INDEX(Produtos!$K$5:$K$54,MATCH(D692,Produtos!$B$5:$B$54,0))),0),F692))</f>
        <v/>
      </c>
      <c r="H692" s="24" t="str">
        <f aca="false">IF(G692="","",E692*IFERROR(N(INDEX(Produtos!$F$5:$F$54,MATCH(D692,Produtos!$B$5:$B$54,0))),0))</f>
        <v/>
      </c>
      <c r="I692" s="24" t="str">
        <f aca="false">IF(G692="","",G692-H692)</f>
        <v/>
      </c>
      <c r="J692" s="37"/>
    </row>
    <row r="693" customFormat="false" ht="21" hidden="false" customHeight="true" outlineLevel="0" collapsed="false">
      <c r="B693" s="36"/>
      <c r="C693" s="7"/>
      <c r="D693" s="7"/>
      <c r="E693" s="37"/>
      <c r="F693" s="38"/>
      <c r="G693" s="24" t="str">
        <f aca="false">IF(OR(C693="",D693="",N(E693)=0),"",E693*IF(F693="",IFERROR(N(INDEX(Produtos!$K$5:$K$54,MATCH(D693,Produtos!$B$5:$B$54,0))),0),F693))</f>
        <v/>
      </c>
      <c r="H693" s="24" t="str">
        <f aca="false">IF(G693="","",E693*IFERROR(N(INDEX(Produtos!$F$5:$F$54,MATCH(D693,Produtos!$B$5:$B$54,0))),0))</f>
        <v/>
      </c>
      <c r="I693" s="24" t="str">
        <f aca="false">IF(G693="","",G693-H693)</f>
        <v/>
      </c>
      <c r="J693" s="37"/>
    </row>
    <row r="694" customFormat="false" ht="21" hidden="false" customHeight="true" outlineLevel="0" collapsed="false">
      <c r="B694" s="36"/>
      <c r="C694" s="7"/>
      <c r="D694" s="7"/>
      <c r="E694" s="37"/>
      <c r="F694" s="38"/>
      <c r="G694" s="24" t="str">
        <f aca="false">IF(OR(C694="",D694="",N(E694)=0),"",E694*IF(F694="",IFERROR(N(INDEX(Produtos!$K$5:$K$54,MATCH(D694,Produtos!$B$5:$B$54,0))),0),F694))</f>
        <v/>
      </c>
      <c r="H694" s="24" t="str">
        <f aca="false">IF(G694="","",E694*IFERROR(N(INDEX(Produtos!$F$5:$F$54,MATCH(D694,Produtos!$B$5:$B$54,0))),0))</f>
        <v/>
      </c>
      <c r="I694" s="24" t="str">
        <f aca="false">IF(G694="","",G694-H694)</f>
        <v/>
      </c>
      <c r="J694" s="37"/>
    </row>
    <row r="695" customFormat="false" ht="21" hidden="false" customHeight="true" outlineLevel="0" collapsed="false">
      <c r="B695" s="36"/>
      <c r="C695" s="7"/>
      <c r="D695" s="7"/>
      <c r="E695" s="37"/>
      <c r="F695" s="38"/>
      <c r="G695" s="24" t="str">
        <f aca="false">IF(OR(C695="",D695="",N(E695)=0),"",E695*IF(F695="",IFERROR(N(INDEX(Produtos!$K$5:$K$54,MATCH(D695,Produtos!$B$5:$B$54,0))),0),F695))</f>
        <v/>
      </c>
      <c r="H695" s="24" t="str">
        <f aca="false">IF(G695="","",E695*IFERROR(N(INDEX(Produtos!$F$5:$F$54,MATCH(D695,Produtos!$B$5:$B$54,0))),0))</f>
        <v/>
      </c>
      <c r="I695" s="24" t="str">
        <f aca="false">IF(G695="","",G695-H695)</f>
        <v/>
      </c>
      <c r="J695" s="37"/>
    </row>
    <row r="696" customFormat="false" ht="21" hidden="false" customHeight="true" outlineLevel="0" collapsed="false">
      <c r="B696" s="36"/>
      <c r="C696" s="7"/>
      <c r="D696" s="7"/>
      <c r="E696" s="37"/>
      <c r="F696" s="38"/>
      <c r="G696" s="24" t="str">
        <f aca="false">IF(OR(C696="",D696="",N(E696)=0),"",E696*IF(F696="",IFERROR(N(INDEX(Produtos!$K$5:$K$54,MATCH(D696,Produtos!$B$5:$B$54,0))),0),F696))</f>
        <v/>
      </c>
      <c r="H696" s="24" t="str">
        <f aca="false">IF(G696="","",E696*IFERROR(N(INDEX(Produtos!$F$5:$F$54,MATCH(D696,Produtos!$B$5:$B$54,0))),0))</f>
        <v/>
      </c>
      <c r="I696" s="24" t="str">
        <f aca="false">IF(G696="","",G696-H696)</f>
        <v/>
      </c>
      <c r="J696" s="37"/>
    </row>
    <row r="697" customFormat="false" ht="21" hidden="false" customHeight="true" outlineLevel="0" collapsed="false">
      <c r="B697" s="36"/>
      <c r="C697" s="7"/>
      <c r="D697" s="7"/>
      <c r="E697" s="37"/>
      <c r="F697" s="38"/>
      <c r="G697" s="24" t="str">
        <f aca="false">IF(OR(C697="",D697="",N(E697)=0),"",E697*IF(F697="",IFERROR(N(INDEX(Produtos!$K$5:$K$54,MATCH(D697,Produtos!$B$5:$B$54,0))),0),F697))</f>
        <v/>
      </c>
      <c r="H697" s="24" t="str">
        <f aca="false">IF(G697="","",E697*IFERROR(N(INDEX(Produtos!$F$5:$F$54,MATCH(D697,Produtos!$B$5:$B$54,0))),0))</f>
        <v/>
      </c>
      <c r="I697" s="24" t="str">
        <f aca="false">IF(G697="","",G697-H697)</f>
        <v/>
      </c>
      <c r="J697" s="37"/>
    </row>
    <row r="698" customFormat="false" ht="21" hidden="false" customHeight="true" outlineLevel="0" collapsed="false">
      <c r="B698" s="36"/>
      <c r="C698" s="7"/>
      <c r="D698" s="7"/>
      <c r="E698" s="37"/>
      <c r="F698" s="38"/>
      <c r="G698" s="24" t="str">
        <f aca="false">IF(OR(C698="",D698="",N(E698)=0),"",E698*IF(F698="",IFERROR(N(INDEX(Produtos!$K$5:$K$54,MATCH(D698,Produtos!$B$5:$B$54,0))),0),F698))</f>
        <v/>
      </c>
      <c r="H698" s="24" t="str">
        <f aca="false">IF(G698="","",E698*IFERROR(N(INDEX(Produtos!$F$5:$F$54,MATCH(D698,Produtos!$B$5:$B$54,0))),0))</f>
        <v/>
      </c>
      <c r="I698" s="24" t="str">
        <f aca="false">IF(G698="","",G698-H698)</f>
        <v/>
      </c>
      <c r="J698" s="37"/>
    </row>
    <row r="699" customFormat="false" ht="21" hidden="false" customHeight="true" outlineLevel="0" collapsed="false">
      <c r="B699" s="36"/>
      <c r="C699" s="7"/>
      <c r="D699" s="7"/>
      <c r="E699" s="37"/>
      <c r="F699" s="38"/>
      <c r="G699" s="24" t="str">
        <f aca="false">IF(OR(C699="",D699="",N(E699)=0),"",E699*IF(F699="",IFERROR(N(INDEX(Produtos!$K$5:$K$54,MATCH(D699,Produtos!$B$5:$B$54,0))),0),F699))</f>
        <v/>
      </c>
      <c r="H699" s="24" t="str">
        <f aca="false">IF(G699="","",E699*IFERROR(N(INDEX(Produtos!$F$5:$F$54,MATCH(D699,Produtos!$B$5:$B$54,0))),0))</f>
        <v/>
      </c>
      <c r="I699" s="24" t="str">
        <f aca="false">IF(G699="","",G699-H699)</f>
        <v/>
      </c>
      <c r="J699" s="37"/>
    </row>
    <row r="700" customFormat="false" ht="21" hidden="false" customHeight="true" outlineLevel="0" collapsed="false">
      <c r="B700" s="36"/>
      <c r="C700" s="7"/>
      <c r="D700" s="7"/>
      <c r="E700" s="37"/>
      <c r="F700" s="38"/>
      <c r="G700" s="24" t="str">
        <f aca="false">IF(OR(C700="",D700="",N(E700)=0),"",E700*IF(F700="",IFERROR(N(INDEX(Produtos!$K$5:$K$54,MATCH(D700,Produtos!$B$5:$B$54,0))),0),F700))</f>
        <v/>
      </c>
      <c r="H700" s="24" t="str">
        <f aca="false">IF(G700="","",E700*IFERROR(N(INDEX(Produtos!$F$5:$F$54,MATCH(D700,Produtos!$B$5:$B$54,0))),0))</f>
        <v/>
      </c>
      <c r="I700" s="24" t="str">
        <f aca="false">IF(G700="","",G700-H700)</f>
        <v/>
      </c>
      <c r="J700" s="37"/>
    </row>
    <row r="701" customFormat="false" ht="21" hidden="false" customHeight="true" outlineLevel="0" collapsed="false">
      <c r="B701" s="36"/>
      <c r="C701" s="7"/>
      <c r="D701" s="7"/>
      <c r="E701" s="37"/>
      <c r="F701" s="38"/>
      <c r="G701" s="24" t="str">
        <f aca="false">IF(OR(C701="",D701="",N(E701)=0),"",E701*IF(F701="",IFERROR(N(INDEX(Produtos!$K$5:$K$54,MATCH(D701,Produtos!$B$5:$B$54,0))),0),F701))</f>
        <v/>
      </c>
      <c r="H701" s="24" t="str">
        <f aca="false">IF(G701="","",E701*IFERROR(N(INDEX(Produtos!$F$5:$F$54,MATCH(D701,Produtos!$B$5:$B$54,0))),0))</f>
        <v/>
      </c>
      <c r="I701" s="24" t="str">
        <f aca="false">IF(G701="","",G701-H701)</f>
        <v/>
      </c>
      <c r="J701" s="37"/>
    </row>
    <row r="702" customFormat="false" ht="21" hidden="false" customHeight="true" outlineLevel="0" collapsed="false">
      <c r="B702" s="36"/>
      <c r="C702" s="7"/>
      <c r="D702" s="7"/>
      <c r="E702" s="37"/>
      <c r="F702" s="38"/>
      <c r="G702" s="24" t="str">
        <f aca="false">IF(OR(C702="",D702="",N(E702)=0),"",E702*IF(F702="",IFERROR(N(INDEX(Produtos!$K$5:$K$54,MATCH(D702,Produtos!$B$5:$B$54,0))),0),F702))</f>
        <v/>
      </c>
      <c r="H702" s="24" t="str">
        <f aca="false">IF(G702="","",E702*IFERROR(N(INDEX(Produtos!$F$5:$F$54,MATCH(D702,Produtos!$B$5:$B$54,0))),0))</f>
        <v/>
      </c>
      <c r="I702" s="24" t="str">
        <f aca="false">IF(G702="","",G702-H702)</f>
        <v/>
      </c>
      <c r="J702" s="37"/>
    </row>
    <row r="703" customFormat="false" ht="21" hidden="false" customHeight="true" outlineLevel="0" collapsed="false">
      <c r="B703" s="36"/>
      <c r="C703" s="7"/>
      <c r="D703" s="7"/>
      <c r="E703" s="37"/>
      <c r="F703" s="38"/>
      <c r="G703" s="24" t="str">
        <f aca="false">IF(OR(C703="",D703="",N(E703)=0),"",E703*IF(F703="",IFERROR(N(INDEX(Produtos!$K$5:$K$54,MATCH(D703,Produtos!$B$5:$B$54,0))),0),F703))</f>
        <v/>
      </c>
      <c r="H703" s="24" t="str">
        <f aca="false">IF(G703="","",E703*IFERROR(N(INDEX(Produtos!$F$5:$F$54,MATCH(D703,Produtos!$B$5:$B$54,0))),0))</f>
        <v/>
      </c>
      <c r="I703" s="24" t="str">
        <f aca="false">IF(G703="","",G703-H703)</f>
        <v/>
      </c>
      <c r="J703" s="37"/>
    </row>
    <row r="704" customFormat="false" ht="21" hidden="false" customHeight="true" outlineLevel="0" collapsed="false">
      <c r="B704" s="36"/>
      <c r="C704" s="7"/>
      <c r="D704" s="7"/>
      <c r="E704" s="37"/>
      <c r="F704" s="38"/>
      <c r="G704" s="24" t="str">
        <f aca="false">IF(OR(C704="",D704="",N(E704)=0),"",E704*IF(F704="",IFERROR(N(INDEX(Produtos!$K$5:$K$54,MATCH(D704,Produtos!$B$5:$B$54,0))),0),F704))</f>
        <v/>
      </c>
      <c r="H704" s="24" t="str">
        <f aca="false">IF(G704="","",E704*IFERROR(N(INDEX(Produtos!$F$5:$F$54,MATCH(D704,Produtos!$B$5:$B$54,0))),0))</f>
        <v/>
      </c>
      <c r="I704" s="24" t="str">
        <f aca="false">IF(G704="","",G704-H704)</f>
        <v/>
      </c>
      <c r="J704" s="37"/>
    </row>
    <row r="705" customFormat="false" ht="21" hidden="false" customHeight="true" outlineLevel="0" collapsed="false">
      <c r="B705" s="36"/>
      <c r="C705" s="7"/>
      <c r="D705" s="7"/>
      <c r="E705" s="37"/>
      <c r="F705" s="38"/>
      <c r="G705" s="24" t="str">
        <f aca="false">IF(OR(C705="",D705="",N(E705)=0),"",E705*IF(F705="",IFERROR(N(INDEX(Produtos!$K$5:$K$54,MATCH(D705,Produtos!$B$5:$B$54,0))),0),F705))</f>
        <v/>
      </c>
      <c r="H705" s="24" t="str">
        <f aca="false">IF(G705="","",E705*IFERROR(N(INDEX(Produtos!$F$5:$F$54,MATCH(D705,Produtos!$B$5:$B$54,0))),0))</f>
        <v/>
      </c>
      <c r="I705" s="24" t="str">
        <f aca="false">IF(G705="","",G705-H705)</f>
        <v/>
      </c>
      <c r="J705" s="37"/>
    </row>
    <row r="706" customFormat="false" ht="21" hidden="false" customHeight="true" outlineLevel="0" collapsed="false">
      <c r="B706" s="36"/>
      <c r="C706" s="7"/>
      <c r="D706" s="7"/>
      <c r="E706" s="37"/>
      <c r="F706" s="38"/>
      <c r="G706" s="24" t="str">
        <f aca="false">IF(OR(C706="",D706="",N(E706)=0),"",E706*IF(F706="",IFERROR(N(INDEX(Produtos!$K$5:$K$54,MATCH(D706,Produtos!$B$5:$B$54,0))),0),F706))</f>
        <v/>
      </c>
      <c r="H706" s="24" t="str">
        <f aca="false">IF(G706="","",E706*IFERROR(N(INDEX(Produtos!$F$5:$F$54,MATCH(D706,Produtos!$B$5:$B$54,0))),0))</f>
        <v/>
      </c>
      <c r="I706" s="24" t="str">
        <f aca="false">IF(G706="","",G706-H706)</f>
        <v/>
      </c>
      <c r="J706" s="37"/>
    </row>
    <row r="707" customFormat="false" ht="21" hidden="false" customHeight="true" outlineLevel="0" collapsed="false">
      <c r="B707" s="36"/>
      <c r="C707" s="7"/>
      <c r="D707" s="7"/>
      <c r="E707" s="37"/>
      <c r="F707" s="38"/>
      <c r="G707" s="24" t="str">
        <f aca="false">IF(OR(C707="",D707="",N(E707)=0),"",E707*IF(F707="",IFERROR(N(INDEX(Produtos!$K$5:$K$54,MATCH(D707,Produtos!$B$5:$B$54,0))),0),F707))</f>
        <v/>
      </c>
      <c r="H707" s="24" t="str">
        <f aca="false">IF(G707="","",E707*IFERROR(N(INDEX(Produtos!$F$5:$F$54,MATCH(D707,Produtos!$B$5:$B$54,0))),0))</f>
        <v/>
      </c>
      <c r="I707" s="24" t="str">
        <f aca="false">IF(G707="","",G707-H707)</f>
        <v/>
      </c>
      <c r="J707" s="37"/>
    </row>
    <row r="708" customFormat="false" ht="21" hidden="false" customHeight="true" outlineLevel="0" collapsed="false">
      <c r="B708" s="36"/>
      <c r="C708" s="7"/>
      <c r="D708" s="7"/>
      <c r="E708" s="37"/>
      <c r="F708" s="38"/>
      <c r="G708" s="24" t="str">
        <f aca="false">IF(OR(C708="",D708="",N(E708)=0),"",E708*IF(F708="",IFERROR(N(INDEX(Produtos!$K$5:$K$54,MATCH(D708,Produtos!$B$5:$B$54,0))),0),F708))</f>
        <v/>
      </c>
      <c r="H708" s="24" t="str">
        <f aca="false">IF(G708="","",E708*IFERROR(N(INDEX(Produtos!$F$5:$F$54,MATCH(D708,Produtos!$B$5:$B$54,0))),0))</f>
        <v/>
      </c>
      <c r="I708" s="24" t="str">
        <f aca="false">IF(G708="","",G708-H708)</f>
        <v/>
      </c>
      <c r="J708" s="37"/>
    </row>
    <row r="709" customFormat="false" ht="21" hidden="false" customHeight="true" outlineLevel="0" collapsed="false">
      <c r="B709" s="36"/>
      <c r="C709" s="7"/>
      <c r="D709" s="7"/>
      <c r="E709" s="37"/>
      <c r="F709" s="38"/>
      <c r="G709" s="24" t="str">
        <f aca="false">IF(OR(C709="",D709="",N(E709)=0),"",E709*IF(F709="",IFERROR(N(INDEX(Produtos!$K$5:$K$54,MATCH(D709,Produtos!$B$5:$B$54,0))),0),F709))</f>
        <v/>
      </c>
      <c r="H709" s="24" t="str">
        <f aca="false">IF(G709="","",E709*IFERROR(N(INDEX(Produtos!$F$5:$F$54,MATCH(D709,Produtos!$B$5:$B$54,0))),0))</f>
        <v/>
      </c>
      <c r="I709" s="24" t="str">
        <f aca="false">IF(G709="","",G709-H709)</f>
        <v/>
      </c>
      <c r="J709" s="37"/>
    </row>
    <row r="710" customFormat="false" ht="21" hidden="false" customHeight="true" outlineLevel="0" collapsed="false">
      <c r="B710" s="36"/>
      <c r="C710" s="7"/>
      <c r="D710" s="7"/>
      <c r="E710" s="37"/>
      <c r="F710" s="38"/>
      <c r="G710" s="24" t="str">
        <f aca="false">IF(OR(C710="",D710="",N(E710)=0),"",E710*IF(F710="",IFERROR(N(INDEX(Produtos!$K$5:$K$54,MATCH(D710,Produtos!$B$5:$B$54,0))),0),F710))</f>
        <v/>
      </c>
      <c r="H710" s="24" t="str">
        <f aca="false">IF(G710="","",E710*IFERROR(N(INDEX(Produtos!$F$5:$F$54,MATCH(D710,Produtos!$B$5:$B$54,0))),0))</f>
        <v/>
      </c>
      <c r="I710" s="24" t="str">
        <f aca="false">IF(G710="","",G710-H710)</f>
        <v/>
      </c>
      <c r="J710" s="37"/>
    </row>
    <row r="711" customFormat="false" ht="21" hidden="false" customHeight="true" outlineLevel="0" collapsed="false">
      <c r="B711" s="36"/>
      <c r="C711" s="7"/>
      <c r="D711" s="7"/>
      <c r="E711" s="37"/>
      <c r="F711" s="38"/>
      <c r="G711" s="24" t="str">
        <f aca="false">IF(OR(C711="",D711="",N(E711)=0),"",E711*IF(F711="",IFERROR(N(INDEX(Produtos!$K$5:$K$54,MATCH(D711,Produtos!$B$5:$B$54,0))),0),F711))</f>
        <v/>
      </c>
      <c r="H711" s="24" t="str">
        <f aca="false">IF(G711="","",E711*IFERROR(N(INDEX(Produtos!$F$5:$F$54,MATCH(D711,Produtos!$B$5:$B$54,0))),0))</f>
        <v/>
      </c>
      <c r="I711" s="24" t="str">
        <f aca="false">IF(G711="","",G711-H711)</f>
        <v/>
      </c>
      <c r="J711" s="37"/>
    </row>
    <row r="712" customFormat="false" ht="21" hidden="false" customHeight="true" outlineLevel="0" collapsed="false">
      <c r="B712" s="36"/>
      <c r="C712" s="7"/>
      <c r="D712" s="7"/>
      <c r="E712" s="37"/>
      <c r="F712" s="38"/>
      <c r="G712" s="24" t="str">
        <f aca="false">IF(OR(C712="",D712="",N(E712)=0),"",E712*IF(F712="",IFERROR(N(INDEX(Produtos!$K$5:$K$54,MATCH(D712,Produtos!$B$5:$B$54,0))),0),F712))</f>
        <v/>
      </c>
      <c r="H712" s="24" t="str">
        <f aca="false">IF(G712="","",E712*IFERROR(N(INDEX(Produtos!$F$5:$F$54,MATCH(D712,Produtos!$B$5:$B$54,0))),0))</f>
        <v/>
      </c>
      <c r="I712" s="24" t="str">
        <f aca="false">IF(G712="","",G712-H712)</f>
        <v/>
      </c>
      <c r="J712" s="37"/>
    </row>
    <row r="713" customFormat="false" ht="21" hidden="false" customHeight="true" outlineLevel="0" collapsed="false">
      <c r="B713" s="36"/>
      <c r="C713" s="7"/>
      <c r="D713" s="7"/>
      <c r="E713" s="37"/>
      <c r="F713" s="38"/>
      <c r="G713" s="24" t="str">
        <f aca="false">IF(OR(C713="",D713="",N(E713)=0),"",E713*IF(F713="",IFERROR(N(INDEX(Produtos!$K$5:$K$54,MATCH(D713,Produtos!$B$5:$B$54,0))),0),F713))</f>
        <v/>
      </c>
      <c r="H713" s="24" t="str">
        <f aca="false">IF(G713="","",E713*IFERROR(N(INDEX(Produtos!$F$5:$F$54,MATCH(D713,Produtos!$B$5:$B$54,0))),0))</f>
        <v/>
      </c>
      <c r="I713" s="24" t="str">
        <f aca="false">IF(G713="","",G713-H713)</f>
        <v/>
      </c>
      <c r="J713" s="37"/>
    </row>
    <row r="714" customFormat="false" ht="21" hidden="false" customHeight="true" outlineLevel="0" collapsed="false">
      <c r="B714" s="36"/>
      <c r="C714" s="7"/>
      <c r="D714" s="7"/>
      <c r="E714" s="37"/>
      <c r="F714" s="38"/>
      <c r="G714" s="24" t="str">
        <f aca="false">IF(OR(C714="",D714="",N(E714)=0),"",E714*IF(F714="",IFERROR(N(INDEX(Produtos!$K$5:$K$54,MATCH(D714,Produtos!$B$5:$B$54,0))),0),F714))</f>
        <v/>
      </c>
      <c r="H714" s="24" t="str">
        <f aca="false">IF(G714="","",E714*IFERROR(N(INDEX(Produtos!$F$5:$F$54,MATCH(D714,Produtos!$B$5:$B$54,0))),0))</f>
        <v/>
      </c>
      <c r="I714" s="24" t="str">
        <f aca="false">IF(G714="","",G714-H714)</f>
        <v/>
      </c>
      <c r="J714" s="37"/>
    </row>
    <row r="715" customFormat="false" ht="21" hidden="false" customHeight="true" outlineLevel="0" collapsed="false">
      <c r="B715" s="36"/>
      <c r="C715" s="7"/>
      <c r="D715" s="7"/>
      <c r="E715" s="37"/>
      <c r="F715" s="38"/>
      <c r="G715" s="24" t="str">
        <f aca="false">IF(OR(C715="",D715="",N(E715)=0),"",E715*IF(F715="",IFERROR(N(INDEX(Produtos!$K$5:$K$54,MATCH(D715,Produtos!$B$5:$B$54,0))),0),F715))</f>
        <v/>
      </c>
      <c r="H715" s="24" t="str">
        <f aca="false">IF(G715="","",E715*IFERROR(N(INDEX(Produtos!$F$5:$F$54,MATCH(D715,Produtos!$B$5:$B$54,0))),0))</f>
        <v/>
      </c>
      <c r="I715" s="24" t="str">
        <f aca="false">IF(G715="","",G715-H715)</f>
        <v/>
      </c>
      <c r="J715" s="37"/>
    </row>
    <row r="716" customFormat="false" ht="21" hidden="false" customHeight="true" outlineLevel="0" collapsed="false">
      <c r="B716" s="36"/>
      <c r="C716" s="7"/>
      <c r="D716" s="7"/>
      <c r="E716" s="37"/>
      <c r="F716" s="38"/>
      <c r="G716" s="24" t="str">
        <f aca="false">IF(OR(C716="",D716="",N(E716)=0),"",E716*IF(F716="",IFERROR(N(INDEX(Produtos!$K$5:$K$54,MATCH(D716,Produtos!$B$5:$B$54,0))),0),F716))</f>
        <v/>
      </c>
      <c r="H716" s="24" t="str">
        <f aca="false">IF(G716="","",E716*IFERROR(N(INDEX(Produtos!$F$5:$F$54,MATCH(D716,Produtos!$B$5:$B$54,0))),0))</f>
        <v/>
      </c>
      <c r="I716" s="24" t="str">
        <f aca="false">IF(G716="","",G716-H716)</f>
        <v/>
      </c>
      <c r="J716" s="37"/>
    </row>
    <row r="717" customFormat="false" ht="21" hidden="false" customHeight="true" outlineLevel="0" collapsed="false">
      <c r="B717" s="36"/>
      <c r="C717" s="7"/>
      <c r="D717" s="7"/>
      <c r="E717" s="37"/>
      <c r="F717" s="38"/>
      <c r="G717" s="24" t="str">
        <f aca="false">IF(OR(C717="",D717="",N(E717)=0),"",E717*IF(F717="",IFERROR(N(INDEX(Produtos!$K$5:$K$54,MATCH(D717,Produtos!$B$5:$B$54,0))),0),F717))</f>
        <v/>
      </c>
      <c r="H717" s="24" t="str">
        <f aca="false">IF(G717="","",E717*IFERROR(N(INDEX(Produtos!$F$5:$F$54,MATCH(D717,Produtos!$B$5:$B$54,0))),0))</f>
        <v/>
      </c>
      <c r="I717" s="24" t="str">
        <f aca="false">IF(G717="","",G717-H717)</f>
        <v/>
      </c>
      <c r="J717" s="37"/>
    </row>
    <row r="718" customFormat="false" ht="21" hidden="false" customHeight="true" outlineLevel="0" collapsed="false">
      <c r="B718" s="36"/>
      <c r="C718" s="7"/>
      <c r="D718" s="7"/>
      <c r="E718" s="37"/>
      <c r="F718" s="38"/>
      <c r="G718" s="24" t="str">
        <f aca="false">IF(OR(C718="",D718="",N(E718)=0),"",E718*IF(F718="",IFERROR(N(INDEX(Produtos!$K$5:$K$54,MATCH(D718,Produtos!$B$5:$B$54,0))),0),F718))</f>
        <v/>
      </c>
      <c r="H718" s="24" t="str">
        <f aca="false">IF(G718="","",E718*IFERROR(N(INDEX(Produtos!$F$5:$F$54,MATCH(D718,Produtos!$B$5:$B$54,0))),0))</f>
        <v/>
      </c>
      <c r="I718" s="24" t="str">
        <f aca="false">IF(G718="","",G718-H718)</f>
        <v/>
      </c>
      <c r="J718" s="37"/>
    </row>
    <row r="719" customFormat="false" ht="21" hidden="false" customHeight="true" outlineLevel="0" collapsed="false">
      <c r="B719" s="36"/>
      <c r="C719" s="7"/>
      <c r="D719" s="7"/>
      <c r="E719" s="37"/>
      <c r="F719" s="38"/>
      <c r="G719" s="24" t="str">
        <f aca="false">IF(OR(C719="",D719="",N(E719)=0),"",E719*IF(F719="",IFERROR(N(INDEX(Produtos!$K$5:$K$54,MATCH(D719,Produtos!$B$5:$B$54,0))),0),F719))</f>
        <v/>
      </c>
      <c r="H719" s="24" t="str">
        <f aca="false">IF(G719="","",E719*IFERROR(N(INDEX(Produtos!$F$5:$F$54,MATCH(D719,Produtos!$B$5:$B$54,0))),0))</f>
        <v/>
      </c>
      <c r="I719" s="24" t="str">
        <f aca="false">IF(G719="","",G719-H719)</f>
        <v/>
      </c>
      <c r="J719" s="37"/>
    </row>
    <row r="720" customFormat="false" ht="21" hidden="false" customHeight="true" outlineLevel="0" collapsed="false">
      <c r="B720" s="36"/>
      <c r="C720" s="7"/>
      <c r="D720" s="7"/>
      <c r="E720" s="37"/>
      <c r="F720" s="38"/>
      <c r="G720" s="24" t="str">
        <f aca="false">IF(OR(C720="",D720="",N(E720)=0),"",E720*IF(F720="",IFERROR(N(INDEX(Produtos!$K$5:$K$54,MATCH(D720,Produtos!$B$5:$B$54,0))),0),F720))</f>
        <v/>
      </c>
      <c r="H720" s="24" t="str">
        <f aca="false">IF(G720="","",E720*IFERROR(N(INDEX(Produtos!$F$5:$F$54,MATCH(D720,Produtos!$B$5:$B$54,0))),0))</f>
        <v/>
      </c>
      <c r="I720" s="24" t="str">
        <f aca="false">IF(G720="","",G720-H720)</f>
        <v/>
      </c>
      <c r="J720" s="37"/>
    </row>
    <row r="721" customFormat="false" ht="21" hidden="false" customHeight="true" outlineLevel="0" collapsed="false">
      <c r="B721" s="36"/>
      <c r="C721" s="7"/>
      <c r="D721" s="7"/>
      <c r="E721" s="37"/>
      <c r="F721" s="38"/>
      <c r="G721" s="24" t="str">
        <f aca="false">IF(OR(C721="",D721="",N(E721)=0),"",E721*IF(F721="",IFERROR(N(INDEX(Produtos!$K$5:$K$54,MATCH(D721,Produtos!$B$5:$B$54,0))),0),F721))</f>
        <v/>
      </c>
      <c r="H721" s="24" t="str">
        <f aca="false">IF(G721="","",E721*IFERROR(N(INDEX(Produtos!$F$5:$F$54,MATCH(D721,Produtos!$B$5:$B$54,0))),0))</f>
        <v/>
      </c>
      <c r="I721" s="24" t="str">
        <f aca="false">IF(G721="","",G721-H721)</f>
        <v/>
      </c>
      <c r="J721" s="37"/>
    </row>
    <row r="722" customFormat="false" ht="21" hidden="false" customHeight="true" outlineLevel="0" collapsed="false">
      <c r="B722" s="36"/>
      <c r="C722" s="7"/>
      <c r="D722" s="7"/>
      <c r="E722" s="37"/>
      <c r="F722" s="38"/>
      <c r="G722" s="24" t="str">
        <f aca="false">IF(OR(C722="",D722="",N(E722)=0),"",E722*IF(F722="",IFERROR(N(INDEX(Produtos!$K$5:$K$54,MATCH(D722,Produtos!$B$5:$B$54,0))),0),F722))</f>
        <v/>
      </c>
      <c r="H722" s="24" t="str">
        <f aca="false">IF(G722="","",E722*IFERROR(N(INDEX(Produtos!$F$5:$F$54,MATCH(D722,Produtos!$B$5:$B$54,0))),0))</f>
        <v/>
      </c>
      <c r="I722" s="24" t="str">
        <f aca="false">IF(G722="","",G722-H722)</f>
        <v/>
      </c>
      <c r="J722" s="37"/>
    </row>
    <row r="723" customFormat="false" ht="21" hidden="false" customHeight="true" outlineLevel="0" collapsed="false">
      <c r="B723" s="36"/>
      <c r="C723" s="7"/>
      <c r="D723" s="7"/>
      <c r="E723" s="37"/>
      <c r="F723" s="38"/>
      <c r="G723" s="24" t="str">
        <f aca="false">IF(OR(C723="",D723="",N(E723)=0),"",E723*IF(F723="",IFERROR(N(INDEX(Produtos!$K$5:$K$54,MATCH(D723,Produtos!$B$5:$B$54,0))),0),F723))</f>
        <v/>
      </c>
      <c r="H723" s="24" t="str">
        <f aca="false">IF(G723="","",E723*IFERROR(N(INDEX(Produtos!$F$5:$F$54,MATCH(D723,Produtos!$B$5:$B$54,0))),0))</f>
        <v/>
      </c>
      <c r="I723" s="24" t="str">
        <f aca="false">IF(G723="","",G723-H723)</f>
        <v/>
      </c>
      <c r="J723" s="37"/>
    </row>
    <row r="724" customFormat="false" ht="21" hidden="false" customHeight="true" outlineLevel="0" collapsed="false">
      <c r="B724" s="36"/>
      <c r="C724" s="7"/>
      <c r="D724" s="7"/>
      <c r="E724" s="37"/>
      <c r="F724" s="38"/>
      <c r="G724" s="24" t="str">
        <f aca="false">IF(OR(C724="",D724="",N(E724)=0),"",E724*IF(F724="",IFERROR(N(INDEX(Produtos!$K$5:$K$54,MATCH(D724,Produtos!$B$5:$B$54,0))),0),F724))</f>
        <v/>
      </c>
      <c r="H724" s="24" t="str">
        <f aca="false">IF(G724="","",E724*IFERROR(N(INDEX(Produtos!$F$5:$F$54,MATCH(D724,Produtos!$B$5:$B$54,0))),0))</f>
        <v/>
      </c>
      <c r="I724" s="24" t="str">
        <f aca="false">IF(G724="","",G724-H724)</f>
        <v/>
      </c>
      <c r="J724" s="37"/>
    </row>
    <row r="725" customFormat="false" ht="21" hidden="false" customHeight="true" outlineLevel="0" collapsed="false">
      <c r="B725" s="36"/>
      <c r="C725" s="7"/>
      <c r="D725" s="7"/>
      <c r="E725" s="37"/>
      <c r="F725" s="38"/>
      <c r="G725" s="24" t="str">
        <f aca="false">IF(OR(C725="",D725="",N(E725)=0),"",E725*IF(F725="",IFERROR(N(INDEX(Produtos!$K$5:$K$54,MATCH(D725,Produtos!$B$5:$B$54,0))),0),F725))</f>
        <v/>
      </c>
      <c r="H725" s="24" t="str">
        <f aca="false">IF(G725="","",E725*IFERROR(N(INDEX(Produtos!$F$5:$F$54,MATCH(D725,Produtos!$B$5:$B$54,0))),0))</f>
        <v/>
      </c>
      <c r="I725" s="24" t="str">
        <f aca="false">IF(G725="","",G725-H725)</f>
        <v/>
      </c>
      <c r="J725" s="37"/>
    </row>
    <row r="726" customFormat="false" ht="21" hidden="false" customHeight="true" outlineLevel="0" collapsed="false">
      <c r="B726" s="36"/>
      <c r="C726" s="7"/>
      <c r="D726" s="7"/>
      <c r="E726" s="37"/>
      <c r="F726" s="38"/>
      <c r="G726" s="24" t="str">
        <f aca="false">IF(OR(C726="",D726="",N(E726)=0),"",E726*IF(F726="",IFERROR(N(INDEX(Produtos!$K$5:$K$54,MATCH(D726,Produtos!$B$5:$B$54,0))),0),F726))</f>
        <v/>
      </c>
      <c r="H726" s="24" t="str">
        <f aca="false">IF(G726="","",E726*IFERROR(N(INDEX(Produtos!$F$5:$F$54,MATCH(D726,Produtos!$B$5:$B$54,0))),0))</f>
        <v/>
      </c>
      <c r="I726" s="24" t="str">
        <f aca="false">IF(G726="","",G726-H726)</f>
        <v/>
      </c>
      <c r="J726" s="37"/>
    </row>
    <row r="727" customFormat="false" ht="21" hidden="false" customHeight="true" outlineLevel="0" collapsed="false">
      <c r="B727" s="36"/>
      <c r="C727" s="7"/>
      <c r="D727" s="7"/>
      <c r="E727" s="37"/>
      <c r="F727" s="38"/>
      <c r="G727" s="24" t="str">
        <f aca="false">IF(OR(C727="",D727="",N(E727)=0),"",E727*IF(F727="",IFERROR(N(INDEX(Produtos!$K$5:$K$54,MATCH(D727,Produtos!$B$5:$B$54,0))),0),F727))</f>
        <v/>
      </c>
      <c r="H727" s="24" t="str">
        <f aca="false">IF(G727="","",E727*IFERROR(N(INDEX(Produtos!$F$5:$F$54,MATCH(D727,Produtos!$B$5:$B$54,0))),0))</f>
        <v/>
      </c>
      <c r="I727" s="24" t="str">
        <f aca="false">IF(G727="","",G727-H727)</f>
        <v/>
      </c>
      <c r="J727" s="37"/>
    </row>
    <row r="728" customFormat="false" ht="21" hidden="false" customHeight="true" outlineLevel="0" collapsed="false">
      <c r="B728" s="36"/>
      <c r="C728" s="7"/>
      <c r="D728" s="7"/>
      <c r="E728" s="37"/>
      <c r="F728" s="38"/>
      <c r="G728" s="24" t="str">
        <f aca="false">IF(OR(C728="",D728="",N(E728)=0),"",E728*IF(F728="",IFERROR(N(INDEX(Produtos!$K$5:$K$54,MATCH(D728,Produtos!$B$5:$B$54,0))),0),F728))</f>
        <v/>
      </c>
      <c r="H728" s="24" t="str">
        <f aca="false">IF(G728="","",E728*IFERROR(N(INDEX(Produtos!$F$5:$F$54,MATCH(D728,Produtos!$B$5:$B$54,0))),0))</f>
        <v/>
      </c>
      <c r="I728" s="24" t="str">
        <f aca="false">IF(G728="","",G728-H728)</f>
        <v/>
      </c>
      <c r="J728" s="37"/>
    </row>
    <row r="729" customFormat="false" ht="21" hidden="false" customHeight="true" outlineLevel="0" collapsed="false">
      <c r="B729" s="36"/>
      <c r="C729" s="7"/>
      <c r="D729" s="7"/>
      <c r="E729" s="37"/>
      <c r="F729" s="38"/>
      <c r="G729" s="24" t="str">
        <f aca="false">IF(OR(C729="",D729="",N(E729)=0),"",E729*IF(F729="",IFERROR(N(INDEX(Produtos!$K$5:$K$54,MATCH(D729,Produtos!$B$5:$B$54,0))),0),F729))</f>
        <v/>
      </c>
      <c r="H729" s="24" t="str">
        <f aca="false">IF(G729="","",E729*IFERROR(N(INDEX(Produtos!$F$5:$F$54,MATCH(D729,Produtos!$B$5:$B$54,0))),0))</f>
        <v/>
      </c>
      <c r="I729" s="24" t="str">
        <f aca="false">IF(G729="","",G729-H729)</f>
        <v/>
      </c>
      <c r="J729" s="37"/>
    </row>
    <row r="730" customFormat="false" ht="21" hidden="false" customHeight="true" outlineLevel="0" collapsed="false">
      <c r="B730" s="36"/>
      <c r="C730" s="7"/>
      <c r="D730" s="7"/>
      <c r="E730" s="37"/>
      <c r="F730" s="38"/>
      <c r="G730" s="24" t="str">
        <f aca="false">IF(OR(C730="",D730="",N(E730)=0),"",E730*IF(F730="",IFERROR(N(INDEX(Produtos!$K$5:$K$54,MATCH(D730,Produtos!$B$5:$B$54,0))),0),F730))</f>
        <v/>
      </c>
      <c r="H730" s="24" t="str">
        <f aca="false">IF(G730="","",E730*IFERROR(N(INDEX(Produtos!$F$5:$F$54,MATCH(D730,Produtos!$B$5:$B$54,0))),0))</f>
        <v/>
      </c>
      <c r="I730" s="24" t="str">
        <f aca="false">IF(G730="","",G730-H730)</f>
        <v/>
      </c>
      <c r="J730" s="37"/>
    </row>
    <row r="731" customFormat="false" ht="21" hidden="false" customHeight="true" outlineLevel="0" collapsed="false">
      <c r="B731" s="36"/>
      <c r="C731" s="7"/>
      <c r="D731" s="7"/>
      <c r="E731" s="37"/>
      <c r="F731" s="38"/>
      <c r="G731" s="24" t="str">
        <f aca="false">IF(OR(C731="",D731="",N(E731)=0),"",E731*IF(F731="",IFERROR(N(INDEX(Produtos!$K$5:$K$54,MATCH(D731,Produtos!$B$5:$B$54,0))),0),F731))</f>
        <v/>
      </c>
      <c r="H731" s="24" t="str">
        <f aca="false">IF(G731="","",E731*IFERROR(N(INDEX(Produtos!$F$5:$F$54,MATCH(D731,Produtos!$B$5:$B$54,0))),0))</f>
        <v/>
      </c>
      <c r="I731" s="24" t="str">
        <f aca="false">IF(G731="","",G731-H731)</f>
        <v/>
      </c>
      <c r="J731" s="37"/>
    </row>
    <row r="732" customFormat="false" ht="21" hidden="false" customHeight="true" outlineLevel="0" collapsed="false">
      <c r="B732" s="36"/>
      <c r="C732" s="7"/>
      <c r="D732" s="7"/>
      <c r="E732" s="37"/>
      <c r="F732" s="38"/>
      <c r="G732" s="24" t="str">
        <f aca="false">IF(OR(C732="",D732="",N(E732)=0),"",E732*IF(F732="",IFERROR(N(INDEX(Produtos!$K$5:$K$54,MATCH(D732,Produtos!$B$5:$B$54,0))),0),F732))</f>
        <v/>
      </c>
      <c r="H732" s="24" t="str">
        <f aca="false">IF(G732="","",E732*IFERROR(N(INDEX(Produtos!$F$5:$F$54,MATCH(D732,Produtos!$B$5:$B$54,0))),0))</f>
        <v/>
      </c>
      <c r="I732" s="24" t="str">
        <f aca="false">IF(G732="","",G732-H732)</f>
        <v/>
      </c>
      <c r="J732" s="37"/>
    </row>
    <row r="733" customFormat="false" ht="21" hidden="false" customHeight="true" outlineLevel="0" collapsed="false">
      <c r="B733" s="36"/>
      <c r="C733" s="7"/>
      <c r="D733" s="7"/>
      <c r="E733" s="37"/>
      <c r="F733" s="38"/>
      <c r="G733" s="24" t="str">
        <f aca="false">IF(OR(C733="",D733="",N(E733)=0),"",E733*IF(F733="",IFERROR(N(INDEX(Produtos!$K$5:$K$54,MATCH(D733,Produtos!$B$5:$B$54,0))),0),F733))</f>
        <v/>
      </c>
      <c r="H733" s="24" t="str">
        <f aca="false">IF(G733="","",E733*IFERROR(N(INDEX(Produtos!$F$5:$F$54,MATCH(D733,Produtos!$B$5:$B$54,0))),0))</f>
        <v/>
      </c>
      <c r="I733" s="24" t="str">
        <f aca="false">IF(G733="","",G733-H733)</f>
        <v/>
      </c>
      <c r="J733" s="37"/>
    </row>
    <row r="734" customFormat="false" ht="21" hidden="false" customHeight="true" outlineLevel="0" collapsed="false">
      <c r="B734" s="36"/>
      <c r="C734" s="7"/>
      <c r="D734" s="7"/>
      <c r="E734" s="37"/>
      <c r="F734" s="38"/>
      <c r="G734" s="24" t="str">
        <f aca="false">IF(OR(C734="",D734="",N(E734)=0),"",E734*IF(F734="",IFERROR(N(INDEX(Produtos!$K$5:$K$54,MATCH(D734,Produtos!$B$5:$B$54,0))),0),F734))</f>
        <v/>
      </c>
      <c r="H734" s="24" t="str">
        <f aca="false">IF(G734="","",E734*IFERROR(N(INDEX(Produtos!$F$5:$F$54,MATCH(D734,Produtos!$B$5:$B$54,0))),0))</f>
        <v/>
      </c>
      <c r="I734" s="24" t="str">
        <f aca="false">IF(G734="","",G734-H734)</f>
        <v/>
      </c>
      <c r="J734" s="37"/>
    </row>
    <row r="735" customFormat="false" ht="21" hidden="false" customHeight="true" outlineLevel="0" collapsed="false">
      <c r="B735" s="36"/>
      <c r="C735" s="7"/>
      <c r="D735" s="7"/>
      <c r="E735" s="37"/>
      <c r="F735" s="38"/>
      <c r="G735" s="24" t="str">
        <f aca="false">IF(OR(C735="",D735="",N(E735)=0),"",E735*IF(F735="",IFERROR(N(INDEX(Produtos!$K$5:$K$54,MATCH(D735,Produtos!$B$5:$B$54,0))),0),F735))</f>
        <v/>
      </c>
      <c r="H735" s="24" t="str">
        <f aca="false">IF(G735="","",E735*IFERROR(N(INDEX(Produtos!$F$5:$F$54,MATCH(D735,Produtos!$B$5:$B$54,0))),0))</f>
        <v/>
      </c>
      <c r="I735" s="24" t="str">
        <f aca="false">IF(G735="","",G735-H735)</f>
        <v/>
      </c>
      <c r="J735" s="37"/>
    </row>
    <row r="736" customFormat="false" ht="21" hidden="false" customHeight="true" outlineLevel="0" collapsed="false">
      <c r="B736" s="36"/>
      <c r="C736" s="7"/>
      <c r="D736" s="7"/>
      <c r="E736" s="37"/>
      <c r="F736" s="38"/>
      <c r="G736" s="24" t="str">
        <f aca="false">IF(OR(C736="",D736="",N(E736)=0),"",E736*IF(F736="",IFERROR(N(INDEX(Produtos!$K$5:$K$54,MATCH(D736,Produtos!$B$5:$B$54,0))),0),F736))</f>
        <v/>
      </c>
      <c r="H736" s="24" t="str">
        <f aca="false">IF(G736="","",E736*IFERROR(N(INDEX(Produtos!$F$5:$F$54,MATCH(D736,Produtos!$B$5:$B$54,0))),0))</f>
        <v/>
      </c>
      <c r="I736" s="24" t="str">
        <f aca="false">IF(G736="","",G736-H736)</f>
        <v/>
      </c>
      <c r="J736" s="37"/>
    </row>
    <row r="737" customFormat="false" ht="21" hidden="false" customHeight="true" outlineLevel="0" collapsed="false">
      <c r="B737" s="36"/>
      <c r="C737" s="7"/>
      <c r="D737" s="7"/>
      <c r="E737" s="37"/>
      <c r="F737" s="38"/>
      <c r="G737" s="24" t="str">
        <f aca="false">IF(OR(C737="",D737="",N(E737)=0),"",E737*IF(F737="",IFERROR(N(INDEX(Produtos!$K$5:$K$54,MATCH(D737,Produtos!$B$5:$B$54,0))),0),F737))</f>
        <v/>
      </c>
      <c r="H737" s="24" t="str">
        <f aca="false">IF(G737="","",E737*IFERROR(N(INDEX(Produtos!$F$5:$F$54,MATCH(D737,Produtos!$B$5:$B$54,0))),0))</f>
        <v/>
      </c>
      <c r="I737" s="24" t="str">
        <f aca="false">IF(G737="","",G737-H737)</f>
        <v/>
      </c>
      <c r="J737" s="37"/>
    </row>
    <row r="738" customFormat="false" ht="21" hidden="false" customHeight="true" outlineLevel="0" collapsed="false">
      <c r="B738" s="36"/>
      <c r="C738" s="7"/>
      <c r="D738" s="7"/>
      <c r="E738" s="37"/>
      <c r="F738" s="38"/>
      <c r="G738" s="24" t="str">
        <f aca="false">IF(OR(C738="",D738="",N(E738)=0),"",E738*IF(F738="",IFERROR(N(INDEX(Produtos!$K$5:$K$54,MATCH(D738,Produtos!$B$5:$B$54,0))),0),F738))</f>
        <v/>
      </c>
      <c r="H738" s="24" t="str">
        <f aca="false">IF(G738="","",E738*IFERROR(N(INDEX(Produtos!$F$5:$F$54,MATCH(D738,Produtos!$B$5:$B$54,0))),0))</f>
        <v/>
      </c>
      <c r="I738" s="24" t="str">
        <f aca="false">IF(G738="","",G738-H738)</f>
        <v/>
      </c>
      <c r="J738" s="37"/>
    </row>
    <row r="739" customFormat="false" ht="21" hidden="false" customHeight="true" outlineLevel="0" collapsed="false">
      <c r="B739" s="36"/>
      <c r="C739" s="7"/>
      <c r="D739" s="7"/>
      <c r="E739" s="37"/>
      <c r="F739" s="38"/>
      <c r="G739" s="24" t="str">
        <f aca="false">IF(OR(C739="",D739="",N(E739)=0),"",E739*IF(F739="",IFERROR(N(INDEX(Produtos!$K$5:$K$54,MATCH(D739,Produtos!$B$5:$B$54,0))),0),F739))</f>
        <v/>
      </c>
      <c r="H739" s="24" t="str">
        <f aca="false">IF(G739="","",E739*IFERROR(N(INDEX(Produtos!$F$5:$F$54,MATCH(D739,Produtos!$B$5:$B$54,0))),0))</f>
        <v/>
      </c>
      <c r="I739" s="24" t="str">
        <f aca="false">IF(G739="","",G739-H739)</f>
        <v/>
      </c>
      <c r="J739" s="37"/>
    </row>
    <row r="740" customFormat="false" ht="21" hidden="false" customHeight="true" outlineLevel="0" collapsed="false">
      <c r="B740" s="36"/>
      <c r="C740" s="7"/>
      <c r="D740" s="7"/>
      <c r="E740" s="37"/>
      <c r="F740" s="38"/>
      <c r="G740" s="24" t="str">
        <f aca="false">IF(OR(C740="",D740="",N(E740)=0),"",E740*IF(F740="",IFERROR(N(INDEX(Produtos!$K$5:$K$54,MATCH(D740,Produtos!$B$5:$B$54,0))),0),F740))</f>
        <v/>
      </c>
      <c r="H740" s="24" t="str">
        <f aca="false">IF(G740="","",E740*IFERROR(N(INDEX(Produtos!$F$5:$F$54,MATCH(D740,Produtos!$B$5:$B$54,0))),0))</f>
        <v/>
      </c>
      <c r="I740" s="24" t="str">
        <f aca="false">IF(G740="","",G740-H740)</f>
        <v/>
      </c>
      <c r="J740" s="37"/>
    </row>
    <row r="741" customFormat="false" ht="21" hidden="false" customHeight="true" outlineLevel="0" collapsed="false">
      <c r="B741" s="36"/>
      <c r="C741" s="7"/>
      <c r="D741" s="7"/>
      <c r="E741" s="37"/>
      <c r="F741" s="38"/>
      <c r="G741" s="24" t="str">
        <f aca="false">IF(OR(C741="",D741="",N(E741)=0),"",E741*IF(F741="",IFERROR(N(INDEX(Produtos!$K$5:$K$54,MATCH(D741,Produtos!$B$5:$B$54,0))),0),F741))</f>
        <v/>
      </c>
      <c r="H741" s="24" t="str">
        <f aca="false">IF(G741="","",E741*IFERROR(N(INDEX(Produtos!$F$5:$F$54,MATCH(D741,Produtos!$B$5:$B$54,0))),0))</f>
        <v/>
      </c>
      <c r="I741" s="24" t="str">
        <f aca="false">IF(G741="","",G741-H741)</f>
        <v/>
      </c>
      <c r="J741" s="37"/>
    </row>
    <row r="742" customFormat="false" ht="21" hidden="false" customHeight="true" outlineLevel="0" collapsed="false">
      <c r="B742" s="36"/>
      <c r="C742" s="7"/>
      <c r="D742" s="7"/>
      <c r="E742" s="37"/>
      <c r="F742" s="38"/>
      <c r="G742" s="24" t="str">
        <f aca="false">IF(OR(C742="",D742="",N(E742)=0),"",E742*IF(F742="",IFERROR(N(INDEX(Produtos!$K$5:$K$54,MATCH(D742,Produtos!$B$5:$B$54,0))),0),F742))</f>
        <v/>
      </c>
      <c r="H742" s="24" t="str">
        <f aca="false">IF(G742="","",E742*IFERROR(N(INDEX(Produtos!$F$5:$F$54,MATCH(D742,Produtos!$B$5:$B$54,0))),0))</f>
        <v/>
      </c>
      <c r="I742" s="24" t="str">
        <f aca="false">IF(G742="","",G742-H742)</f>
        <v/>
      </c>
      <c r="J742" s="37"/>
    </row>
    <row r="743" customFormat="false" ht="21" hidden="false" customHeight="true" outlineLevel="0" collapsed="false">
      <c r="B743" s="36"/>
      <c r="C743" s="7"/>
      <c r="D743" s="7"/>
      <c r="E743" s="37"/>
      <c r="F743" s="38"/>
      <c r="G743" s="24" t="str">
        <f aca="false">IF(OR(C743="",D743="",N(E743)=0),"",E743*IF(F743="",IFERROR(N(INDEX(Produtos!$K$5:$K$54,MATCH(D743,Produtos!$B$5:$B$54,0))),0),F743))</f>
        <v/>
      </c>
      <c r="H743" s="24" t="str">
        <f aca="false">IF(G743="","",E743*IFERROR(N(INDEX(Produtos!$F$5:$F$54,MATCH(D743,Produtos!$B$5:$B$54,0))),0))</f>
        <v/>
      </c>
      <c r="I743" s="24" t="str">
        <f aca="false">IF(G743="","",G743-H743)</f>
        <v/>
      </c>
      <c r="J743" s="37"/>
    </row>
    <row r="744" customFormat="false" ht="21" hidden="false" customHeight="true" outlineLevel="0" collapsed="false">
      <c r="B744" s="36"/>
      <c r="C744" s="7"/>
      <c r="D744" s="7"/>
      <c r="E744" s="37"/>
      <c r="F744" s="38"/>
      <c r="G744" s="24" t="str">
        <f aca="false">IF(OR(C744="",D744="",N(E744)=0),"",E744*IF(F744="",IFERROR(N(INDEX(Produtos!$K$5:$K$54,MATCH(D744,Produtos!$B$5:$B$54,0))),0),F744))</f>
        <v/>
      </c>
      <c r="H744" s="24" t="str">
        <f aca="false">IF(G744="","",E744*IFERROR(N(INDEX(Produtos!$F$5:$F$54,MATCH(D744,Produtos!$B$5:$B$54,0))),0))</f>
        <v/>
      </c>
      <c r="I744" s="24" t="str">
        <f aca="false">IF(G744="","",G744-H744)</f>
        <v/>
      </c>
      <c r="J744" s="37"/>
    </row>
    <row r="745" customFormat="false" ht="21" hidden="false" customHeight="true" outlineLevel="0" collapsed="false">
      <c r="B745" s="36"/>
      <c r="C745" s="7"/>
      <c r="D745" s="7"/>
      <c r="E745" s="37"/>
      <c r="F745" s="38"/>
      <c r="G745" s="24" t="str">
        <f aca="false">IF(OR(C745="",D745="",N(E745)=0),"",E745*IF(F745="",IFERROR(N(INDEX(Produtos!$K$5:$K$54,MATCH(D745,Produtos!$B$5:$B$54,0))),0),F745))</f>
        <v/>
      </c>
      <c r="H745" s="24" t="str">
        <f aca="false">IF(G745="","",E745*IFERROR(N(INDEX(Produtos!$F$5:$F$54,MATCH(D745,Produtos!$B$5:$B$54,0))),0))</f>
        <v/>
      </c>
      <c r="I745" s="24" t="str">
        <f aca="false">IF(G745="","",G745-H745)</f>
        <v/>
      </c>
      <c r="J745" s="37"/>
    </row>
    <row r="746" customFormat="false" ht="21" hidden="false" customHeight="true" outlineLevel="0" collapsed="false">
      <c r="B746" s="36"/>
      <c r="C746" s="7"/>
      <c r="D746" s="7"/>
      <c r="E746" s="37"/>
      <c r="F746" s="38"/>
      <c r="G746" s="24" t="str">
        <f aca="false">IF(OR(C746="",D746="",N(E746)=0),"",E746*IF(F746="",IFERROR(N(INDEX(Produtos!$K$5:$K$54,MATCH(D746,Produtos!$B$5:$B$54,0))),0),F746))</f>
        <v/>
      </c>
      <c r="H746" s="24" t="str">
        <f aca="false">IF(G746="","",E746*IFERROR(N(INDEX(Produtos!$F$5:$F$54,MATCH(D746,Produtos!$B$5:$B$54,0))),0))</f>
        <v/>
      </c>
      <c r="I746" s="24" t="str">
        <f aca="false">IF(G746="","",G746-H746)</f>
        <v/>
      </c>
      <c r="J746" s="37"/>
    </row>
    <row r="747" customFormat="false" ht="21" hidden="false" customHeight="true" outlineLevel="0" collapsed="false">
      <c r="B747" s="36"/>
      <c r="C747" s="7"/>
      <c r="D747" s="7"/>
      <c r="E747" s="37"/>
      <c r="F747" s="38"/>
      <c r="G747" s="24" t="str">
        <f aca="false">IF(OR(C747="",D747="",N(E747)=0),"",E747*IF(F747="",IFERROR(N(INDEX(Produtos!$K$5:$K$54,MATCH(D747,Produtos!$B$5:$B$54,0))),0),F747))</f>
        <v/>
      </c>
      <c r="H747" s="24" t="str">
        <f aca="false">IF(G747="","",E747*IFERROR(N(INDEX(Produtos!$F$5:$F$54,MATCH(D747,Produtos!$B$5:$B$54,0))),0))</f>
        <v/>
      </c>
      <c r="I747" s="24" t="str">
        <f aca="false">IF(G747="","",G747-H747)</f>
        <v/>
      </c>
      <c r="J747" s="37"/>
    </row>
    <row r="748" customFormat="false" ht="21" hidden="false" customHeight="true" outlineLevel="0" collapsed="false">
      <c r="B748" s="36"/>
      <c r="C748" s="7"/>
      <c r="D748" s="7"/>
      <c r="E748" s="37"/>
      <c r="F748" s="38"/>
      <c r="G748" s="24" t="str">
        <f aca="false">IF(OR(C748="",D748="",N(E748)=0),"",E748*IF(F748="",IFERROR(N(INDEX(Produtos!$K$5:$K$54,MATCH(D748,Produtos!$B$5:$B$54,0))),0),F748))</f>
        <v/>
      </c>
      <c r="H748" s="24" t="str">
        <f aca="false">IF(G748="","",E748*IFERROR(N(INDEX(Produtos!$F$5:$F$54,MATCH(D748,Produtos!$B$5:$B$54,0))),0))</f>
        <v/>
      </c>
      <c r="I748" s="24" t="str">
        <f aca="false">IF(G748="","",G748-H748)</f>
        <v/>
      </c>
      <c r="J748" s="37"/>
    </row>
    <row r="749" customFormat="false" ht="21" hidden="false" customHeight="true" outlineLevel="0" collapsed="false">
      <c r="B749" s="36"/>
      <c r="C749" s="7"/>
      <c r="D749" s="7"/>
      <c r="E749" s="37"/>
      <c r="F749" s="38"/>
      <c r="G749" s="24" t="str">
        <f aca="false">IF(OR(C749="",D749="",N(E749)=0),"",E749*IF(F749="",IFERROR(N(INDEX(Produtos!$K$5:$K$54,MATCH(D749,Produtos!$B$5:$B$54,0))),0),F749))</f>
        <v/>
      </c>
      <c r="H749" s="24" t="str">
        <f aca="false">IF(G749="","",E749*IFERROR(N(INDEX(Produtos!$F$5:$F$54,MATCH(D749,Produtos!$B$5:$B$54,0))),0))</f>
        <v/>
      </c>
      <c r="I749" s="24" t="str">
        <f aca="false">IF(G749="","",G749-H749)</f>
        <v/>
      </c>
      <c r="J749" s="37"/>
    </row>
    <row r="750" customFormat="false" ht="21" hidden="false" customHeight="true" outlineLevel="0" collapsed="false">
      <c r="B750" s="36"/>
      <c r="C750" s="7"/>
      <c r="D750" s="7"/>
      <c r="E750" s="37"/>
      <c r="F750" s="38"/>
      <c r="G750" s="24" t="str">
        <f aca="false">IF(OR(C750="",D750="",N(E750)=0),"",E750*IF(F750="",IFERROR(N(INDEX(Produtos!$K$5:$K$54,MATCH(D750,Produtos!$B$5:$B$54,0))),0),F750))</f>
        <v/>
      </c>
      <c r="H750" s="24" t="str">
        <f aca="false">IF(G750="","",E750*IFERROR(N(INDEX(Produtos!$F$5:$F$54,MATCH(D750,Produtos!$B$5:$B$54,0))),0))</f>
        <v/>
      </c>
      <c r="I750" s="24" t="str">
        <f aca="false">IF(G750="","",G750-H750)</f>
        <v/>
      </c>
      <c r="J750" s="37"/>
    </row>
    <row r="751" customFormat="false" ht="21" hidden="false" customHeight="true" outlineLevel="0" collapsed="false">
      <c r="B751" s="36"/>
      <c r="C751" s="7"/>
      <c r="D751" s="7"/>
      <c r="E751" s="37"/>
      <c r="F751" s="38"/>
      <c r="G751" s="24" t="str">
        <f aca="false">IF(OR(C751="",D751="",N(E751)=0),"",E751*IF(F751="",IFERROR(N(INDEX(Produtos!$K$5:$K$54,MATCH(D751,Produtos!$B$5:$B$54,0))),0),F751))</f>
        <v/>
      </c>
      <c r="H751" s="24" t="str">
        <f aca="false">IF(G751="","",E751*IFERROR(N(INDEX(Produtos!$F$5:$F$54,MATCH(D751,Produtos!$B$5:$B$54,0))),0))</f>
        <v/>
      </c>
      <c r="I751" s="24" t="str">
        <f aca="false">IF(G751="","",G751-H751)</f>
        <v/>
      </c>
      <c r="J751" s="37"/>
    </row>
    <row r="752" customFormat="false" ht="21" hidden="false" customHeight="true" outlineLevel="0" collapsed="false">
      <c r="B752" s="36"/>
      <c r="C752" s="7"/>
      <c r="D752" s="7"/>
      <c r="E752" s="37"/>
      <c r="F752" s="38"/>
      <c r="G752" s="24" t="str">
        <f aca="false">IF(OR(C752="",D752="",N(E752)=0),"",E752*IF(F752="",IFERROR(N(INDEX(Produtos!$K$5:$K$54,MATCH(D752,Produtos!$B$5:$B$54,0))),0),F752))</f>
        <v/>
      </c>
      <c r="H752" s="24" t="str">
        <f aca="false">IF(G752="","",E752*IFERROR(N(INDEX(Produtos!$F$5:$F$54,MATCH(D752,Produtos!$B$5:$B$54,0))),0))</f>
        <v/>
      </c>
      <c r="I752" s="24" t="str">
        <f aca="false">IF(G752="","",G752-H752)</f>
        <v/>
      </c>
      <c r="J752" s="37"/>
    </row>
    <row r="753" customFormat="false" ht="21" hidden="false" customHeight="true" outlineLevel="0" collapsed="false">
      <c r="B753" s="36"/>
      <c r="C753" s="7"/>
      <c r="D753" s="7"/>
      <c r="E753" s="37"/>
      <c r="F753" s="38"/>
      <c r="G753" s="24" t="str">
        <f aca="false">IF(OR(C753="",D753="",N(E753)=0),"",E753*IF(F753="",IFERROR(N(INDEX(Produtos!$K$5:$K$54,MATCH(D753,Produtos!$B$5:$B$54,0))),0),F753))</f>
        <v/>
      </c>
      <c r="H753" s="24" t="str">
        <f aca="false">IF(G753="","",E753*IFERROR(N(INDEX(Produtos!$F$5:$F$54,MATCH(D753,Produtos!$B$5:$B$54,0))),0))</f>
        <v/>
      </c>
      <c r="I753" s="24" t="str">
        <f aca="false">IF(G753="","",G753-H753)</f>
        <v/>
      </c>
      <c r="J753" s="37"/>
    </row>
    <row r="754" customFormat="false" ht="21" hidden="false" customHeight="true" outlineLevel="0" collapsed="false">
      <c r="B754" s="36"/>
      <c r="C754" s="7"/>
      <c r="D754" s="7"/>
      <c r="E754" s="37"/>
      <c r="F754" s="38"/>
      <c r="G754" s="24" t="str">
        <f aca="false">IF(OR(C754="",D754="",N(E754)=0),"",E754*IF(F754="",IFERROR(N(INDEX(Produtos!$K$5:$K$54,MATCH(D754,Produtos!$B$5:$B$54,0))),0),F754))</f>
        <v/>
      </c>
      <c r="H754" s="24" t="str">
        <f aca="false">IF(G754="","",E754*IFERROR(N(INDEX(Produtos!$F$5:$F$54,MATCH(D754,Produtos!$B$5:$B$54,0))),0))</f>
        <v/>
      </c>
      <c r="I754" s="24" t="str">
        <f aca="false">IF(G754="","",G754-H754)</f>
        <v/>
      </c>
      <c r="J754" s="37"/>
    </row>
    <row r="755" customFormat="false" ht="21" hidden="false" customHeight="true" outlineLevel="0" collapsed="false">
      <c r="B755" s="36"/>
      <c r="C755" s="7"/>
      <c r="D755" s="7"/>
      <c r="E755" s="37"/>
      <c r="F755" s="38"/>
      <c r="G755" s="24" t="str">
        <f aca="false">IF(OR(C755="",D755="",N(E755)=0),"",E755*IF(F755="",IFERROR(N(INDEX(Produtos!$K$5:$K$54,MATCH(D755,Produtos!$B$5:$B$54,0))),0),F755))</f>
        <v/>
      </c>
      <c r="H755" s="24" t="str">
        <f aca="false">IF(G755="","",E755*IFERROR(N(INDEX(Produtos!$F$5:$F$54,MATCH(D755,Produtos!$B$5:$B$54,0))),0))</f>
        <v/>
      </c>
      <c r="I755" s="24" t="str">
        <f aca="false">IF(G755="","",G755-H755)</f>
        <v/>
      </c>
      <c r="J755" s="37"/>
    </row>
    <row r="756" customFormat="false" ht="21" hidden="false" customHeight="true" outlineLevel="0" collapsed="false">
      <c r="B756" s="36"/>
      <c r="C756" s="7"/>
      <c r="D756" s="7"/>
      <c r="E756" s="37"/>
      <c r="F756" s="38"/>
      <c r="G756" s="24" t="str">
        <f aca="false">IF(OR(C756="",D756="",N(E756)=0),"",E756*IF(F756="",IFERROR(N(INDEX(Produtos!$K$5:$K$54,MATCH(D756,Produtos!$B$5:$B$54,0))),0),F756))</f>
        <v/>
      </c>
      <c r="H756" s="24" t="str">
        <f aca="false">IF(G756="","",E756*IFERROR(N(INDEX(Produtos!$F$5:$F$54,MATCH(D756,Produtos!$B$5:$B$54,0))),0))</f>
        <v/>
      </c>
      <c r="I756" s="24" t="str">
        <f aca="false">IF(G756="","",G756-H756)</f>
        <v/>
      </c>
      <c r="J756" s="37"/>
    </row>
    <row r="757" customFormat="false" ht="21" hidden="false" customHeight="true" outlineLevel="0" collapsed="false">
      <c r="B757" s="36"/>
      <c r="C757" s="7"/>
      <c r="D757" s="7"/>
      <c r="E757" s="37"/>
      <c r="F757" s="38"/>
      <c r="G757" s="24" t="str">
        <f aca="false">IF(OR(C757="",D757="",N(E757)=0),"",E757*IF(F757="",IFERROR(N(INDEX(Produtos!$K$5:$K$54,MATCH(D757,Produtos!$B$5:$B$54,0))),0),F757))</f>
        <v/>
      </c>
      <c r="H757" s="24" t="str">
        <f aca="false">IF(G757="","",E757*IFERROR(N(INDEX(Produtos!$F$5:$F$54,MATCH(D757,Produtos!$B$5:$B$54,0))),0))</f>
        <v/>
      </c>
      <c r="I757" s="24" t="str">
        <f aca="false">IF(G757="","",G757-H757)</f>
        <v/>
      </c>
      <c r="J757" s="37"/>
    </row>
    <row r="758" customFormat="false" ht="21" hidden="false" customHeight="true" outlineLevel="0" collapsed="false">
      <c r="B758" s="36"/>
      <c r="C758" s="7"/>
      <c r="D758" s="7"/>
      <c r="E758" s="37"/>
      <c r="F758" s="38"/>
      <c r="G758" s="24" t="str">
        <f aca="false">IF(OR(C758="",D758="",N(E758)=0),"",E758*IF(F758="",IFERROR(N(INDEX(Produtos!$K$5:$K$54,MATCH(D758,Produtos!$B$5:$B$54,0))),0),F758))</f>
        <v/>
      </c>
      <c r="H758" s="24" t="str">
        <f aca="false">IF(G758="","",E758*IFERROR(N(INDEX(Produtos!$F$5:$F$54,MATCH(D758,Produtos!$B$5:$B$54,0))),0))</f>
        <v/>
      </c>
      <c r="I758" s="24" t="str">
        <f aca="false">IF(G758="","",G758-H758)</f>
        <v/>
      </c>
      <c r="J758" s="37"/>
    </row>
    <row r="759" customFormat="false" ht="21" hidden="false" customHeight="true" outlineLevel="0" collapsed="false">
      <c r="B759" s="36"/>
      <c r="C759" s="7"/>
      <c r="D759" s="7"/>
      <c r="E759" s="37"/>
      <c r="F759" s="38"/>
      <c r="G759" s="24" t="str">
        <f aca="false">IF(OR(C759="",D759="",N(E759)=0),"",E759*IF(F759="",IFERROR(N(INDEX(Produtos!$K$5:$K$54,MATCH(D759,Produtos!$B$5:$B$54,0))),0),F759))</f>
        <v/>
      </c>
      <c r="H759" s="24" t="str">
        <f aca="false">IF(G759="","",E759*IFERROR(N(INDEX(Produtos!$F$5:$F$54,MATCH(D759,Produtos!$B$5:$B$54,0))),0))</f>
        <v/>
      </c>
      <c r="I759" s="24" t="str">
        <f aca="false">IF(G759="","",G759-H759)</f>
        <v/>
      </c>
      <c r="J759" s="37"/>
    </row>
    <row r="760" customFormat="false" ht="21" hidden="false" customHeight="true" outlineLevel="0" collapsed="false">
      <c r="B760" s="36"/>
      <c r="C760" s="7"/>
      <c r="D760" s="7"/>
      <c r="E760" s="37"/>
      <c r="F760" s="38"/>
      <c r="G760" s="24" t="str">
        <f aca="false">IF(OR(C760="",D760="",N(E760)=0),"",E760*IF(F760="",IFERROR(N(INDEX(Produtos!$K$5:$K$54,MATCH(D760,Produtos!$B$5:$B$54,0))),0),F760))</f>
        <v/>
      </c>
      <c r="H760" s="24" t="str">
        <f aca="false">IF(G760="","",E760*IFERROR(N(INDEX(Produtos!$F$5:$F$54,MATCH(D760,Produtos!$B$5:$B$54,0))),0))</f>
        <v/>
      </c>
      <c r="I760" s="24" t="str">
        <f aca="false">IF(G760="","",G760-H760)</f>
        <v/>
      </c>
      <c r="J760" s="37"/>
    </row>
    <row r="761" customFormat="false" ht="21" hidden="false" customHeight="true" outlineLevel="0" collapsed="false">
      <c r="B761" s="36"/>
      <c r="C761" s="7"/>
      <c r="D761" s="7"/>
      <c r="E761" s="37"/>
      <c r="F761" s="38"/>
      <c r="G761" s="24" t="str">
        <f aca="false">IF(OR(C761="",D761="",N(E761)=0),"",E761*IF(F761="",IFERROR(N(INDEX(Produtos!$K$5:$K$54,MATCH(D761,Produtos!$B$5:$B$54,0))),0),F761))</f>
        <v/>
      </c>
      <c r="H761" s="24" t="str">
        <f aca="false">IF(G761="","",E761*IFERROR(N(INDEX(Produtos!$F$5:$F$54,MATCH(D761,Produtos!$B$5:$B$54,0))),0))</f>
        <v/>
      </c>
      <c r="I761" s="24" t="str">
        <f aca="false">IF(G761="","",G761-H761)</f>
        <v/>
      </c>
      <c r="J761" s="37"/>
    </row>
    <row r="762" customFormat="false" ht="21" hidden="false" customHeight="true" outlineLevel="0" collapsed="false">
      <c r="B762" s="36"/>
      <c r="C762" s="7"/>
      <c r="D762" s="7"/>
      <c r="E762" s="37"/>
      <c r="F762" s="38"/>
      <c r="G762" s="24" t="str">
        <f aca="false">IF(OR(C762="",D762="",N(E762)=0),"",E762*IF(F762="",IFERROR(N(INDEX(Produtos!$K$5:$K$54,MATCH(D762,Produtos!$B$5:$B$54,0))),0),F762))</f>
        <v/>
      </c>
      <c r="H762" s="24" t="str">
        <f aca="false">IF(G762="","",E762*IFERROR(N(INDEX(Produtos!$F$5:$F$54,MATCH(D762,Produtos!$B$5:$B$54,0))),0))</f>
        <v/>
      </c>
      <c r="I762" s="24" t="str">
        <f aca="false">IF(G762="","",G762-H762)</f>
        <v/>
      </c>
      <c r="J762" s="37"/>
    </row>
    <row r="763" customFormat="false" ht="21" hidden="false" customHeight="true" outlineLevel="0" collapsed="false">
      <c r="B763" s="36"/>
      <c r="C763" s="7"/>
      <c r="D763" s="7"/>
      <c r="E763" s="37"/>
      <c r="F763" s="38"/>
      <c r="G763" s="24" t="str">
        <f aca="false">IF(OR(C763="",D763="",N(E763)=0),"",E763*IF(F763="",IFERROR(N(INDEX(Produtos!$K$5:$K$54,MATCH(D763,Produtos!$B$5:$B$54,0))),0),F763))</f>
        <v/>
      </c>
      <c r="H763" s="24" t="str">
        <f aca="false">IF(G763="","",E763*IFERROR(N(INDEX(Produtos!$F$5:$F$54,MATCH(D763,Produtos!$B$5:$B$54,0))),0))</f>
        <v/>
      </c>
      <c r="I763" s="24" t="str">
        <f aca="false">IF(G763="","",G763-H763)</f>
        <v/>
      </c>
      <c r="J763" s="37"/>
    </row>
    <row r="764" customFormat="false" ht="21" hidden="false" customHeight="true" outlineLevel="0" collapsed="false">
      <c r="B764" s="36"/>
      <c r="C764" s="7"/>
      <c r="D764" s="7"/>
      <c r="E764" s="37"/>
      <c r="F764" s="38"/>
      <c r="G764" s="24" t="str">
        <f aca="false">IF(OR(C764="",D764="",N(E764)=0),"",E764*IF(F764="",IFERROR(N(INDEX(Produtos!$K$5:$K$54,MATCH(D764,Produtos!$B$5:$B$54,0))),0),F764))</f>
        <v/>
      </c>
      <c r="H764" s="24" t="str">
        <f aca="false">IF(G764="","",E764*IFERROR(N(INDEX(Produtos!$F$5:$F$54,MATCH(D764,Produtos!$B$5:$B$54,0))),0))</f>
        <v/>
      </c>
      <c r="I764" s="24" t="str">
        <f aca="false">IF(G764="","",G764-H764)</f>
        <v/>
      </c>
      <c r="J764" s="37"/>
    </row>
    <row r="765" customFormat="false" ht="21" hidden="false" customHeight="true" outlineLevel="0" collapsed="false">
      <c r="B765" s="36"/>
      <c r="C765" s="7"/>
      <c r="D765" s="7"/>
      <c r="E765" s="37"/>
      <c r="F765" s="38"/>
      <c r="G765" s="24" t="str">
        <f aca="false">IF(OR(C765="",D765="",N(E765)=0),"",E765*IF(F765="",IFERROR(N(INDEX(Produtos!$K$5:$K$54,MATCH(D765,Produtos!$B$5:$B$54,0))),0),F765))</f>
        <v/>
      </c>
      <c r="H765" s="24" t="str">
        <f aca="false">IF(G765="","",E765*IFERROR(N(INDEX(Produtos!$F$5:$F$54,MATCH(D765,Produtos!$B$5:$B$54,0))),0))</f>
        <v/>
      </c>
      <c r="I765" s="24" t="str">
        <f aca="false">IF(G765="","",G765-H765)</f>
        <v/>
      </c>
      <c r="J765" s="37"/>
    </row>
    <row r="766" customFormat="false" ht="21" hidden="false" customHeight="true" outlineLevel="0" collapsed="false">
      <c r="B766" s="36"/>
      <c r="C766" s="7"/>
      <c r="D766" s="7"/>
      <c r="E766" s="37"/>
      <c r="F766" s="38"/>
      <c r="G766" s="24" t="str">
        <f aca="false">IF(OR(C766="",D766="",N(E766)=0),"",E766*IF(F766="",IFERROR(N(INDEX(Produtos!$K$5:$K$54,MATCH(D766,Produtos!$B$5:$B$54,0))),0),F766))</f>
        <v/>
      </c>
      <c r="H766" s="24" t="str">
        <f aca="false">IF(G766="","",E766*IFERROR(N(INDEX(Produtos!$F$5:$F$54,MATCH(D766,Produtos!$B$5:$B$54,0))),0))</f>
        <v/>
      </c>
      <c r="I766" s="24" t="str">
        <f aca="false">IF(G766="","",G766-H766)</f>
        <v/>
      </c>
      <c r="J766" s="37"/>
    </row>
    <row r="767" customFormat="false" ht="21" hidden="false" customHeight="true" outlineLevel="0" collapsed="false">
      <c r="B767" s="36"/>
      <c r="C767" s="7"/>
      <c r="D767" s="7"/>
      <c r="E767" s="37"/>
      <c r="F767" s="38"/>
      <c r="G767" s="24" t="str">
        <f aca="false">IF(OR(C767="",D767="",N(E767)=0),"",E767*IF(F767="",IFERROR(N(INDEX(Produtos!$K$5:$K$54,MATCH(D767,Produtos!$B$5:$B$54,0))),0),F767))</f>
        <v/>
      </c>
      <c r="H767" s="24" t="str">
        <f aca="false">IF(G767="","",E767*IFERROR(N(INDEX(Produtos!$F$5:$F$54,MATCH(D767,Produtos!$B$5:$B$54,0))),0))</f>
        <v/>
      </c>
      <c r="I767" s="24" t="str">
        <f aca="false">IF(G767="","",G767-H767)</f>
        <v/>
      </c>
      <c r="J767" s="37"/>
    </row>
    <row r="768" customFormat="false" ht="21" hidden="false" customHeight="true" outlineLevel="0" collapsed="false">
      <c r="B768" s="36"/>
      <c r="C768" s="7"/>
      <c r="D768" s="7"/>
      <c r="E768" s="37"/>
      <c r="F768" s="38"/>
      <c r="G768" s="24" t="str">
        <f aca="false">IF(OR(C768="",D768="",N(E768)=0),"",E768*IF(F768="",IFERROR(N(INDEX(Produtos!$K$5:$K$54,MATCH(D768,Produtos!$B$5:$B$54,0))),0),F768))</f>
        <v/>
      </c>
      <c r="H768" s="24" t="str">
        <f aca="false">IF(G768="","",E768*IFERROR(N(INDEX(Produtos!$F$5:$F$54,MATCH(D768,Produtos!$B$5:$B$54,0))),0))</f>
        <v/>
      </c>
      <c r="I768" s="24" t="str">
        <f aca="false">IF(G768="","",G768-H768)</f>
        <v/>
      </c>
      <c r="J768" s="37"/>
    </row>
    <row r="769" customFormat="false" ht="21" hidden="false" customHeight="true" outlineLevel="0" collapsed="false">
      <c r="B769" s="36"/>
      <c r="C769" s="7"/>
      <c r="D769" s="7"/>
      <c r="E769" s="37"/>
      <c r="F769" s="38"/>
      <c r="G769" s="24" t="str">
        <f aca="false">IF(OR(C769="",D769="",N(E769)=0),"",E769*IF(F769="",IFERROR(N(INDEX(Produtos!$K$5:$K$54,MATCH(D769,Produtos!$B$5:$B$54,0))),0),F769))</f>
        <v/>
      </c>
      <c r="H769" s="24" t="str">
        <f aca="false">IF(G769="","",E769*IFERROR(N(INDEX(Produtos!$F$5:$F$54,MATCH(D769,Produtos!$B$5:$B$54,0))),0))</f>
        <v/>
      </c>
      <c r="I769" s="24" t="str">
        <f aca="false">IF(G769="","",G769-H769)</f>
        <v/>
      </c>
      <c r="J769" s="37"/>
    </row>
    <row r="770" customFormat="false" ht="21" hidden="false" customHeight="true" outlineLevel="0" collapsed="false">
      <c r="B770" s="36"/>
      <c r="C770" s="7"/>
      <c r="D770" s="7"/>
      <c r="E770" s="37"/>
      <c r="F770" s="38"/>
      <c r="G770" s="24" t="str">
        <f aca="false">IF(OR(C770="",D770="",N(E770)=0),"",E770*IF(F770="",IFERROR(N(INDEX(Produtos!$K$5:$K$54,MATCH(D770,Produtos!$B$5:$B$54,0))),0),F770))</f>
        <v/>
      </c>
      <c r="H770" s="24" t="str">
        <f aca="false">IF(G770="","",E770*IFERROR(N(INDEX(Produtos!$F$5:$F$54,MATCH(D770,Produtos!$B$5:$B$54,0))),0))</f>
        <v/>
      </c>
      <c r="I770" s="24" t="str">
        <f aca="false">IF(G770="","",G770-H770)</f>
        <v/>
      </c>
      <c r="J770" s="37"/>
    </row>
    <row r="771" customFormat="false" ht="21" hidden="false" customHeight="true" outlineLevel="0" collapsed="false">
      <c r="B771" s="36"/>
      <c r="C771" s="7"/>
      <c r="D771" s="7"/>
      <c r="E771" s="37"/>
      <c r="F771" s="38"/>
      <c r="G771" s="24" t="str">
        <f aca="false">IF(OR(C771="",D771="",N(E771)=0),"",E771*IF(F771="",IFERROR(N(INDEX(Produtos!$K$5:$K$54,MATCH(D771,Produtos!$B$5:$B$54,0))),0),F771))</f>
        <v/>
      </c>
      <c r="H771" s="24" t="str">
        <f aca="false">IF(G771="","",E771*IFERROR(N(INDEX(Produtos!$F$5:$F$54,MATCH(D771,Produtos!$B$5:$B$54,0))),0))</f>
        <v/>
      </c>
      <c r="I771" s="24" t="str">
        <f aca="false">IF(G771="","",G771-H771)</f>
        <v/>
      </c>
      <c r="J771" s="37"/>
    </row>
    <row r="772" customFormat="false" ht="21" hidden="false" customHeight="true" outlineLevel="0" collapsed="false">
      <c r="B772" s="36"/>
      <c r="C772" s="7"/>
      <c r="D772" s="7"/>
      <c r="E772" s="37"/>
      <c r="F772" s="38"/>
      <c r="G772" s="24" t="str">
        <f aca="false">IF(OR(C772="",D772="",N(E772)=0),"",E772*IF(F772="",IFERROR(N(INDEX(Produtos!$K$5:$K$54,MATCH(D772,Produtos!$B$5:$B$54,0))),0),F772))</f>
        <v/>
      </c>
      <c r="H772" s="24" t="str">
        <f aca="false">IF(G772="","",E772*IFERROR(N(INDEX(Produtos!$F$5:$F$54,MATCH(D772,Produtos!$B$5:$B$54,0))),0))</f>
        <v/>
      </c>
      <c r="I772" s="24" t="str">
        <f aca="false">IF(G772="","",G772-H772)</f>
        <v/>
      </c>
      <c r="J772" s="37"/>
    </row>
    <row r="773" customFormat="false" ht="21" hidden="false" customHeight="true" outlineLevel="0" collapsed="false">
      <c r="B773" s="36"/>
      <c r="C773" s="7"/>
      <c r="D773" s="7"/>
      <c r="E773" s="37"/>
      <c r="F773" s="38"/>
      <c r="G773" s="24" t="str">
        <f aca="false">IF(OR(C773="",D773="",N(E773)=0),"",E773*IF(F773="",IFERROR(N(INDEX(Produtos!$K$5:$K$54,MATCH(D773,Produtos!$B$5:$B$54,0))),0),F773))</f>
        <v/>
      </c>
      <c r="H773" s="24" t="str">
        <f aca="false">IF(G773="","",E773*IFERROR(N(INDEX(Produtos!$F$5:$F$54,MATCH(D773,Produtos!$B$5:$B$54,0))),0))</f>
        <v/>
      </c>
      <c r="I773" s="24" t="str">
        <f aca="false">IF(G773="","",G773-H773)</f>
        <v/>
      </c>
      <c r="J773" s="37"/>
    </row>
    <row r="774" customFormat="false" ht="21" hidden="false" customHeight="true" outlineLevel="0" collapsed="false">
      <c r="B774" s="36"/>
      <c r="C774" s="7"/>
      <c r="D774" s="7"/>
      <c r="E774" s="37"/>
      <c r="F774" s="38"/>
      <c r="G774" s="24" t="str">
        <f aca="false">IF(OR(C774="",D774="",N(E774)=0),"",E774*IF(F774="",IFERROR(N(INDEX(Produtos!$K$5:$K$54,MATCH(D774,Produtos!$B$5:$B$54,0))),0),F774))</f>
        <v/>
      </c>
      <c r="H774" s="24" t="str">
        <f aca="false">IF(G774="","",E774*IFERROR(N(INDEX(Produtos!$F$5:$F$54,MATCH(D774,Produtos!$B$5:$B$54,0))),0))</f>
        <v/>
      </c>
      <c r="I774" s="24" t="str">
        <f aca="false">IF(G774="","",G774-H774)</f>
        <v/>
      </c>
      <c r="J774" s="37"/>
    </row>
    <row r="775" customFormat="false" ht="21" hidden="false" customHeight="true" outlineLevel="0" collapsed="false">
      <c r="B775" s="36"/>
      <c r="C775" s="7"/>
      <c r="D775" s="7"/>
      <c r="E775" s="37"/>
      <c r="F775" s="38"/>
      <c r="G775" s="24" t="str">
        <f aca="false">IF(OR(C775="",D775="",N(E775)=0),"",E775*IF(F775="",IFERROR(N(INDEX(Produtos!$K$5:$K$54,MATCH(D775,Produtos!$B$5:$B$54,0))),0),F775))</f>
        <v/>
      </c>
      <c r="H775" s="24" t="str">
        <f aca="false">IF(G775="","",E775*IFERROR(N(INDEX(Produtos!$F$5:$F$54,MATCH(D775,Produtos!$B$5:$B$54,0))),0))</f>
        <v/>
      </c>
      <c r="I775" s="24" t="str">
        <f aca="false">IF(G775="","",G775-H775)</f>
        <v/>
      </c>
      <c r="J775" s="37"/>
    </row>
    <row r="776" customFormat="false" ht="21" hidden="false" customHeight="true" outlineLevel="0" collapsed="false">
      <c r="B776" s="36"/>
      <c r="C776" s="7"/>
      <c r="D776" s="7"/>
      <c r="E776" s="37"/>
      <c r="F776" s="38"/>
      <c r="G776" s="24" t="str">
        <f aca="false">IF(OR(C776="",D776="",N(E776)=0),"",E776*IF(F776="",IFERROR(N(INDEX(Produtos!$K$5:$K$54,MATCH(D776,Produtos!$B$5:$B$54,0))),0),F776))</f>
        <v/>
      </c>
      <c r="H776" s="24" t="str">
        <f aca="false">IF(G776="","",E776*IFERROR(N(INDEX(Produtos!$F$5:$F$54,MATCH(D776,Produtos!$B$5:$B$54,0))),0))</f>
        <v/>
      </c>
      <c r="I776" s="24" t="str">
        <f aca="false">IF(G776="","",G776-H776)</f>
        <v/>
      </c>
      <c r="J776" s="37"/>
    </row>
    <row r="777" customFormat="false" ht="21" hidden="false" customHeight="true" outlineLevel="0" collapsed="false">
      <c r="B777" s="36"/>
      <c r="C777" s="7"/>
      <c r="D777" s="7"/>
      <c r="E777" s="37"/>
      <c r="F777" s="38"/>
      <c r="G777" s="24" t="str">
        <f aca="false">IF(OR(C777="",D777="",N(E777)=0),"",E777*IF(F777="",IFERROR(N(INDEX(Produtos!$K$5:$K$54,MATCH(D777,Produtos!$B$5:$B$54,0))),0),F777))</f>
        <v/>
      </c>
      <c r="H777" s="24" t="str">
        <f aca="false">IF(G777="","",E777*IFERROR(N(INDEX(Produtos!$F$5:$F$54,MATCH(D777,Produtos!$B$5:$B$54,0))),0))</f>
        <v/>
      </c>
      <c r="I777" s="24" t="str">
        <f aca="false">IF(G777="","",G777-H777)</f>
        <v/>
      </c>
      <c r="J777" s="37"/>
    </row>
    <row r="778" customFormat="false" ht="21" hidden="false" customHeight="true" outlineLevel="0" collapsed="false">
      <c r="B778" s="36"/>
      <c r="C778" s="7"/>
      <c r="D778" s="7"/>
      <c r="E778" s="37"/>
      <c r="F778" s="38"/>
      <c r="G778" s="24" t="str">
        <f aca="false">IF(OR(C778="",D778="",N(E778)=0),"",E778*IF(F778="",IFERROR(N(INDEX(Produtos!$K$5:$K$54,MATCH(D778,Produtos!$B$5:$B$54,0))),0),F778))</f>
        <v/>
      </c>
      <c r="H778" s="24" t="str">
        <f aca="false">IF(G778="","",E778*IFERROR(N(INDEX(Produtos!$F$5:$F$54,MATCH(D778,Produtos!$B$5:$B$54,0))),0))</f>
        <v/>
      </c>
      <c r="I778" s="24" t="str">
        <f aca="false">IF(G778="","",G778-H778)</f>
        <v/>
      </c>
      <c r="J778" s="37"/>
    </row>
    <row r="779" customFormat="false" ht="21" hidden="false" customHeight="true" outlineLevel="0" collapsed="false">
      <c r="B779" s="36"/>
      <c r="C779" s="7"/>
      <c r="D779" s="7"/>
      <c r="E779" s="37"/>
      <c r="F779" s="38"/>
      <c r="G779" s="24" t="str">
        <f aca="false">IF(OR(C779="",D779="",N(E779)=0),"",E779*IF(F779="",IFERROR(N(INDEX(Produtos!$K$5:$K$54,MATCH(D779,Produtos!$B$5:$B$54,0))),0),F779))</f>
        <v/>
      </c>
      <c r="H779" s="24" t="str">
        <f aca="false">IF(G779="","",E779*IFERROR(N(INDEX(Produtos!$F$5:$F$54,MATCH(D779,Produtos!$B$5:$B$54,0))),0))</f>
        <v/>
      </c>
      <c r="I779" s="24" t="str">
        <f aca="false">IF(G779="","",G779-H779)</f>
        <v/>
      </c>
      <c r="J779" s="37"/>
    </row>
    <row r="780" customFormat="false" ht="21" hidden="false" customHeight="true" outlineLevel="0" collapsed="false">
      <c r="B780" s="36"/>
      <c r="C780" s="7"/>
      <c r="D780" s="7"/>
      <c r="E780" s="37"/>
      <c r="F780" s="38"/>
      <c r="G780" s="24" t="str">
        <f aca="false">IF(OR(C780="",D780="",N(E780)=0),"",E780*IF(F780="",IFERROR(N(INDEX(Produtos!$K$5:$K$54,MATCH(D780,Produtos!$B$5:$B$54,0))),0),F780))</f>
        <v/>
      </c>
      <c r="H780" s="24" t="str">
        <f aca="false">IF(G780="","",E780*IFERROR(N(INDEX(Produtos!$F$5:$F$54,MATCH(D780,Produtos!$B$5:$B$54,0))),0))</f>
        <v/>
      </c>
      <c r="I780" s="24" t="str">
        <f aca="false">IF(G780="","",G780-H780)</f>
        <v/>
      </c>
      <c r="J780" s="37"/>
    </row>
    <row r="781" customFormat="false" ht="21" hidden="false" customHeight="true" outlineLevel="0" collapsed="false">
      <c r="B781" s="36"/>
      <c r="C781" s="7"/>
      <c r="D781" s="7"/>
      <c r="E781" s="37"/>
      <c r="F781" s="38"/>
      <c r="G781" s="24" t="str">
        <f aca="false">IF(OR(C781="",D781="",N(E781)=0),"",E781*IF(F781="",IFERROR(N(INDEX(Produtos!$K$5:$K$54,MATCH(D781,Produtos!$B$5:$B$54,0))),0),F781))</f>
        <v/>
      </c>
      <c r="H781" s="24" t="str">
        <f aca="false">IF(G781="","",E781*IFERROR(N(INDEX(Produtos!$F$5:$F$54,MATCH(D781,Produtos!$B$5:$B$54,0))),0))</f>
        <v/>
      </c>
      <c r="I781" s="24" t="str">
        <f aca="false">IF(G781="","",G781-H781)</f>
        <v/>
      </c>
      <c r="J781" s="37"/>
    </row>
    <row r="782" customFormat="false" ht="21" hidden="false" customHeight="true" outlineLevel="0" collapsed="false">
      <c r="B782" s="36"/>
      <c r="C782" s="7"/>
      <c r="D782" s="7"/>
      <c r="E782" s="37"/>
      <c r="F782" s="38"/>
      <c r="G782" s="24" t="str">
        <f aca="false">IF(OR(C782="",D782="",N(E782)=0),"",E782*IF(F782="",IFERROR(N(INDEX(Produtos!$K$5:$K$54,MATCH(D782,Produtos!$B$5:$B$54,0))),0),F782))</f>
        <v/>
      </c>
      <c r="H782" s="24" t="str">
        <f aca="false">IF(G782="","",E782*IFERROR(N(INDEX(Produtos!$F$5:$F$54,MATCH(D782,Produtos!$B$5:$B$54,0))),0))</f>
        <v/>
      </c>
      <c r="I782" s="24" t="str">
        <f aca="false">IF(G782="","",G782-H782)</f>
        <v/>
      </c>
      <c r="J782" s="37"/>
    </row>
    <row r="783" customFormat="false" ht="21" hidden="false" customHeight="true" outlineLevel="0" collapsed="false">
      <c r="B783" s="36"/>
      <c r="C783" s="7"/>
      <c r="D783" s="7"/>
      <c r="E783" s="37"/>
      <c r="F783" s="38"/>
      <c r="G783" s="24" t="str">
        <f aca="false">IF(OR(C783="",D783="",N(E783)=0),"",E783*IF(F783="",IFERROR(N(INDEX(Produtos!$K$5:$K$54,MATCH(D783,Produtos!$B$5:$B$54,0))),0),F783))</f>
        <v/>
      </c>
      <c r="H783" s="24" t="str">
        <f aca="false">IF(G783="","",E783*IFERROR(N(INDEX(Produtos!$F$5:$F$54,MATCH(D783,Produtos!$B$5:$B$54,0))),0))</f>
        <v/>
      </c>
      <c r="I783" s="24" t="str">
        <f aca="false">IF(G783="","",G783-H783)</f>
        <v/>
      </c>
      <c r="J783" s="37"/>
    </row>
    <row r="784" customFormat="false" ht="21" hidden="false" customHeight="true" outlineLevel="0" collapsed="false">
      <c r="B784" s="36"/>
      <c r="C784" s="7"/>
      <c r="D784" s="7"/>
      <c r="E784" s="37"/>
      <c r="F784" s="38"/>
      <c r="G784" s="24" t="str">
        <f aca="false">IF(OR(C784="",D784="",N(E784)=0),"",E784*IF(F784="",IFERROR(N(INDEX(Produtos!$K$5:$K$54,MATCH(D784,Produtos!$B$5:$B$54,0))),0),F784))</f>
        <v/>
      </c>
      <c r="H784" s="24" t="str">
        <f aca="false">IF(G784="","",E784*IFERROR(N(INDEX(Produtos!$F$5:$F$54,MATCH(D784,Produtos!$B$5:$B$54,0))),0))</f>
        <v/>
      </c>
      <c r="I784" s="24" t="str">
        <f aca="false">IF(G784="","",G784-H784)</f>
        <v/>
      </c>
      <c r="J784" s="37"/>
    </row>
    <row r="785" customFormat="false" ht="21" hidden="false" customHeight="true" outlineLevel="0" collapsed="false">
      <c r="B785" s="36"/>
      <c r="C785" s="7"/>
      <c r="D785" s="7"/>
      <c r="E785" s="37"/>
      <c r="F785" s="38"/>
      <c r="G785" s="24" t="str">
        <f aca="false">IF(OR(C785="",D785="",N(E785)=0),"",E785*IF(F785="",IFERROR(N(INDEX(Produtos!$K$5:$K$54,MATCH(D785,Produtos!$B$5:$B$54,0))),0),F785))</f>
        <v/>
      </c>
      <c r="H785" s="24" t="str">
        <f aca="false">IF(G785="","",E785*IFERROR(N(INDEX(Produtos!$F$5:$F$54,MATCH(D785,Produtos!$B$5:$B$54,0))),0))</f>
        <v/>
      </c>
      <c r="I785" s="24" t="str">
        <f aca="false">IF(G785="","",G785-H785)</f>
        <v/>
      </c>
      <c r="J785" s="37"/>
    </row>
    <row r="786" customFormat="false" ht="21" hidden="false" customHeight="true" outlineLevel="0" collapsed="false">
      <c r="B786" s="36"/>
      <c r="C786" s="7"/>
      <c r="D786" s="7"/>
      <c r="E786" s="37"/>
      <c r="F786" s="38"/>
      <c r="G786" s="24" t="str">
        <f aca="false">IF(OR(C786="",D786="",N(E786)=0),"",E786*IF(F786="",IFERROR(N(INDEX(Produtos!$K$5:$K$54,MATCH(D786,Produtos!$B$5:$B$54,0))),0),F786))</f>
        <v/>
      </c>
      <c r="H786" s="24" t="str">
        <f aca="false">IF(G786="","",E786*IFERROR(N(INDEX(Produtos!$F$5:$F$54,MATCH(D786,Produtos!$B$5:$B$54,0))),0))</f>
        <v/>
      </c>
      <c r="I786" s="24" t="str">
        <f aca="false">IF(G786="","",G786-H786)</f>
        <v/>
      </c>
      <c r="J786" s="37"/>
    </row>
    <row r="787" customFormat="false" ht="21" hidden="false" customHeight="true" outlineLevel="0" collapsed="false">
      <c r="B787" s="36"/>
      <c r="C787" s="7"/>
      <c r="D787" s="7"/>
      <c r="E787" s="37"/>
      <c r="F787" s="38"/>
      <c r="G787" s="24" t="str">
        <f aca="false">IF(OR(C787="",D787="",N(E787)=0),"",E787*IF(F787="",IFERROR(N(INDEX(Produtos!$K$5:$K$54,MATCH(D787,Produtos!$B$5:$B$54,0))),0),F787))</f>
        <v/>
      </c>
      <c r="H787" s="24" t="str">
        <f aca="false">IF(G787="","",E787*IFERROR(N(INDEX(Produtos!$F$5:$F$54,MATCH(D787,Produtos!$B$5:$B$54,0))),0))</f>
        <v/>
      </c>
      <c r="I787" s="24" t="str">
        <f aca="false">IF(G787="","",G787-H787)</f>
        <v/>
      </c>
      <c r="J787" s="37"/>
    </row>
    <row r="788" customFormat="false" ht="21" hidden="false" customHeight="true" outlineLevel="0" collapsed="false">
      <c r="B788" s="36"/>
      <c r="C788" s="7"/>
      <c r="D788" s="7"/>
      <c r="E788" s="37"/>
      <c r="F788" s="38"/>
      <c r="G788" s="24" t="str">
        <f aca="false">IF(OR(C788="",D788="",N(E788)=0),"",E788*IF(F788="",IFERROR(N(INDEX(Produtos!$K$5:$K$54,MATCH(D788,Produtos!$B$5:$B$54,0))),0),F788))</f>
        <v/>
      </c>
      <c r="H788" s="24" t="str">
        <f aca="false">IF(G788="","",E788*IFERROR(N(INDEX(Produtos!$F$5:$F$54,MATCH(D788,Produtos!$B$5:$B$54,0))),0))</f>
        <v/>
      </c>
      <c r="I788" s="24" t="str">
        <f aca="false">IF(G788="","",G788-H788)</f>
        <v/>
      </c>
      <c r="J788" s="37"/>
    </row>
    <row r="789" customFormat="false" ht="21" hidden="false" customHeight="true" outlineLevel="0" collapsed="false">
      <c r="B789" s="36"/>
      <c r="C789" s="7"/>
      <c r="D789" s="7"/>
      <c r="E789" s="37"/>
      <c r="F789" s="38"/>
      <c r="G789" s="24" t="str">
        <f aca="false">IF(OR(C789="",D789="",N(E789)=0),"",E789*IF(F789="",IFERROR(N(INDEX(Produtos!$K$5:$K$54,MATCH(D789,Produtos!$B$5:$B$54,0))),0),F789))</f>
        <v/>
      </c>
      <c r="H789" s="24" t="str">
        <f aca="false">IF(G789="","",E789*IFERROR(N(INDEX(Produtos!$F$5:$F$54,MATCH(D789,Produtos!$B$5:$B$54,0))),0))</f>
        <v/>
      </c>
      <c r="I789" s="24" t="str">
        <f aca="false">IF(G789="","",G789-H789)</f>
        <v/>
      </c>
      <c r="J789" s="37"/>
    </row>
    <row r="790" customFormat="false" ht="21" hidden="false" customHeight="true" outlineLevel="0" collapsed="false">
      <c r="B790" s="36"/>
      <c r="C790" s="7"/>
      <c r="D790" s="7"/>
      <c r="E790" s="37"/>
      <c r="F790" s="38"/>
      <c r="G790" s="24" t="str">
        <f aca="false">IF(OR(C790="",D790="",N(E790)=0),"",E790*IF(F790="",IFERROR(N(INDEX(Produtos!$K$5:$K$54,MATCH(D790,Produtos!$B$5:$B$54,0))),0),F790))</f>
        <v/>
      </c>
      <c r="H790" s="24" t="str">
        <f aca="false">IF(G790="","",E790*IFERROR(N(INDEX(Produtos!$F$5:$F$54,MATCH(D790,Produtos!$B$5:$B$54,0))),0))</f>
        <v/>
      </c>
      <c r="I790" s="24" t="str">
        <f aca="false">IF(G790="","",G790-H790)</f>
        <v/>
      </c>
      <c r="J790" s="37"/>
    </row>
    <row r="791" customFormat="false" ht="21" hidden="false" customHeight="true" outlineLevel="0" collapsed="false">
      <c r="B791" s="36"/>
      <c r="C791" s="7"/>
      <c r="D791" s="7"/>
      <c r="E791" s="37"/>
      <c r="F791" s="38"/>
      <c r="G791" s="24" t="str">
        <f aca="false">IF(OR(C791="",D791="",N(E791)=0),"",E791*IF(F791="",IFERROR(N(INDEX(Produtos!$K$5:$K$54,MATCH(D791,Produtos!$B$5:$B$54,0))),0),F791))</f>
        <v/>
      </c>
      <c r="H791" s="24" t="str">
        <f aca="false">IF(G791="","",E791*IFERROR(N(INDEX(Produtos!$F$5:$F$54,MATCH(D791,Produtos!$B$5:$B$54,0))),0))</f>
        <v/>
      </c>
      <c r="I791" s="24" t="str">
        <f aca="false">IF(G791="","",G791-H791)</f>
        <v/>
      </c>
      <c r="J791" s="37"/>
    </row>
    <row r="792" customFormat="false" ht="21" hidden="false" customHeight="true" outlineLevel="0" collapsed="false">
      <c r="B792" s="36"/>
      <c r="C792" s="7"/>
      <c r="D792" s="7"/>
      <c r="E792" s="37"/>
      <c r="F792" s="38"/>
      <c r="G792" s="24" t="str">
        <f aca="false">IF(OR(C792="",D792="",N(E792)=0),"",E792*IF(F792="",IFERROR(N(INDEX(Produtos!$K$5:$K$54,MATCH(D792,Produtos!$B$5:$B$54,0))),0),F792))</f>
        <v/>
      </c>
      <c r="H792" s="24" t="str">
        <f aca="false">IF(G792="","",E792*IFERROR(N(INDEX(Produtos!$F$5:$F$54,MATCH(D792,Produtos!$B$5:$B$54,0))),0))</f>
        <v/>
      </c>
      <c r="I792" s="24" t="str">
        <f aca="false">IF(G792="","",G792-H792)</f>
        <v/>
      </c>
      <c r="J792" s="37"/>
    </row>
    <row r="793" customFormat="false" ht="21" hidden="false" customHeight="true" outlineLevel="0" collapsed="false">
      <c r="B793" s="36"/>
      <c r="C793" s="7"/>
      <c r="D793" s="7"/>
      <c r="E793" s="37"/>
      <c r="F793" s="38"/>
      <c r="G793" s="24" t="str">
        <f aca="false">IF(OR(C793="",D793="",N(E793)=0),"",E793*IF(F793="",IFERROR(N(INDEX(Produtos!$K$5:$K$54,MATCH(D793,Produtos!$B$5:$B$54,0))),0),F793))</f>
        <v/>
      </c>
      <c r="H793" s="24" t="str">
        <f aca="false">IF(G793="","",E793*IFERROR(N(INDEX(Produtos!$F$5:$F$54,MATCH(D793,Produtos!$B$5:$B$54,0))),0))</f>
        <v/>
      </c>
      <c r="I793" s="24" t="str">
        <f aca="false">IF(G793="","",G793-H793)</f>
        <v/>
      </c>
      <c r="J793" s="37"/>
    </row>
    <row r="794" customFormat="false" ht="21" hidden="false" customHeight="true" outlineLevel="0" collapsed="false">
      <c r="B794" s="36"/>
      <c r="C794" s="7"/>
      <c r="D794" s="7"/>
      <c r="E794" s="37"/>
      <c r="F794" s="38"/>
      <c r="G794" s="24" t="str">
        <f aca="false">IF(OR(C794="",D794="",N(E794)=0),"",E794*IF(F794="",IFERROR(N(INDEX(Produtos!$K$5:$K$54,MATCH(D794,Produtos!$B$5:$B$54,0))),0),F794))</f>
        <v/>
      </c>
      <c r="H794" s="24" t="str">
        <f aca="false">IF(G794="","",E794*IFERROR(N(INDEX(Produtos!$F$5:$F$54,MATCH(D794,Produtos!$B$5:$B$54,0))),0))</f>
        <v/>
      </c>
      <c r="I794" s="24" t="str">
        <f aca="false">IF(G794="","",G794-H794)</f>
        <v/>
      </c>
      <c r="J794" s="37"/>
    </row>
    <row r="795" customFormat="false" ht="21" hidden="false" customHeight="true" outlineLevel="0" collapsed="false">
      <c r="B795" s="36"/>
      <c r="C795" s="7"/>
      <c r="D795" s="7"/>
      <c r="E795" s="37"/>
      <c r="F795" s="38"/>
      <c r="G795" s="24" t="str">
        <f aca="false">IF(OR(C795="",D795="",N(E795)=0),"",E795*IF(F795="",IFERROR(N(INDEX(Produtos!$K$5:$K$54,MATCH(D795,Produtos!$B$5:$B$54,0))),0),F795))</f>
        <v/>
      </c>
      <c r="H795" s="24" t="str">
        <f aca="false">IF(G795="","",E795*IFERROR(N(INDEX(Produtos!$F$5:$F$54,MATCH(D795,Produtos!$B$5:$B$54,0))),0))</f>
        <v/>
      </c>
      <c r="I795" s="24" t="str">
        <f aca="false">IF(G795="","",G795-H795)</f>
        <v/>
      </c>
      <c r="J795" s="37"/>
    </row>
    <row r="796" customFormat="false" ht="21" hidden="false" customHeight="true" outlineLevel="0" collapsed="false">
      <c r="B796" s="36"/>
      <c r="C796" s="7"/>
      <c r="D796" s="7"/>
      <c r="E796" s="37"/>
      <c r="F796" s="38"/>
      <c r="G796" s="24" t="str">
        <f aca="false">IF(OR(C796="",D796="",N(E796)=0),"",E796*IF(F796="",IFERROR(N(INDEX(Produtos!$K$5:$K$54,MATCH(D796,Produtos!$B$5:$B$54,0))),0),F796))</f>
        <v/>
      </c>
      <c r="H796" s="24" t="str">
        <f aca="false">IF(G796="","",E796*IFERROR(N(INDEX(Produtos!$F$5:$F$54,MATCH(D796,Produtos!$B$5:$B$54,0))),0))</f>
        <v/>
      </c>
      <c r="I796" s="24" t="str">
        <f aca="false">IF(G796="","",G796-H796)</f>
        <v/>
      </c>
      <c r="J796" s="37"/>
    </row>
    <row r="797" customFormat="false" ht="21" hidden="false" customHeight="true" outlineLevel="0" collapsed="false">
      <c r="B797" s="36"/>
      <c r="C797" s="7"/>
      <c r="D797" s="7"/>
      <c r="E797" s="37"/>
      <c r="F797" s="38"/>
      <c r="G797" s="24" t="str">
        <f aca="false">IF(OR(C797="",D797="",N(E797)=0),"",E797*IF(F797="",IFERROR(N(INDEX(Produtos!$K$5:$K$54,MATCH(D797,Produtos!$B$5:$B$54,0))),0),F797))</f>
        <v/>
      </c>
      <c r="H797" s="24" t="str">
        <f aca="false">IF(G797="","",E797*IFERROR(N(INDEX(Produtos!$F$5:$F$54,MATCH(D797,Produtos!$B$5:$B$54,0))),0))</f>
        <v/>
      </c>
      <c r="I797" s="24" t="str">
        <f aca="false">IF(G797="","",G797-H797)</f>
        <v/>
      </c>
      <c r="J797" s="37"/>
    </row>
    <row r="798" customFormat="false" ht="21" hidden="false" customHeight="true" outlineLevel="0" collapsed="false">
      <c r="B798" s="36"/>
      <c r="C798" s="7"/>
      <c r="D798" s="7"/>
      <c r="E798" s="37"/>
      <c r="F798" s="38"/>
      <c r="G798" s="24" t="str">
        <f aca="false">IF(OR(C798="",D798="",N(E798)=0),"",E798*IF(F798="",IFERROR(N(INDEX(Produtos!$K$5:$K$54,MATCH(D798,Produtos!$B$5:$B$54,0))),0),F798))</f>
        <v/>
      </c>
      <c r="H798" s="24" t="str">
        <f aca="false">IF(G798="","",E798*IFERROR(N(INDEX(Produtos!$F$5:$F$54,MATCH(D798,Produtos!$B$5:$B$54,0))),0))</f>
        <v/>
      </c>
      <c r="I798" s="24" t="str">
        <f aca="false">IF(G798="","",G798-H798)</f>
        <v/>
      </c>
      <c r="J798" s="37"/>
    </row>
    <row r="799" customFormat="false" ht="21" hidden="false" customHeight="true" outlineLevel="0" collapsed="false">
      <c r="B799" s="36"/>
      <c r="C799" s="7"/>
      <c r="D799" s="7"/>
      <c r="E799" s="37"/>
      <c r="F799" s="38"/>
      <c r="G799" s="24" t="str">
        <f aca="false">IF(OR(C799="",D799="",N(E799)=0),"",E799*IF(F799="",IFERROR(N(INDEX(Produtos!$K$5:$K$54,MATCH(D799,Produtos!$B$5:$B$54,0))),0),F799))</f>
        <v/>
      </c>
      <c r="H799" s="24" t="str">
        <f aca="false">IF(G799="","",E799*IFERROR(N(INDEX(Produtos!$F$5:$F$54,MATCH(D799,Produtos!$B$5:$B$54,0))),0))</f>
        <v/>
      </c>
      <c r="I799" s="24" t="str">
        <f aca="false">IF(G799="","",G799-H799)</f>
        <v/>
      </c>
      <c r="J799" s="37"/>
    </row>
    <row r="800" customFormat="false" ht="21" hidden="false" customHeight="true" outlineLevel="0" collapsed="false">
      <c r="B800" s="36"/>
      <c r="C800" s="7"/>
      <c r="D800" s="7"/>
      <c r="E800" s="37"/>
      <c r="F800" s="38"/>
      <c r="G800" s="24" t="str">
        <f aca="false">IF(OR(C800="",D800="",N(E800)=0),"",E800*IF(F800="",IFERROR(N(INDEX(Produtos!$K$5:$K$54,MATCH(D800,Produtos!$B$5:$B$54,0))),0),F800))</f>
        <v/>
      </c>
      <c r="H800" s="24" t="str">
        <f aca="false">IF(G800="","",E800*IFERROR(N(INDEX(Produtos!$F$5:$F$54,MATCH(D800,Produtos!$B$5:$B$54,0))),0))</f>
        <v/>
      </c>
      <c r="I800" s="24" t="str">
        <f aca="false">IF(G800="","",G800-H800)</f>
        <v/>
      </c>
      <c r="J800" s="37"/>
    </row>
    <row r="801" customFormat="false" ht="21" hidden="false" customHeight="true" outlineLevel="0" collapsed="false">
      <c r="B801" s="36"/>
      <c r="C801" s="7"/>
      <c r="D801" s="7"/>
      <c r="E801" s="37"/>
      <c r="F801" s="38"/>
      <c r="G801" s="24" t="str">
        <f aca="false">IF(OR(C801="",D801="",N(E801)=0),"",E801*IF(F801="",IFERROR(N(INDEX(Produtos!$K$5:$K$54,MATCH(D801,Produtos!$B$5:$B$54,0))),0),F801))</f>
        <v/>
      </c>
      <c r="H801" s="24" t="str">
        <f aca="false">IF(G801="","",E801*IFERROR(N(INDEX(Produtos!$F$5:$F$54,MATCH(D801,Produtos!$B$5:$B$54,0))),0))</f>
        <v/>
      </c>
      <c r="I801" s="24" t="str">
        <f aca="false">IF(G801="","",G801-H801)</f>
        <v/>
      </c>
      <c r="J801" s="37"/>
    </row>
    <row r="802" customFormat="false" ht="21" hidden="false" customHeight="true" outlineLevel="0" collapsed="false">
      <c r="B802" s="36"/>
      <c r="C802" s="7"/>
      <c r="D802" s="7"/>
      <c r="E802" s="37"/>
      <c r="F802" s="38"/>
      <c r="G802" s="24" t="str">
        <f aca="false">IF(OR(C802="",D802="",N(E802)=0),"",E802*IF(F802="",IFERROR(N(INDEX(Produtos!$K$5:$K$54,MATCH(D802,Produtos!$B$5:$B$54,0))),0),F802))</f>
        <v/>
      </c>
      <c r="H802" s="24" t="str">
        <f aca="false">IF(G802="","",E802*IFERROR(N(INDEX(Produtos!$F$5:$F$54,MATCH(D802,Produtos!$B$5:$B$54,0))),0))</f>
        <v/>
      </c>
      <c r="I802" s="24" t="str">
        <f aca="false">IF(G802="","",G802-H802)</f>
        <v/>
      </c>
      <c r="J802" s="37"/>
    </row>
    <row r="803" customFormat="false" ht="21" hidden="false" customHeight="true" outlineLevel="0" collapsed="false">
      <c r="B803" s="36"/>
      <c r="C803" s="7"/>
      <c r="D803" s="7"/>
      <c r="E803" s="37"/>
      <c r="F803" s="38"/>
      <c r="G803" s="24" t="str">
        <f aca="false">IF(OR(C803="",D803="",N(E803)=0),"",E803*IF(F803="",IFERROR(N(INDEX(Produtos!$K$5:$K$54,MATCH(D803,Produtos!$B$5:$B$54,0))),0),F803))</f>
        <v/>
      </c>
      <c r="H803" s="24" t="str">
        <f aca="false">IF(G803="","",E803*IFERROR(N(INDEX(Produtos!$F$5:$F$54,MATCH(D803,Produtos!$B$5:$B$54,0))),0))</f>
        <v/>
      </c>
      <c r="I803" s="24" t="str">
        <f aca="false">IF(G803="","",G803-H803)</f>
        <v/>
      </c>
      <c r="J803" s="37"/>
    </row>
    <row r="804" customFormat="false" ht="21" hidden="false" customHeight="true" outlineLevel="0" collapsed="false">
      <c r="B804" s="36"/>
      <c r="C804" s="7"/>
      <c r="D804" s="7"/>
      <c r="E804" s="37"/>
      <c r="F804" s="38"/>
      <c r="G804" s="24" t="str">
        <f aca="false">IF(OR(C804="",D804="",N(E804)=0),"",E804*IF(F804="",IFERROR(N(INDEX(Produtos!$K$5:$K$54,MATCH(D804,Produtos!$B$5:$B$54,0))),0),F804))</f>
        <v/>
      </c>
      <c r="H804" s="24" t="str">
        <f aca="false">IF(G804="","",E804*IFERROR(N(INDEX(Produtos!$F$5:$F$54,MATCH(D804,Produtos!$B$5:$B$54,0))),0))</f>
        <v/>
      </c>
      <c r="I804" s="24" t="str">
        <f aca="false">IF(G804="","",G804-H804)</f>
        <v/>
      </c>
      <c r="J804" s="37"/>
    </row>
    <row r="805" customFormat="false" ht="21" hidden="false" customHeight="true" outlineLevel="0" collapsed="false">
      <c r="B805" s="36"/>
      <c r="C805" s="7"/>
      <c r="D805" s="7"/>
      <c r="E805" s="37"/>
      <c r="F805" s="38"/>
      <c r="G805" s="24" t="str">
        <f aca="false">IF(OR(C805="",D805="",N(E805)=0),"",E805*IF(F805="",IFERROR(N(INDEX(Produtos!$K$5:$K$54,MATCH(D805,Produtos!$B$5:$B$54,0))),0),F805))</f>
        <v/>
      </c>
      <c r="H805" s="24" t="str">
        <f aca="false">IF(G805="","",E805*IFERROR(N(INDEX(Produtos!$F$5:$F$54,MATCH(D805,Produtos!$B$5:$B$54,0))),0))</f>
        <v/>
      </c>
      <c r="I805" s="24" t="str">
        <f aca="false">IF(G805="","",G805-H805)</f>
        <v/>
      </c>
      <c r="J805" s="37"/>
    </row>
    <row r="806" customFormat="false" ht="21" hidden="false" customHeight="true" outlineLevel="0" collapsed="false">
      <c r="B806" s="36"/>
      <c r="C806" s="7"/>
      <c r="D806" s="7"/>
      <c r="E806" s="37"/>
      <c r="F806" s="38"/>
      <c r="G806" s="24" t="str">
        <f aca="false">IF(OR(C806="",D806="",N(E806)=0),"",E806*IF(F806="",IFERROR(N(INDEX(Produtos!$K$5:$K$54,MATCH(D806,Produtos!$B$5:$B$54,0))),0),F806))</f>
        <v/>
      </c>
      <c r="H806" s="24" t="str">
        <f aca="false">IF(G806="","",E806*IFERROR(N(INDEX(Produtos!$F$5:$F$54,MATCH(D806,Produtos!$B$5:$B$54,0))),0))</f>
        <v/>
      </c>
      <c r="I806" s="24" t="str">
        <f aca="false">IF(G806="","",G806-H806)</f>
        <v/>
      </c>
      <c r="J806" s="37"/>
    </row>
    <row r="807" customFormat="false" ht="21" hidden="false" customHeight="true" outlineLevel="0" collapsed="false">
      <c r="B807" s="36"/>
      <c r="C807" s="7"/>
      <c r="D807" s="7"/>
      <c r="E807" s="37"/>
      <c r="F807" s="38"/>
      <c r="G807" s="24" t="str">
        <f aca="false">IF(OR(C807="",D807="",N(E807)=0),"",E807*IF(F807="",IFERROR(N(INDEX(Produtos!$K$5:$K$54,MATCH(D807,Produtos!$B$5:$B$54,0))),0),F807))</f>
        <v/>
      </c>
      <c r="H807" s="24" t="str">
        <f aca="false">IF(G807="","",E807*IFERROR(N(INDEX(Produtos!$F$5:$F$54,MATCH(D807,Produtos!$B$5:$B$54,0))),0))</f>
        <v/>
      </c>
      <c r="I807" s="24" t="str">
        <f aca="false">IF(G807="","",G807-H807)</f>
        <v/>
      </c>
      <c r="J807" s="37"/>
    </row>
    <row r="808" customFormat="false" ht="21" hidden="false" customHeight="true" outlineLevel="0" collapsed="false">
      <c r="B808" s="36"/>
      <c r="C808" s="7"/>
      <c r="D808" s="7"/>
      <c r="E808" s="37"/>
      <c r="F808" s="38"/>
      <c r="G808" s="24" t="str">
        <f aca="false">IF(OR(C808="",D808="",N(E808)=0),"",E808*IF(F808="",IFERROR(N(INDEX(Produtos!$K$5:$K$54,MATCH(D808,Produtos!$B$5:$B$54,0))),0),F808))</f>
        <v/>
      </c>
      <c r="H808" s="24" t="str">
        <f aca="false">IF(G808="","",E808*IFERROR(N(INDEX(Produtos!$F$5:$F$54,MATCH(D808,Produtos!$B$5:$B$54,0))),0))</f>
        <v/>
      </c>
      <c r="I808" s="24" t="str">
        <f aca="false">IF(G808="","",G808-H808)</f>
        <v/>
      </c>
      <c r="J808" s="37"/>
    </row>
    <row r="809" customFormat="false" ht="21" hidden="false" customHeight="true" outlineLevel="0" collapsed="false">
      <c r="B809" s="36"/>
      <c r="C809" s="7"/>
      <c r="D809" s="7"/>
      <c r="E809" s="37"/>
      <c r="F809" s="38"/>
      <c r="G809" s="24" t="str">
        <f aca="false">IF(OR(C809="",D809="",N(E809)=0),"",E809*IF(F809="",IFERROR(N(INDEX(Produtos!$K$5:$K$54,MATCH(D809,Produtos!$B$5:$B$54,0))),0),F809))</f>
        <v/>
      </c>
      <c r="H809" s="24" t="str">
        <f aca="false">IF(G809="","",E809*IFERROR(N(INDEX(Produtos!$F$5:$F$54,MATCH(D809,Produtos!$B$5:$B$54,0))),0))</f>
        <v/>
      </c>
      <c r="I809" s="24" t="str">
        <f aca="false">IF(G809="","",G809-H809)</f>
        <v/>
      </c>
      <c r="J809" s="37"/>
    </row>
    <row r="810" customFormat="false" ht="21" hidden="false" customHeight="true" outlineLevel="0" collapsed="false">
      <c r="B810" s="36"/>
      <c r="C810" s="7"/>
      <c r="D810" s="7"/>
      <c r="E810" s="37"/>
      <c r="F810" s="38"/>
      <c r="G810" s="24" t="str">
        <f aca="false">IF(OR(C810="",D810="",N(E810)=0),"",E810*IF(F810="",IFERROR(N(INDEX(Produtos!$K$5:$K$54,MATCH(D810,Produtos!$B$5:$B$54,0))),0),F810))</f>
        <v/>
      </c>
      <c r="H810" s="24" t="str">
        <f aca="false">IF(G810="","",E810*IFERROR(N(INDEX(Produtos!$F$5:$F$54,MATCH(D810,Produtos!$B$5:$B$54,0))),0))</f>
        <v/>
      </c>
      <c r="I810" s="24" t="str">
        <f aca="false">IF(G810="","",G810-H810)</f>
        <v/>
      </c>
      <c r="J810" s="37"/>
    </row>
    <row r="811" customFormat="false" ht="21" hidden="false" customHeight="true" outlineLevel="0" collapsed="false">
      <c r="B811" s="36"/>
      <c r="C811" s="7"/>
      <c r="D811" s="7"/>
      <c r="E811" s="37"/>
      <c r="F811" s="38"/>
      <c r="G811" s="24" t="str">
        <f aca="false">IF(OR(C811="",D811="",N(E811)=0),"",E811*IF(F811="",IFERROR(N(INDEX(Produtos!$K$5:$K$54,MATCH(D811,Produtos!$B$5:$B$54,0))),0),F811))</f>
        <v/>
      </c>
      <c r="H811" s="24" t="str">
        <f aca="false">IF(G811="","",E811*IFERROR(N(INDEX(Produtos!$F$5:$F$54,MATCH(D811,Produtos!$B$5:$B$54,0))),0))</f>
        <v/>
      </c>
      <c r="I811" s="24" t="str">
        <f aca="false">IF(G811="","",G811-H811)</f>
        <v/>
      </c>
      <c r="J811" s="37"/>
    </row>
    <row r="812" customFormat="false" ht="21" hidden="false" customHeight="true" outlineLevel="0" collapsed="false">
      <c r="B812" s="36"/>
      <c r="C812" s="7"/>
      <c r="D812" s="7"/>
      <c r="E812" s="37"/>
      <c r="F812" s="38"/>
      <c r="G812" s="24" t="str">
        <f aca="false">IF(OR(C812="",D812="",N(E812)=0),"",E812*IF(F812="",IFERROR(N(INDEX(Produtos!$K$5:$K$54,MATCH(D812,Produtos!$B$5:$B$54,0))),0),F812))</f>
        <v/>
      </c>
      <c r="H812" s="24" t="str">
        <f aca="false">IF(G812="","",E812*IFERROR(N(INDEX(Produtos!$F$5:$F$54,MATCH(D812,Produtos!$B$5:$B$54,0))),0))</f>
        <v/>
      </c>
      <c r="I812" s="24" t="str">
        <f aca="false">IF(G812="","",G812-H812)</f>
        <v/>
      </c>
      <c r="J812" s="37"/>
    </row>
    <row r="813" customFormat="false" ht="21" hidden="false" customHeight="true" outlineLevel="0" collapsed="false">
      <c r="B813" s="36"/>
      <c r="C813" s="7"/>
      <c r="D813" s="7"/>
      <c r="E813" s="37"/>
      <c r="F813" s="38"/>
      <c r="G813" s="24" t="str">
        <f aca="false">IF(OR(C813="",D813="",N(E813)=0),"",E813*IF(F813="",IFERROR(N(INDEX(Produtos!$K$5:$K$54,MATCH(D813,Produtos!$B$5:$B$54,0))),0),F813))</f>
        <v/>
      </c>
      <c r="H813" s="24" t="str">
        <f aca="false">IF(G813="","",E813*IFERROR(N(INDEX(Produtos!$F$5:$F$54,MATCH(D813,Produtos!$B$5:$B$54,0))),0))</f>
        <v/>
      </c>
      <c r="I813" s="24" t="str">
        <f aca="false">IF(G813="","",G813-H813)</f>
        <v/>
      </c>
      <c r="J813" s="37"/>
    </row>
    <row r="814" customFormat="false" ht="21" hidden="false" customHeight="true" outlineLevel="0" collapsed="false">
      <c r="B814" s="36"/>
      <c r="C814" s="7"/>
      <c r="D814" s="7"/>
      <c r="E814" s="37"/>
      <c r="F814" s="38"/>
      <c r="G814" s="24" t="str">
        <f aca="false">IF(OR(C814="",D814="",N(E814)=0),"",E814*IF(F814="",IFERROR(N(INDEX(Produtos!$K$5:$K$54,MATCH(D814,Produtos!$B$5:$B$54,0))),0),F814))</f>
        <v/>
      </c>
      <c r="H814" s="24" t="str">
        <f aca="false">IF(G814="","",E814*IFERROR(N(INDEX(Produtos!$F$5:$F$54,MATCH(D814,Produtos!$B$5:$B$54,0))),0))</f>
        <v/>
      </c>
      <c r="I814" s="24" t="str">
        <f aca="false">IF(G814="","",G814-H814)</f>
        <v/>
      </c>
      <c r="J814" s="37"/>
    </row>
    <row r="815" customFormat="false" ht="21" hidden="false" customHeight="true" outlineLevel="0" collapsed="false">
      <c r="B815" s="36"/>
      <c r="C815" s="7"/>
      <c r="D815" s="7"/>
      <c r="E815" s="37"/>
      <c r="F815" s="38"/>
      <c r="G815" s="24" t="str">
        <f aca="false">IF(OR(C815="",D815="",N(E815)=0),"",E815*IF(F815="",IFERROR(N(INDEX(Produtos!$K$5:$K$54,MATCH(D815,Produtos!$B$5:$B$54,0))),0),F815))</f>
        <v/>
      </c>
      <c r="H815" s="24" t="str">
        <f aca="false">IF(G815="","",E815*IFERROR(N(INDEX(Produtos!$F$5:$F$54,MATCH(D815,Produtos!$B$5:$B$54,0))),0))</f>
        <v/>
      </c>
      <c r="I815" s="24" t="str">
        <f aca="false">IF(G815="","",G815-H815)</f>
        <v/>
      </c>
      <c r="J815" s="37"/>
    </row>
    <row r="816" customFormat="false" ht="21" hidden="false" customHeight="true" outlineLevel="0" collapsed="false">
      <c r="B816" s="36"/>
      <c r="C816" s="7"/>
      <c r="D816" s="7"/>
      <c r="E816" s="37"/>
      <c r="F816" s="38"/>
      <c r="G816" s="24" t="str">
        <f aca="false">IF(OR(C816="",D816="",N(E816)=0),"",E816*IF(F816="",IFERROR(N(INDEX(Produtos!$K$5:$K$54,MATCH(D816,Produtos!$B$5:$B$54,0))),0),F816))</f>
        <v/>
      </c>
      <c r="H816" s="24" t="str">
        <f aca="false">IF(G816="","",E816*IFERROR(N(INDEX(Produtos!$F$5:$F$54,MATCH(D816,Produtos!$B$5:$B$54,0))),0))</f>
        <v/>
      </c>
      <c r="I816" s="24" t="str">
        <f aca="false">IF(G816="","",G816-H816)</f>
        <v/>
      </c>
      <c r="J816" s="37"/>
    </row>
    <row r="817" customFormat="false" ht="21" hidden="false" customHeight="true" outlineLevel="0" collapsed="false">
      <c r="B817" s="36"/>
      <c r="C817" s="7"/>
      <c r="D817" s="7"/>
      <c r="E817" s="37"/>
      <c r="F817" s="38"/>
      <c r="G817" s="24" t="str">
        <f aca="false">IF(OR(C817="",D817="",N(E817)=0),"",E817*IF(F817="",IFERROR(N(INDEX(Produtos!$K$5:$K$54,MATCH(D817,Produtos!$B$5:$B$54,0))),0),F817))</f>
        <v/>
      </c>
      <c r="H817" s="24" t="str">
        <f aca="false">IF(G817="","",E817*IFERROR(N(INDEX(Produtos!$F$5:$F$54,MATCH(D817,Produtos!$B$5:$B$54,0))),0))</f>
        <v/>
      </c>
      <c r="I817" s="24" t="str">
        <f aca="false">IF(G817="","",G817-H817)</f>
        <v/>
      </c>
      <c r="J817" s="37"/>
    </row>
    <row r="818" customFormat="false" ht="21" hidden="false" customHeight="true" outlineLevel="0" collapsed="false">
      <c r="B818" s="36"/>
      <c r="C818" s="7"/>
      <c r="D818" s="7"/>
      <c r="E818" s="37"/>
      <c r="F818" s="38"/>
      <c r="G818" s="24" t="str">
        <f aca="false">IF(OR(C818="",D818="",N(E818)=0),"",E818*IF(F818="",IFERROR(N(INDEX(Produtos!$K$5:$K$54,MATCH(D818,Produtos!$B$5:$B$54,0))),0),F818))</f>
        <v/>
      </c>
      <c r="H818" s="24" t="str">
        <f aca="false">IF(G818="","",E818*IFERROR(N(INDEX(Produtos!$F$5:$F$54,MATCH(D818,Produtos!$B$5:$B$54,0))),0))</f>
        <v/>
      </c>
      <c r="I818" s="24" t="str">
        <f aca="false">IF(G818="","",G818-H818)</f>
        <v/>
      </c>
      <c r="J818" s="37"/>
    </row>
    <row r="819" customFormat="false" ht="21" hidden="false" customHeight="true" outlineLevel="0" collapsed="false">
      <c r="B819" s="36"/>
      <c r="C819" s="7"/>
      <c r="D819" s="7"/>
      <c r="E819" s="37"/>
      <c r="F819" s="38"/>
      <c r="G819" s="24" t="str">
        <f aca="false">IF(OR(C819="",D819="",N(E819)=0),"",E819*IF(F819="",IFERROR(N(INDEX(Produtos!$K$5:$K$54,MATCH(D819,Produtos!$B$5:$B$54,0))),0),F819))</f>
        <v/>
      </c>
      <c r="H819" s="24" t="str">
        <f aca="false">IF(G819="","",E819*IFERROR(N(INDEX(Produtos!$F$5:$F$54,MATCH(D819,Produtos!$B$5:$B$54,0))),0))</f>
        <v/>
      </c>
      <c r="I819" s="24" t="str">
        <f aca="false">IF(G819="","",G819-H819)</f>
        <v/>
      </c>
      <c r="J819" s="37"/>
    </row>
    <row r="820" customFormat="false" ht="21" hidden="false" customHeight="true" outlineLevel="0" collapsed="false">
      <c r="B820" s="36"/>
      <c r="C820" s="7"/>
      <c r="D820" s="7"/>
      <c r="E820" s="37"/>
      <c r="F820" s="38"/>
      <c r="G820" s="24" t="str">
        <f aca="false">IF(OR(C820="",D820="",N(E820)=0),"",E820*IF(F820="",IFERROR(N(INDEX(Produtos!$K$5:$K$54,MATCH(D820,Produtos!$B$5:$B$54,0))),0),F820))</f>
        <v/>
      </c>
      <c r="H820" s="24" t="str">
        <f aca="false">IF(G820="","",E820*IFERROR(N(INDEX(Produtos!$F$5:$F$54,MATCH(D820,Produtos!$B$5:$B$54,0))),0))</f>
        <v/>
      </c>
      <c r="I820" s="24" t="str">
        <f aca="false">IF(G820="","",G820-H820)</f>
        <v/>
      </c>
      <c r="J820" s="37"/>
    </row>
    <row r="821" customFormat="false" ht="21" hidden="false" customHeight="true" outlineLevel="0" collapsed="false">
      <c r="B821" s="36"/>
      <c r="C821" s="7"/>
      <c r="D821" s="7"/>
      <c r="E821" s="37"/>
      <c r="F821" s="38"/>
      <c r="G821" s="24" t="str">
        <f aca="false">IF(OR(C821="",D821="",N(E821)=0),"",E821*IF(F821="",IFERROR(N(INDEX(Produtos!$K$5:$K$54,MATCH(D821,Produtos!$B$5:$B$54,0))),0),F821))</f>
        <v/>
      </c>
      <c r="H821" s="24" t="str">
        <f aca="false">IF(G821="","",E821*IFERROR(N(INDEX(Produtos!$F$5:$F$54,MATCH(D821,Produtos!$B$5:$B$54,0))),0))</f>
        <v/>
      </c>
      <c r="I821" s="24" t="str">
        <f aca="false">IF(G821="","",G821-H821)</f>
        <v/>
      </c>
      <c r="J821" s="37"/>
    </row>
    <row r="822" customFormat="false" ht="21" hidden="false" customHeight="true" outlineLevel="0" collapsed="false">
      <c r="B822" s="36"/>
      <c r="C822" s="7"/>
      <c r="D822" s="7"/>
      <c r="E822" s="37"/>
      <c r="F822" s="38"/>
      <c r="G822" s="24" t="str">
        <f aca="false">IF(OR(C822="",D822="",N(E822)=0),"",E822*IF(F822="",IFERROR(N(INDEX(Produtos!$K$5:$K$54,MATCH(D822,Produtos!$B$5:$B$54,0))),0),F822))</f>
        <v/>
      </c>
      <c r="H822" s="24" t="str">
        <f aca="false">IF(G822="","",E822*IFERROR(N(INDEX(Produtos!$F$5:$F$54,MATCH(D822,Produtos!$B$5:$B$54,0))),0))</f>
        <v/>
      </c>
      <c r="I822" s="24" t="str">
        <f aca="false">IF(G822="","",G822-H822)</f>
        <v/>
      </c>
      <c r="J822" s="37"/>
    </row>
    <row r="823" customFormat="false" ht="21" hidden="false" customHeight="true" outlineLevel="0" collapsed="false">
      <c r="B823" s="36"/>
      <c r="C823" s="7"/>
      <c r="D823" s="7"/>
      <c r="E823" s="37"/>
      <c r="F823" s="38"/>
      <c r="G823" s="24" t="str">
        <f aca="false">IF(OR(C823="",D823="",N(E823)=0),"",E823*IF(F823="",IFERROR(N(INDEX(Produtos!$K$5:$K$54,MATCH(D823,Produtos!$B$5:$B$54,0))),0),F823))</f>
        <v/>
      </c>
      <c r="H823" s="24" t="str">
        <f aca="false">IF(G823="","",E823*IFERROR(N(INDEX(Produtos!$F$5:$F$54,MATCH(D823,Produtos!$B$5:$B$54,0))),0))</f>
        <v/>
      </c>
      <c r="I823" s="24" t="str">
        <f aca="false">IF(G823="","",G823-H823)</f>
        <v/>
      </c>
      <c r="J823" s="37"/>
    </row>
    <row r="824" customFormat="false" ht="21" hidden="false" customHeight="true" outlineLevel="0" collapsed="false">
      <c r="B824" s="36"/>
      <c r="C824" s="7"/>
      <c r="D824" s="7"/>
      <c r="E824" s="37"/>
      <c r="F824" s="38"/>
      <c r="G824" s="24" t="str">
        <f aca="false">IF(OR(C824="",D824="",N(E824)=0),"",E824*IF(F824="",IFERROR(N(INDEX(Produtos!$K$5:$K$54,MATCH(D824,Produtos!$B$5:$B$54,0))),0),F824))</f>
        <v/>
      </c>
      <c r="H824" s="24" t="str">
        <f aca="false">IF(G824="","",E824*IFERROR(N(INDEX(Produtos!$F$5:$F$54,MATCH(D824,Produtos!$B$5:$B$54,0))),0))</f>
        <v/>
      </c>
      <c r="I824" s="24" t="str">
        <f aca="false">IF(G824="","",G824-H824)</f>
        <v/>
      </c>
      <c r="J824" s="37"/>
    </row>
    <row r="825" customFormat="false" ht="21" hidden="false" customHeight="true" outlineLevel="0" collapsed="false">
      <c r="B825" s="36"/>
      <c r="C825" s="7"/>
      <c r="D825" s="7"/>
      <c r="E825" s="37"/>
      <c r="F825" s="38"/>
      <c r="G825" s="24" t="str">
        <f aca="false">IF(OR(C825="",D825="",N(E825)=0),"",E825*IF(F825="",IFERROR(N(INDEX(Produtos!$K$5:$K$54,MATCH(D825,Produtos!$B$5:$B$54,0))),0),F825))</f>
        <v/>
      </c>
      <c r="H825" s="24" t="str">
        <f aca="false">IF(G825="","",E825*IFERROR(N(INDEX(Produtos!$F$5:$F$54,MATCH(D825,Produtos!$B$5:$B$54,0))),0))</f>
        <v/>
      </c>
      <c r="I825" s="24" t="str">
        <f aca="false">IF(G825="","",G825-H825)</f>
        <v/>
      </c>
      <c r="J825" s="37"/>
    </row>
    <row r="826" customFormat="false" ht="21" hidden="false" customHeight="true" outlineLevel="0" collapsed="false">
      <c r="B826" s="36"/>
      <c r="C826" s="7"/>
      <c r="D826" s="7"/>
      <c r="E826" s="37"/>
      <c r="F826" s="38"/>
      <c r="G826" s="24" t="str">
        <f aca="false">IF(OR(C826="",D826="",N(E826)=0),"",E826*IF(F826="",IFERROR(N(INDEX(Produtos!$K$5:$K$54,MATCH(D826,Produtos!$B$5:$B$54,0))),0),F826))</f>
        <v/>
      </c>
      <c r="H826" s="24" t="str">
        <f aca="false">IF(G826="","",E826*IFERROR(N(INDEX(Produtos!$F$5:$F$54,MATCH(D826,Produtos!$B$5:$B$54,0))),0))</f>
        <v/>
      </c>
      <c r="I826" s="24" t="str">
        <f aca="false">IF(G826="","",G826-H826)</f>
        <v/>
      </c>
      <c r="J826" s="37"/>
    </row>
    <row r="827" customFormat="false" ht="21" hidden="false" customHeight="true" outlineLevel="0" collapsed="false">
      <c r="B827" s="36"/>
      <c r="C827" s="7"/>
      <c r="D827" s="7"/>
      <c r="E827" s="37"/>
      <c r="F827" s="38"/>
      <c r="G827" s="24" t="str">
        <f aca="false">IF(OR(C827="",D827="",N(E827)=0),"",E827*IF(F827="",IFERROR(N(INDEX(Produtos!$K$5:$K$54,MATCH(D827,Produtos!$B$5:$B$54,0))),0),F827))</f>
        <v/>
      </c>
      <c r="H827" s="24" t="str">
        <f aca="false">IF(G827="","",E827*IFERROR(N(INDEX(Produtos!$F$5:$F$54,MATCH(D827,Produtos!$B$5:$B$54,0))),0))</f>
        <v/>
      </c>
      <c r="I827" s="24" t="str">
        <f aca="false">IF(G827="","",G827-H827)</f>
        <v/>
      </c>
      <c r="J827" s="37"/>
    </row>
    <row r="828" customFormat="false" ht="21" hidden="false" customHeight="true" outlineLevel="0" collapsed="false">
      <c r="B828" s="36"/>
      <c r="C828" s="7"/>
      <c r="D828" s="7"/>
      <c r="E828" s="37"/>
      <c r="F828" s="38"/>
      <c r="G828" s="24" t="str">
        <f aca="false">IF(OR(C828="",D828="",N(E828)=0),"",E828*IF(F828="",IFERROR(N(INDEX(Produtos!$K$5:$K$54,MATCH(D828,Produtos!$B$5:$B$54,0))),0),F828))</f>
        <v/>
      </c>
      <c r="H828" s="24" t="str">
        <f aca="false">IF(G828="","",E828*IFERROR(N(INDEX(Produtos!$F$5:$F$54,MATCH(D828,Produtos!$B$5:$B$54,0))),0))</f>
        <v/>
      </c>
      <c r="I828" s="24" t="str">
        <f aca="false">IF(G828="","",G828-H828)</f>
        <v/>
      </c>
      <c r="J828" s="37"/>
    </row>
    <row r="829" customFormat="false" ht="21" hidden="false" customHeight="true" outlineLevel="0" collapsed="false">
      <c r="B829" s="36"/>
      <c r="C829" s="7"/>
      <c r="D829" s="7"/>
      <c r="E829" s="37"/>
      <c r="F829" s="38"/>
      <c r="G829" s="24" t="str">
        <f aca="false">IF(OR(C829="",D829="",N(E829)=0),"",E829*IF(F829="",IFERROR(N(INDEX(Produtos!$K$5:$K$54,MATCH(D829,Produtos!$B$5:$B$54,0))),0),F829))</f>
        <v/>
      </c>
      <c r="H829" s="24" t="str">
        <f aca="false">IF(G829="","",E829*IFERROR(N(INDEX(Produtos!$F$5:$F$54,MATCH(D829,Produtos!$B$5:$B$54,0))),0))</f>
        <v/>
      </c>
      <c r="I829" s="24" t="str">
        <f aca="false">IF(G829="","",G829-H829)</f>
        <v/>
      </c>
      <c r="J829" s="37"/>
    </row>
    <row r="830" customFormat="false" ht="21" hidden="false" customHeight="true" outlineLevel="0" collapsed="false">
      <c r="B830" s="36"/>
      <c r="C830" s="7"/>
      <c r="D830" s="7"/>
      <c r="E830" s="37"/>
      <c r="F830" s="38"/>
      <c r="G830" s="24" t="str">
        <f aca="false">IF(OR(C830="",D830="",N(E830)=0),"",E830*IF(F830="",IFERROR(N(INDEX(Produtos!$K$5:$K$54,MATCH(D830,Produtos!$B$5:$B$54,0))),0),F830))</f>
        <v/>
      </c>
      <c r="H830" s="24" t="str">
        <f aca="false">IF(G830="","",E830*IFERROR(N(INDEX(Produtos!$F$5:$F$54,MATCH(D830,Produtos!$B$5:$B$54,0))),0))</f>
        <v/>
      </c>
      <c r="I830" s="24" t="str">
        <f aca="false">IF(G830="","",G830-H830)</f>
        <v/>
      </c>
      <c r="J830" s="37"/>
    </row>
    <row r="831" customFormat="false" ht="21" hidden="false" customHeight="true" outlineLevel="0" collapsed="false">
      <c r="B831" s="36"/>
      <c r="C831" s="7"/>
      <c r="D831" s="7"/>
      <c r="E831" s="37"/>
      <c r="F831" s="38"/>
      <c r="G831" s="24" t="str">
        <f aca="false">IF(OR(C831="",D831="",N(E831)=0),"",E831*IF(F831="",IFERROR(N(INDEX(Produtos!$K$5:$K$54,MATCH(D831,Produtos!$B$5:$B$54,0))),0),F831))</f>
        <v/>
      </c>
      <c r="H831" s="24" t="str">
        <f aca="false">IF(G831="","",E831*IFERROR(N(INDEX(Produtos!$F$5:$F$54,MATCH(D831,Produtos!$B$5:$B$54,0))),0))</f>
        <v/>
      </c>
      <c r="I831" s="24" t="str">
        <f aca="false">IF(G831="","",G831-H831)</f>
        <v/>
      </c>
      <c r="J831" s="37"/>
    </row>
    <row r="832" customFormat="false" ht="21" hidden="false" customHeight="true" outlineLevel="0" collapsed="false">
      <c r="B832" s="36"/>
      <c r="C832" s="7"/>
      <c r="D832" s="7"/>
      <c r="E832" s="37"/>
      <c r="F832" s="38"/>
      <c r="G832" s="24" t="str">
        <f aca="false">IF(OR(C832="",D832="",N(E832)=0),"",E832*IF(F832="",IFERROR(N(INDEX(Produtos!$K$5:$K$54,MATCH(D832,Produtos!$B$5:$B$54,0))),0),F832))</f>
        <v/>
      </c>
      <c r="H832" s="24" t="str">
        <f aca="false">IF(G832="","",E832*IFERROR(N(INDEX(Produtos!$F$5:$F$54,MATCH(D832,Produtos!$B$5:$B$54,0))),0))</f>
        <v/>
      </c>
      <c r="I832" s="24" t="str">
        <f aca="false">IF(G832="","",G832-H832)</f>
        <v/>
      </c>
      <c r="J832" s="37"/>
    </row>
    <row r="833" customFormat="false" ht="21" hidden="false" customHeight="true" outlineLevel="0" collapsed="false">
      <c r="B833" s="36"/>
      <c r="C833" s="7"/>
      <c r="D833" s="7"/>
      <c r="E833" s="37"/>
      <c r="F833" s="38"/>
      <c r="G833" s="24" t="str">
        <f aca="false">IF(OR(C833="",D833="",N(E833)=0),"",E833*IF(F833="",IFERROR(N(INDEX(Produtos!$K$5:$K$54,MATCH(D833,Produtos!$B$5:$B$54,0))),0),F833))</f>
        <v/>
      </c>
      <c r="H833" s="24" t="str">
        <f aca="false">IF(G833="","",E833*IFERROR(N(INDEX(Produtos!$F$5:$F$54,MATCH(D833,Produtos!$B$5:$B$54,0))),0))</f>
        <v/>
      </c>
      <c r="I833" s="24" t="str">
        <f aca="false">IF(G833="","",G833-H833)</f>
        <v/>
      </c>
      <c r="J833" s="37"/>
    </row>
    <row r="834" customFormat="false" ht="21" hidden="false" customHeight="true" outlineLevel="0" collapsed="false">
      <c r="B834" s="36"/>
      <c r="C834" s="7"/>
      <c r="D834" s="7"/>
      <c r="E834" s="37"/>
      <c r="F834" s="38"/>
      <c r="G834" s="24" t="str">
        <f aca="false">IF(OR(C834="",D834="",N(E834)=0),"",E834*IF(F834="",IFERROR(N(INDEX(Produtos!$K$5:$K$54,MATCH(D834,Produtos!$B$5:$B$54,0))),0),F834))</f>
        <v/>
      </c>
      <c r="H834" s="24" t="str">
        <f aca="false">IF(G834="","",E834*IFERROR(N(INDEX(Produtos!$F$5:$F$54,MATCH(D834,Produtos!$B$5:$B$54,0))),0))</f>
        <v/>
      </c>
      <c r="I834" s="24" t="str">
        <f aca="false">IF(G834="","",G834-H834)</f>
        <v/>
      </c>
      <c r="J834" s="37"/>
    </row>
    <row r="835" customFormat="false" ht="21" hidden="false" customHeight="true" outlineLevel="0" collapsed="false">
      <c r="B835" s="36"/>
      <c r="C835" s="7"/>
      <c r="D835" s="7"/>
      <c r="E835" s="37"/>
      <c r="F835" s="38"/>
      <c r="G835" s="24" t="str">
        <f aca="false">IF(OR(C835="",D835="",N(E835)=0),"",E835*IF(F835="",IFERROR(N(INDEX(Produtos!$K$5:$K$54,MATCH(D835,Produtos!$B$5:$B$54,0))),0),F835))</f>
        <v/>
      </c>
      <c r="H835" s="24" t="str">
        <f aca="false">IF(G835="","",E835*IFERROR(N(INDEX(Produtos!$F$5:$F$54,MATCH(D835,Produtos!$B$5:$B$54,0))),0))</f>
        <v/>
      </c>
      <c r="I835" s="24" t="str">
        <f aca="false">IF(G835="","",G835-H835)</f>
        <v/>
      </c>
      <c r="J835" s="37"/>
    </row>
    <row r="836" customFormat="false" ht="21" hidden="false" customHeight="true" outlineLevel="0" collapsed="false">
      <c r="B836" s="36"/>
      <c r="C836" s="7"/>
      <c r="D836" s="7"/>
      <c r="E836" s="37"/>
      <c r="F836" s="38"/>
      <c r="G836" s="24" t="str">
        <f aca="false">IF(OR(C836="",D836="",N(E836)=0),"",E836*IF(F836="",IFERROR(N(INDEX(Produtos!$K$5:$K$54,MATCH(D836,Produtos!$B$5:$B$54,0))),0),F836))</f>
        <v/>
      </c>
      <c r="H836" s="24" t="str">
        <f aca="false">IF(G836="","",E836*IFERROR(N(INDEX(Produtos!$F$5:$F$54,MATCH(D836,Produtos!$B$5:$B$54,0))),0))</f>
        <v/>
      </c>
      <c r="I836" s="24" t="str">
        <f aca="false">IF(G836="","",G836-H836)</f>
        <v/>
      </c>
      <c r="J836" s="37"/>
    </row>
    <row r="837" customFormat="false" ht="21" hidden="false" customHeight="true" outlineLevel="0" collapsed="false">
      <c r="B837" s="36"/>
      <c r="C837" s="7"/>
      <c r="D837" s="7"/>
      <c r="E837" s="37"/>
      <c r="F837" s="38"/>
      <c r="G837" s="24" t="str">
        <f aca="false">IF(OR(C837="",D837="",N(E837)=0),"",E837*IF(F837="",IFERROR(N(INDEX(Produtos!$K$5:$K$54,MATCH(D837,Produtos!$B$5:$B$54,0))),0),F837))</f>
        <v/>
      </c>
      <c r="H837" s="24" t="str">
        <f aca="false">IF(G837="","",E837*IFERROR(N(INDEX(Produtos!$F$5:$F$54,MATCH(D837,Produtos!$B$5:$B$54,0))),0))</f>
        <v/>
      </c>
      <c r="I837" s="24" t="str">
        <f aca="false">IF(G837="","",G837-H837)</f>
        <v/>
      </c>
      <c r="J837" s="37"/>
    </row>
    <row r="838" customFormat="false" ht="21" hidden="false" customHeight="true" outlineLevel="0" collapsed="false">
      <c r="B838" s="36"/>
      <c r="C838" s="7"/>
      <c r="D838" s="7"/>
      <c r="E838" s="37"/>
      <c r="F838" s="38"/>
      <c r="G838" s="24" t="str">
        <f aca="false">IF(OR(C838="",D838="",N(E838)=0),"",E838*IF(F838="",IFERROR(N(INDEX(Produtos!$K$5:$K$54,MATCH(D838,Produtos!$B$5:$B$54,0))),0),F838))</f>
        <v/>
      </c>
      <c r="H838" s="24" t="str">
        <f aca="false">IF(G838="","",E838*IFERROR(N(INDEX(Produtos!$F$5:$F$54,MATCH(D838,Produtos!$B$5:$B$54,0))),0))</f>
        <v/>
      </c>
      <c r="I838" s="24" t="str">
        <f aca="false">IF(G838="","",G838-H838)</f>
        <v/>
      </c>
      <c r="J838" s="37"/>
    </row>
    <row r="839" customFormat="false" ht="21" hidden="false" customHeight="true" outlineLevel="0" collapsed="false">
      <c r="B839" s="36"/>
      <c r="C839" s="7"/>
      <c r="D839" s="7"/>
      <c r="E839" s="37"/>
      <c r="F839" s="38"/>
      <c r="G839" s="24" t="str">
        <f aca="false">IF(OR(C839="",D839="",N(E839)=0),"",E839*IF(F839="",IFERROR(N(INDEX(Produtos!$K$5:$K$54,MATCH(D839,Produtos!$B$5:$B$54,0))),0),F839))</f>
        <v/>
      </c>
      <c r="H839" s="24" t="str">
        <f aca="false">IF(G839="","",E839*IFERROR(N(INDEX(Produtos!$F$5:$F$54,MATCH(D839,Produtos!$B$5:$B$54,0))),0))</f>
        <v/>
      </c>
      <c r="I839" s="24" t="str">
        <f aca="false">IF(G839="","",G839-H839)</f>
        <v/>
      </c>
      <c r="J839" s="37"/>
    </row>
    <row r="840" customFormat="false" ht="21" hidden="false" customHeight="true" outlineLevel="0" collapsed="false">
      <c r="B840" s="36"/>
      <c r="C840" s="7"/>
      <c r="D840" s="7"/>
      <c r="E840" s="37"/>
      <c r="F840" s="38"/>
      <c r="G840" s="24" t="str">
        <f aca="false">IF(OR(C840="",D840="",N(E840)=0),"",E840*IF(F840="",IFERROR(N(INDEX(Produtos!$K$5:$K$54,MATCH(D840,Produtos!$B$5:$B$54,0))),0),F840))</f>
        <v/>
      </c>
      <c r="H840" s="24" t="str">
        <f aca="false">IF(G840="","",E840*IFERROR(N(INDEX(Produtos!$F$5:$F$54,MATCH(D840,Produtos!$B$5:$B$54,0))),0))</f>
        <v/>
      </c>
      <c r="I840" s="24" t="str">
        <f aca="false">IF(G840="","",G840-H840)</f>
        <v/>
      </c>
      <c r="J840" s="37"/>
    </row>
    <row r="841" customFormat="false" ht="21" hidden="false" customHeight="true" outlineLevel="0" collapsed="false">
      <c r="B841" s="36"/>
      <c r="C841" s="7"/>
      <c r="D841" s="7"/>
      <c r="E841" s="37"/>
      <c r="F841" s="38"/>
      <c r="G841" s="24" t="str">
        <f aca="false">IF(OR(C841="",D841="",N(E841)=0),"",E841*IF(F841="",IFERROR(N(INDEX(Produtos!$K$5:$K$54,MATCH(D841,Produtos!$B$5:$B$54,0))),0),F841))</f>
        <v/>
      </c>
      <c r="H841" s="24" t="str">
        <f aca="false">IF(G841="","",E841*IFERROR(N(INDEX(Produtos!$F$5:$F$54,MATCH(D841,Produtos!$B$5:$B$54,0))),0))</f>
        <v/>
      </c>
      <c r="I841" s="24" t="str">
        <f aca="false">IF(G841="","",G841-H841)</f>
        <v/>
      </c>
      <c r="J841" s="37"/>
    </row>
    <row r="842" customFormat="false" ht="21" hidden="false" customHeight="true" outlineLevel="0" collapsed="false">
      <c r="B842" s="36"/>
      <c r="C842" s="7"/>
      <c r="D842" s="7"/>
      <c r="E842" s="37"/>
      <c r="F842" s="38"/>
      <c r="G842" s="24" t="str">
        <f aca="false">IF(OR(C842="",D842="",N(E842)=0),"",E842*IF(F842="",IFERROR(N(INDEX(Produtos!$K$5:$K$54,MATCH(D842,Produtos!$B$5:$B$54,0))),0),F842))</f>
        <v/>
      </c>
      <c r="H842" s="24" t="str">
        <f aca="false">IF(G842="","",E842*IFERROR(N(INDEX(Produtos!$F$5:$F$54,MATCH(D842,Produtos!$B$5:$B$54,0))),0))</f>
        <v/>
      </c>
      <c r="I842" s="24" t="str">
        <f aca="false">IF(G842="","",G842-H842)</f>
        <v/>
      </c>
      <c r="J842" s="37"/>
    </row>
    <row r="843" customFormat="false" ht="21" hidden="false" customHeight="true" outlineLevel="0" collapsed="false">
      <c r="B843" s="36"/>
      <c r="C843" s="7"/>
      <c r="D843" s="7"/>
      <c r="E843" s="37"/>
      <c r="F843" s="38"/>
      <c r="G843" s="24" t="str">
        <f aca="false">IF(OR(C843="",D843="",N(E843)=0),"",E843*IF(F843="",IFERROR(N(INDEX(Produtos!$K$5:$K$54,MATCH(D843,Produtos!$B$5:$B$54,0))),0),F843))</f>
        <v/>
      </c>
      <c r="H843" s="24" t="str">
        <f aca="false">IF(G843="","",E843*IFERROR(N(INDEX(Produtos!$F$5:$F$54,MATCH(D843,Produtos!$B$5:$B$54,0))),0))</f>
        <v/>
      </c>
      <c r="I843" s="24" t="str">
        <f aca="false">IF(G843="","",G843-H843)</f>
        <v/>
      </c>
      <c r="J843" s="37"/>
    </row>
    <row r="844" customFormat="false" ht="21" hidden="false" customHeight="true" outlineLevel="0" collapsed="false">
      <c r="B844" s="36"/>
      <c r="C844" s="7"/>
      <c r="D844" s="7"/>
      <c r="E844" s="37"/>
      <c r="F844" s="38"/>
      <c r="G844" s="24" t="str">
        <f aca="false">IF(OR(C844="",D844="",N(E844)=0),"",E844*IF(F844="",IFERROR(N(INDEX(Produtos!$K$5:$K$54,MATCH(D844,Produtos!$B$5:$B$54,0))),0),F844))</f>
        <v/>
      </c>
      <c r="H844" s="24" t="str">
        <f aca="false">IF(G844="","",E844*IFERROR(N(INDEX(Produtos!$F$5:$F$54,MATCH(D844,Produtos!$B$5:$B$54,0))),0))</f>
        <v/>
      </c>
      <c r="I844" s="24" t="str">
        <f aca="false">IF(G844="","",G844-H844)</f>
        <v/>
      </c>
      <c r="J844" s="37"/>
    </row>
    <row r="845" customFormat="false" ht="21" hidden="false" customHeight="true" outlineLevel="0" collapsed="false">
      <c r="B845" s="36"/>
      <c r="C845" s="7"/>
      <c r="D845" s="7"/>
      <c r="E845" s="37"/>
      <c r="F845" s="38"/>
      <c r="G845" s="24" t="str">
        <f aca="false">IF(OR(C845="",D845="",N(E845)=0),"",E845*IF(F845="",IFERROR(N(INDEX(Produtos!$K$5:$K$54,MATCH(D845,Produtos!$B$5:$B$54,0))),0),F845))</f>
        <v/>
      </c>
      <c r="H845" s="24" t="str">
        <f aca="false">IF(G845="","",E845*IFERROR(N(INDEX(Produtos!$F$5:$F$54,MATCH(D845,Produtos!$B$5:$B$54,0))),0))</f>
        <v/>
      </c>
      <c r="I845" s="24" t="str">
        <f aca="false">IF(G845="","",G845-H845)</f>
        <v/>
      </c>
      <c r="J845" s="37"/>
    </row>
    <row r="846" customFormat="false" ht="21" hidden="false" customHeight="true" outlineLevel="0" collapsed="false">
      <c r="B846" s="36"/>
      <c r="C846" s="7"/>
      <c r="D846" s="7"/>
      <c r="E846" s="37"/>
      <c r="F846" s="38"/>
      <c r="G846" s="24" t="str">
        <f aca="false">IF(OR(C846="",D846="",N(E846)=0),"",E846*IF(F846="",IFERROR(N(INDEX(Produtos!$K$5:$K$54,MATCH(D846,Produtos!$B$5:$B$54,0))),0),F846))</f>
        <v/>
      </c>
      <c r="H846" s="24" t="str">
        <f aca="false">IF(G846="","",E846*IFERROR(N(INDEX(Produtos!$F$5:$F$54,MATCH(D846,Produtos!$B$5:$B$54,0))),0))</f>
        <v/>
      </c>
      <c r="I846" s="24" t="str">
        <f aca="false">IF(G846="","",G846-H846)</f>
        <v/>
      </c>
      <c r="J846" s="37"/>
    </row>
    <row r="847" customFormat="false" ht="21" hidden="false" customHeight="true" outlineLevel="0" collapsed="false">
      <c r="B847" s="36"/>
      <c r="C847" s="7"/>
      <c r="D847" s="7"/>
      <c r="E847" s="37"/>
      <c r="F847" s="38"/>
      <c r="G847" s="24" t="str">
        <f aca="false">IF(OR(C847="",D847="",N(E847)=0),"",E847*IF(F847="",IFERROR(N(INDEX(Produtos!$K$5:$K$54,MATCH(D847,Produtos!$B$5:$B$54,0))),0),F847))</f>
        <v/>
      </c>
      <c r="H847" s="24" t="str">
        <f aca="false">IF(G847="","",E847*IFERROR(N(INDEX(Produtos!$F$5:$F$54,MATCH(D847,Produtos!$B$5:$B$54,0))),0))</f>
        <v/>
      </c>
      <c r="I847" s="24" t="str">
        <f aca="false">IF(G847="","",G847-H847)</f>
        <v/>
      </c>
      <c r="J847" s="37"/>
    </row>
    <row r="848" customFormat="false" ht="21" hidden="false" customHeight="true" outlineLevel="0" collapsed="false">
      <c r="B848" s="36"/>
      <c r="C848" s="7"/>
      <c r="D848" s="7"/>
      <c r="E848" s="37"/>
      <c r="F848" s="38"/>
      <c r="G848" s="24" t="str">
        <f aca="false">IF(OR(C848="",D848="",N(E848)=0),"",E848*IF(F848="",IFERROR(N(INDEX(Produtos!$K$5:$K$54,MATCH(D848,Produtos!$B$5:$B$54,0))),0),F848))</f>
        <v/>
      </c>
      <c r="H848" s="24" t="str">
        <f aca="false">IF(G848="","",E848*IFERROR(N(INDEX(Produtos!$F$5:$F$54,MATCH(D848,Produtos!$B$5:$B$54,0))),0))</f>
        <v/>
      </c>
      <c r="I848" s="24" t="str">
        <f aca="false">IF(G848="","",G848-H848)</f>
        <v/>
      </c>
      <c r="J848" s="37"/>
    </row>
    <row r="849" customFormat="false" ht="21" hidden="false" customHeight="true" outlineLevel="0" collapsed="false">
      <c r="B849" s="36"/>
      <c r="C849" s="7"/>
      <c r="D849" s="7"/>
      <c r="E849" s="37"/>
      <c r="F849" s="38"/>
      <c r="G849" s="24" t="str">
        <f aca="false">IF(OR(C849="",D849="",N(E849)=0),"",E849*IF(F849="",IFERROR(N(INDEX(Produtos!$K$5:$K$54,MATCH(D849,Produtos!$B$5:$B$54,0))),0),F849))</f>
        <v/>
      </c>
      <c r="H849" s="24" t="str">
        <f aca="false">IF(G849="","",E849*IFERROR(N(INDEX(Produtos!$F$5:$F$54,MATCH(D849,Produtos!$B$5:$B$54,0))),0))</f>
        <v/>
      </c>
      <c r="I849" s="24" t="str">
        <f aca="false">IF(G849="","",G849-H849)</f>
        <v/>
      </c>
      <c r="J849" s="37"/>
    </row>
    <row r="850" customFormat="false" ht="21" hidden="false" customHeight="true" outlineLevel="0" collapsed="false">
      <c r="B850" s="36"/>
      <c r="C850" s="7"/>
      <c r="D850" s="7"/>
      <c r="E850" s="37"/>
      <c r="F850" s="38"/>
      <c r="G850" s="24" t="str">
        <f aca="false">IF(OR(C850="",D850="",N(E850)=0),"",E850*IF(F850="",IFERROR(N(INDEX(Produtos!$K$5:$K$54,MATCH(D850,Produtos!$B$5:$B$54,0))),0),F850))</f>
        <v/>
      </c>
      <c r="H850" s="24" t="str">
        <f aca="false">IF(G850="","",E850*IFERROR(N(INDEX(Produtos!$F$5:$F$54,MATCH(D850,Produtos!$B$5:$B$54,0))),0))</f>
        <v/>
      </c>
      <c r="I850" s="24" t="str">
        <f aca="false">IF(G850="","",G850-H850)</f>
        <v/>
      </c>
      <c r="J850" s="37"/>
    </row>
    <row r="851" customFormat="false" ht="21" hidden="false" customHeight="true" outlineLevel="0" collapsed="false">
      <c r="B851" s="36"/>
      <c r="C851" s="7"/>
      <c r="D851" s="7"/>
      <c r="E851" s="37"/>
      <c r="F851" s="38"/>
      <c r="G851" s="24" t="str">
        <f aca="false">IF(OR(C851="",D851="",N(E851)=0),"",E851*IF(F851="",IFERROR(N(INDEX(Produtos!$K$5:$K$54,MATCH(D851,Produtos!$B$5:$B$54,0))),0),F851))</f>
        <v/>
      </c>
      <c r="H851" s="24" t="str">
        <f aca="false">IF(G851="","",E851*IFERROR(N(INDEX(Produtos!$F$5:$F$54,MATCH(D851,Produtos!$B$5:$B$54,0))),0))</f>
        <v/>
      </c>
      <c r="I851" s="24" t="str">
        <f aca="false">IF(G851="","",G851-H851)</f>
        <v/>
      </c>
      <c r="J851" s="37"/>
    </row>
    <row r="852" customFormat="false" ht="21" hidden="false" customHeight="true" outlineLevel="0" collapsed="false">
      <c r="B852" s="36"/>
      <c r="C852" s="7"/>
      <c r="D852" s="7"/>
      <c r="E852" s="37"/>
      <c r="F852" s="38"/>
      <c r="G852" s="24" t="str">
        <f aca="false">IF(OR(C852="",D852="",N(E852)=0),"",E852*IF(F852="",IFERROR(N(INDEX(Produtos!$K$5:$K$54,MATCH(D852,Produtos!$B$5:$B$54,0))),0),F852))</f>
        <v/>
      </c>
      <c r="H852" s="24" t="str">
        <f aca="false">IF(G852="","",E852*IFERROR(N(INDEX(Produtos!$F$5:$F$54,MATCH(D852,Produtos!$B$5:$B$54,0))),0))</f>
        <v/>
      </c>
      <c r="I852" s="24" t="str">
        <f aca="false">IF(G852="","",G852-H852)</f>
        <v/>
      </c>
      <c r="J852" s="37"/>
    </row>
    <row r="853" customFormat="false" ht="21" hidden="false" customHeight="true" outlineLevel="0" collapsed="false">
      <c r="B853" s="36"/>
      <c r="C853" s="7"/>
      <c r="D853" s="7"/>
      <c r="E853" s="37"/>
      <c r="F853" s="38"/>
      <c r="G853" s="24" t="str">
        <f aca="false">IF(OR(C853="",D853="",N(E853)=0),"",E853*IF(F853="",IFERROR(N(INDEX(Produtos!$K$5:$K$54,MATCH(D853,Produtos!$B$5:$B$54,0))),0),F853))</f>
        <v/>
      </c>
      <c r="H853" s="24" t="str">
        <f aca="false">IF(G853="","",E853*IFERROR(N(INDEX(Produtos!$F$5:$F$54,MATCH(D853,Produtos!$B$5:$B$54,0))),0))</f>
        <v/>
      </c>
      <c r="I853" s="24" t="str">
        <f aca="false">IF(G853="","",G853-H853)</f>
        <v/>
      </c>
      <c r="J853" s="37"/>
    </row>
    <row r="854" customFormat="false" ht="21" hidden="false" customHeight="true" outlineLevel="0" collapsed="false">
      <c r="B854" s="36"/>
      <c r="C854" s="7"/>
      <c r="D854" s="7"/>
      <c r="E854" s="37"/>
      <c r="F854" s="38"/>
      <c r="G854" s="24" t="str">
        <f aca="false">IF(OR(C854="",D854="",N(E854)=0),"",E854*IF(F854="",IFERROR(N(INDEX(Produtos!$K$5:$K$54,MATCH(D854,Produtos!$B$5:$B$54,0))),0),F854))</f>
        <v/>
      </c>
      <c r="H854" s="24" t="str">
        <f aca="false">IF(G854="","",E854*IFERROR(N(INDEX(Produtos!$F$5:$F$54,MATCH(D854,Produtos!$B$5:$B$54,0))),0))</f>
        <v/>
      </c>
      <c r="I854" s="24" t="str">
        <f aca="false">IF(G854="","",G854-H854)</f>
        <v/>
      </c>
      <c r="J854" s="37"/>
    </row>
    <row r="855" customFormat="false" ht="21" hidden="false" customHeight="true" outlineLevel="0" collapsed="false">
      <c r="B855" s="36"/>
      <c r="C855" s="7"/>
      <c r="D855" s="7"/>
      <c r="E855" s="37"/>
      <c r="F855" s="38"/>
      <c r="G855" s="24" t="str">
        <f aca="false">IF(OR(C855="",D855="",N(E855)=0),"",E855*IF(F855="",IFERROR(N(INDEX(Produtos!$K$5:$K$54,MATCH(D855,Produtos!$B$5:$B$54,0))),0),F855))</f>
        <v/>
      </c>
      <c r="H855" s="24" t="str">
        <f aca="false">IF(G855="","",E855*IFERROR(N(INDEX(Produtos!$F$5:$F$54,MATCH(D855,Produtos!$B$5:$B$54,0))),0))</f>
        <v/>
      </c>
      <c r="I855" s="24" t="str">
        <f aca="false">IF(G855="","",G855-H855)</f>
        <v/>
      </c>
      <c r="J855" s="37"/>
    </row>
    <row r="856" customFormat="false" ht="21" hidden="false" customHeight="true" outlineLevel="0" collapsed="false">
      <c r="B856" s="36"/>
      <c r="C856" s="7"/>
      <c r="D856" s="7"/>
      <c r="E856" s="37"/>
      <c r="F856" s="38"/>
      <c r="G856" s="24" t="str">
        <f aca="false">IF(OR(C856="",D856="",N(E856)=0),"",E856*IF(F856="",IFERROR(N(INDEX(Produtos!$K$5:$K$54,MATCH(D856,Produtos!$B$5:$B$54,0))),0),F856))</f>
        <v/>
      </c>
      <c r="H856" s="24" t="str">
        <f aca="false">IF(G856="","",E856*IFERROR(N(INDEX(Produtos!$F$5:$F$54,MATCH(D856,Produtos!$B$5:$B$54,0))),0))</f>
        <v/>
      </c>
      <c r="I856" s="24" t="str">
        <f aca="false">IF(G856="","",G856-H856)</f>
        <v/>
      </c>
      <c r="J856" s="37"/>
    </row>
    <row r="857" customFormat="false" ht="21" hidden="false" customHeight="true" outlineLevel="0" collapsed="false">
      <c r="B857" s="36"/>
      <c r="C857" s="7"/>
      <c r="D857" s="7"/>
      <c r="E857" s="37"/>
      <c r="F857" s="38"/>
      <c r="G857" s="24" t="str">
        <f aca="false">IF(OR(C857="",D857="",N(E857)=0),"",E857*IF(F857="",IFERROR(N(INDEX(Produtos!$K$5:$K$54,MATCH(D857,Produtos!$B$5:$B$54,0))),0),F857))</f>
        <v/>
      </c>
      <c r="H857" s="24" t="str">
        <f aca="false">IF(G857="","",E857*IFERROR(N(INDEX(Produtos!$F$5:$F$54,MATCH(D857,Produtos!$B$5:$B$54,0))),0))</f>
        <v/>
      </c>
      <c r="I857" s="24" t="str">
        <f aca="false">IF(G857="","",G857-H857)</f>
        <v/>
      </c>
      <c r="J857" s="37"/>
    </row>
    <row r="858" customFormat="false" ht="21" hidden="false" customHeight="true" outlineLevel="0" collapsed="false">
      <c r="B858" s="36"/>
      <c r="C858" s="7"/>
      <c r="D858" s="7"/>
      <c r="E858" s="37"/>
      <c r="F858" s="38"/>
      <c r="G858" s="24" t="str">
        <f aca="false">IF(OR(C858="",D858="",N(E858)=0),"",E858*IF(F858="",IFERROR(N(INDEX(Produtos!$K$5:$K$54,MATCH(D858,Produtos!$B$5:$B$54,0))),0),F858))</f>
        <v/>
      </c>
      <c r="H858" s="24" t="str">
        <f aca="false">IF(G858="","",E858*IFERROR(N(INDEX(Produtos!$F$5:$F$54,MATCH(D858,Produtos!$B$5:$B$54,0))),0))</f>
        <v/>
      </c>
      <c r="I858" s="24" t="str">
        <f aca="false">IF(G858="","",G858-H858)</f>
        <v/>
      </c>
      <c r="J858" s="37"/>
    </row>
    <row r="859" customFormat="false" ht="21" hidden="false" customHeight="true" outlineLevel="0" collapsed="false">
      <c r="B859" s="36"/>
      <c r="C859" s="7"/>
      <c r="D859" s="7"/>
      <c r="E859" s="37"/>
      <c r="F859" s="38"/>
      <c r="G859" s="24" t="str">
        <f aca="false">IF(OR(C859="",D859="",N(E859)=0),"",E859*IF(F859="",IFERROR(N(INDEX(Produtos!$K$5:$K$54,MATCH(D859,Produtos!$B$5:$B$54,0))),0),F859))</f>
        <v/>
      </c>
      <c r="H859" s="24" t="str">
        <f aca="false">IF(G859="","",E859*IFERROR(N(INDEX(Produtos!$F$5:$F$54,MATCH(D859,Produtos!$B$5:$B$54,0))),0))</f>
        <v/>
      </c>
      <c r="I859" s="24" t="str">
        <f aca="false">IF(G859="","",G859-H859)</f>
        <v/>
      </c>
      <c r="J859" s="37"/>
    </row>
    <row r="860" customFormat="false" ht="21" hidden="false" customHeight="true" outlineLevel="0" collapsed="false">
      <c r="B860" s="36"/>
      <c r="C860" s="7"/>
      <c r="D860" s="7"/>
      <c r="E860" s="37"/>
      <c r="F860" s="38"/>
      <c r="G860" s="24" t="str">
        <f aca="false">IF(OR(C860="",D860="",N(E860)=0),"",E860*IF(F860="",IFERROR(N(INDEX(Produtos!$K$5:$K$54,MATCH(D860,Produtos!$B$5:$B$54,0))),0),F860))</f>
        <v/>
      </c>
      <c r="H860" s="24" t="str">
        <f aca="false">IF(G860="","",E860*IFERROR(N(INDEX(Produtos!$F$5:$F$54,MATCH(D860,Produtos!$B$5:$B$54,0))),0))</f>
        <v/>
      </c>
      <c r="I860" s="24" t="str">
        <f aca="false">IF(G860="","",G860-H860)</f>
        <v/>
      </c>
      <c r="J860" s="37"/>
    </row>
    <row r="861" customFormat="false" ht="21" hidden="false" customHeight="true" outlineLevel="0" collapsed="false">
      <c r="B861" s="36"/>
      <c r="C861" s="7"/>
      <c r="D861" s="7"/>
      <c r="E861" s="37"/>
      <c r="F861" s="38"/>
      <c r="G861" s="24" t="str">
        <f aca="false">IF(OR(C861="",D861="",N(E861)=0),"",E861*IF(F861="",IFERROR(N(INDEX(Produtos!$K$5:$K$54,MATCH(D861,Produtos!$B$5:$B$54,0))),0),F861))</f>
        <v/>
      </c>
      <c r="H861" s="24" t="str">
        <f aca="false">IF(G861="","",E861*IFERROR(N(INDEX(Produtos!$F$5:$F$54,MATCH(D861,Produtos!$B$5:$B$54,0))),0))</f>
        <v/>
      </c>
      <c r="I861" s="24" t="str">
        <f aca="false">IF(G861="","",G861-H861)</f>
        <v/>
      </c>
      <c r="J861" s="37"/>
    </row>
    <row r="862" customFormat="false" ht="21" hidden="false" customHeight="true" outlineLevel="0" collapsed="false">
      <c r="B862" s="36"/>
      <c r="C862" s="7"/>
      <c r="D862" s="7"/>
      <c r="E862" s="37"/>
      <c r="F862" s="38"/>
      <c r="G862" s="24" t="str">
        <f aca="false">IF(OR(C862="",D862="",N(E862)=0),"",E862*IF(F862="",IFERROR(N(INDEX(Produtos!$K$5:$K$54,MATCH(D862,Produtos!$B$5:$B$54,0))),0),F862))</f>
        <v/>
      </c>
      <c r="H862" s="24" t="str">
        <f aca="false">IF(G862="","",E862*IFERROR(N(INDEX(Produtos!$F$5:$F$54,MATCH(D862,Produtos!$B$5:$B$54,0))),0))</f>
        <v/>
      </c>
      <c r="I862" s="24" t="str">
        <f aca="false">IF(G862="","",G862-H862)</f>
        <v/>
      </c>
      <c r="J862" s="37"/>
    </row>
    <row r="863" customFormat="false" ht="21" hidden="false" customHeight="true" outlineLevel="0" collapsed="false">
      <c r="B863" s="36"/>
      <c r="C863" s="7"/>
      <c r="D863" s="7"/>
      <c r="E863" s="37"/>
      <c r="F863" s="38"/>
      <c r="G863" s="24" t="str">
        <f aca="false">IF(OR(C863="",D863="",N(E863)=0),"",E863*IF(F863="",IFERROR(N(INDEX(Produtos!$K$5:$K$54,MATCH(D863,Produtos!$B$5:$B$54,0))),0),F863))</f>
        <v/>
      </c>
      <c r="H863" s="24" t="str">
        <f aca="false">IF(G863="","",E863*IFERROR(N(INDEX(Produtos!$F$5:$F$54,MATCH(D863,Produtos!$B$5:$B$54,0))),0))</f>
        <v/>
      </c>
      <c r="I863" s="24" t="str">
        <f aca="false">IF(G863="","",G863-H863)</f>
        <v/>
      </c>
      <c r="J863" s="37"/>
    </row>
    <row r="864" customFormat="false" ht="21" hidden="false" customHeight="true" outlineLevel="0" collapsed="false">
      <c r="B864" s="36"/>
      <c r="C864" s="7"/>
      <c r="D864" s="7"/>
      <c r="E864" s="37"/>
      <c r="F864" s="38"/>
      <c r="G864" s="24" t="str">
        <f aca="false">IF(OR(C864="",D864="",N(E864)=0),"",E864*IF(F864="",IFERROR(N(INDEX(Produtos!$K$5:$K$54,MATCH(D864,Produtos!$B$5:$B$54,0))),0),F864))</f>
        <v/>
      </c>
      <c r="H864" s="24" t="str">
        <f aca="false">IF(G864="","",E864*IFERROR(N(INDEX(Produtos!$F$5:$F$54,MATCH(D864,Produtos!$B$5:$B$54,0))),0))</f>
        <v/>
      </c>
      <c r="I864" s="24" t="str">
        <f aca="false">IF(G864="","",G864-H864)</f>
        <v/>
      </c>
      <c r="J864" s="37"/>
    </row>
    <row r="865" customFormat="false" ht="21" hidden="false" customHeight="true" outlineLevel="0" collapsed="false">
      <c r="B865" s="36"/>
      <c r="C865" s="7"/>
      <c r="D865" s="7"/>
      <c r="E865" s="37"/>
      <c r="F865" s="38"/>
      <c r="G865" s="24" t="str">
        <f aca="false">IF(OR(C865="",D865="",N(E865)=0),"",E865*IF(F865="",IFERROR(N(INDEX(Produtos!$K$5:$K$54,MATCH(D865,Produtos!$B$5:$B$54,0))),0),F865))</f>
        <v/>
      </c>
      <c r="H865" s="24" t="str">
        <f aca="false">IF(G865="","",E865*IFERROR(N(INDEX(Produtos!$F$5:$F$54,MATCH(D865,Produtos!$B$5:$B$54,0))),0))</f>
        <v/>
      </c>
      <c r="I865" s="24" t="str">
        <f aca="false">IF(G865="","",G865-H865)</f>
        <v/>
      </c>
      <c r="J865" s="37"/>
    </row>
    <row r="866" customFormat="false" ht="21" hidden="false" customHeight="true" outlineLevel="0" collapsed="false">
      <c r="B866" s="36"/>
      <c r="C866" s="7"/>
      <c r="D866" s="7"/>
      <c r="E866" s="37"/>
      <c r="F866" s="38"/>
      <c r="G866" s="24" t="str">
        <f aca="false">IF(OR(C866="",D866="",N(E866)=0),"",E866*IF(F866="",IFERROR(N(INDEX(Produtos!$K$5:$K$54,MATCH(D866,Produtos!$B$5:$B$54,0))),0),F866))</f>
        <v/>
      </c>
      <c r="H866" s="24" t="str">
        <f aca="false">IF(G866="","",E866*IFERROR(N(INDEX(Produtos!$F$5:$F$54,MATCH(D866,Produtos!$B$5:$B$54,0))),0))</f>
        <v/>
      </c>
      <c r="I866" s="24" t="str">
        <f aca="false">IF(G866="","",G866-H866)</f>
        <v/>
      </c>
      <c r="J866" s="37"/>
    </row>
    <row r="867" customFormat="false" ht="21" hidden="false" customHeight="true" outlineLevel="0" collapsed="false">
      <c r="B867" s="36"/>
      <c r="C867" s="7"/>
      <c r="D867" s="7"/>
      <c r="E867" s="37"/>
      <c r="F867" s="38"/>
      <c r="G867" s="24" t="str">
        <f aca="false">IF(OR(C867="",D867="",N(E867)=0),"",E867*IF(F867="",IFERROR(N(INDEX(Produtos!$K$5:$K$54,MATCH(D867,Produtos!$B$5:$B$54,0))),0),F867))</f>
        <v/>
      </c>
      <c r="H867" s="24" t="str">
        <f aca="false">IF(G867="","",E867*IFERROR(N(INDEX(Produtos!$F$5:$F$54,MATCH(D867,Produtos!$B$5:$B$54,0))),0))</f>
        <v/>
      </c>
      <c r="I867" s="24" t="str">
        <f aca="false">IF(G867="","",G867-H867)</f>
        <v/>
      </c>
      <c r="J867" s="37"/>
    </row>
    <row r="868" customFormat="false" ht="21" hidden="false" customHeight="true" outlineLevel="0" collapsed="false">
      <c r="B868" s="36"/>
      <c r="C868" s="7"/>
      <c r="D868" s="7"/>
      <c r="E868" s="37"/>
      <c r="F868" s="38"/>
      <c r="G868" s="24" t="str">
        <f aca="false">IF(OR(C868="",D868="",N(E868)=0),"",E868*IF(F868="",IFERROR(N(INDEX(Produtos!$K$5:$K$54,MATCH(D868,Produtos!$B$5:$B$54,0))),0),F868))</f>
        <v/>
      </c>
      <c r="H868" s="24" t="str">
        <f aca="false">IF(G868="","",E868*IFERROR(N(INDEX(Produtos!$F$5:$F$54,MATCH(D868,Produtos!$B$5:$B$54,0))),0))</f>
        <v/>
      </c>
      <c r="I868" s="24" t="str">
        <f aca="false">IF(G868="","",G868-H868)</f>
        <v/>
      </c>
      <c r="J868" s="37"/>
    </row>
    <row r="869" customFormat="false" ht="21" hidden="false" customHeight="true" outlineLevel="0" collapsed="false">
      <c r="B869" s="36"/>
      <c r="C869" s="7"/>
      <c r="D869" s="7"/>
      <c r="E869" s="37"/>
      <c r="F869" s="38"/>
      <c r="G869" s="24" t="str">
        <f aca="false">IF(OR(C869="",D869="",N(E869)=0),"",E869*IF(F869="",IFERROR(N(INDEX(Produtos!$K$5:$K$54,MATCH(D869,Produtos!$B$5:$B$54,0))),0),F869))</f>
        <v/>
      </c>
      <c r="H869" s="24" t="str">
        <f aca="false">IF(G869="","",E869*IFERROR(N(INDEX(Produtos!$F$5:$F$54,MATCH(D869,Produtos!$B$5:$B$54,0))),0))</f>
        <v/>
      </c>
      <c r="I869" s="24" t="str">
        <f aca="false">IF(G869="","",G869-H869)</f>
        <v/>
      </c>
      <c r="J869" s="37"/>
    </row>
    <row r="870" customFormat="false" ht="21" hidden="false" customHeight="true" outlineLevel="0" collapsed="false">
      <c r="B870" s="36"/>
      <c r="C870" s="7"/>
      <c r="D870" s="7"/>
      <c r="E870" s="37"/>
      <c r="F870" s="38"/>
      <c r="G870" s="24" t="str">
        <f aca="false">IF(OR(C870="",D870="",N(E870)=0),"",E870*IF(F870="",IFERROR(N(INDEX(Produtos!$K$5:$K$54,MATCH(D870,Produtos!$B$5:$B$54,0))),0),F870))</f>
        <v/>
      </c>
      <c r="H870" s="24" t="str">
        <f aca="false">IF(G870="","",E870*IFERROR(N(INDEX(Produtos!$F$5:$F$54,MATCH(D870,Produtos!$B$5:$B$54,0))),0))</f>
        <v/>
      </c>
      <c r="I870" s="24" t="str">
        <f aca="false">IF(G870="","",G870-H870)</f>
        <v/>
      </c>
      <c r="J870" s="37"/>
    </row>
    <row r="871" customFormat="false" ht="21" hidden="false" customHeight="true" outlineLevel="0" collapsed="false">
      <c r="B871" s="36"/>
      <c r="C871" s="7"/>
      <c r="D871" s="7"/>
      <c r="E871" s="37"/>
      <c r="F871" s="38"/>
      <c r="G871" s="24" t="str">
        <f aca="false">IF(OR(C871="",D871="",N(E871)=0),"",E871*IF(F871="",IFERROR(N(INDEX(Produtos!$K$5:$K$54,MATCH(D871,Produtos!$B$5:$B$54,0))),0),F871))</f>
        <v/>
      </c>
      <c r="H871" s="24" t="str">
        <f aca="false">IF(G871="","",E871*IFERROR(N(INDEX(Produtos!$F$5:$F$54,MATCH(D871,Produtos!$B$5:$B$54,0))),0))</f>
        <v/>
      </c>
      <c r="I871" s="24" t="str">
        <f aca="false">IF(G871="","",G871-H871)</f>
        <v/>
      </c>
      <c r="J871" s="37"/>
    </row>
    <row r="872" customFormat="false" ht="21" hidden="false" customHeight="true" outlineLevel="0" collapsed="false">
      <c r="B872" s="36"/>
      <c r="C872" s="7"/>
      <c r="D872" s="7"/>
      <c r="E872" s="37"/>
      <c r="F872" s="38"/>
      <c r="G872" s="24" t="str">
        <f aca="false">IF(OR(C872="",D872="",N(E872)=0),"",E872*IF(F872="",IFERROR(N(INDEX(Produtos!$K$5:$K$54,MATCH(D872,Produtos!$B$5:$B$54,0))),0),F872))</f>
        <v/>
      </c>
      <c r="H872" s="24" t="str">
        <f aca="false">IF(G872="","",E872*IFERROR(N(INDEX(Produtos!$F$5:$F$54,MATCH(D872,Produtos!$B$5:$B$54,0))),0))</f>
        <v/>
      </c>
      <c r="I872" s="24" t="str">
        <f aca="false">IF(G872="","",G872-H872)</f>
        <v/>
      </c>
      <c r="J872" s="37"/>
    </row>
    <row r="873" customFormat="false" ht="21" hidden="false" customHeight="true" outlineLevel="0" collapsed="false">
      <c r="B873" s="36"/>
      <c r="C873" s="7"/>
      <c r="D873" s="7"/>
      <c r="E873" s="37"/>
      <c r="F873" s="38"/>
      <c r="G873" s="24" t="str">
        <f aca="false">IF(OR(C873="",D873="",N(E873)=0),"",E873*IF(F873="",IFERROR(N(INDEX(Produtos!$K$5:$K$54,MATCH(D873,Produtos!$B$5:$B$54,0))),0),F873))</f>
        <v/>
      </c>
      <c r="H873" s="24" t="str">
        <f aca="false">IF(G873="","",E873*IFERROR(N(INDEX(Produtos!$F$5:$F$54,MATCH(D873,Produtos!$B$5:$B$54,0))),0))</f>
        <v/>
      </c>
      <c r="I873" s="24" t="str">
        <f aca="false">IF(G873="","",G873-H873)</f>
        <v/>
      </c>
      <c r="J873" s="37"/>
    </row>
    <row r="874" customFormat="false" ht="21" hidden="false" customHeight="true" outlineLevel="0" collapsed="false">
      <c r="B874" s="36"/>
      <c r="C874" s="7"/>
      <c r="D874" s="7"/>
      <c r="E874" s="37"/>
      <c r="F874" s="38"/>
      <c r="G874" s="24" t="str">
        <f aca="false">IF(OR(C874="",D874="",N(E874)=0),"",E874*IF(F874="",IFERROR(N(INDEX(Produtos!$K$5:$K$54,MATCH(D874,Produtos!$B$5:$B$54,0))),0),F874))</f>
        <v/>
      </c>
      <c r="H874" s="24" t="str">
        <f aca="false">IF(G874="","",E874*IFERROR(N(INDEX(Produtos!$F$5:$F$54,MATCH(D874,Produtos!$B$5:$B$54,0))),0))</f>
        <v/>
      </c>
      <c r="I874" s="24" t="str">
        <f aca="false">IF(G874="","",G874-H874)</f>
        <v/>
      </c>
      <c r="J874" s="37"/>
    </row>
    <row r="875" customFormat="false" ht="21" hidden="false" customHeight="true" outlineLevel="0" collapsed="false">
      <c r="B875" s="36"/>
      <c r="C875" s="7"/>
      <c r="D875" s="7"/>
      <c r="E875" s="37"/>
      <c r="F875" s="38"/>
      <c r="G875" s="24" t="str">
        <f aca="false">IF(OR(C875="",D875="",N(E875)=0),"",E875*IF(F875="",IFERROR(N(INDEX(Produtos!$K$5:$K$54,MATCH(D875,Produtos!$B$5:$B$54,0))),0),F875))</f>
        <v/>
      </c>
      <c r="H875" s="24" t="str">
        <f aca="false">IF(G875="","",E875*IFERROR(N(INDEX(Produtos!$F$5:$F$54,MATCH(D875,Produtos!$B$5:$B$54,0))),0))</f>
        <v/>
      </c>
      <c r="I875" s="24" t="str">
        <f aca="false">IF(G875="","",G875-H875)</f>
        <v/>
      </c>
      <c r="J875" s="37"/>
    </row>
    <row r="876" customFormat="false" ht="21" hidden="false" customHeight="true" outlineLevel="0" collapsed="false">
      <c r="B876" s="36"/>
      <c r="C876" s="7"/>
      <c r="D876" s="7"/>
      <c r="E876" s="37"/>
      <c r="F876" s="38"/>
      <c r="G876" s="24" t="str">
        <f aca="false">IF(OR(C876="",D876="",N(E876)=0),"",E876*IF(F876="",IFERROR(N(INDEX(Produtos!$K$5:$K$54,MATCH(D876,Produtos!$B$5:$B$54,0))),0),F876))</f>
        <v/>
      </c>
      <c r="H876" s="24" t="str">
        <f aca="false">IF(G876="","",E876*IFERROR(N(INDEX(Produtos!$F$5:$F$54,MATCH(D876,Produtos!$B$5:$B$54,0))),0))</f>
        <v/>
      </c>
      <c r="I876" s="24" t="str">
        <f aca="false">IF(G876="","",G876-H876)</f>
        <v/>
      </c>
      <c r="J876" s="37"/>
    </row>
    <row r="877" customFormat="false" ht="21" hidden="false" customHeight="true" outlineLevel="0" collapsed="false">
      <c r="B877" s="36"/>
      <c r="C877" s="7"/>
      <c r="D877" s="7"/>
      <c r="E877" s="37"/>
      <c r="F877" s="38"/>
      <c r="G877" s="24" t="str">
        <f aca="false">IF(OR(C877="",D877="",N(E877)=0),"",E877*IF(F877="",IFERROR(N(INDEX(Produtos!$K$5:$K$54,MATCH(D877,Produtos!$B$5:$B$54,0))),0),F877))</f>
        <v/>
      </c>
      <c r="H877" s="24" t="str">
        <f aca="false">IF(G877="","",E877*IFERROR(N(INDEX(Produtos!$F$5:$F$54,MATCH(D877,Produtos!$B$5:$B$54,0))),0))</f>
        <v/>
      </c>
      <c r="I877" s="24" t="str">
        <f aca="false">IF(G877="","",G877-H877)</f>
        <v/>
      </c>
      <c r="J877" s="37"/>
    </row>
    <row r="878" customFormat="false" ht="21" hidden="false" customHeight="true" outlineLevel="0" collapsed="false">
      <c r="B878" s="36"/>
      <c r="C878" s="7"/>
      <c r="D878" s="7"/>
      <c r="E878" s="37"/>
      <c r="F878" s="38"/>
      <c r="G878" s="24" t="str">
        <f aca="false">IF(OR(C878="",D878="",N(E878)=0),"",E878*IF(F878="",IFERROR(N(INDEX(Produtos!$K$5:$K$54,MATCH(D878,Produtos!$B$5:$B$54,0))),0),F878))</f>
        <v/>
      </c>
      <c r="H878" s="24" t="str">
        <f aca="false">IF(G878="","",E878*IFERROR(N(INDEX(Produtos!$F$5:$F$54,MATCH(D878,Produtos!$B$5:$B$54,0))),0))</f>
        <v/>
      </c>
      <c r="I878" s="24" t="str">
        <f aca="false">IF(G878="","",G878-H878)</f>
        <v/>
      </c>
      <c r="J878" s="37"/>
    </row>
    <row r="879" customFormat="false" ht="21" hidden="false" customHeight="true" outlineLevel="0" collapsed="false">
      <c r="B879" s="36"/>
      <c r="C879" s="7"/>
      <c r="D879" s="7"/>
      <c r="E879" s="37"/>
      <c r="F879" s="38"/>
      <c r="G879" s="24" t="str">
        <f aca="false">IF(OR(C879="",D879="",N(E879)=0),"",E879*IF(F879="",IFERROR(N(INDEX(Produtos!$K$5:$K$54,MATCH(D879,Produtos!$B$5:$B$54,0))),0),F879))</f>
        <v/>
      </c>
      <c r="H879" s="24" t="str">
        <f aca="false">IF(G879="","",E879*IFERROR(N(INDEX(Produtos!$F$5:$F$54,MATCH(D879,Produtos!$B$5:$B$54,0))),0))</f>
        <v/>
      </c>
      <c r="I879" s="24" t="str">
        <f aca="false">IF(G879="","",G879-H879)</f>
        <v/>
      </c>
      <c r="J879" s="37"/>
    </row>
    <row r="880" customFormat="false" ht="21" hidden="false" customHeight="true" outlineLevel="0" collapsed="false">
      <c r="B880" s="36"/>
      <c r="C880" s="7"/>
      <c r="D880" s="7"/>
      <c r="E880" s="37"/>
      <c r="F880" s="38"/>
      <c r="G880" s="24" t="str">
        <f aca="false">IF(OR(C880="",D880="",N(E880)=0),"",E880*IF(F880="",IFERROR(N(INDEX(Produtos!$K$5:$K$54,MATCH(D880,Produtos!$B$5:$B$54,0))),0),F880))</f>
        <v/>
      </c>
      <c r="H880" s="24" t="str">
        <f aca="false">IF(G880="","",E880*IFERROR(N(INDEX(Produtos!$F$5:$F$54,MATCH(D880,Produtos!$B$5:$B$54,0))),0))</f>
        <v/>
      </c>
      <c r="I880" s="24" t="str">
        <f aca="false">IF(G880="","",G880-H880)</f>
        <v/>
      </c>
      <c r="J880" s="37"/>
    </row>
    <row r="881" customFormat="false" ht="21" hidden="false" customHeight="true" outlineLevel="0" collapsed="false">
      <c r="B881" s="36"/>
      <c r="C881" s="7"/>
      <c r="D881" s="7"/>
      <c r="E881" s="37"/>
      <c r="F881" s="38"/>
      <c r="G881" s="24" t="str">
        <f aca="false">IF(OR(C881="",D881="",N(E881)=0),"",E881*IF(F881="",IFERROR(N(INDEX(Produtos!$K$5:$K$54,MATCH(D881,Produtos!$B$5:$B$54,0))),0),F881))</f>
        <v/>
      </c>
      <c r="H881" s="24" t="str">
        <f aca="false">IF(G881="","",E881*IFERROR(N(INDEX(Produtos!$F$5:$F$54,MATCH(D881,Produtos!$B$5:$B$54,0))),0))</f>
        <v/>
      </c>
      <c r="I881" s="24" t="str">
        <f aca="false">IF(G881="","",G881-H881)</f>
        <v/>
      </c>
      <c r="J881" s="37"/>
    </row>
    <row r="882" customFormat="false" ht="21" hidden="false" customHeight="true" outlineLevel="0" collapsed="false">
      <c r="B882" s="36"/>
      <c r="C882" s="7"/>
      <c r="D882" s="7"/>
      <c r="E882" s="37"/>
      <c r="F882" s="38"/>
      <c r="G882" s="24" t="str">
        <f aca="false">IF(OR(C882="",D882="",N(E882)=0),"",E882*IF(F882="",IFERROR(N(INDEX(Produtos!$K$5:$K$54,MATCH(D882,Produtos!$B$5:$B$54,0))),0),F882))</f>
        <v/>
      </c>
      <c r="H882" s="24" t="str">
        <f aca="false">IF(G882="","",E882*IFERROR(N(INDEX(Produtos!$F$5:$F$54,MATCH(D882,Produtos!$B$5:$B$54,0))),0))</f>
        <v/>
      </c>
      <c r="I882" s="24" t="str">
        <f aca="false">IF(G882="","",G882-H882)</f>
        <v/>
      </c>
      <c r="J882" s="37"/>
    </row>
    <row r="883" customFormat="false" ht="21" hidden="false" customHeight="true" outlineLevel="0" collapsed="false">
      <c r="B883" s="36"/>
      <c r="C883" s="7"/>
      <c r="D883" s="7"/>
      <c r="E883" s="37"/>
      <c r="F883" s="38"/>
      <c r="G883" s="24" t="str">
        <f aca="false">IF(OR(C883="",D883="",N(E883)=0),"",E883*IF(F883="",IFERROR(N(INDEX(Produtos!$K$5:$K$54,MATCH(D883,Produtos!$B$5:$B$54,0))),0),F883))</f>
        <v/>
      </c>
      <c r="H883" s="24" t="str">
        <f aca="false">IF(G883="","",E883*IFERROR(N(INDEX(Produtos!$F$5:$F$54,MATCH(D883,Produtos!$B$5:$B$54,0))),0))</f>
        <v/>
      </c>
      <c r="I883" s="24" t="str">
        <f aca="false">IF(G883="","",G883-H883)</f>
        <v/>
      </c>
      <c r="J883" s="37"/>
    </row>
    <row r="884" customFormat="false" ht="21" hidden="false" customHeight="true" outlineLevel="0" collapsed="false">
      <c r="B884" s="36"/>
      <c r="C884" s="7"/>
      <c r="D884" s="7"/>
      <c r="E884" s="37"/>
      <c r="F884" s="38"/>
      <c r="G884" s="24" t="str">
        <f aca="false">IF(OR(C884="",D884="",N(E884)=0),"",E884*IF(F884="",IFERROR(N(INDEX(Produtos!$K$5:$K$54,MATCH(D884,Produtos!$B$5:$B$54,0))),0),F884))</f>
        <v/>
      </c>
      <c r="H884" s="24" t="str">
        <f aca="false">IF(G884="","",E884*IFERROR(N(INDEX(Produtos!$F$5:$F$54,MATCH(D884,Produtos!$B$5:$B$54,0))),0))</f>
        <v/>
      </c>
      <c r="I884" s="24" t="str">
        <f aca="false">IF(G884="","",G884-H884)</f>
        <v/>
      </c>
      <c r="J884" s="37"/>
    </row>
    <row r="885" customFormat="false" ht="21" hidden="false" customHeight="true" outlineLevel="0" collapsed="false">
      <c r="B885" s="36"/>
      <c r="C885" s="7"/>
      <c r="D885" s="7"/>
      <c r="E885" s="37"/>
      <c r="F885" s="38"/>
      <c r="G885" s="24" t="str">
        <f aca="false">IF(OR(C885="",D885="",N(E885)=0),"",E885*IF(F885="",IFERROR(N(INDEX(Produtos!$K$5:$K$54,MATCH(D885,Produtos!$B$5:$B$54,0))),0),F885))</f>
        <v/>
      </c>
      <c r="H885" s="24" t="str">
        <f aca="false">IF(G885="","",E885*IFERROR(N(INDEX(Produtos!$F$5:$F$54,MATCH(D885,Produtos!$B$5:$B$54,0))),0))</f>
        <v/>
      </c>
      <c r="I885" s="24" t="str">
        <f aca="false">IF(G885="","",G885-H885)</f>
        <v/>
      </c>
      <c r="J885" s="37"/>
    </row>
    <row r="886" customFormat="false" ht="21" hidden="false" customHeight="true" outlineLevel="0" collapsed="false">
      <c r="B886" s="36"/>
      <c r="C886" s="7"/>
      <c r="D886" s="7"/>
      <c r="E886" s="37"/>
      <c r="F886" s="38"/>
      <c r="G886" s="24" t="str">
        <f aca="false">IF(OR(C886="",D886="",N(E886)=0),"",E886*IF(F886="",IFERROR(N(INDEX(Produtos!$K$5:$K$54,MATCH(D886,Produtos!$B$5:$B$54,0))),0),F886))</f>
        <v/>
      </c>
      <c r="H886" s="24" t="str">
        <f aca="false">IF(G886="","",E886*IFERROR(N(INDEX(Produtos!$F$5:$F$54,MATCH(D886,Produtos!$B$5:$B$54,0))),0))</f>
        <v/>
      </c>
      <c r="I886" s="24" t="str">
        <f aca="false">IF(G886="","",G886-H886)</f>
        <v/>
      </c>
      <c r="J886" s="37"/>
    </row>
    <row r="887" customFormat="false" ht="21" hidden="false" customHeight="true" outlineLevel="0" collapsed="false">
      <c r="B887" s="36"/>
      <c r="C887" s="7"/>
      <c r="D887" s="7"/>
      <c r="E887" s="37"/>
      <c r="F887" s="38"/>
      <c r="G887" s="24" t="str">
        <f aca="false">IF(OR(C887="",D887="",N(E887)=0),"",E887*IF(F887="",IFERROR(N(INDEX(Produtos!$K$5:$K$54,MATCH(D887,Produtos!$B$5:$B$54,0))),0),F887))</f>
        <v/>
      </c>
      <c r="H887" s="24" t="str">
        <f aca="false">IF(G887="","",E887*IFERROR(N(INDEX(Produtos!$F$5:$F$54,MATCH(D887,Produtos!$B$5:$B$54,0))),0))</f>
        <v/>
      </c>
      <c r="I887" s="24" t="str">
        <f aca="false">IF(G887="","",G887-H887)</f>
        <v/>
      </c>
      <c r="J887" s="37"/>
    </row>
    <row r="888" customFormat="false" ht="21" hidden="false" customHeight="true" outlineLevel="0" collapsed="false">
      <c r="B888" s="36"/>
      <c r="C888" s="7"/>
      <c r="D888" s="7"/>
      <c r="E888" s="37"/>
      <c r="F888" s="38"/>
      <c r="G888" s="24" t="str">
        <f aca="false">IF(OR(C888="",D888="",N(E888)=0),"",E888*IF(F888="",IFERROR(N(INDEX(Produtos!$K$5:$K$54,MATCH(D888,Produtos!$B$5:$B$54,0))),0),F888))</f>
        <v/>
      </c>
      <c r="H888" s="24" t="str">
        <f aca="false">IF(G888="","",E888*IFERROR(N(INDEX(Produtos!$F$5:$F$54,MATCH(D888,Produtos!$B$5:$B$54,0))),0))</f>
        <v/>
      </c>
      <c r="I888" s="24" t="str">
        <f aca="false">IF(G888="","",G888-H888)</f>
        <v/>
      </c>
      <c r="J888" s="37"/>
    </row>
    <row r="889" customFormat="false" ht="21" hidden="false" customHeight="true" outlineLevel="0" collapsed="false">
      <c r="B889" s="36"/>
      <c r="C889" s="7"/>
      <c r="D889" s="7"/>
      <c r="E889" s="37"/>
      <c r="F889" s="38"/>
      <c r="G889" s="24" t="str">
        <f aca="false">IF(OR(C889="",D889="",N(E889)=0),"",E889*IF(F889="",IFERROR(N(INDEX(Produtos!$K$5:$K$54,MATCH(D889,Produtos!$B$5:$B$54,0))),0),F889))</f>
        <v/>
      </c>
      <c r="H889" s="24" t="str">
        <f aca="false">IF(G889="","",E889*IFERROR(N(INDEX(Produtos!$F$5:$F$54,MATCH(D889,Produtos!$B$5:$B$54,0))),0))</f>
        <v/>
      </c>
      <c r="I889" s="24" t="str">
        <f aca="false">IF(G889="","",G889-H889)</f>
        <v/>
      </c>
      <c r="J889" s="37"/>
    </row>
    <row r="890" customFormat="false" ht="21" hidden="false" customHeight="true" outlineLevel="0" collapsed="false">
      <c r="B890" s="36"/>
      <c r="C890" s="7"/>
      <c r="D890" s="7"/>
      <c r="E890" s="37"/>
      <c r="F890" s="38"/>
      <c r="G890" s="24" t="str">
        <f aca="false">IF(OR(C890="",D890="",N(E890)=0),"",E890*IF(F890="",IFERROR(N(INDEX(Produtos!$K$5:$K$54,MATCH(D890,Produtos!$B$5:$B$54,0))),0),F890))</f>
        <v/>
      </c>
      <c r="H890" s="24" t="str">
        <f aca="false">IF(G890="","",E890*IFERROR(N(INDEX(Produtos!$F$5:$F$54,MATCH(D890,Produtos!$B$5:$B$54,0))),0))</f>
        <v/>
      </c>
      <c r="I890" s="24" t="str">
        <f aca="false">IF(G890="","",G890-H890)</f>
        <v/>
      </c>
      <c r="J890" s="37"/>
    </row>
    <row r="891" customFormat="false" ht="21" hidden="false" customHeight="true" outlineLevel="0" collapsed="false">
      <c r="B891" s="36"/>
      <c r="C891" s="7"/>
      <c r="D891" s="7"/>
      <c r="E891" s="37"/>
      <c r="F891" s="38"/>
      <c r="G891" s="24" t="str">
        <f aca="false">IF(OR(C891="",D891="",N(E891)=0),"",E891*IF(F891="",IFERROR(N(INDEX(Produtos!$K$5:$K$54,MATCH(D891,Produtos!$B$5:$B$54,0))),0),F891))</f>
        <v/>
      </c>
      <c r="H891" s="24" t="str">
        <f aca="false">IF(G891="","",E891*IFERROR(N(INDEX(Produtos!$F$5:$F$54,MATCH(D891,Produtos!$B$5:$B$54,0))),0))</f>
        <v/>
      </c>
      <c r="I891" s="24" t="str">
        <f aca="false">IF(G891="","",G891-H891)</f>
        <v/>
      </c>
      <c r="J891" s="37"/>
    </row>
    <row r="892" customFormat="false" ht="21" hidden="false" customHeight="true" outlineLevel="0" collapsed="false">
      <c r="B892" s="36"/>
      <c r="C892" s="7"/>
      <c r="D892" s="7"/>
      <c r="E892" s="37"/>
      <c r="F892" s="38"/>
      <c r="G892" s="24" t="str">
        <f aca="false">IF(OR(C892="",D892="",N(E892)=0),"",E892*IF(F892="",IFERROR(N(INDEX(Produtos!$K$5:$K$54,MATCH(D892,Produtos!$B$5:$B$54,0))),0),F892))</f>
        <v/>
      </c>
      <c r="H892" s="24" t="str">
        <f aca="false">IF(G892="","",E892*IFERROR(N(INDEX(Produtos!$F$5:$F$54,MATCH(D892,Produtos!$B$5:$B$54,0))),0))</f>
        <v/>
      </c>
      <c r="I892" s="24" t="str">
        <f aca="false">IF(G892="","",G892-H892)</f>
        <v/>
      </c>
      <c r="J892" s="37"/>
    </row>
    <row r="893" customFormat="false" ht="21" hidden="false" customHeight="true" outlineLevel="0" collapsed="false">
      <c r="B893" s="36"/>
      <c r="C893" s="7"/>
      <c r="D893" s="7"/>
      <c r="E893" s="37"/>
      <c r="F893" s="38"/>
      <c r="G893" s="24" t="str">
        <f aca="false">IF(OR(C893="",D893="",N(E893)=0),"",E893*IF(F893="",IFERROR(N(INDEX(Produtos!$K$5:$K$54,MATCH(D893,Produtos!$B$5:$B$54,0))),0),F893))</f>
        <v/>
      </c>
      <c r="H893" s="24" t="str">
        <f aca="false">IF(G893="","",E893*IFERROR(N(INDEX(Produtos!$F$5:$F$54,MATCH(D893,Produtos!$B$5:$B$54,0))),0))</f>
        <v/>
      </c>
      <c r="I893" s="24" t="str">
        <f aca="false">IF(G893="","",G893-H893)</f>
        <v/>
      </c>
      <c r="J893" s="37"/>
    </row>
    <row r="894" customFormat="false" ht="21" hidden="false" customHeight="true" outlineLevel="0" collapsed="false">
      <c r="B894" s="36"/>
      <c r="C894" s="7"/>
      <c r="D894" s="7"/>
      <c r="E894" s="37"/>
      <c r="F894" s="38"/>
      <c r="G894" s="24" t="str">
        <f aca="false">IF(OR(C894="",D894="",N(E894)=0),"",E894*IF(F894="",IFERROR(N(INDEX(Produtos!$K$5:$K$54,MATCH(D894,Produtos!$B$5:$B$54,0))),0),F894))</f>
        <v/>
      </c>
      <c r="H894" s="24" t="str">
        <f aca="false">IF(G894="","",E894*IFERROR(N(INDEX(Produtos!$F$5:$F$54,MATCH(D894,Produtos!$B$5:$B$54,0))),0))</f>
        <v/>
      </c>
      <c r="I894" s="24" t="str">
        <f aca="false">IF(G894="","",G894-H894)</f>
        <v/>
      </c>
      <c r="J894" s="37"/>
    </row>
    <row r="895" customFormat="false" ht="21" hidden="false" customHeight="true" outlineLevel="0" collapsed="false">
      <c r="B895" s="36"/>
      <c r="C895" s="7"/>
      <c r="D895" s="7"/>
      <c r="E895" s="37"/>
      <c r="F895" s="38"/>
      <c r="G895" s="24" t="str">
        <f aca="false">IF(OR(C895="",D895="",N(E895)=0),"",E895*IF(F895="",IFERROR(N(INDEX(Produtos!$K$5:$K$54,MATCH(D895,Produtos!$B$5:$B$54,0))),0),F895))</f>
        <v/>
      </c>
      <c r="H895" s="24" t="str">
        <f aca="false">IF(G895="","",E895*IFERROR(N(INDEX(Produtos!$F$5:$F$54,MATCH(D895,Produtos!$B$5:$B$54,0))),0))</f>
        <v/>
      </c>
      <c r="I895" s="24" t="str">
        <f aca="false">IF(G895="","",G895-H895)</f>
        <v/>
      </c>
      <c r="J895" s="37"/>
    </row>
    <row r="896" customFormat="false" ht="21" hidden="false" customHeight="true" outlineLevel="0" collapsed="false">
      <c r="B896" s="36"/>
      <c r="C896" s="7"/>
      <c r="D896" s="7"/>
      <c r="E896" s="37"/>
      <c r="F896" s="38"/>
      <c r="G896" s="24" t="str">
        <f aca="false">IF(OR(C896="",D896="",N(E896)=0),"",E896*IF(F896="",IFERROR(N(INDEX(Produtos!$K$5:$K$54,MATCH(D896,Produtos!$B$5:$B$54,0))),0),F896))</f>
        <v/>
      </c>
      <c r="H896" s="24" t="str">
        <f aca="false">IF(G896="","",E896*IFERROR(N(INDEX(Produtos!$F$5:$F$54,MATCH(D896,Produtos!$B$5:$B$54,0))),0))</f>
        <v/>
      </c>
      <c r="I896" s="24" t="str">
        <f aca="false">IF(G896="","",G896-H896)</f>
        <v/>
      </c>
      <c r="J896" s="37"/>
    </row>
    <row r="897" customFormat="false" ht="21" hidden="false" customHeight="true" outlineLevel="0" collapsed="false">
      <c r="B897" s="36"/>
      <c r="C897" s="7"/>
      <c r="D897" s="7"/>
      <c r="E897" s="37"/>
      <c r="F897" s="38"/>
      <c r="G897" s="24" t="str">
        <f aca="false">IF(OR(C897="",D897="",N(E897)=0),"",E897*IF(F897="",IFERROR(N(INDEX(Produtos!$K$5:$K$54,MATCH(D897,Produtos!$B$5:$B$54,0))),0),F897))</f>
        <v/>
      </c>
      <c r="H897" s="24" t="str">
        <f aca="false">IF(G897="","",E897*IFERROR(N(INDEX(Produtos!$F$5:$F$54,MATCH(D897,Produtos!$B$5:$B$54,0))),0))</f>
        <v/>
      </c>
      <c r="I897" s="24" t="str">
        <f aca="false">IF(G897="","",G897-H897)</f>
        <v/>
      </c>
      <c r="J897" s="37"/>
    </row>
    <row r="898" customFormat="false" ht="21" hidden="false" customHeight="true" outlineLevel="0" collapsed="false">
      <c r="B898" s="36"/>
      <c r="C898" s="7"/>
      <c r="D898" s="7"/>
      <c r="E898" s="37"/>
      <c r="F898" s="38"/>
      <c r="G898" s="24" t="str">
        <f aca="false">IF(OR(C898="",D898="",N(E898)=0),"",E898*IF(F898="",IFERROR(N(INDEX(Produtos!$K$5:$K$54,MATCH(D898,Produtos!$B$5:$B$54,0))),0),F898))</f>
        <v/>
      </c>
      <c r="H898" s="24" t="str">
        <f aca="false">IF(G898="","",E898*IFERROR(N(INDEX(Produtos!$F$5:$F$54,MATCH(D898,Produtos!$B$5:$B$54,0))),0))</f>
        <v/>
      </c>
      <c r="I898" s="24" t="str">
        <f aca="false">IF(G898="","",G898-H898)</f>
        <v/>
      </c>
      <c r="J898" s="37"/>
    </row>
    <row r="899" customFormat="false" ht="21" hidden="false" customHeight="true" outlineLevel="0" collapsed="false">
      <c r="B899" s="36"/>
      <c r="C899" s="7"/>
      <c r="D899" s="7"/>
      <c r="E899" s="37"/>
      <c r="F899" s="38"/>
      <c r="G899" s="24" t="str">
        <f aca="false">IF(OR(C899="",D899="",N(E899)=0),"",E899*IF(F899="",IFERROR(N(INDEX(Produtos!$K$5:$K$54,MATCH(D899,Produtos!$B$5:$B$54,0))),0),F899))</f>
        <v/>
      </c>
      <c r="H899" s="24" t="str">
        <f aca="false">IF(G899="","",E899*IFERROR(N(INDEX(Produtos!$F$5:$F$54,MATCH(D899,Produtos!$B$5:$B$54,0))),0))</f>
        <v/>
      </c>
      <c r="I899" s="24" t="str">
        <f aca="false">IF(G899="","",G899-H899)</f>
        <v/>
      </c>
      <c r="J899" s="37"/>
    </row>
    <row r="900" customFormat="false" ht="21" hidden="false" customHeight="true" outlineLevel="0" collapsed="false">
      <c r="B900" s="36"/>
      <c r="C900" s="7"/>
      <c r="D900" s="7"/>
      <c r="E900" s="37"/>
      <c r="F900" s="38"/>
      <c r="G900" s="24" t="str">
        <f aca="false">IF(OR(C900="",D900="",N(E900)=0),"",E900*IF(F900="",IFERROR(N(INDEX(Produtos!$K$5:$K$54,MATCH(D900,Produtos!$B$5:$B$54,0))),0),F900))</f>
        <v/>
      </c>
      <c r="H900" s="24" t="str">
        <f aca="false">IF(G900="","",E900*IFERROR(N(INDEX(Produtos!$F$5:$F$54,MATCH(D900,Produtos!$B$5:$B$54,0))),0))</f>
        <v/>
      </c>
      <c r="I900" s="24" t="str">
        <f aca="false">IF(G900="","",G900-H900)</f>
        <v/>
      </c>
      <c r="J900" s="37"/>
    </row>
    <row r="901" customFormat="false" ht="21" hidden="false" customHeight="true" outlineLevel="0" collapsed="false">
      <c r="B901" s="36"/>
      <c r="C901" s="7"/>
      <c r="D901" s="7"/>
      <c r="E901" s="37"/>
      <c r="F901" s="38"/>
      <c r="G901" s="24" t="str">
        <f aca="false">IF(OR(C901="",D901="",N(E901)=0),"",E901*IF(F901="",IFERROR(N(INDEX(Produtos!$K$5:$K$54,MATCH(D901,Produtos!$B$5:$B$54,0))),0),F901))</f>
        <v/>
      </c>
      <c r="H901" s="24" t="str">
        <f aca="false">IF(G901="","",E901*IFERROR(N(INDEX(Produtos!$F$5:$F$54,MATCH(D901,Produtos!$B$5:$B$54,0))),0))</f>
        <v/>
      </c>
      <c r="I901" s="24" t="str">
        <f aca="false">IF(G901="","",G901-H901)</f>
        <v/>
      </c>
      <c r="J901" s="37"/>
    </row>
    <row r="902" customFormat="false" ht="21" hidden="false" customHeight="true" outlineLevel="0" collapsed="false">
      <c r="B902" s="36"/>
      <c r="C902" s="7"/>
      <c r="D902" s="7"/>
      <c r="E902" s="37"/>
      <c r="F902" s="38"/>
      <c r="G902" s="24" t="str">
        <f aca="false">IF(OR(C902="",D902="",N(E902)=0),"",E902*IF(F902="",IFERROR(N(INDEX(Produtos!$K$5:$K$54,MATCH(D902,Produtos!$B$5:$B$54,0))),0),F902))</f>
        <v/>
      </c>
      <c r="H902" s="24" t="str">
        <f aca="false">IF(G902="","",E902*IFERROR(N(INDEX(Produtos!$F$5:$F$54,MATCH(D902,Produtos!$B$5:$B$54,0))),0))</f>
        <v/>
      </c>
      <c r="I902" s="24" t="str">
        <f aca="false">IF(G902="","",G902-H902)</f>
        <v/>
      </c>
      <c r="J902" s="37"/>
    </row>
    <row r="903" customFormat="false" ht="21" hidden="false" customHeight="true" outlineLevel="0" collapsed="false">
      <c r="B903" s="36"/>
      <c r="C903" s="7"/>
      <c r="D903" s="7"/>
      <c r="E903" s="37"/>
      <c r="F903" s="38"/>
      <c r="G903" s="24" t="str">
        <f aca="false">IF(OR(C903="",D903="",N(E903)=0),"",E903*IF(F903="",IFERROR(N(INDEX(Produtos!$K$5:$K$54,MATCH(D903,Produtos!$B$5:$B$54,0))),0),F903))</f>
        <v/>
      </c>
      <c r="H903" s="24" t="str">
        <f aca="false">IF(G903="","",E903*IFERROR(N(INDEX(Produtos!$F$5:$F$54,MATCH(D903,Produtos!$B$5:$B$54,0))),0))</f>
        <v/>
      </c>
      <c r="I903" s="24" t="str">
        <f aca="false">IF(G903="","",G903-H903)</f>
        <v/>
      </c>
      <c r="J903" s="37"/>
    </row>
    <row r="904" customFormat="false" ht="21" hidden="false" customHeight="true" outlineLevel="0" collapsed="false">
      <c r="B904" s="36"/>
      <c r="C904" s="7"/>
      <c r="D904" s="7"/>
      <c r="E904" s="37"/>
      <c r="F904" s="38"/>
      <c r="G904" s="24" t="str">
        <f aca="false">IF(OR(C904="",D904="",N(E904)=0),"",E904*IF(F904="",IFERROR(N(INDEX(Produtos!$K$5:$K$54,MATCH(D904,Produtos!$B$5:$B$54,0))),0),F904))</f>
        <v/>
      </c>
      <c r="H904" s="24" t="str">
        <f aca="false">IF(G904="","",E904*IFERROR(N(INDEX(Produtos!$F$5:$F$54,MATCH(D904,Produtos!$B$5:$B$54,0))),0))</f>
        <v/>
      </c>
      <c r="I904" s="24" t="str">
        <f aca="false">IF(G904="","",G904-H904)</f>
        <v/>
      </c>
      <c r="J904" s="37"/>
    </row>
    <row r="905" customFormat="false" ht="21" hidden="false" customHeight="true" outlineLevel="0" collapsed="false">
      <c r="B905" s="36"/>
      <c r="C905" s="7"/>
      <c r="D905" s="7"/>
      <c r="E905" s="37"/>
      <c r="F905" s="38"/>
      <c r="G905" s="24" t="str">
        <f aca="false">IF(OR(C905="",D905="",N(E905)=0),"",E905*IF(F905="",IFERROR(N(INDEX(Produtos!$K$5:$K$54,MATCH(D905,Produtos!$B$5:$B$54,0))),0),F905))</f>
        <v/>
      </c>
      <c r="H905" s="24" t="str">
        <f aca="false">IF(G905="","",E905*IFERROR(N(INDEX(Produtos!$F$5:$F$54,MATCH(D905,Produtos!$B$5:$B$54,0))),0))</f>
        <v/>
      </c>
      <c r="I905" s="24" t="str">
        <f aca="false">IF(G905="","",G905-H905)</f>
        <v/>
      </c>
      <c r="J905" s="37"/>
    </row>
    <row r="906" customFormat="false" ht="21" hidden="false" customHeight="true" outlineLevel="0" collapsed="false">
      <c r="B906" s="36"/>
      <c r="C906" s="7"/>
      <c r="D906" s="7"/>
      <c r="E906" s="37"/>
      <c r="F906" s="38"/>
      <c r="G906" s="24" t="str">
        <f aca="false">IF(OR(C906="",D906="",N(E906)=0),"",E906*IF(F906="",IFERROR(N(INDEX(Produtos!$K$5:$K$54,MATCH(D906,Produtos!$B$5:$B$54,0))),0),F906))</f>
        <v/>
      </c>
      <c r="H906" s="24" t="str">
        <f aca="false">IF(G906="","",E906*IFERROR(N(INDEX(Produtos!$F$5:$F$54,MATCH(D906,Produtos!$B$5:$B$54,0))),0))</f>
        <v/>
      </c>
      <c r="I906" s="24" t="str">
        <f aca="false">IF(G906="","",G906-H906)</f>
        <v/>
      </c>
      <c r="J906" s="37"/>
    </row>
    <row r="907" customFormat="false" ht="21" hidden="false" customHeight="true" outlineLevel="0" collapsed="false">
      <c r="B907" s="36"/>
      <c r="C907" s="7"/>
      <c r="D907" s="7"/>
      <c r="E907" s="37"/>
      <c r="F907" s="38"/>
      <c r="G907" s="24" t="str">
        <f aca="false">IF(OR(C907="",D907="",N(E907)=0),"",E907*IF(F907="",IFERROR(N(INDEX(Produtos!$K$5:$K$54,MATCH(D907,Produtos!$B$5:$B$54,0))),0),F907))</f>
        <v/>
      </c>
      <c r="H907" s="24" t="str">
        <f aca="false">IF(G907="","",E907*IFERROR(N(INDEX(Produtos!$F$5:$F$54,MATCH(D907,Produtos!$B$5:$B$54,0))),0))</f>
        <v/>
      </c>
      <c r="I907" s="24" t="str">
        <f aca="false">IF(G907="","",G907-H907)</f>
        <v/>
      </c>
      <c r="J907" s="37"/>
    </row>
    <row r="908" customFormat="false" ht="21" hidden="false" customHeight="true" outlineLevel="0" collapsed="false">
      <c r="B908" s="36"/>
      <c r="C908" s="7"/>
      <c r="D908" s="7"/>
      <c r="E908" s="37"/>
      <c r="F908" s="38"/>
      <c r="G908" s="24" t="str">
        <f aca="false">IF(OR(C908="",D908="",N(E908)=0),"",E908*IF(F908="",IFERROR(N(INDEX(Produtos!$K$5:$K$54,MATCH(D908,Produtos!$B$5:$B$54,0))),0),F908))</f>
        <v/>
      </c>
      <c r="H908" s="24" t="str">
        <f aca="false">IF(G908="","",E908*IFERROR(N(INDEX(Produtos!$F$5:$F$54,MATCH(D908,Produtos!$B$5:$B$54,0))),0))</f>
        <v/>
      </c>
      <c r="I908" s="24" t="str">
        <f aca="false">IF(G908="","",G908-H908)</f>
        <v/>
      </c>
      <c r="J908" s="37"/>
    </row>
    <row r="909" customFormat="false" ht="21" hidden="false" customHeight="true" outlineLevel="0" collapsed="false">
      <c r="B909" s="36"/>
      <c r="C909" s="7"/>
      <c r="D909" s="7"/>
      <c r="E909" s="37"/>
      <c r="F909" s="38"/>
      <c r="G909" s="24" t="str">
        <f aca="false">IF(OR(C909="",D909="",N(E909)=0),"",E909*IF(F909="",IFERROR(N(INDEX(Produtos!$K$5:$K$54,MATCH(D909,Produtos!$B$5:$B$54,0))),0),F909))</f>
        <v/>
      </c>
      <c r="H909" s="24" t="str">
        <f aca="false">IF(G909="","",E909*IFERROR(N(INDEX(Produtos!$F$5:$F$54,MATCH(D909,Produtos!$B$5:$B$54,0))),0))</f>
        <v/>
      </c>
      <c r="I909" s="24" t="str">
        <f aca="false">IF(G909="","",G909-H909)</f>
        <v/>
      </c>
      <c r="J909" s="37"/>
    </row>
    <row r="910" customFormat="false" ht="21" hidden="false" customHeight="true" outlineLevel="0" collapsed="false">
      <c r="B910" s="36"/>
      <c r="C910" s="7"/>
      <c r="D910" s="7"/>
      <c r="E910" s="37"/>
      <c r="F910" s="38"/>
      <c r="G910" s="24" t="str">
        <f aca="false">IF(OR(C910="",D910="",N(E910)=0),"",E910*IF(F910="",IFERROR(N(INDEX(Produtos!$K$5:$K$54,MATCH(D910,Produtos!$B$5:$B$54,0))),0),F910))</f>
        <v/>
      </c>
      <c r="H910" s="24" t="str">
        <f aca="false">IF(G910="","",E910*IFERROR(N(INDEX(Produtos!$F$5:$F$54,MATCH(D910,Produtos!$B$5:$B$54,0))),0))</f>
        <v/>
      </c>
      <c r="I910" s="24" t="str">
        <f aca="false">IF(G910="","",G910-H910)</f>
        <v/>
      </c>
      <c r="J910" s="37"/>
    </row>
    <row r="911" customFormat="false" ht="21" hidden="false" customHeight="true" outlineLevel="0" collapsed="false">
      <c r="B911" s="36"/>
      <c r="C911" s="7"/>
      <c r="D911" s="7"/>
      <c r="E911" s="37"/>
      <c r="F911" s="38"/>
      <c r="G911" s="24" t="str">
        <f aca="false">IF(OR(C911="",D911="",N(E911)=0),"",E911*IF(F911="",IFERROR(N(INDEX(Produtos!$K$5:$K$54,MATCH(D911,Produtos!$B$5:$B$54,0))),0),F911))</f>
        <v/>
      </c>
      <c r="H911" s="24" t="str">
        <f aca="false">IF(G911="","",E911*IFERROR(N(INDEX(Produtos!$F$5:$F$54,MATCH(D911,Produtos!$B$5:$B$54,0))),0))</f>
        <v/>
      </c>
      <c r="I911" s="24" t="str">
        <f aca="false">IF(G911="","",G911-H911)</f>
        <v/>
      </c>
      <c r="J911" s="37"/>
    </row>
    <row r="912" customFormat="false" ht="21" hidden="false" customHeight="true" outlineLevel="0" collapsed="false">
      <c r="B912" s="36"/>
      <c r="C912" s="7"/>
      <c r="D912" s="7"/>
      <c r="E912" s="37"/>
      <c r="F912" s="38"/>
      <c r="G912" s="24" t="str">
        <f aca="false">IF(OR(C912="",D912="",N(E912)=0),"",E912*IF(F912="",IFERROR(N(INDEX(Produtos!$K$5:$K$54,MATCH(D912,Produtos!$B$5:$B$54,0))),0),F912))</f>
        <v/>
      </c>
      <c r="H912" s="24" t="str">
        <f aca="false">IF(G912="","",E912*IFERROR(N(INDEX(Produtos!$F$5:$F$54,MATCH(D912,Produtos!$B$5:$B$54,0))),0))</f>
        <v/>
      </c>
      <c r="I912" s="24" t="str">
        <f aca="false">IF(G912="","",G912-H912)</f>
        <v/>
      </c>
      <c r="J912" s="37"/>
    </row>
    <row r="913" customFormat="false" ht="21" hidden="false" customHeight="true" outlineLevel="0" collapsed="false">
      <c r="B913" s="36"/>
      <c r="C913" s="7"/>
      <c r="D913" s="7"/>
      <c r="E913" s="37"/>
      <c r="F913" s="38"/>
      <c r="G913" s="24" t="str">
        <f aca="false">IF(OR(C913="",D913="",N(E913)=0),"",E913*IF(F913="",IFERROR(N(INDEX(Produtos!$K$5:$K$54,MATCH(D913,Produtos!$B$5:$B$54,0))),0),F913))</f>
        <v/>
      </c>
      <c r="H913" s="24" t="str">
        <f aca="false">IF(G913="","",E913*IFERROR(N(INDEX(Produtos!$F$5:$F$54,MATCH(D913,Produtos!$B$5:$B$54,0))),0))</f>
        <v/>
      </c>
      <c r="I913" s="24" t="str">
        <f aca="false">IF(G913="","",G913-H913)</f>
        <v/>
      </c>
      <c r="J913" s="37"/>
    </row>
    <row r="914" customFormat="false" ht="21" hidden="false" customHeight="true" outlineLevel="0" collapsed="false">
      <c r="B914" s="36"/>
      <c r="C914" s="7"/>
      <c r="D914" s="7"/>
      <c r="E914" s="37"/>
      <c r="F914" s="38"/>
      <c r="G914" s="24" t="str">
        <f aca="false">IF(OR(C914="",D914="",N(E914)=0),"",E914*IF(F914="",IFERROR(N(INDEX(Produtos!$K$5:$K$54,MATCH(D914,Produtos!$B$5:$B$54,0))),0),F914))</f>
        <v/>
      </c>
      <c r="H914" s="24" t="str">
        <f aca="false">IF(G914="","",E914*IFERROR(N(INDEX(Produtos!$F$5:$F$54,MATCH(D914,Produtos!$B$5:$B$54,0))),0))</f>
        <v/>
      </c>
      <c r="I914" s="24" t="str">
        <f aca="false">IF(G914="","",G914-H914)</f>
        <v/>
      </c>
      <c r="J914" s="37"/>
    </row>
    <row r="915" customFormat="false" ht="21" hidden="false" customHeight="true" outlineLevel="0" collapsed="false">
      <c r="B915" s="36"/>
      <c r="C915" s="7"/>
      <c r="D915" s="7"/>
      <c r="E915" s="37"/>
      <c r="F915" s="38"/>
      <c r="G915" s="24" t="str">
        <f aca="false">IF(OR(C915="",D915="",N(E915)=0),"",E915*IF(F915="",IFERROR(N(INDEX(Produtos!$K$5:$K$54,MATCH(D915,Produtos!$B$5:$B$54,0))),0),F915))</f>
        <v/>
      </c>
      <c r="H915" s="24" t="str">
        <f aca="false">IF(G915="","",E915*IFERROR(N(INDEX(Produtos!$F$5:$F$54,MATCH(D915,Produtos!$B$5:$B$54,0))),0))</f>
        <v/>
      </c>
      <c r="I915" s="24" t="str">
        <f aca="false">IF(G915="","",G915-H915)</f>
        <v/>
      </c>
      <c r="J915" s="37"/>
    </row>
    <row r="916" customFormat="false" ht="21" hidden="false" customHeight="true" outlineLevel="0" collapsed="false">
      <c r="B916" s="36"/>
      <c r="C916" s="7"/>
      <c r="D916" s="7"/>
      <c r="E916" s="37"/>
      <c r="F916" s="38"/>
      <c r="G916" s="24" t="str">
        <f aca="false">IF(OR(C916="",D916="",N(E916)=0),"",E916*IF(F916="",IFERROR(N(INDEX(Produtos!$K$5:$K$54,MATCH(D916,Produtos!$B$5:$B$54,0))),0),F916))</f>
        <v/>
      </c>
      <c r="H916" s="24" t="str">
        <f aca="false">IF(G916="","",E916*IFERROR(N(INDEX(Produtos!$F$5:$F$54,MATCH(D916,Produtos!$B$5:$B$54,0))),0))</f>
        <v/>
      </c>
      <c r="I916" s="24" t="str">
        <f aca="false">IF(G916="","",G916-H916)</f>
        <v/>
      </c>
      <c r="J916" s="37"/>
    </row>
    <row r="917" customFormat="false" ht="21" hidden="false" customHeight="true" outlineLevel="0" collapsed="false">
      <c r="B917" s="36"/>
      <c r="C917" s="7"/>
      <c r="D917" s="7"/>
      <c r="E917" s="37"/>
      <c r="F917" s="38"/>
      <c r="G917" s="24" t="str">
        <f aca="false">IF(OR(C917="",D917="",N(E917)=0),"",E917*IF(F917="",IFERROR(N(INDEX(Produtos!$K$5:$K$54,MATCH(D917,Produtos!$B$5:$B$54,0))),0),F917))</f>
        <v/>
      </c>
      <c r="H917" s="24" t="str">
        <f aca="false">IF(G917="","",E917*IFERROR(N(INDEX(Produtos!$F$5:$F$54,MATCH(D917,Produtos!$B$5:$B$54,0))),0))</f>
        <v/>
      </c>
      <c r="I917" s="24" t="str">
        <f aca="false">IF(G917="","",G917-H917)</f>
        <v/>
      </c>
      <c r="J917" s="37"/>
    </row>
    <row r="918" customFormat="false" ht="21" hidden="false" customHeight="true" outlineLevel="0" collapsed="false">
      <c r="B918" s="36"/>
      <c r="C918" s="7"/>
      <c r="D918" s="7"/>
      <c r="E918" s="37"/>
      <c r="F918" s="38"/>
      <c r="G918" s="24" t="str">
        <f aca="false">IF(OR(C918="",D918="",N(E918)=0),"",E918*IF(F918="",IFERROR(N(INDEX(Produtos!$K$5:$K$54,MATCH(D918,Produtos!$B$5:$B$54,0))),0),F918))</f>
        <v/>
      </c>
      <c r="H918" s="24" t="str">
        <f aca="false">IF(G918="","",E918*IFERROR(N(INDEX(Produtos!$F$5:$F$54,MATCH(D918,Produtos!$B$5:$B$54,0))),0))</f>
        <v/>
      </c>
      <c r="I918" s="24" t="str">
        <f aca="false">IF(G918="","",G918-H918)</f>
        <v/>
      </c>
      <c r="J918" s="37"/>
    </row>
    <row r="919" customFormat="false" ht="21" hidden="false" customHeight="true" outlineLevel="0" collapsed="false">
      <c r="B919" s="36"/>
      <c r="C919" s="7"/>
      <c r="D919" s="7"/>
      <c r="E919" s="37"/>
      <c r="F919" s="38"/>
      <c r="G919" s="24" t="str">
        <f aca="false">IF(OR(C919="",D919="",N(E919)=0),"",E919*IF(F919="",IFERROR(N(INDEX(Produtos!$K$5:$K$54,MATCH(D919,Produtos!$B$5:$B$54,0))),0),F919))</f>
        <v/>
      </c>
      <c r="H919" s="24" t="str">
        <f aca="false">IF(G919="","",E919*IFERROR(N(INDEX(Produtos!$F$5:$F$54,MATCH(D919,Produtos!$B$5:$B$54,0))),0))</f>
        <v/>
      </c>
      <c r="I919" s="24" t="str">
        <f aca="false">IF(G919="","",G919-H919)</f>
        <v/>
      </c>
      <c r="J919" s="37"/>
    </row>
    <row r="920" customFormat="false" ht="21" hidden="false" customHeight="true" outlineLevel="0" collapsed="false">
      <c r="B920" s="36"/>
      <c r="C920" s="7"/>
      <c r="D920" s="7"/>
      <c r="E920" s="37"/>
      <c r="F920" s="38"/>
      <c r="G920" s="24" t="str">
        <f aca="false">IF(OR(C920="",D920="",N(E920)=0),"",E920*IF(F920="",IFERROR(N(INDEX(Produtos!$K$5:$K$54,MATCH(D920,Produtos!$B$5:$B$54,0))),0),F920))</f>
        <v/>
      </c>
      <c r="H920" s="24" t="str">
        <f aca="false">IF(G920="","",E920*IFERROR(N(INDEX(Produtos!$F$5:$F$54,MATCH(D920,Produtos!$B$5:$B$54,0))),0))</f>
        <v/>
      </c>
      <c r="I920" s="24" t="str">
        <f aca="false">IF(G920="","",G920-H920)</f>
        <v/>
      </c>
      <c r="J920" s="37"/>
    </row>
    <row r="921" customFormat="false" ht="21" hidden="false" customHeight="true" outlineLevel="0" collapsed="false">
      <c r="B921" s="36"/>
      <c r="C921" s="7"/>
      <c r="D921" s="7"/>
      <c r="E921" s="37"/>
      <c r="F921" s="38"/>
      <c r="G921" s="24" t="str">
        <f aca="false">IF(OR(C921="",D921="",N(E921)=0),"",E921*IF(F921="",IFERROR(N(INDEX(Produtos!$K$5:$K$54,MATCH(D921,Produtos!$B$5:$B$54,0))),0),F921))</f>
        <v/>
      </c>
      <c r="H921" s="24" t="str">
        <f aca="false">IF(G921="","",E921*IFERROR(N(INDEX(Produtos!$F$5:$F$54,MATCH(D921,Produtos!$B$5:$B$54,0))),0))</f>
        <v/>
      </c>
      <c r="I921" s="24" t="str">
        <f aca="false">IF(G921="","",G921-H921)</f>
        <v/>
      </c>
      <c r="J921" s="37"/>
    </row>
    <row r="922" customFormat="false" ht="21" hidden="false" customHeight="true" outlineLevel="0" collapsed="false">
      <c r="B922" s="36"/>
      <c r="C922" s="7"/>
      <c r="D922" s="7"/>
      <c r="E922" s="37"/>
      <c r="F922" s="38"/>
      <c r="G922" s="24" t="str">
        <f aca="false">IF(OR(C922="",D922="",N(E922)=0),"",E922*IF(F922="",IFERROR(N(INDEX(Produtos!$K$5:$K$54,MATCH(D922,Produtos!$B$5:$B$54,0))),0),F922))</f>
        <v/>
      </c>
      <c r="H922" s="24" t="str">
        <f aca="false">IF(G922="","",E922*IFERROR(N(INDEX(Produtos!$F$5:$F$54,MATCH(D922,Produtos!$B$5:$B$54,0))),0))</f>
        <v/>
      </c>
      <c r="I922" s="24" t="str">
        <f aca="false">IF(G922="","",G922-H922)</f>
        <v/>
      </c>
      <c r="J922" s="37"/>
    </row>
    <row r="923" customFormat="false" ht="21" hidden="false" customHeight="true" outlineLevel="0" collapsed="false">
      <c r="B923" s="36"/>
      <c r="C923" s="7"/>
      <c r="D923" s="7"/>
      <c r="E923" s="37"/>
      <c r="F923" s="38"/>
      <c r="G923" s="24" t="str">
        <f aca="false">IF(OR(C923="",D923="",N(E923)=0),"",E923*IF(F923="",IFERROR(N(INDEX(Produtos!$K$5:$K$54,MATCH(D923,Produtos!$B$5:$B$54,0))),0),F923))</f>
        <v/>
      </c>
      <c r="H923" s="24" t="str">
        <f aca="false">IF(G923="","",E923*IFERROR(N(INDEX(Produtos!$F$5:$F$54,MATCH(D923,Produtos!$B$5:$B$54,0))),0))</f>
        <v/>
      </c>
      <c r="I923" s="24" t="str">
        <f aca="false">IF(G923="","",G923-H923)</f>
        <v/>
      </c>
      <c r="J923" s="37"/>
    </row>
    <row r="924" customFormat="false" ht="21" hidden="false" customHeight="true" outlineLevel="0" collapsed="false">
      <c r="B924" s="36"/>
      <c r="C924" s="7"/>
      <c r="D924" s="7"/>
      <c r="E924" s="37"/>
      <c r="F924" s="38"/>
      <c r="G924" s="24" t="str">
        <f aca="false">IF(OR(C924="",D924="",N(E924)=0),"",E924*IF(F924="",IFERROR(N(INDEX(Produtos!$K$5:$K$54,MATCH(D924,Produtos!$B$5:$B$54,0))),0),F924))</f>
        <v/>
      </c>
      <c r="H924" s="24" t="str">
        <f aca="false">IF(G924="","",E924*IFERROR(N(INDEX(Produtos!$F$5:$F$54,MATCH(D924,Produtos!$B$5:$B$54,0))),0))</f>
        <v/>
      </c>
      <c r="I924" s="24" t="str">
        <f aca="false">IF(G924="","",G924-H924)</f>
        <v/>
      </c>
      <c r="J924" s="37"/>
    </row>
    <row r="925" customFormat="false" ht="21" hidden="false" customHeight="true" outlineLevel="0" collapsed="false">
      <c r="B925" s="36"/>
      <c r="C925" s="7"/>
      <c r="D925" s="7"/>
      <c r="E925" s="37"/>
      <c r="F925" s="38"/>
      <c r="G925" s="24" t="str">
        <f aca="false">IF(OR(C925="",D925="",N(E925)=0),"",E925*IF(F925="",IFERROR(N(INDEX(Produtos!$K$5:$K$54,MATCH(D925,Produtos!$B$5:$B$54,0))),0),F925))</f>
        <v/>
      </c>
      <c r="H925" s="24" t="str">
        <f aca="false">IF(G925="","",E925*IFERROR(N(INDEX(Produtos!$F$5:$F$54,MATCH(D925,Produtos!$B$5:$B$54,0))),0))</f>
        <v/>
      </c>
      <c r="I925" s="24" t="str">
        <f aca="false">IF(G925="","",G925-H925)</f>
        <v/>
      </c>
      <c r="J925" s="37"/>
    </row>
    <row r="926" customFormat="false" ht="21" hidden="false" customHeight="true" outlineLevel="0" collapsed="false">
      <c r="B926" s="36"/>
      <c r="C926" s="7"/>
      <c r="D926" s="7"/>
      <c r="E926" s="37"/>
      <c r="F926" s="38"/>
      <c r="G926" s="24" t="str">
        <f aca="false">IF(OR(C926="",D926="",N(E926)=0),"",E926*IF(F926="",IFERROR(N(INDEX(Produtos!$K$5:$K$54,MATCH(D926,Produtos!$B$5:$B$54,0))),0),F926))</f>
        <v/>
      </c>
      <c r="H926" s="24" t="str">
        <f aca="false">IF(G926="","",E926*IFERROR(N(INDEX(Produtos!$F$5:$F$54,MATCH(D926,Produtos!$B$5:$B$54,0))),0))</f>
        <v/>
      </c>
      <c r="I926" s="24" t="str">
        <f aca="false">IF(G926="","",G926-H926)</f>
        <v/>
      </c>
      <c r="J926" s="37"/>
    </row>
    <row r="927" customFormat="false" ht="21" hidden="false" customHeight="true" outlineLevel="0" collapsed="false">
      <c r="B927" s="36"/>
      <c r="C927" s="7"/>
      <c r="D927" s="7"/>
      <c r="E927" s="37"/>
      <c r="F927" s="38"/>
      <c r="G927" s="24" t="str">
        <f aca="false">IF(OR(C927="",D927="",N(E927)=0),"",E927*IF(F927="",IFERROR(N(INDEX(Produtos!$K$5:$K$54,MATCH(D927,Produtos!$B$5:$B$54,0))),0),F927))</f>
        <v/>
      </c>
      <c r="H927" s="24" t="str">
        <f aca="false">IF(G927="","",E927*IFERROR(N(INDEX(Produtos!$F$5:$F$54,MATCH(D927,Produtos!$B$5:$B$54,0))),0))</f>
        <v/>
      </c>
      <c r="I927" s="24" t="str">
        <f aca="false">IF(G927="","",G927-H927)</f>
        <v/>
      </c>
      <c r="J927" s="37"/>
    </row>
    <row r="928" customFormat="false" ht="21" hidden="false" customHeight="true" outlineLevel="0" collapsed="false">
      <c r="B928" s="36"/>
      <c r="C928" s="7"/>
      <c r="D928" s="7"/>
      <c r="E928" s="37"/>
      <c r="F928" s="38"/>
      <c r="G928" s="24" t="str">
        <f aca="false">IF(OR(C928="",D928="",N(E928)=0),"",E928*IF(F928="",IFERROR(N(INDEX(Produtos!$K$5:$K$54,MATCH(D928,Produtos!$B$5:$B$54,0))),0),F928))</f>
        <v/>
      </c>
      <c r="H928" s="24" t="str">
        <f aca="false">IF(G928="","",E928*IFERROR(N(INDEX(Produtos!$F$5:$F$54,MATCH(D928,Produtos!$B$5:$B$54,0))),0))</f>
        <v/>
      </c>
      <c r="I928" s="24" t="str">
        <f aca="false">IF(G928="","",G928-H928)</f>
        <v/>
      </c>
      <c r="J928" s="37"/>
    </row>
    <row r="929" customFormat="false" ht="21" hidden="false" customHeight="true" outlineLevel="0" collapsed="false">
      <c r="B929" s="36"/>
      <c r="C929" s="7"/>
      <c r="D929" s="7"/>
      <c r="E929" s="37"/>
      <c r="F929" s="38"/>
      <c r="G929" s="24" t="str">
        <f aca="false">IF(OR(C929="",D929="",N(E929)=0),"",E929*IF(F929="",IFERROR(N(INDEX(Produtos!$K$5:$K$54,MATCH(D929,Produtos!$B$5:$B$54,0))),0),F929))</f>
        <v/>
      </c>
      <c r="H929" s="24" t="str">
        <f aca="false">IF(G929="","",E929*IFERROR(N(INDEX(Produtos!$F$5:$F$54,MATCH(D929,Produtos!$B$5:$B$54,0))),0))</f>
        <v/>
      </c>
      <c r="I929" s="24" t="str">
        <f aca="false">IF(G929="","",G929-H929)</f>
        <v/>
      </c>
      <c r="J929" s="37"/>
    </row>
    <row r="930" customFormat="false" ht="21" hidden="false" customHeight="true" outlineLevel="0" collapsed="false">
      <c r="B930" s="36"/>
      <c r="C930" s="7"/>
      <c r="D930" s="7"/>
      <c r="E930" s="37"/>
      <c r="F930" s="38"/>
      <c r="G930" s="24" t="str">
        <f aca="false">IF(OR(C930="",D930="",N(E930)=0),"",E930*IF(F930="",IFERROR(N(INDEX(Produtos!$K$5:$K$54,MATCH(D930,Produtos!$B$5:$B$54,0))),0),F930))</f>
        <v/>
      </c>
      <c r="H930" s="24" t="str">
        <f aca="false">IF(G930="","",E930*IFERROR(N(INDEX(Produtos!$F$5:$F$54,MATCH(D930,Produtos!$B$5:$B$54,0))),0))</f>
        <v/>
      </c>
      <c r="I930" s="24" t="str">
        <f aca="false">IF(G930="","",G930-H930)</f>
        <v/>
      </c>
      <c r="J930" s="37"/>
    </row>
    <row r="931" customFormat="false" ht="21" hidden="false" customHeight="true" outlineLevel="0" collapsed="false">
      <c r="B931" s="36"/>
      <c r="C931" s="7"/>
      <c r="D931" s="7"/>
      <c r="E931" s="37"/>
      <c r="F931" s="38"/>
      <c r="G931" s="24" t="str">
        <f aca="false">IF(OR(C931="",D931="",N(E931)=0),"",E931*IF(F931="",IFERROR(N(INDEX(Produtos!$K$5:$K$54,MATCH(D931,Produtos!$B$5:$B$54,0))),0),F931))</f>
        <v/>
      </c>
      <c r="H931" s="24" t="str">
        <f aca="false">IF(G931="","",E931*IFERROR(N(INDEX(Produtos!$F$5:$F$54,MATCH(D931,Produtos!$B$5:$B$54,0))),0))</f>
        <v/>
      </c>
      <c r="I931" s="24" t="str">
        <f aca="false">IF(G931="","",G931-H931)</f>
        <v/>
      </c>
      <c r="J931" s="37"/>
    </row>
    <row r="932" customFormat="false" ht="21" hidden="false" customHeight="true" outlineLevel="0" collapsed="false">
      <c r="B932" s="36"/>
      <c r="C932" s="7"/>
      <c r="D932" s="7"/>
      <c r="E932" s="37"/>
      <c r="F932" s="38"/>
      <c r="G932" s="24" t="str">
        <f aca="false">IF(OR(C932="",D932="",N(E932)=0),"",E932*IF(F932="",IFERROR(N(INDEX(Produtos!$K$5:$K$54,MATCH(D932,Produtos!$B$5:$B$54,0))),0),F932))</f>
        <v/>
      </c>
      <c r="H932" s="24" t="str">
        <f aca="false">IF(G932="","",E932*IFERROR(N(INDEX(Produtos!$F$5:$F$54,MATCH(D932,Produtos!$B$5:$B$54,0))),0))</f>
        <v/>
      </c>
      <c r="I932" s="24" t="str">
        <f aca="false">IF(G932="","",G932-H932)</f>
        <v/>
      </c>
      <c r="J932" s="37"/>
    </row>
    <row r="933" customFormat="false" ht="21" hidden="false" customHeight="true" outlineLevel="0" collapsed="false">
      <c r="B933" s="36"/>
      <c r="C933" s="7"/>
      <c r="D933" s="7"/>
      <c r="E933" s="37"/>
      <c r="F933" s="38"/>
      <c r="G933" s="24" t="str">
        <f aca="false">IF(OR(C933="",D933="",N(E933)=0),"",E933*IF(F933="",IFERROR(N(INDEX(Produtos!$K$5:$K$54,MATCH(D933,Produtos!$B$5:$B$54,0))),0),F933))</f>
        <v/>
      </c>
      <c r="H933" s="24" t="str">
        <f aca="false">IF(G933="","",E933*IFERROR(N(INDEX(Produtos!$F$5:$F$54,MATCH(D933,Produtos!$B$5:$B$54,0))),0))</f>
        <v/>
      </c>
      <c r="I933" s="24" t="str">
        <f aca="false">IF(G933="","",G933-H933)</f>
        <v/>
      </c>
      <c r="J933" s="37"/>
    </row>
    <row r="934" customFormat="false" ht="21" hidden="false" customHeight="true" outlineLevel="0" collapsed="false">
      <c r="B934" s="36"/>
      <c r="C934" s="7"/>
      <c r="D934" s="7"/>
      <c r="E934" s="37"/>
      <c r="F934" s="38"/>
      <c r="G934" s="24" t="str">
        <f aca="false">IF(OR(C934="",D934="",N(E934)=0),"",E934*IF(F934="",IFERROR(N(INDEX(Produtos!$K$5:$K$54,MATCH(D934,Produtos!$B$5:$B$54,0))),0),F934))</f>
        <v/>
      </c>
      <c r="H934" s="24" t="str">
        <f aca="false">IF(G934="","",E934*IFERROR(N(INDEX(Produtos!$F$5:$F$54,MATCH(D934,Produtos!$B$5:$B$54,0))),0))</f>
        <v/>
      </c>
      <c r="I934" s="24" t="str">
        <f aca="false">IF(G934="","",G934-H934)</f>
        <v/>
      </c>
      <c r="J934" s="37"/>
    </row>
    <row r="935" customFormat="false" ht="21" hidden="false" customHeight="true" outlineLevel="0" collapsed="false">
      <c r="B935" s="36"/>
      <c r="C935" s="7"/>
      <c r="D935" s="7"/>
      <c r="E935" s="37"/>
      <c r="F935" s="38"/>
      <c r="G935" s="24" t="str">
        <f aca="false">IF(OR(C935="",D935="",N(E935)=0),"",E935*IF(F935="",IFERROR(N(INDEX(Produtos!$K$5:$K$54,MATCH(D935,Produtos!$B$5:$B$54,0))),0),F935))</f>
        <v/>
      </c>
      <c r="H935" s="24" t="str">
        <f aca="false">IF(G935="","",E935*IFERROR(N(INDEX(Produtos!$F$5:$F$54,MATCH(D935,Produtos!$B$5:$B$54,0))),0))</f>
        <v/>
      </c>
      <c r="I935" s="24" t="str">
        <f aca="false">IF(G935="","",G935-H935)</f>
        <v/>
      </c>
      <c r="J935" s="37"/>
    </row>
    <row r="936" customFormat="false" ht="21" hidden="false" customHeight="true" outlineLevel="0" collapsed="false">
      <c r="B936" s="36"/>
      <c r="C936" s="7"/>
      <c r="D936" s="7"/>
      <c r="E936" s="37"/>
      <c r="F936" s="38"/>
      <c r="G936" s="24" t="str">
        <f aca="false">IF(OR(C936="",D936="",N(E936)=0),"",E936*IF(F936="",IFERROR(N(INDEX(Produtos!$K$5:$K$54,MATCH(D936,Produtos!$B$5:$B$54,0))),0),F936))</f>
        <v/>
      </c>
      <c r="H936" s="24" t="str">
        <f aca="false">IF(G936="","",E936*IFERROR(N(INDEX(Produtos!$F$5:$F$54,MATCH(D936,Produtos!$B$5:$B$54,0))),0))</f>
        <v/>
      </c>
      <c r="I936" s="24" t="str">
        <f aca="false">IF(G936="","",G936-H936)</f>
        <v/>
      </c>
      <c r="J936" s="37"/>
    </row>
    <row r="937" customFormat="false" ht="21" hidden="false" customHeight="true" outlineLevel="0" collapsed="false">
      <c r="B937" s="36"/>
      <c r="C937" s="7"/>
      <c r="D937" s="7"/>
      <c r="E937" s="37"/>
      <c r="F937" s="38"/>
      <c r="G937" s="24" t="str">
        <f aca="false">IF(OR(C937="",D937="",N(E937)=0),"",E937*IF(F937="",IFERROR(N(INDEX(Produtos!$K$5:$K$54,MATCH(D937,Produtos!$B$5:$B$54,0))),0),F937))</f>
        <v/>
      </c>
      <c r="H937" s="24" t="str">
        <f aca="false">IF(G937="","",E937*IFERROR(N(INDEX(Produtos!$F$5:$F$54,MATCH(D937,Produtos!$B$5:$B$54,0))),0))</f>
        <v/>
      </c>
      <c r="I937" s="24" t="str">
        <f aca="false">IF(G937="","",G937-H937)</f>
        <v/>
      </c>
      <c r="J937" s="37"/>
    </row>
    <row r="938" customFormat="false" ht="21" hidden="false" customHeight="true" outlineLevel="0" collapsed="false">
      <c r="B938" s="36"/>
      <c r="C938" s="7"/>
      <c r="D938" s="7"/>
      <c r="E938" s="37"/>
      <c r="F938" s="38"/>
      <c r="G938" s="24" t="str">
        <f aca="false">IF(OR(C938="",D938="",N(E938)=0),"",E938*IF(F938="",IFERROR(N(INDEX(Produtos!$K$5:$K$54,MATCH(D938,Produtos!$B$5:$B$54,0))),0),F938))</f>
        <v/>
      </c>
      <c r="H938" s="24" t="str">
        <f aca="false">IF(G938="","",E938*IFERROR(N(INDEX(Produtos!$F$5:$F$54,MATCH(D938,Produtos!$B$5:$B$54,0))),0))</f>
        <v/>
      </c>
      <c r="I938" s="24" t="str">
        <f aca="false">IF(G938="","",G938-H938)</f>
        <v/>
      </c>
      <c r="J938" s="37"/>
    </row>
    <row r="939" customFormat="false" ht="21" hidden="false" customHeight="true" outlineLevel="0" collapsed="false">
      <c r="B939" s="36"/>
      <c r="C939" s="7"/>
      <c r="D939" s="7"/>
      <c r="E939" s="37"/>
      <c r="F939" s="38"/>
      <c r="G939" s="24" t="str">
        <f aca="false">IF(OR(C939="",D939="",N(E939)=0),"",E939*IF(F939="",IFERROR(N(INDEX(Produtos!$K$5:$K$54,MATCH(D939,Produtos!$B$5:$B$54,0))),0),F939))</f>
        <v/>
      </c>
      <c r="H939" s="24" t="str">
        <f aca="false">IF(G939="","",E939*IFERROR(N(INDEX(Produtos!$F$5:$F$54,MATCH(D939,Produtos!$B$5:$B$54,0))),0))</f>
        <v/>
      </c>
      <c r="I939" s="24" t="str">
        <f aca="false">IF(G939="","",G939-H939)</f>
        <v/>
      </c>
      <c r="J939" s="37"/>
    </row>
    <row r="940" customFormat="false" ht="21" hidden="false" customHeight="true" outlineLevel="0" collapsed="false">
      <c r="B940" s="36"/>
      <c r="C940" s="7"/>
      <c r="D940" s="7"/>
      <c r="E940" s="37"/>
      <c r="F940" s="38"/>
      <c r="G940" s="24" t="str">
        <f aca="false">IF(OR(C940="",D940="",N(E940)=0),"",E940*IF(F940="",IFERROR(N(INDEX(Produtos!$K$5:$K$54,MATCH(D940,Produtos!$B$5:$B$54,0))),0),F940))</f>
        <v/>
      </c>
      <c r="H940" s="24" t="str">
        <f aca="false">IF(G940="","",E940*IFERROR(N(INDEX(Produtos!$F$5:$F$54,MATCH(D940,Produtos!$B$5:$B$54,0))),0))</f>
        <v/>
      </c>
      <c r="I940" s="24" t="str">
        <f aca="false">IF(G940="","",G940-H940)</f>
        <v/>
      </c>
      <c r="J940" s="37"/>
    </row>
    <row r="941" customFormat="false" ht="21" hidden="false" customHeight="true" outlineLevel="0" collapsed="false">
      <c r="B941" s="36"/>
      <c r="C941" s="7"/>
      <c r="D941" s="7"/>
      <c r="E941" s="37"/>
      <c r="F941" s="38"/>
      <c r="G941" s="24" t="str">
        <f aca="false">IF(OR(C941="",D941="",N(E941)=0),"",E941*IF(F941="",IFERROR(N(INDEX(Produtos!$K$5:$K$54,MATCH(D941,Produtos!$B$5:$B$54,0))),0),F941))</f>
        <v/>
      </c>
      <c r="H941" s="24" t="str">
        <f aca="false">IF(G941="","",E941*IFERROR(N(INDEX(Produtos!$F$5:$F$54,MATCH(D941,Produtos!$B$5:$B$54,0))),0))</f>
        <v/>
      </c>
      <c r="I941" s="24" t="str">
        <f aca="false">IF(G941="","",G941-H941)</f>
        <v/>
      </c>
      <c r="J941" s="37"/>
    </row>
    <row r="942" customFormat="false" ht="21" hidden="false" customHeight="true" outlineLevel="0" collapsed="false">
      <c r="B942" s="36"/>
      <c r="C942" s="7"/>
      <c r="D942" s="7"/>
      <c r="E942" s="37"/>
      <c r="F942" s="38"/>
      <c r="G942" s="24" t="str">
        <f aca="false">IF(OR(C942="",D942="",N(E942)=0),"",E942*IF(F942="",IFERROR(N(INDEX(Produtos!$K$5:$K$54,MATCH(D942,Produtos!$B$5:$B$54,0))),0),F942))</f>
        <v/>
      </c>
      <c r="H942" s="24" t="str">
        <f aca="false">IF(G942="","",E942*IFERROR(N(INDEX(Produtos!$F$5:$F$54,MATCH(D942,Produtos!$B$5:$B$54,0))),0))</f>
        <v/>
      </c>
      <c r="I942" s="24" t="str">
        <f aca="false">IF(G942="","",G942-H942)</f>
        <v/>
      </c>
      <c r="J942" s="37"/>
    </row>
    <row r="943" customFormat="false" ht="21" hidden="false" customHeight="true" outlineLevel="0" collapsed="false">
      <c r="B943" s="36"/>
      <c r="C943" s="7"/>
      <c r="D943" s="7"/>
      <c r="E943" s="37"/>
      <c r="F943" s="38"/>
      <c r="G943" s="24" t="str">
        <f aca="false">IF(OR(C943="",D943="",N(E943)=0),"",E943*IF(F943="",IFERROR(N(INDEX(Produtos!$K$5:$K$54,MATCH(D943,Produtos!$B$5:$B$54,0))),0),F943))</f>
        <v/>
      </c>
      <c r="H943" s="24" t="str">
        <f aca="false">IF(G943="","",E943*IFERROR(N(INDEX(Produtos!$F$5:$F$54,MATCH(D943,Produtos!$B$5:$B$54,0))),0))</f>
        <v/>
      </c>
      <c r="I943" s="24" t="str">
        <f aca="false">IF(G943="","",G943-H943)</f>
        <v/>
      </c>
      <c r="J943" s="37"/>
    </row>
    <row r="944" customFormat="false" ht="21" hidden="false" customHeight="true" outlineLevel="0" collapsed="false">
      <c r="B944" s="36"/>
      <c r="C944" s="7"/>
      <c r="D944" s="7"/>
      <c r="E944" s="37"/>
      <c r="F944" s="38"/>
      <c r="G944" s="24" t="str">
        <f aca="false">IF(OR(C944="",D944="",N(E944)=0),"",E944*IF(F944="",IFERROR(N(INDEX(Produtos!$K$5:$K$54,MATCH(D944,Produtos!$B$5:$B$54,0))),0),F944))</f>
        <v/>
      </c>
      <c r="H944" s="24" t="str">
        <f aca="false">IF(G944="","",E944*IFERROR(N(INDEX(Produtos!$F$5:$F$54,MATCH(D944,Produtos!$B$5:$B$54,0))),0))</f>
        <v/>
      </c>
      <c r="I944" s="24" t="str">
        <f aca="false">IF(G944="","",G944-H944)</f>
        <v/>
      </c>
      <c r="J944" s="37"/>
    </row>
    <row r="945" customFormat="false" ht="21" hidden="false" customHeight="true" outlineLevel="0" collapsed="false">
      <c r="B945" s="36"/>
      <c r="C945" s="7"/>
      <c r="D945" s="7"/>
      <c r="E945" s="37"/>
      <c r="F945" s="38"/>
      <c r="G945" s="24" t="str">
        <f aca="false">IF(OR(C945="",D945="",N(E945)=0),"",E945*IF(F945="",IFERROR(N(INDEX(Produtos!$K$5:$K$54,MATCH(D945,Produtos!$B$5:$B$54,0))),0),F945))</f>
        <v/>
      </c>
      <c r="H945" s="24" t="str">
        <f aca="false">IF(G945="","",E945*IFERROR(N(INDEX(Produtos!$F$5:$F$54,MATCH(D945,Produtos!$B$5:$B$54,0))),0))</f>
        <v/>
      </c>
      <c r="I945" s="24" t="str">
        <f aca="false">IF(G945="","",G945-H945)</f>
        <v/>
      </c>
      <c r="J945" s="37"/>
    </row>
    <row r="946" customFormat="false" ht="21" hidden="false" customHeight="true" outlineLevel="0" collapsed="false">
      <c r="B946" s="36"/>
      <c r="C946" s="7"/>
      <c r="D946" s="7"/>
      <c r="E946" s="37"/>
      <c r="F946" s="38"/>
      <c r="G946" s="24" t="str">
        <f aca="false">IF(OR(C946="",D946="",N(E946)=0),"",E946*IF(F946="",IFERROR(N(INDEX(Produtos!$K$5:$K$54,MATCH(D946,Produtos!$B$5:$B$54,0))),0),F946))</f>
        <v/>
      </c>
      <c r="H946" s="24" t="str">
        <f aca="false">IF(G946="","",E946*IFERROR(N(INDEX(Produtos!$F$5:$F$54,MATCH(D946,Produtos!$B$5:$B$54,0))),0))</f>
        <v/>
      </c>
      <c r="I946" s="24" t="str">
        <f aca="false">IF(G946="","",G946-H946)</f>
        <v/>
      </c>
      <c r="J946" s="37"/>
    </row>
    <row r="947" customFormat="false" ht="21" hidden="false" customHeight="true" outlineLevel="0" collapsed="false">
      <c r="B947" s="36"/>
      <c r="C947" s="7"/>
      <c r="D947" s="7"/>
      <c r="E947" s="37"/>
      <c r="F947" s="38"/>
      <c r="G947" s="24" t="str">
        <f aca="false">IF(OR(C947="",D947="",N(E947)=0),"",E947*IF(F947="",IFERROR(N(INDEX(Produtos!$K$5:$K$54,MATCH(D947,Produtos!$B$5:$B$54,0))),0),F947))</f>
        <v/>
      </c>
      <c r="H947" s="24" t="str">
        <f aca="false">IF(G947="","",E947*IFERROR(N(INDEX(Produtos!$F$5:$F$54,MATCH(D947,Produtos!$B$5:$B$54,0))),0))</f>
        <v/>
      </c>
      <c r="I947" s="24" t="str">
        <f aca="false">IF(G947="","",G947-H947)</f>
        <v/>
      </c>
      <c r="J947" s="37"/>
    </row>
    <row r="948" customFormat="false" ht="21" hidden="false" customHeight="true" outlineLevel="0" collapsed="false">
      <c r="B948" s="36"/>
      <c r="C948" s="7"/>
      <c r="D948" s="7"/>
      <c r="E948" s="37"/>
      <c r="F948" s="38"/>
      <c r="G948" s="24" t="str">
        <f aca="false">IF(OR(C948="",D948="",N(E948)=0),"",E948*IF(F948="",IFERROR(N(INDEX(Produtos!$K$5:$K$54,MATCH(D948,Produtos!$B$5:$B$54,0))),0),F948))</f>
        <v/>
      </c>
      <c r="H948" s="24" t="str">
        <f aca="false">IF(G948="","",E948*IFERROR(N(INDEX(Produtos!$F$5:$F$54,MATCH(D948,Produtos!$B$5:$B$54,0))),0))</f>
        <v/>
      </c>
      <c r="I948" s="24" t="str">
        <f aca="false">IF(G948="","",G948-H948)</f>
        <v/>
      </c>
      <c r="J948" s="37"/>
    </row>
    <row r="949" customFormat="false" ht="21" hidden="false" customHeight="true" outlineLevel="0" collapsed="false">
      <c r="B949" s="36"/>
      <c r="C949" s="7"/>
      <c r="D949" s="7"/>
      <c r="E949" s="37"/>
      <c r="F949" s="38"/>
      <c r="G949" s="24" t="str">
        <f aca="false">IF(OR(C949="",D949="",N(E949)=0),"",E949*IF(F949="",IFERROR(N(INDEX(Produtos!$K$5:$K$54,MATCH(D949,Produtos!$B$5:$B$54,0))),0),F949))</f>
        <v/>
      </c>
      <c r="H949" s="24" t="str">
        <f aca="false">IF(G949="","",E949*IFERROR(N(INDEX(Produtos!$F$5:$F$54,MATCH(D949,Produtos!$B$5:$B$54,0))),0))</f>
        <v/>
      </c>
      <c r="I949" s="24" t="str">
        <f aca="false">IF(G949="","",G949-H949)</f>
        <v/>
      </c>
      <c r="J949" s="37"/>
    </row>
    <row r="950" customFormat="false" ht="21" hidden="false" customHeight="true" outlineLevel="0" collapsed="false">
      <c r="B950" s="36"/>
      <c r="C950" s="7"/>
      <c r="D950" s="7"/>
      <c r="E950" s="37"/>
      <c r="F950" s="38"/>
      <c r="G950" s="24" t="str">
        <f aca="false">IF(OR(C950="",D950="",N(E950)=0),"",E950*IF(F950="",IFERROR(N(INDEX(Produtos!$K$5:$K$54,MATCH(D950,Produtos!$B$5:$B$54,0))),0),F950))</f>
        <v/>
      </c>
      <c r="H950" s="24" t="str">
        <f aca="false">IF(G950="","",E950*IFERROR(N(INDEX(Produtos!$F$5:$F$54,MATCH(D950,Produtos!$B$5:$B$54,0))),0))</f>
        <v/>
      </c>
      <c r="I950" s="24" t="str">
        <f aca="false">IF(G950="","",G950-H950)</f>
        <v/>
      </c>
      <c r="J950" s="37"/>
    </row>
    <row r="951" customFormat="false" ht="21" hidden="false" customHeight="true" outlineLevel="0" collapsed="false">
      <c r="B951" s="36"/>
      <c r="C951" s="7"/>
      <c r="D951" s="7"/>
      <c r="E951" s="37"/>
      <c r="F951" s="38"/>
      <c r="G951" s="24" t="str">
        <f aca="false">IF(OR(C951="",D951="",N(E951)=0),"",E951*IF(F951="",IFERROR(N(INDEX(Produtos!$K$5:$K$54,MATCH(D951,Produtos!$B$5:$B$54,0))),0),F951))</f>
        <v/>
      </c>
      <c r="H951" s="24" t="str">
        <f aca="false">IF(G951="","",E951*IFERROR(N(INDEX(Produtos!$F$5:$F$54,MATCH(D951,Produtos!$B$5:$B$54,0))),0))</f>
        <v/>
      </c>
      <c r="I951" s="24" t="str">
        <f aca="false">IF(G951="","",G951-H951)</f>
        <v/>
      </c>
      <c r="J951" s="37"/>
    </row>
    <row r="952" customFormat="false" ht="21" hidden="false" customHeight="true" outlineLevel="0" collapsed="false">
      <c r="B952" s="36"/>
      <c r="C952" s="7"/>
      <c r="D952" s="7"/>
      <c r="E952" s="37"/>
      <c r="F952" s="38"/>
      <c r="G952" s="24" t="str">
        <f aca="false">IF(OR(C952="",D952="",N(E952)=0),"",E952*IF(F952="",IFERROR(N(INDEX(Produtos!$K$5:$K$54,MATCH(D952,Produtos!$B$5:$B$54,0))),0),F952))</f>
        <v/>
      </c>
      <c r="H952" s="24" t="str">
        <f aca="false">IF(G952="","",E952*IFERROR(N(INDEX(Produtos!$F$5:$F$54,MATCH(D952,Produtos!$B$5:$B$54,0))),0))</f>
        <v/>
      </c>
      <c r="I952" s="24" t="str">
        <f aca="false">IF(G952="","",G952-H952)</f>
        <v/>
      </c>
      <c r="J952" s="37"/>
    </row>
    <row r="953" customFormat="false" ht="21" hidden="false" customHeight="true" outlineLevel="0" collapsed="false">
      <c r="B953" s="36"/>
      <c r="C953" s="7"/>
      <c r="D953" s="7"/>
      <c r="E953" s="37"/>
      <c r="F953" s="38"/>
      <c r="G953" s="24" t="str">
        <f aca="false">IF(OR(C953="",D953="",N(E953)=0),"",E953*IF(F953="",IFERROR(N(INDEX(Produtos!$K$5:$K$54,MATCH(D953,Produtos!$B$5:$B$54,0))),0),F953))</f>
        <v/>
      </c>
      <c r="H953" s="24" t="str">
        <f aca="false">IF(G953="","",E953*IFERROR(N(INDEX(Produtos!$F$5:$F$54,MATCH(D953,Produtos!$B$5:$B$54,0))),0))</f>
        <v/>
      </c>
      <c r="I953" s="24" t="str">
        <f aca="false">IF(G953="","",G953-H953)</f>
        <v/>
      </c>
      <c r="J953" s="37"/>
    </row>
    <row r="954" customFormat="false" ht="21" hidden="false" customHeight="true" outlineLevel="0" collapsed="false">
      <c r="B954" s="36"/>
      <c r="C954" s="7"/>
      <c r="D954" s="7"/>
      <c r="E954" s="37"/>
      <c r="F954" s="38"/>
      <c r="G954" s="24" t="str">
        <f aca="false">IF(OR(C954="",D954="",N(E954)=0),"",E954*IF(F954="",IFERROR(N(INDEX(Produtos!$K$5:$K$54,MATCH(D954,Produtos!$B$5:$B$54,0))),0),F954))</f>
        <v/>
      </c>
      <c r="H954" s="24" t="str">
        <f aca="false">IF(G954="","",E954*IFERROR(N(INDEX(Produtos!$F$5:$F$54,MATCH(D954,Produtos!$B$5:$B$54,0))),0))</f>
        <v/>
      </c>
      <c r="I954" s="24" t="str">
        <f aca="false">IF(G954="","",G954-H954)</f>
        <v/>
      </c>
      <c r="J954" s="37"/>
    </row>
    <row r="955" customFormat="false" ht="21" hidden="false" customHeight="true" outlineLevel="0" collapsed="false">
      <c r="B955" s="36"/>
      <c r="C955" s="7"/>
      <c r="D955" s="7"/>
      <c r="E955" s="37"/>
      <c r="F955" s="38"/>
      <c r="G955" s="24" t="str">
        <f aca="false">IF(OR(C955="",D955="",N(E955)=0),"",E955*IF(F955="",IFERROR(N(INDEX(Produtos!$K$5:$K$54,MATCH(D955,Produtos!$B$5:$B$54,0))),0),F955))</f>
        <v/>
      </c>
      <c r="H955" s="24" t="str">
        <f aca="false">IF(G955="","",E955*IFERROR(N(INDEX(Produtos!$F$5:$F$54,MATCH(D955,Produtos!$B$5:$B$54,0))),0))</f>
        <v/>
      </c>
      <c r="I955" s="24" t="str">
        <f aca="false">IF(G955="","",G955-H955)</f>
        <v/>
      </c>
      <c r="J955" s="37"/>
    </row>
    <row r="956" customFormat="false" ht="21" hidden="false" customHeight="true" outlineLevel="0" collapsed="false">
      <c r="B956" s="36"/>
      <c r="C956" s="7"/>
      <c r="D956" s="7"/>
      <c r="E956" s="37"/>
      <c r="F956" s="38"/>
      <c r="G956" s="24" t="str">
        <f aca="false">IF(OR(C956="",D956="",N(E956)=0),"",E956*IF(F956="",IFERROR(N(INDEX(Produtos!$K$5:$K$54,MATCH(D956,Produtos!$B$5:$B$54,0))),0),F956))</f>
        <v/>
      </c>
      <c r="H956" s="24" t="str">
        <f aca="false">IF(G956="","",E956*IFERROR(N(INDEX(Produtos!$F$5:$F$54,MATCH(D956,Produtos!$B$5:$B$54,0))),0))</f>
        <v/>
      </c>
      <c r="I956" s="24" t="str">
        <f aca="false">IF(G956="","",G956-H956)</f>
        <v/>
      </c>
      <c r="J956" s="37"/>
    </row>
    <row r="957" customFormat="false" ht="21" hidden="false" customHeight="true" outlineLevel="0" collapsed="false">
      <c r="B957" s="36"/>
      <c r="C957" s="7"/>
      <c r="D957" s="7"/>
      <c r="E957" s="37"/>
      <c r="F957" s="38"/>
      <c r="G957" s="24" t="str">
        <f aca="false">IF(OR(C957="",D957="",N(E957)=0),"",E957*IF(F957="",IFERROR(N(INDEX(Produtos!$K$5:$K$54,MATCH(D957,Produtos!$B$5:$B$54,0))),0),F957))</f>
        <v/>
      </c>
      <c r="H957" s="24" t="str">
        <f aca="false">IF(G957="","",E957*IFERROR(N(INDEX(Produtos!$F$5:$F$54,MATCH(D957,Produtos!$B$5:$B$54,0))),0))</f>
        <v/>
      </c>
      <c r="I957" s="24" t="str">
        <f aca="false">IF(G957="","",G957-H957)</f>
        <v/>
      </c>
      <c r="J957" s="37"/>
    </row>
    <row r="958" customFormat="false" ht="21" hidden="false" customHeight="true" outlineLevel="0" collapsed="false">
      <c r="B958" s="36"/>
      <c r="C958" s="7"/>
      <c r="D958" s="7"/>
      <c r="E958" s="37"/>
      <c r="F958" s="38"/>
      <c r="G958" s="24" t="str">
        <f aca="false">IF(OR(C958="",D958="",N(E958)=0),"",E958*IF(F958="",IFERROR(N(INDEX(Produtos!$K$5:$K$54,MATCH(D958,Produtos!$B$5:$B$54,0))),0),F958))</f>
        <v/>
      </c>
      <c r="H958" s="24" t="str">
        <f aca="false">IF(G958="","",E958*IFERROR(N(INDEX(Produtos!$F$5:$F$54,MATCH(D958,Produtos!$B$5:$B$54,0))),0))</f>
        <v/>
      </c>
      <c r="I958" s="24" t="str">
        <f aca="false">IF(G958="","",G958-H958)</f>
        <v/>
      </c>
      <c r="J958" s="37"/>
    </row>
    <row r="959" customFormat="false" ht="21" hidden="false" customHeight="true" outlineLevel="0" collapsed="false">
      <c r="B959" s="36"/>
      <c r="C959" s="7"/>
      <c r="D959" s="7"/>
      <c r="E959" s="37"/>
      <c r="F959" s="38"/>
      <c r="G959" s="24" t="str">
        <f aca="false">IF(OR(C959="",D959="",N(E959)=0),"",E959*IF(F959="",IFERROR(N(INDEX(Produtos!$K$5:$K$54,MATCH(D959,Produtos!$B$5:$B$54,0))),0),F959))</f>
        <v/>
      </c>
      <c r="H959" s="24" t="str">
        <f aca="false">IF(G959="","",E959*IFERROR(N(INDEX(Produtos!$F$5:$F$54,MATCH(D959,Produtos!$B$5:$B$54,0))),0))</f>
        <v/>
      </c>
      <c r="I959" s="24" t="str">
        <f aca="false">IF(G959="","",G959-H959)</f>
        <v/>
      </c>
      <c r="J959" s="37"/>
    </row>
    <row r="960" customFormat="false" ht="21" hidden="false" customHeight="true" outlineLevel="0" collapsed="false">
      <c r="B960" s="36"/>
      <c r="C960" s="7"/>
      <c r="D960" s="7"/>
      <c r="E960" s="37"/>
      <c r="F960" s="38"/>
      <c r="G960" s="24" t="str">
        <f aca="false">IF(OR(C960="",D960="",N(E960)=0),"",E960*IF(F960="",IFERROR(N(INDEX(Produtos!$K$5:$K$54,MATCH(D960,Produtos!$B$5:$B$54,0))),0),F960))</f>
        <v/>
      </c>
      <c r="H960" s="24" t="str">
        <f aca="false">IF(G960="","",E960*IFERROR(N(INDEX(Produtos!$F$5:$F$54,MATCH(D960,Produtos!$B$5:$B$54,0))),0))</f>
        <v/>
      </c>
      <c r="I960" s="24" t="str">
        <f aca="false">IF(G960="","",G960-H960)</f>
        <v/>
      </c>
      <c r="J960" s="37"/>
    </row>
    <row r="961" customFormat="false" ht="21" hidden="false" customHeight="true" outlineLevel="0" collapsed="false">
      <c r="B961" s="36"/>
      <c r="C961" s="7"/>
      <c r="D961" s="7"/>
      <c r="E961" s="37"/>
      <c r="F961" s="38"/>
      <c r="G961" s="24" t="str">
        <f aca="false">IF(OR(C961="",D961="",N(E961)=0),"",E961*IF(F961="",IFERROR(N(INDEX(Produtos!$K$5:$K$54,MATCH(D961,Produtos!$B$5:$B$54,0))),0),F961))</f>
        <v/>
      </c>
      <c r="H961" s="24" t="str">
        <f aca="false">IF(G961="","",E961*IFERROR(N(INDEX(Produtos!$F$5:$F$54,MATCH(D961,Produtos!$B$5:$B$54,0))),0))</f>
        <v/>
      </c>
      <c r="I961" s="24" t="str">
        <f aca="false">IF(G961="","",G961-H961)</f>
        <v/>
      </c>
      <c r="J961" s="37"/>
    </row>
    <row r="962" customFormat="false" ht="21" hidden="false" customHeight="true" outlineLevel="0" collapsed="false">
      <c r="B962" s="36"/>
      <c r="C962" s="7"/>
      <c r="D962" s="7"/>
      <c r="E962" s="37"/>
      <c r="F962" s="38"/>
      <c r="G962" s="24" t="str">
        <f aca="false">IF(OR(C962="",D962="",N(E962)=0),"",E962*IF(F962="",IFERROR(N(INDEX(Produtos!$K$5:$K$54,MATCH(D962,Produtos!$B$5:$B$54,0))),0),F962))</f>
        <v/>
      </c>
      <c r="H962" s="24" t="str">
        <f aca="false">IF(G962="","",E962*IFERROR(N(INDEX(Produtos!$F$5:$F$54,MATCH(D962,Produtos!$B$5:$B$54,0))),0))</f>
        <v/>
      </c>
      <c r="I962" s="24" t="str">
        <f aca="false">IF(G962="","",G962-H962)</f>
        <v/>
      </c>
      <c r="J962" s="37"/>
    </row>
    <row r="963" customFormat="false" ht="21" hidden="false" customHeight="true" outlineLevel="0" collapsed="false">
      <c r="B963" s="36"/>
      <c r="C963" s="7"/>
      <c r="D963" s="7"/>
      <c r="E963" s="37"/>
      <c r="F963" s="38"/>
      <c r="G963" s="24" t="str">
        <f aca="false">IF(OR(C963="",D963="",N(E963)=0),"",E963*IF(F963="",IFERROR(N(INDEX(Produtos!$K$5:$K$54,MATCH(D963,Produtos!$B$5:$B$54,0))),0),F963))</f>
        <v/>
      </c>
      <c r="H963" s="24" t="str">
        <f aca="false">IF(G963="","",E963*IFERROR(N(INDEX(Produtos!$F$5:$F$54,MATCH(D963,Produtos!$B$5:$B$54,0))),0))</f>
        <v/>
      </c>
      <c r="I963" s="24" t="str">
        <f aca="false">IF(G963="","",G963-H963)</f>
        <v/>
      </c>
      <c r="J963" s="37"/>
    </row>
    <row r="964" customFormat="false" ht="21" hidden="false" customHeight="true" outlineLevel="0" collapsed="false">
      <c r="B964" s="36"/>
      <c r="C964" s="7"/>
      <c r="D964" s="7"/>
      <c r="E964" s="37"/>
      <c r="F964" s="38"/>
      <c r="G964" s="24" t="str">
        <f aca="false">IF(OR(C964="",D964="",N(E964)=0),"",E964*IF(F964="",IFERROR(N(INDEX(Produtos!$K$5:$K$54,MATCH(D964,Produtos!$B$5:$B$54,0))),0),F964))</f>
        <v/>
      </c>
      <c r="H964" s="24" t="str">
        <f aca="false">IF(G964="","",E964*IFERROR(N(INDEX(Produtos!$F$5:$F$54,MATCH(D964,Produtos!$B$5:$B$54,0))),0))</f>
        <v/>
      </c>
      <c r="I964" s="24" t="str">
        <f aca="false">IF(G964="","",G964-H964)</f>
        <v/>
      </c>
      <c r="J964" s="37"/>
    </row>
    <row r="965" customFormat="false" ht="21" hidden="false" customHeight="true" outlineLevel="0" collapsed="false">
      <c r="B965" s="36"/>
      <c r="C965" s="7"/>
      <c r="D965" s="7"/>
      <c r="E965" s="37"/>
      <c r="F965" s="38"/>
      <c r="G965" s="24" t="str">
        <f aca="false">IF(OR(C965="",D965="",N(E965)=0),"",E965*IF(F965="",IFERROR(N(INDEX(Produtos!$K$5:$K$54,MATCH(D965,Produtos!$B$5:$B$54,0))),0),F965))</f>
        <v/>
      </c>
      <c r="H965" s="24" t="str">
        <f aca="false">IF(G965="","",E965*IFERROR(N(INDEX(Produtos!$F$5:$F$54,MATCH(D965,Produtos!$B$5:$B$54,0))),0))</f>
        <v/>
      </c>
      <c r="I965" s="24" t="str">
        <f aca="false">IF(G965="","",G965-H965)</f>
        <v/>
      </c>
      <c r="J965" s="37"/>
    </row>
    <row r="966" customFormat="false" ht="21" hidden="false" customHeight="true" outlineLevel="0" collapsed="false">
      <c r="B966" s="36"/>
      <c r="C966" s="7"/>
      <c r="D966" s="7"/>
      <c r="E966" s="37"/>
      <c r="F966" s="38"/>
      <c r="G966" s="24" t="str">
        <f aca="false">IF(OR(C966="",D966="",N(E966)=0),"",E966*IF(F966="",IFERROR(N(INDEX(Produtos!$K$5:$K$54,MATCH(D966,Produtos!$B$5:$B$54,0))),0),F966))</f>
        <v/>
      </c>
      <c r="H966" s="24" t="str">
        <f aca="false">IF(G966="","",E966*IFERROR(N(INDEX(Produtos!$F$5:$F$54,MATCH(D966,Produtos!$B$5:$B$54,0))),0))</f>
        <v/>
      </c>
      <c r="I966" s="24" t="str">
        <f aca="false">IF(G966="","",G966-H966)</f>
        <v/>
      </c>
      <c r="J966" s="37"/>
    </row>
    <row r="967" customFormat="false" ht="21" hidden="false" customHeight="true" outlineLevel="0" collapsed="false">
      <c r="B967" s="36"/>
      <c r="C967" s="7"/>
      <c r="D967" s="7"/>
      <c r="E967" s="37"/>
      <c r="F967" s="38"/>
      <c r="G967" s="24" t="str">
        <f aca="false">IF(OR(C967="",D967="",N(E967)=0),"",E967*IF(F967="",IFERROR(N(INDEX(Produtos!$K$5:$K$54,MATCH(D967,Produtos!$B$5:$B$54,0))),0),F967))</f>
        <v/>
      </c>
      <c r="H967" s="24" t="str">
        <f aca="false">IF(G967="","",E967*IFERROR(N(INDEX(Produtos!$F$5:$F$54,MATCH(D967,Produtos!$B$5:$B$54,0))),0))</f>
        <v/>
      </c>
      <c r="I967" s="24" t="str">
        <f aca="false">IF(G967="","",G967-H967)</f>
        <v/>
      </c>
      <c r="J967" s="37"/>
    </row>
    <row r="968" customFormat="false" ht="21" hidden="false" customHeight="true" outlineLevel="0" collapsed="false">
      <c r="B968" s="36"/>
      <c r="C968" s="7"/>
      <c r="D968" s="7"/>
      <c r="E968" s="37"/>
      <c r="F968" s="38"/>
      <c r="G968" s="24" t="str">
        <f aca="false">IF(OR(C968="",D968="",N(E968)=0),"",E968*IF(F968="",IFERROR(N(INDEX(Produtos!$K$5:$K$54,MATCH(D968,Produtos!$B$5:$B$54,0))),0),F968))</f>
        <v/>
      </c>
      <c r="H968" s="24" t="str">
        <f aca="false">IF(G968="","",E968*IFERROR(N(INDEX(Produtos!$F$5:$F$54,MATCH(D968,Produtos!$B$5:$B$54,0))),0))</f>
        <v/>
      </c>
      <c r="I968" s="24" t="str">
        <f aca="false">IF(G968="","",G968-H968)</f>
        <v/>
      </c>
      <c r="J968" s="37"/>
    </row>
    <row r="969" customFormat="false" ht="21" hidden="false" customHeight="true" outlineLevel="0" collapsed="false">
      <c r="B969" s="36"/>
      <c r="C969" s="7"/>
      <c r="D969" s="7"/>
      <c r="E969" s="37"/>
      <c r="F969" s="38"/>
      <c r="G969" s="24" t="str">
        <f aca="false">IF(OR(C969="",D969="",N(E969)=0),"",E969*IF(F969="",IFERROR(N(INDEX(Produtos!$K$5:$K$54,MATCH(D969,Produtos!$B$5:$B$54,0))),0),F969))</f>
        <v/>
      </c>
      <c r="H969" s="24" t="str">
        <f aca="false">IF(G969="","",E969*IFERROR(N(INDEX(Produtos!$F$5:$F$54,MATCH(D969,Produtos!$B$5:$B$54,0))),0))</f>
        <v/>
      </c>
      <c r="I969" s="24" t="str">
        <f aca="false">IF(G969="","",G969-H969)</f>
        <v/>
      </c>
      <c r="J969" s="37"/>
    </row>
    <row r="970" customFormat="false" ht="21" hidden="false" customHeight="true" outlineLevel="0" collapsed="false">
      <c r="B970" s="36"/>
      <c r="C970" s="7"/>
      <c r="D970" s="7"/>
      <c r="E970" s="37"/>
      <c r="F970" s="38"/>
      <c r="G970" s="24" t="str">
        <f aca="false">IF(OR(C970="",D970="",N(E970)=0),"",E970*IF(F970="",IFERROR(N(INDEX(Produtos!$K$5:$K$54,MATCH(D970,Produtos!$B$5:$B$54,0))),0),F970))</f>
        <v/>
      </c>
      <c r="H970" s="24" t="str">
        <f aca="false">IF(G970="","",E970*IFERROR(N(INDEX(Produtos!$F$5:$F$54,MATCH(D970,Produtos!$B$5:$B$54,0))),0))</f>
        <v/>
      </c>
      <c r="I970" s="24" t="str">
        <f aca="false">IF(G970="","",G970-H970)</f>
        <v/>
      </c>
      <c r="J970" s="37"/>
    </row>
    <row r="971" customFormat="false" ht="21" hidden="false" customHeight="true" outlineLevel="0" collapsed="false">
      <c r="B971" s="36"/>
      <c r="C971" s="7"/>
      <c r="D971" s="7"/>
      <c r="E971" s="37"/>
      <c r="F971" s="38"/>
      <c r="G971" s="24" t="str">
        <f aca="false">IF(OR(C971="",D971="",N(E971)=0),"",E971*IF(F971="",IFERROR(N(INDEX(Produtos!$K$5:$K$54,MATCH(D971,Produtos!$B$5:$B$54,0))),0),F971))</f>
        <v/>
      </c>
      <c r="H971" s="24" t="str">
        <f aca="false">IF(G971="","",E971*IFERROR(N(INDEX(Produtos!$F$5:$F$54,MATCH(D971,Produtos!$B$5:$B$54,0))),0))</f>
        <v/>
      </c>
      <c r="I971" s="24" t="str">
        <f aca="false">IF(G971="","",G971-H971)</f>
        <v/>
      </c>
      <c r="J971" s="37"/>
    </row>
    <row r="972" customFormat="false" ht="21" hidden="false" customHeight="true" outlineLevel="0" collapsed="false">
      <c r="B972" s="36"/>
      <c r="C972" s="7"/>
      <c r="D972" s="7"/>
      <c r="E972" s="37"/>
      <c r="F972" s="38"/>
      <c r="G972" s="24" t="str">
        <f aca="false">IF(OR(C972="",D972="",N(E972)=0),"",E972*IF(F972="",IFERROR(N(INDEX(Produtos!$K$5:$K$54,MATCH(D972,Produtos!$B$5:$B$54,0))),0),F972))</f>
        <v/>
      </c>
      <c r="H972" s="24" t="str">
        <f aca="false">IF(G972="","",E972*IFERROR(N(INDEX(Produtos!$F$5:$F$54,MATCH(D972,Produtos!$B$5:$B$54,0))),0))</f>
        <v/>
      </c>
      <c r="I972" s="24" t="str">
        <f aca="false">IF(G972="","",G972-H972)</f>
        <v/>
      </c>
      <c r="J972" s="37"/>
    </row>
    <row r="973" customFormat="false" ht="21" hidden="false" customHeight="true" outlineLevel="0" collapsed="false">
      <c r="B973" s="36"/>
      <c r="C973" s="7"/>
      <c r="D973" s="7"/>
      <c r="E973" s="37"/>
      <c r="F973" s="38"/>
      <c r="G973" s="24" t="str">
        <f aca="false">IF(OR(C973="",D973="",N(E973)=0),"",E973*IF(F973="",IFERROR(N(INDEX(Produtos!$K$5:$K$54,MATCH(D973,Produtos!$B$5:$B$54,0))),0),F973))</f>
        <v/>
      </c>
      <c r="H973" s="24" t="str">
        <f aca="false">IF(G973="","",E973*IFERROR(N(INDEX(Produtos!$F$5:$F$54,MATCH(D973,Produtos!$B$5:$B$54,0))),0))</f>
        <v/>
      </c>
      <c r="I973" s="24" t="str">
        <f aca="false">IF(G973="","",G973-H973)</f>
        <v/>
      </c>
      <c r="J973" s="37"/>
    </row>
    <row r="974" customFormat="false" ht="21" hidden="false" customHeight="true" outlineLevel="0" collapsed="false">
      <c r="B974" s="36"/>
      <c r="C974" s="7"/>
      <c r="D974" s="7"/>
      <c r="E974" s="37"/>
      <c r="F974" s="38"/>
      <c r="G974" s="24" t="str">
        <f aca="false">IF(OR(C974="",D974="",N(E974)=0),"",E974*IF(F974="",IFERROR(N(INDEX(Produtos!$K$5:$K$54,MATCH(D974,Produtos!$B$5:$B$54,0))),0),F974))</f>
        <v/>
      </c>
      <c r="H974" s="24" t="str">
        <f aca="false">IF(G974="","",E974*IFERROR(N(INDEX(Produtos!$F$5:$F$54,MATCH(D974,Produtos!$B$5:$B$54,0))),0))</f>
        <v/>
      </c>
      <c r="I974" s="24" t="str">
        <f aca="false">IF(G974="","",G974-H974)</f>
        <v/>
      </c>
      <c r="J974" s="37"/>
    </row>
    <row r="975" customFormat="false" ht="21" hidden="false" customHeight="true" outlineLevel="0" collapsed="false">
      <c r="B975" s="36"/>
      <c r="C975" s="7"/>
      <c r="D975" s="7"/>
      <c r="E975" s="37"/>
      <c r="F975" s="38"/>
      <c r="G975" s="24" t="str">
        <f aca="false">IF(OR(C975="",D975="",N(E975)=0),"",E975*IF(F975="",IFERROR(N(INDEX(Produtos!$K$5:$K$54,MATCH(D975,Produtos!$B$5:$B$54,0))),0),F975))</f>
        <v/>
      </c>
      <c r="H975" s="24" t="str">
        <f aca="false">IF(G975="","",E975*IFERROR(N(INDEX(Produtos!$F$5:$F$54,MATCH(D975,Produtos!$B$5:$B$54,0))),0))</f>
        <v/>
      </c>
      <c r="I975" s="24" t="str">
        <f aca="false">IF(G975="","",G975-H975)</f>
        <v/>
      </c>
      <c r="J975" s="37"/>
    </row>
    <row r="976" customFormat="false" ht="21" hidden="false" customHeight="true" outlineLevel="0" collapsed="false">
      <c r="B976" s="36"/>
      <c r="C976" s="7"/>
      <c r="D976" s="7"/>
      <c r="E976" s="37"/>
      <c r="F976" s="38"/>
      <c r="G976" s="24" t="str">
        <f aca="false">IF(OR(C976="",D976="",N(E976)=0),"",E976*IF(F976="",IFERROR(N(INDEX(Produtos!$K$5:$K$54,MATCH(D976,Produtos!$B$5:$B$54,0))),0),F976))</f>
        <v/>
      </c>
      <c r="H976" s="24" t="str">
        <f aca="false">IF(G976="","",E976*IFERROR(N(INDEX(Produtos!$F$5:$F$54,MATCH(D976,Produtos!$B$5:$B$54,0))),0))</f>
        <v/>
      </c>
      <c r="I976" s="24" t="str">
        <f aca="false">IF(G976="","",G976-H976)</f>
        <v/>
      </c>
      <c r="J976" s="37"/>
    </row>
    <row r="977" customFormat="false" ht="21" hidden="false" customHeight="true" outlineLevel="0" collapsed="false">
      <c r="B977" s="36"/>
      <c r="C977" s="7"/>
      <c r="D977" s="7"/>
      <c r="E977" s="37"/>
      <c r="F977" s="38"/>
      <c r="G977" s="24" t="str">
        <f aca="false">IF(OR(C977="",D977="",N(E977)=0),"",E977*IF(F977="",IFERROR(N(INDEX(Produtos!$K$5:$K$54,MATCH(D977,Produtos!$B$5:$B$54,0))),0),F977))</f>
        <v/>
      </c>
      <c r="H977" s="24" t="str">
        <f aca="false">IF(G977="","",E977*IFERROR(N(INDEX(Produtos!$F$5:$F$54,MATCH(D977,Produtos!$B$5:$B$54,0))),0))</f>
        <v/>
      </c>
      <c r="I977" s="24" t="str">
        <f aca="false">IF(G977="","",G977-H977)</f>
        <v/>
      </c>
      <c r="J977" s="37"/>
    </row>
    <row r="978" customFormat="false" ht="21" hidden="false" customHeight="true" outlineLevel="0" collapsed="false">
      <c r="B978" s="36"/>
      <c r="C978" s="7"/>
      <c r="D978" s="7"/>
      <c r="E978" s="37"/>
      <c r="F978" s="38"/>
      <c r="G978" s="24" t="str">
        <f aca="false">IF(OR(C978="",D978="",N(E978)=0),"",E978*IF(F978="",IFERROR(N(INDEX(Produtos!$K$5:$K$54,MATCH(D978,Produtos!$B$5:$B$54,0))),0),F978))</f>
        <v/>
      </c>
      <c r="H978" s="24" t="str">
        <f aca="false">IF(G978="","",E978*IFERROR(N(INDEX(Produtos!$F$5:$F$54,MATCH(D978,Produtos!$B$5:$B$54,0))),0))</f>
        <v/>
      </c>
      <c r="I978" s="24" t="str">
        <f aca="false">IF(G978="","",G978-H978)</f>
        <v/>
      </c>
      <c r="J978" s="37"/>
    </row>
    <row r="979" customFormat="false" ht="21" hidden="false" customHeight="true" outlineLevel="0" collapsed="false">
      <c r="B979" s="36"/>
      <c r="C979" s="7"/>
      <c r="D979" s="7"/>
      <c r="E979" s="37"/>
      <c r="F979" s="38"/>
      <c r="G979" s="24" t="str">
        <f aca="false">IF(OR(C979="",D979="",N(E979)=0),"",E979*IF(F979="",IFERROR(N(INDEX(Produtos!$K$5:$K$54,MATCH(D979,Produtos!$B$5:$B$54,0))),0),F979))</f>
        <v/>
      </c>
      <c r="H979" s="24" t="str">
        <f aca="false">IF(G979="","",E979*IFERROR(N(INDEX(Produtos!$F$5:$F$54,MATCH(D979,Produtos!$B$5:$B$54,0))),0))</f>
        <v/>
      </c>
      <c r="I979" s="24" t="str">
        <f aca="false">IF(G979="","",G979-H979)</f>
        <v/>
      </c>
      <c r="J979" s="37"/>
    </row>
    <row r="980" customFormat="false" ht="21" hidden="false" customHeight="true" outlineLevel="0" collapsed="false">
      <c r="B980" s="36"/>
      <c r="C980" s="7"/>
      <c r="D980" s="7"/>
      <c r="E980" s="37"/>
      <c r="F980" s="38"/>
      <c r="G980" s="24" t="str">
        <f aca="false">IF(OR(C980="",D980="",N(E980)=0),"",E980*IF(F980="",IFERROR(N(INDEX(Produtos!$K$5:$K$54,MATCH(D980,Produtos!$B$5:$B$54,0))),0),F980))</f>
        <v/>
      </c>
      <c r="H980" s="24" t="str">
        <f aca="false">IF(G980="","",E980*IFERROR(N(INDEX(Produtos!$F$5:$F$54,MATCH(D980,Produtos!$B$5:$B$54,0))),0))</f>
        <v/>
      </c>
      <c r="I980" s="24" t="str">
        <f aca="false">IF(G980="","",G980-H980)</f>
        <v/>
      </c>
      <c r="J980" s="37"/>
    </row>
    <row r="981" customFormat="false" ht="21" hidden="false" customHeight="true" outlineLevel="0" collapsed="false">
      <c r="B981" s="36"/>
      <c r="C981" s="7"/>
      <c r="D981" s="7"/>
      <c r="E981" s="37"/>
      <c r="F981" s="38"/>
      <c r="G981" s="24" t="str">
        <f aca="false">IF(OR(C981="",D981="",N(E981)=0),"",E981*IF(F981="",IFERROR(N(INDEX(Produtos!$K$5:$K$54,MATCH(D981,Produtos!$B$5:$B$54,0))),0),F981))</f>
        <v/>
      </c>
      <c r="H981" s="24" t="str">
        <f aca="false">IF(G981="","",E981*IFERROR(N(INDEX(Produtos!$F$5:$F$54,MATCH(D981,Produtos!$B$5:$B$54,0))),0))</f>
        <v/>
      </c>
      <c r="I981" s="24" t="str">
        <f aca="false">IF(G981="","",G981-H981)</f>
        <v/>
      </c>
      <c r="J981" s="37"/>
    </row>
    <row r="982" customFormat="false" ht="21" hidden="false" customHeight="true" outlineLevel="0" collapsed="false">
      <c r="B982" s="36"/>
      <c r="C982" s="7"/>
      <c r="D982" s="7"/>
      <c r="E982" s="37"/>
      <c r="F982" s="38"/>
      <c r="G982" s="24" t="str">
        <f aca="false">IF(OR(C982="",D982="",N(E982)=0),"",E982*IF(F982="",IFERROR(N(INDEX(Produtos!$K$5:$K$54,MATCH(D982,Produtos!$B$5:$B$54,0))),0),F982))</f>
        <v/>
      </c>
      <c r="H982" s="24" t="str">
        <f aca="false">IF(G982="","",E982*IFERROR(N(INDEX(Produtos!$F$5:$F$54,MATCH(D982,Produtos!$B$5:$B$54,0))),0))</f>
        <v/>
      </c>
      <c r="I982" s="24" t="str">
        <f aca="false">IF(G982="","",G982-H982)</f>
        <v/>
      </c>
      <c r="J982" s="37"/>
    </row>
    <row r="983" customFormat="false" ht="21" hidden="false" customHeight="true" outlineLevel="0" collapsed="false">
      <c r="B983" s="36"/>
      <c r="C983" s="7"/>
      <c r="D983" s="7"/>
      <c r="E983" s="37"/>
      <c r="F983" s="38"/>
      <c r="G983" s="24" t="str">
        <f aca="false">IF(OR(C983="",D983="",N(E983)=0),"",E983*IF(F983="",IFERROR(N(INDEX(Produtos!$K$5:$K$54,MATCH(D983,Produtos!$B$5:$B$54,0))),0),F983))</f>
        <v/>
      </c>
      <c r="H983" s="24" t="str">
        <f aca="false">IF(G983="","",E983*IFERROR(N(INDEX(Produtos!$F$5:$F$54,MATCH(D983,Produtos!$B$5:$B$54,0))),0))</f>
        <v/>
      </c>
      <c r="I983" s="24" t="str">
        <f aca="false">IF(G983="","",G983-H983)</f>
        <v/>
      </c>
      <c r="J983" s="37"/>
    </row>
    <row r="984" customFormat="false" ht="21" hidden="false" customHeight="true" outlineLevel="0" collapsed="false">
      <c r="B984" s="36"/>
      <c r="C984" s="7"/>
      <c r="D984" s="7"/>
      <c r="E984" s="37"/>
      <c r="F984" s="38"/>
      <c r="G984" s="24" t="str">
        <f aca="false">IF(OR(C984="",D984="",N(E984)=0),"",E984*IF(F984="",IFERROR(N(INDEX(Produtos!$K$5:$K$54,MATCH(D984,Produtos!$B$5:$B$54,0))),0),F984))</f>
        <v/>
      </c>
      <c r="H984" s="24" t="str">
        <f aca="false">IF(G984="","",E984*IFERROR(N(INDEX(Produtos!$F$5:$F$54,MATCH(D984,Produtos!$B$5:$B$54,0))),0))</f>
        <v/>
      </c>
      <c r="I984" s="24" t="str">
        <f aca="false">IF(G984="","",G984-H984)</f>
        <v/>
      </c>
      <c r="J984" s="37"/>
    </row>
    <row r="985" customFormat="false" ht="21" hidden="false" customHeight="true" outlineLevel="0" collapsed="false">
      <c r="B985" s="36"/>
      <c r="C985" s="7"/>
      <c r="D985" s="7"/>
      <c r="E985" s="37"/>
      <c r="F985" s="38"/>
      <c r="G985" s="24" t="str">
        <f aca="false">IF(OR(C985="",D985="",N(E985)=0),"",E985*IF(F985="",IFERROR(N(INDEX(Produtos!$K$5:$K$54,MATCH(D985,Produtos!$B$5:$B$54,0))),0),F985))</f>
        <v/>
      </c>
      <c r="H985" s="24" t="str">
        <f aca="false">IF(G985="","",E985*IFERROR(N(INDEX(Produtos!$F$5:$F$54,MATCH(D985,Produtos!$B$5:$B$54,0))),0))</f>
        <v/>
      </c>
      <c r="I985" s="24" t="str">
        <f aca="false">IF(G985="","",G985-H985)</f>
        <v/>
      </c>
      <c r="J985" s="37"/>
    </row>
    <row r="986" customFormat="false" ht="21" hidden="false" customHeight="true" outlineLevel="0" collapsed="false">
      <c r="B986" s="36"/>
      <c r="C986" s="7"/>
      <c r="D986" s="7"/>
      <c r="E986" s="37"/>
      <c r="F986" s="38"/>
      <c r="G986" s="24" t="str">
        <f aca="false">IF(OR(C986="",D986="",N(E986)=0),"",E986*IF(F986="",IFERROR(N(INDEX(Produtos!$K$5:$K$54,MATCH(D986,Produtos!$B$5:$B$54,0))),0),F986))</f>
        <v/>
      </c>
      <c r="H986" s="24" t="str">
        <f aca="false">IF(G986="","",E986*IFERROR(N(INDEX(Produtos!$F$5:$F$54,MATCH(D986,Produtos!$B$5:$B$54,0))),0))</f>
        <v/>
      </c>
      <c r="I986" s="24" t="str">
        <f aca="false">IF(G986="","",G986-H986)</f>
        <v/>
      </c>
      <c r="J986" s="37"/>
    </row>
    <row r="987" customFormat="false" ht="21" hidden="false" customHeight="true" outlineLevel="0" collapsed="false">
      <c r="B987" s="36"/>
      <c r="C987" s="7"/>
      <c r="D987" s="7"/>
      <c r="E987" s="37"/>
      <c r="F987" s="38"/>
      <c r="G987" s="24" t="str">
        <f aca="false">IF(OR(C987="",D987="",N(E987)=0),"",E987*IF(F987="",IFERROR(N(INDEX(Produtos!$K$5:$K$54,MATCH(D987,Produtos!$B$5:$B$54,0))),0),F987))</f>
        <v/>
      </c>
      <c r="H987" s="24" t="str">
        <f aca="false">IF(G987="","",E987*IFERROR(N(INDEX(Produtos!$F$5:$F$54,MATCH(D987,Produtos!$B$5:$B$54,0))),0))</f>
        <v/>
      </c>
      <c r="I987" s="24" t="str">
        <f aca="false">IF(G987="","",G987-H987)</f>
        <v/>
      </c>
      <c r="J987" s="37"/>
    </row>
    <row r="988" customFormat="false" ht="21" hidden="false" customHeight="true" outlineLevel="0" collapsed="false">
      <c r="B988" s="36"/>
      <c r="C988" s="7"/>
      <c r="D988" s="7"/>
      <c r="E988" s="37"/>
      <c r="F988" s="38"/>
      <c r="G988" s="24" t="str">
        <f aca="false">IF(OR(C988="",D988="",N(E988)=0),"",E988*IF(F988="",IFERROR(N(INDEX(Produtos!$K$5:$K$54,MATCH(D988,Produtos!$B$5:$B$54,0))),0),F988))</f>
        <v/>
      </c>
      <c r="H988" s="24" t="str">
        <f aca="false">IF(G988="","",E988*IFERROR(N(INDEX(Produtos!$F$5:$F$54,MATCH(D988,Produtos!$B$5:$B$54,0))),0))</f>
        <v/>
      </c>
      <c r="I988" s="24" t="str">
        <f aca="false">IF(G988="","",G988-H988)</f>
        <v/>
      </c>
      <c r="J988" s="37"/>
    </row>
    <row r="989" customFormat="false" ht="21" hidden="false" customHeight="true" outlineLevel="0" collapsed="false">
      <c r="B989" s="36"/>
      <c r="C989" s="7"/>
      <c r="D989" s="7"/>
      <c r="E989" s="37"/>
      <c r="F989" s="38"/>
      <c r="G989" s="24" t="str">
        <f aca="false">IF(OR(C989="",D989="",N(E989)=0),"",E989*IF(F989="",IFERROR(N(INDEX(Produtos!$K$5:$K$54,MATCH(D989,Produtos!$B$5:$B$54,0))),0),F989))</f>
        <v/>
      </c>
      <c r="H989" s="24" t="str">
        <f aca="false">IF(G989="","",E989*IFERROR(N(INDEX(Produtos!$F$5:$F$54,MATCH(D989,Produtos!$B$5:$B$54,0))),0))</f>
        <v/>
      </c>
      <c r="I989" s="24" t="str">
        <f aca="false">IF(G989="","",G989-H989)</f>
        <v/>
      </c>
      <c r="J989" s="37"/>
    </row>
    <row r="990" customFormat="false" ht="21" hidden="false" customHeight="true" outlineLevel="0" collapsed="false">
      <c r="B990" s="36"/>
      <c r="C990" s="7"/>
      <c r="D990" s="7"/>
      <c r="E990" s="37"/>
      <c r="F990" s="38"/>
      <c r="G990" s="24" t="str">
        <f aca="false">IF(OR(C990="",D990="",N(E990)=0),"",E990*IF(F990="",IFERROR(N(INDEX(Produtos!$K$5:$K$54,MATCH(D990,Produtos!$B$5:$B$54,0))),0),F990))</f>
        <v/>
      </c>
      <c r="H990" s="24" t="str">
        <f aca="false">IF(G990="","",E990*IFERROR(N(INDEX(Produtos!$F$5:$F$54,MATCH(D990,Produtos!$B$5:$B$54,0))),0))</f>
        <v/>
      </c>
      <c r="I990" s="24" t="str">
        <f aca="false">IF(G990="","",G990-H990)</f>
        <v/>
      </c>
      <c r="J990" s="37"/>
    </row>
    <row r="991" customFormat="false" ht="21" hidden="false" customHeight="true" outlineLevel="0" collapsed="false">
      <c r="B991" s="36"/>
      <c r="C991" s="7"/>
      <c r="D991" s="7"/>
      <c r="E991" s="37"/>
      <c r="F991" s="38"/>
      <c r="G991" s="24" t="str">
        <f aca="false">IF(OR(C991="",D991="",N(E991)=0),"",E991*IF(F991="",IFERROR(N(INDEX(Produtos!$K$5:$K$54,MATCH(D991,Produtos!$B$5:$B$54,0))),0),F991))</f>
        <v/>
      </c>
      <c r="H991" s="24" t="str">
        <f aca="false">IF(G991="","",E991*IFERROR(N(INDEX(Produtos!$F$5:$F$54,MATCH(D991,Produtos!$B$5:$B$54,0))),0))</f>
        <v/>
      </c>
      <c r="I991" s="24" t="str">
        <f aca="false">IF(G991="","",G991-H991)</f>
        <v/>
      </c>
      <c r="J991" s="37"/>
    </row>
    <row r="992" customFormat="false" ht="21" hidden="false" customHeight="true" outlineLevel="0" collapsed="false">
      <c r="B992" s="36"/>
      <c r="C992" s="7"/>
      <c r="D992" s="7"/>
      <c r="E992" s="37"/>
      <c r="F992" s="38"/>
      <c r="G992" s="24" t="str">
        <f aca="false">IF(OR(C992="",D992="",N(E992)=0),"",E992*IF(F992="",IFERROR(N(INDEX(Produtos!$K$5:$K$54,MATCH(D992,Produtos!$B$5:$B$54,0))),0),F992))</f>
        <v/>
      </c>
      <c r="H992" s="24" t="str">
        <f aca="false">IF(G992="","",E992*IFERROR(N(INDEX(Produtos!$F$5:$F$54,MATCH(D992,Produtos!$B$5:$B$54,0))),0))</f>
        <v/>
      </c>
      <c r="I992" s="24" t="str">
        <f aca="false">IF(G992="","",G992-H992)</f>
        <v/>
      </c>
      <c r="J992" s="37"/>
    </row>
    <row r="993" customFormat="false" ht="21" hidden="false" customHeight="true" outlineLevel="0" collapsed="false">
      <c r="B993" s="36"/>
      <c r="C993" s="7"/>
      <c r="D993" s="7"/>
      <c r="E993" s="37"/>
      <c r="F993" s="38"/>
      <c r="G993" s="24" t="str">
        <f aca="false">IF(OR(C993="",D993="",N(E993)=0),"",E993*IF(F993="",IFERROR(N(INDEX(Produtos!$K$5:$K$54,MATCH(D993,Produtos!$B$5:$B$54,0))),0),F993))</f>
        <v/>
      </c>
      <c r="H993" s="24" t="str">
        <f aca="false">IF(G993="","",E993*IFERROR(N(INDEX(Produtos!$F$5:$F$54,MATCH(D993,Produtos!$B$5:$B$54,0))),0))</f>
        <v/>
      </c>
      <c r="I993" s="24" t="str">
        <f aca="false">IF(G993="","",G993-H993)</f>
        <v/>
      </c>
      <c r="J993" s="37"/>
    </row>
    <row r="994" customFormat="false" ht="21" hidden="false" customHeight="true" outlineLevel="0" collapsed="false">
      <c r="B994" s="36"/>
      <c r="C994" s="7"/>
      <c r="D994" s="7"/>
      <c r="E994" s="37"/>
      <c r="F994" s="38"/>
      <c r="G994" s="24" t="str">
        <f aca="false">IF(OR(C994="",D994="",N(E994)=0),"",E994*IF(F994="",IFERROR(N(INDEX(Produtos!$K$5:$K$54,MATCH(D994,Produtos!$B$5:$B$54,0))),0),F994))</f>
        <v/>
      </c>
      <c r="H994" s="24" t="str">
        <f aca="false">IF(G994="","",E994*IFERROR(N(INDEX(Produtos!$F$5:$F$54,MATCH(D994,Produtos!$B$5:$B$54,0))),0))</f>
        <v/>
      </c>
      <c r="I994" s="24" t="str">
        <f aca="false">IF(G994="","",G994-H994)</f>
        <v/>
      </c>
      <c r="J994" s="37"/>
    </row>
    <row r="995" customFormat="false" ht="21" hidden="false" customHeight="true" outlineLevel="0" collapsed="false">
      <c r="B995" s="36"/>
      <c r="C995" s="7"/>
      <c r="D995" s="7"/>
      <c r="E995" s="37"/>
      <c r="F995" s="38"/>
      <c r="G995" s="24" t="str">
        <f aca="false">IF(OR(C995="",D995="",N(E995)=0),"",E995*IF(F995="",IFERROR(N(INDEX(Produtos!$K$5:$K$54,MATCH(D995,Produtos!$B$5:$B$54,0))),0),F995))</f>
        <v/>
      </c>
      <c r="H995" s="24" t="str">
        <f aca="false">IF(G995="","",E995*IFERROR(N(INDEX(Produtos!$F$5:$F$54,MATCH(D995,Produtos!$B$5:$B$54,0))),0))</f>
        <v/>
      </c>
      <c r="I995" s="24" t="str">
        <f aca="false">IF(G995="","",G995-H995)</f>
        <v/>
      </c>
      <c r="J995" s="37"/>
    </row>
    <row r="996" customFormat="false" ht="21" hidden="false" customHeight="true" outlineLevel="0" collapsed="false">
      <c r="B996" s="36"/>
      <c r="C996" s="7"/>
      <c r="D996" s="7"/>
      <c r="E996" s="37"/>
      <c r="F996" s="38"/>
      <c r="G996" s="24" t="str">
        <f aca="false">IF(OR(C996="",D996="",N(E996)=0),"",E996*IF(F996="",IFERROR(N(INDEX(Produtos!$K$5:$K$54,MATCH(D996,Produtos!$B$5:$B$54,0))),0),F996))</f>
        <v/>
      </c>
      <c r="H996" s="24" t="str">
        <f aca="false">IF(G996="","",E996*IFERROR(N(INDEX(Produtos!$F$5:$F$54,MATCH(D996,Produtos!$B$5:$B$54,0))),0))</f>
        <v/>
      </c>
      <c r="I996" s="24" t="str">
        <f aca="false">IF(G996="","",G996-H996)</f>
        <v/>
      </c>
      <c r="J996" s="37"/>
    </row>
    <row r="997" customFormat="false" ht="21" hidden="false" customHeight="true" outlineLevel="0" collapsed="false">
      <c r="B997" s="36"/>
      <c r="C997" s="7"/>
      <c r="D997" s="7"/>
      <c r="E997" s="37"/>
      <c r="F997" s="38"/>
      <c r="G997" s="24" t="str">
        <f aca="false">IF(OR(C997="",D997="",N(E997)=0),"",E997*IF(F997="",IFERROR(N(INDEX(Produtos!$K$5:$K$54,MATCH(D997,Produtos!$B$5:$B$54,0))),0),F997))</f>
        <v/>
      </c>
      <c r="H997" s="24" t="str">
        <f aca="false">IF(G997="","",E997*IFERROR(N(INDEX(Produtos!$F$5:$F$54,MATCH(D997,Produtos!$B$5:$B$54,0))),0))</f>
        <v/>
      </c>
      <c r="I997" s="24" t="str">
        <f aca="false">IF(G997="","",G997-H997)</f>
        <v/>
      </c>
      <c r="J997" s="37"/>
    </row>
    <row r="998" customFormat="false" ht="21" hidden="false" customHeight="true" outlineLevel="0" collapsed="false">
      <c r="B998" s="36"/>
      <c r="C998" s="7"/>
      <c r="D998" s="7"/>
      <c r="E998" s="37"/>
      <c r="F998" s="38"/>
      <c r="G998" s="24" t="str">
        <f aca="false">IF(OR(C998="",D998="",N(E998)=0),"",E998*IF(F998="",IFERROR(N(INDEX(Produtos!$K$5:$K$54,MATCH(D998,Produtos!$B$5:$B$54,0))),0),F998))</f>
        <v/>
      </c>
      <c r="H998" s="24" t="str">
        <f aca="false">IF(G998="","",E998*IFERROR(N(INDEX(Produtos!$F$5:$F$54,MATCH(D998,Produtos!$B$5:$B$54,0))),0))</f>
        <v/>
      </c>
      <c r="I998" s="24" t="str">
        <f aca="false">IF(G998="","",G998-H998)</f>
        <v/>
      </c>
      <c r="J998" s="37"/>
    </row>
    <row r="999" customFormat="false" ht="21" hidden="false" customHeight="true" outlineLevel="0" collapsed="false">
      <c r="B999" s="36"/>
      <c r="C999" s="7"/>
      <c r="D999" s="7"/>
      <c r="E999" s="37"/>
      <c r="F999" s="38"/>
      <c r="G999" s="24" t="str">
        <f aca="false">IF(OR(C999="",D999="",N(E999)=0),"",E999*IF(F999="",IFERROR(N(INDEX(Produtos!$K$5:$K$54,MATCH(D999,Produtos!$B$5:$B$54,0))),0),F999))</f>
        <v/>
      </c>
      <c r="H999" s="24" t="str">
        <f aca="false">IF(G999="","",E999*IFERROR(N(INDEX(Produtos!$F$5:$F$54,MATCH(D999,Produtos!$B$5:$B$54,0))),0))</f>
        <v/>
      </c>
      <c r="I999" s="24" t="str">
        <f aca="false">IF(G999="","",G999-H999)</f>
        <v/>
      </c>
      <c r="J999" s="37"/>
    </row>
    <row r="1000" customFormat="false" ht="21" hidden="false" customHeight="true" outlineLevel="0" collapsed="false">
      <c r="B1000" s="36"/>
      <c r="C1000" s="7"/>
      <c r="D1000" s="7"/>
      <c r="E1000" s="37"/>
      <c r="F1000" s="38"/>
      <c r="G1000" s="24" t="str">
        <f aca="false">IF(OR(C1000="",D1000="",N(E1000)=0),"",E1000*IF(F1000="",IFERROR(N(INDEX(Produtos!$K$5:$K$54,MATCH(D1000,Produtos!$B$5:$B$54,0))),0),F1000))</f>
        <v/>
      </c>
      <c r="H1000" s="24" t="str">
        <f aca="false">IF(G1000="","",E1000*IFERROR(N(INDEX(Produtos!$F$5:$F$54,MATCH(D1000,Produtos!$B$5:$B$54,0))),0))</f>
        <v/>
      </c>
      <c r="I1000" s="24" t="str">
        <f aca="false">IF(G1000="","",G1000-H1000)</f>
        <v/>
      </c>
      <c r="J1000" s="37"/>
    </row>
    <row r="1001" customFormat="false" ht="21" hidden="false" customHeight="true" outlineLevel="0" collapsed="false">
      <c r="B1001" s="36"/>
      <c r="C1001" s="7"/>
      <c r="D1001" s="7"/>
      <c r="E1001" s="37"/>
      <c r="F1001" s="38"/>
      <c r="G1001" s="24" t="str">
        <f aca="false">IF(OR(C1001="",D1001="",N(E1001)=0),"",E1001*IF(F1001="",IFERROR(N(INDEX(Produtos!$K$5:$K$54,MATCH(D1001,Produtos!$B$5:$B$54,0))),0),F1001))</f>
        <v/>
      </c>
      <c r="H1001" s="24" t="str">
        <f aca="false">IF(G1001="","",E1001*IFERROR(N(INDEX(Produtos!$F$5:$F$54,MATCH(D1001,Produtos!$B$5:$B$54,0))),0))</f>
        <v/>
      </c>
      <c r="I1001" s="24" t="str">
        <f aca="false">IF(G1001="","",G1001-H1001)</f>
        <v/>
      </c>
      <c r="J1001" s="37"/>
    </row>
    <row r="1002" customFormat="false" ht="21" hidden="false" customHeight="true" outlineLevel="0" collapsed="false">
      <c r="B1002" s="36"/>
      <c r="C1002" s="7"/>
      <c r="D1002" s="7"/>
      <c r="E1002" s="37"/>
      <c r="F1002" s="38"/>
      <c r="G1002" s="24" t="str">
        <f aca="false">IF(OR(C1002="",D1002="",N(E1002)=0),"",E1002*IF(F1002="",IFERROR(N(INDEX(Produtos!$K$5:$K$54,MATCH(D1002,Produtos!$B$5:$B$54,0))),0),F1002))</f>
        <v/>
      </c>
      <c r="H1002" s="24" t="str">
        <f aca="false">IF(G1002="","",E1002*IFERROR(N(INDEX(Produtos!$F$5:$F$54,MATCH(D1002,Produtos!$B$5:$B$54,0))),0))</f>
        <v/>
      </c>
      <c r="I1002" s="24" t="str">
        <f aca="false">IF(G1002="","",G1002-H1002)</f>
        <v/>
      </c>
      <c r="J1002" s="37"/>
    </row>
    <row r="1003" customFormat="false" ht="21" hidden="false" customHeight="true" outlineLevel="0" collapsed="false">
      <c r="B1003" s="36"/>
      <c r="C1003" s="7"/>
      <c r="D1003" s="7"/>
      <c r="E1003" s="37"/>
      <c r="F1003" s="38"/>
      <c r="G1003" s="24" t="str">
        <f aca="false">IF(OR(C1003="",D1003="",N(E1003)=0),"",E1003*IF(F1003="",IFERROR(N(INDEX(Produtos!$K$5:$K$54,MATCH(D1003,Produtos!$B$5:$B$54,0))),0),F1003))</f>
        <v/>
      </c>
      <c r="H1003" s="24" t="str">
        <f aca="false">IF(G1003="","",E1003*IFERROR(N(INDEX(Produtos!$F$5:$F$54,MATCH(D1003,Produtos!$B$5:$B$54,0))),0))</f>
        <v/>
      </c>
      <c r="I1003" s="24" t="str">
        <f aca="false">IF(G1003="","",G1003-H1003)</f>
        <v/>
      </c>
      <c r="J1003" s="37"/>
    </row>
    <row r="1004" customFormat="false" ht="21" hidden="false" customHeight="true" outlineLevel="0" collapsed="false">
      <c r="B1004" s="36"/>
      <c r="C1004" s="7"/>
      <c r="D1004" s="7"/>
      <c r="E1004" s="37"/>
      <c r="F1004" s="38"/>
      <c r="G1004" s="24" t="str">
        <f aca="false">IF(OR(C1004="",D1004="",N(E1004)=0),"",E1004*IF(F1004="",IFERROR(N(INDEX(Produtos!$K$5:$K$54,MATCH(D1004,Produtos!$B$5:$B$54,0))),0),F1004))</f>
        <v/>
      </c>
      <c r="H1004" s="24" t="str">
        <f aca="false">IF(G1004="","",E1004*IFERROR(N(INDEX(Produtos!$F$5:$F$54,MATCH(D1004,Produtos!$B$5:$B$54,0))),0))</f>
        <v/>
      </c>
      <c r="I1004" s="24" t="str">
        <f aca="false">IF(G1004="","",G1004-H1004)</f>
        <v/>
      </c>
      <c r="J1004" s="37"/>
    </row>
    <row r="1005" customFormat="false" ht="21" hidden="false" customHeight="true" outlineLevel="0" collapsed="false">
      <c r="B1005" s="36"/>
      <c r="C1005" s="7"/>
      <c r="D1005" s="7"/>
      <c r="E1005" s="37"/>
      <c r="F1005" s="38"/>
      <c r="G1005" s="24" t="str">
        <f aca="false">IF(OR(C1005="",D1005="",N(E1005)=0),"",E1005*IF(F1005="",IFERROR(N(INDEX(Produtos!$K$5:$K$54,MATCH(D1005,Produtos!$B$5:$B$54,0))),0),F1005))</f>
        <v/>
      </c>
      <c r="H1005" s="24" t="str">
        <f aca="false">IF(G1005="","",E1005*IFERROR(N(INDEX(Produtos!$F$5:$F$54,MATCH(D1005,Produtos!$B$5:$B$54,0))),0))</f>
        <v/>
      </c>
      <c r="I1005" s="24" t="str">
        <f aca="false">IF(G1005="","",G1005-H1005)</f>
        <v/>
      </c>
      <c r="J1005" s="37"/>
    </row>
    <row r="1006" customFormat="false" ht="21" hidden="false" customHeight="true" outlineLevel="0" collapsed="false">
      <c r="B1006" s="36"/>
      <c r="C1006" s="7"/>
      <c r="D1006" s="7"/>
      <c r="E1006" s="37"/>
      <c r="F1006" s="38"/>
      <c r="G1006" s="24" t="str">
        <f aca="false">IF(OR(C1006="",D1006="",N(E1006)=0),"",E1006*IF(F1006="",IFERROR(N(INDEX(Produtos!$K$5:$K$54,MATCH(D1006,Produtos!$B$5:$B$54,0))),0),F1006))</f>
        <v/>
      </c>
      <c r="H1006" s="24" t="str">
        <f aca="false">IF(G1006="","",E1006*IFERROR(N(INDEX(Produtos!$F$5:$F$54,MATCH(D1006,Produtos!$B$5:$B$54,0))),0))</f>
        <v/>
      </c>
      <c r="I1006" s="24" t="str">
        <f aca="false">IF(G1006="","",G1006-H1006)</f>
        <v/>
      </c>
      <c r="J1006" s="37"/>
    </row>
    <row r="1007" customFormat="false" ht="21" hidden="false" customHeight="true" outlineLevel="0" collapsed="false">
      <c r="B1007" s="36"/>
      <c r="C1007" s="7"/>
      <c r="D1007" s="7"/>
      <c r="E1007" s="37"/>
      <c r="F1007" s="38"/>
      <c r="G1007" s="24" t="str">
        <f aca="false">IF(OR(C1007="",D1007="",N(E1007)=0),"",E1007*IF(F1007="",IFERROR(N(INDEX(Produtos!$K$5:$K$54,MATCH(D1007,Produtos!$B$5:$B$54,0))),0),F1007))</f>
        <v/>
      </c>
      <c r="H1007" s="24" t="str">
        <f aca="false">IF(G1007="","",E1007*IFERROR(N(INDEX(Produtos!$F$5:$F$54,MATCH(D1007,Produtos!$B$5:$B$54,0))),0))</f>
        <v/>
      </c>
      <c r="I1007" s="24" t="str">
        <f aca="false">IF(G1007="","",G1007-H1007)</f>
        <v/>
      </c>
      <c r="J1007" s="37"/>
    </row>
    <row r="1008" customFormat="false" ht="21" hidden="false" customHeight="true" outlineLevel="0" collapsed="false">
      <c r="B1008" s="36"/>
      <c r="C1008" s="7"/>
      <c r="D1008" s="7"/>
      <c r="E1008" s="37"/>
      <c r="F1008" s="38"/>
      <c r="G1008" s="24" t="str">
        <f aca="false">IF(OR(C1008="",D1008="",N(E1008)=0),"",E1008*IF(F1008="",IFERROR(N(INDEX(Produtos!$K$5:$K$54,MATCH(D1008,Produtos!$B$5:$B$54,0))),0),F1008))</f>
        <v/>
      </c>
      <c r="H1008" s="24" t="str">
        <f aca="false">IF(G1008="","",E1008*IFERROR(N(INDEX(Produtos!$F$5:$F$54,MATCH(D1008,Produtos!$B$5:$B$54,0))),0))</f>
        <v/>
      </c>
      <c r="I1008" s="24" t="str">
        <f aca="false">IF(G1008="","",G1008-H1008)</f>
        <v/>
      </c>
      <c r="J1008" s="37"/>
    </row>
    <row r="1009" customFormat="false" ht="21" hidden="false" customHeight="true" outlineLevel="0" collapsed="false">
      <c r="B1009" s="36"/>
      <c r="C1009" s="7"/>
      <c r="D1009" s="7"/>
      <c r="E1009" s="37"/>
      <c r="F1009" s="38"/>
      <c r="G1009" s="24" t="str">
        <f aca="false">IF(OR(C1009="",D1009="",N(E1009)=0),"",E1009*IF(F1009="",IFERROR(N(INDEX(Produtos!$K$5:$K$54,MATCH(D1009,Produtos!$B$5:$B$54,0))),0),F1009))</f>
        <v/>
      </c>
      <c r="H1009" s="24" t="str">
        <f aca="false">IF(G1009="","",E1009*IFERROR(N(INDEX(Produtos!$F$5:$F$54,MATCH(D1009,Produtos!$B$5:$B$54,0))),0))</f>
        <v/>
      </c>
      <c r="I1009" s="24" t="str">
        <f aca="false">IF(G1009="","",G1009-H1009)</f>
        <v/>
      </c>
      <c r="J1009" s="37"/>
    </row>
    <row r="1010" customFormat="false" ht="21" hidden="false" customHeight="true" outlineLevel="0" collapsed="false">
      <c r="B1010" s="36"/>
      <c r="C1010" s="7"/>
      <c r="D1010" s="7"/>
      <c r="E1010" s="37"/>
      <c r="F1010" s="38"/>
      <c r="G1010" s="24" t="str">
        <f aca="false">IF(OR(C1010="",D1010="",N(E1010)=0),"",E1010*IF(F1010="",IFERROR(N(INDEX(Produtos!$K$5:$K$54,MATCH(D1010,Produtos!$B$5:$B$54,0))),0),F1010))</f>
        <v/>
      </c>
      <c r="H1010" s="24" t="str">
        <f aca="false">IF(G1010="","",E1010*IFERROR(N(INDEX(Produtos!$F$5:$F$54,MATCH(D1010,Produtos!$B$5:$B$54,0))),0))</f>
        <v/>
      </c>
      <c r="I1010" s="24" t="str">
        <f aca="false">IF(G1010="","",G1010-H1010)</f>
        <v/>
      </c>
      <c r="J1010" s="37"/>
    </row>
    <row r="1011" customFormat="false" ht="21" hidden="false" customHeight="true" outlineLevel="0" collapsed="false">
      <c r="B1011" s="36"/>
      <c r="C1011" s="7"/>
      <c r="D1011" s="7"/>
      <c r="E1011" s="37"/>
      <c r="F1011" s="38"/>
      <c r="G1011" s="24" t="str">
        <f aca="false">IF(OR(C1011="",D1011="",N(E1011)=0),"",E1011*IF(F1011="",IFERROR(N(INDEX(Produtos!$K$5:$K$54,MATCH(D1011,Produtos!$B$5:$B$54,0))),0),F1011))</f>
        <v/>
      </c>
      <c r="H1011" s="24" t="str">
        <f aca="false">IF(G1011="","",E1011*IFERROR(N(INDEX(Produtos!$F$5:$F$54,MATCH(D1011,Produtos!$B$5:$B$54,0))),0))</f>
        <v/>
      </c>
      <c r="I1011" s="24" t="str">
        <f aca="false">IF(G1011="","",G1011-H1011)</f>
        <v/>
      </c>
      <c r="J1011" s="37"/>
    </row>
    <row r="1012" customFormat="false" ht="21" hidden="false" customHeight="true" outlineLevel="0" collapsed="false">
      <c r="B1012" s="36"/>
      <c r="C1012" s="7"/>
      <c r="D1012" s="7"/>
      <c r="E1012" s="37"/>
      <c r="F1012" s="38"/>
      <c r="G1012" s="24" t="str">
        <f aca="false">IF(OR(C1012="",D1012="",N(E1012)=0),"",E1012*IF(F1012="",IFERROR(N(INDEX(Produtos!$K$5:$K$54,MATCH(D1012,Produtos!$B$5:$B$54,0))),0),F1012))</f>
        <v/>
      </c>
      <c r="H1012" s="24" t="str">
        <f aca="false">IF(G1012="","",E1012*IFERROR(N(INDEX(Produtos!$F$5:$F$54,MATCH(D1012,Produtos!$B$5:$B$54,0))),0))</f>
        <v/>
      </c>
      <c r="I1012" s="24" t="str">
        <f aca="false">IF(G1012="","",G1012-H1012)</f>
        <v/>
      </c>
      <c r="J1012" s="37"/>
    </row>
    <row r="1013" customFormat="false" ht="21" hidden="false" customHeight="true" outlineLevel="0" collapsed="false">
      <c r="B1013" s="36"/>
      <c r="C1013" s="7"/>
      <c r="D1013" s="7"/>
      <c r="E1013" s="37"/>
      <c r="F1013" s="38"/>
      <c r="G1013" s="24" t="str">
        <f aca="false">IF(OR(C1013="",D1013="",N(E1013)=0),"",E1013*IF(F1013="",IFERROR(N(INDEX(Produtos!$K$5:$K$54,MATCH(D1013,Produtos!$B$5:$B$54,0))),0),F1013))</f>
        <v/>
      </c>
      <c r="H1013" s="24" t="str">
        <f aca="false">IF(G1013="","",E1013*IFERROR(N(INDEX(Produtos!$F$5:$F$54,MATCH(D1013,Produtos!$B$5:$B$54,0))),0))</f>
        <v/>
      </c>
      <c r="I1013" s="24" t="str">
        <f aca="false">IF(G1013="","",G1013-H1013)</f>
        <v/>
      </c>
      <c r="J1013" s="37"/>
    </row>
    <row r="1014" customFormat="false" ht="21" hidden="false" customHeight="true" outlineLevel="0" collapsed="false">
      <c r="B1014" s="36"/>
      <c r="C1014" s="7"/>
      <c r="D1014" s="7"/>
      <c r="E1014" s="37"/>
      <c r="F1014" s="38"/>
      <c r="G1014" s="24" t="str">
        <f aca="false">IF(OR(C1014="",D1014="",N(E1014)=0),"",E1014*IF(F1014="",IFERROR(N(INDEX(Produtos!$K$5:$K$54,MATCH(D1014,Produtos!$B$5:$B$54,0))),0),F1014))</f>
        <v/>
      </c>
      <c r="H1014" s="24" t="str">
        <f aca="false">IF(G1014="","",E1014*IFERROR(N(INDEX(Produtos!$F$5:$F$54,MATCH(D1014,Produtos!$B$5:$B$54,0))),0))</f>
        <v/>
      </c>
      <c r="I1014" s="24" t="str">
        <f aca="false">IF(G1014="","",G1014-H1014)</f>
        <v/>
      </c>
      <c r="J1014" s="37"/>
    </row>
    <row r="1015" customFormat="false" ht="21" hidden="false" customHeight="true" outlineLevel="0" collapsed="false">
      <c r="B1015" s="36"/>
      <c r="C1015" s="7"/>
      <c r="D1015" s="7"/>
      <c r="E1015" s="37"/>
      <c r="F1015" s="38"/>
      <c r="G1015" s="24" t="str">
        <f aca="false">IF(OR(C1015="",D1015="",N(E1015)=0),"",E1015*IF(F1015="",IFERROR(N(INDEX(Produtos!$K$5:$K$54,MATCH(D1015,Produtos!$B$5:$B$54,0))),0),F1015))</f>
        <v/>
      </c>
      <c r="H1015" s="24" t="str">
        <f aca="false">IF(G1015="","",E1015*IFERROR(N(INDEX(Produtos!$F$5:$F$54,MATCH(D1015,Produtos!$B$5:$B$54,0))),0))</f>
        <v/>
      </c>
      <c r="I1015" s="24" t="str">
        <f aca="false">IF(G1015="","",G1015-H1015)</f>
        <v/>
      </c>
      <c r="J1015" s="37"/>
    </row>
    <row r="1016" customFormat="false" ht="21" hidden="false" customHeight="true" outlineLevel="0" collapsed="false">
      <c r="B1016" s="36"/>
      <c r="C1016" s="7"/>
      <c r="D1016" s="7"/>
      <c r="E1016" s="37"/>
      <c r="F1016" s="38"/>
      <c r="G1016" s="24" t="str">
        <f aca="false">IF(OR(C1016="",D1016="",N(E1016)=0),"",E1016*IF(F1016="",IFERROR(N(INDEX(Produtos!$K$5:$K$54,MATCH(D1016,Produtos!$B$5:$B$54,0))),0),F1016))</f>
        <v/>
      </c>
      <c r="H1016" s="24" t="str">
        <f aca="false">IF(G1016="","",E1016*IFERROR(N(INDEX(Produtos!$F$5:$F$54,MATCH(D1016,Produtos!$B$5:$B$54,0))),0))</f>
        <v/>
      </c>
      <c r="I1016" s="24" t="str">
        <f aca="false">IF(G1016="","",G1016-H1016)</f>
        <v/>
      </c>
      <c r="J1016" s="37"/>
    </row>
    <row r="1017" customFormat="false" ht="21" hidden="false" customHeight="true" outlineLevel="0" collapsed="false">
      <c r="B1017" s="36"/>
      <c r="C1017" s="7"/>
      <c r="D1017" s="7"/>
      <c r="E1017" s="37"/>
      <c r="F1017" s="38"/>
      <c r="G1017" s="24" t="str">
        <f aca="false">IF(OR(C1017="",D1017="",N(E1017)=0),"",E1017*IF(F1017="",IFERROR(N(INDEX(Produtos!$K$5:$K$54,MATCH(D1017,Produtos!$B$5:$B$54,0))),0),F1017))</f>
        <v/>
      </c>
      <c r="H1017" s="24" t="str">
        <f aca="false">IF(G1017="","",E1017*IFERROR(N(INDEX(Produtos!$F$5:$F$54,MATCH(D1017,Produtos!$B$5:$B$54,0))),0))</f>
        <v/>
      </c>
      <c r="I1017" s="24" t="str">
        <f aca="false">IF(G1017="","",G1017-H1017)</f>
        <v/>
      </c>
      <c r="J1017" s="37"/>
    </row>
    <row r="1018" customFormat="false" ht="21" hidden="false" customHeight="true" outlineLevel="0" collapsed="false">
      <c r="B1018" s="36"/>
      <c r="C1018" s="7"/>
      <c r="D1018" s="7"/>
      <c r="E1018" s="37"/>
      <c r="F1018" s="38"/>
      <c r="G1018" s="24" t="str">
        <f aca="false">IF(OR(C1018="",D1018="",N(E1018)=0),"",E1018*IF(F1018="",IFERROR(N(INDEX(Produtos!$K$5:$K$54,MATCH(D1018,Produtos!$B$5:$B$54,0))),0),F1018))</f>
        <v/>
      </c>
      <c r="H1018" s="24" t="str">
        <f aca="false">IF(G1018="","",E1018*IFERROR(N(INDEX(Produtos!$F$5:$F$54,MATCH(D1018,Produtos!$B$5:$B$54,0))),0))</f>
        <v/>
      </c>
      <c r="I1018" s="24" t="str">
        <f aca="false">IF(G1018="","",G1018-H1018)</f>
        <v/>
      </c>
      <c r="J1018" s="37"/>
    </row>
    <row r="1019" customFormat="false" ht="21" hidden="false" customHeight="true" outlineLevel="0" collapsed="false">
      <c r="B1019" s="36"/>
      <c r="C1019" s="7"/>
      <c r="D1019" s="7"/>
      <c r="E1019" s="37"/>
      <c r="F1019" s="38"/>
      <c r="G1019" s="24" t="str">
        <f aca="false">IF(OR(C1019="",D1019="",N(E1019)=0),"",E1019*IF(F1019="",IFERROR(N(INDEX(Produtos!$K$5:$K$54,MATCH(D1019,Produtos!$B$5:$B$54,0))),0),F1019))</f>
        <v/>
      </c>
      <c r="H1019" s="24" t="str">
        <f aca="false">IF(G1019="","",E1019*IFERROR(N(INDEX(Produtos!$F$5:$F$54,MATCH(D1019,Produtos!$B$5:$B$54,0))),0))</f>
        <v/>
      </c>
      <c r="I1019" s="24" t="str">
        <f aca="false">IF(G1019="","",G1019-H1019)</f>
        <v/>
      </c>
      <c r="J1019" s="37"/>
    </row>
    <row r="1020" customFormat="false" ht="21" hidden="false" customHeight="true" outlineLevel="0" collapsed="false">
      <c r="B1020" s="36"/>
      <c r="C1020" s="7"/>
      <c r="D1020" s="7"/>
      <c r="E1020" s="37"/>
      <c r="F1020" s="38"/>
      <c r="G1020" s="24" t="str">
        <f aca="false">IF(OR(C1020="",D1020="",N(E1020)=0),"",E1020*IF(F1020="",IFERROR(N(INDEX(Produtos!$K$5:$K$54,MATCH(D1020,Produtos!$B$5:$B$54,0))),0),F1020))</f>
        <v/>
      </c>
      <c r="H1020" s="24" t="str">
        <f aca="false">IF(G1020="","",E1020*IFERROR(N(INDEX(Produtos!$F$5:$F$54,MATCH(D1020,Produtos!$B$5:$B$54,0))),0))</f>
        <v/>
      </c>
      <c r="I1020" s="24" t="str">
        <f aca="false">IF(G1020="","",G1020-H1020)</f>
        <v/>
      </c>
      <c r="J1020" s="37"/>
    </row>
    <row r="1021" customFormat="false" ht="21" hidden="false" customHeight="true" outlineLevel="0" collapsed="false">
      <c r="B1021" s="36"/>
      <c r="C1021" s="7"/>
      <c r="D1021" s="7"/>
      <c r="E1021" s="37"/>
      <c r="F1021" s="38"/>
      <c r="G1021" s="24" t="str">
        <f aca="false">IF(OR(C1021="",D1021="",N(E1021)=0),"",E1021*IF(F1021="",IFERROR(N(INDEX(Produtos!$K$5:$K$54,MATCH(D1021,Produtos!$B$5:$B$54,0))),0),F1021))</f>
        <v/>
      </c>
      <c r="H1021" s="24" t="str">
        <f aca="false">IF(G1021="","",E1021*IFERROR(N(INDEX(Produtos!$F$5:$F$54,MATCH(D1021,Produtos!$B$5:$B$54,0))),0))</f>
        <v/>
      </c>
      <c r="I1021" s="24" t="str">
        <f aca="false">IF(G1021="","",G1021-H1021)</f>
        <v/>
      </c>
      <c r="J1021" s="37"/>
    </row>
    <row r="1022" customFormat="false" ht="21" hidden="false" customHeight="true" outlineLevel="0" collapsed="false">
      <c r="B1022" s="36"/>
      <c r="C1022" s="7"/>
      <c r="D1022" s="7"/>
      <c r="E1022" s="37"/>
      <c r="F1022" s="38"/>
      <c r="G1022" s="24" t="str">
        <f aca="false">IF(OR(C1022="",D1022="",N(E1022)=0),"",E1022*IF(F1022="",IFERROR(N(INDEX(Produtos!$K$5:$K$54,MATCH(D1022,Produtos!$B$5:$B$54,0))),0),F1022))</f>
        <v/>
      </c>
      <c r="H1022" s="24" t="str">
        <f aca="false">IF(G1022="","",E1022*IFERROR(N(INDEX(Produtos!$F$5:$F$54,MATCH(D1022,Produtos!$B$5:$B$54,0))),0))</f>
        <v/>
      </c>
      <c r="I1022" s="24" t="str">
        <f aca="false">IF(G1022="","",G1022-H1022)</f>
        <v/>
      </c>
      <c r="J1022" s="37"/>
    </row>
    <row r="1023" customFormat="false" ht="21" hidden="false" customHeight="true" outlineLevel="0" collapsed="false">
      <c r="B1023" s="36"/>
      <c r="C1023" s="7"/>
      <c r="D1023" s="7"/>
      <c r="E1023" s="37"/>
      <c r="F1023" s="38"/>
      <c r="G1023" s="24" t="str">
        <f aca="false">IF(OR(C1023="",D1023="",N(E1023)=0),"",E1023*IF(F1023="",IFERROR(N(INDEX(Produtos!$K$5:$K$54,MATCH(D1023,Produtos!$B$5:$B$54,0))),0),F1023))</f>
        <v/>
      </c>
      <c r="H1023" s="24" t="str">
        <f aca="false">IF(G1023="","",E1023*IFERROR(N(INDEX(Produtos!$F$5:$F$54,MATCH(D1023,Produtos!$B$5:$B$54,0))),0))</f>
        <v/>
      </c>
      <c r="I1023" s="24" t="str">
        <f aca="false">IF(G1023="","",G1023-H1023)</f>
        <v/>
      </c>
      <c r="J1023" s="37"/>
    </row>
    <row r="1024" customFormat="false" ht="21" hidden="false" customHeight="true" outlineLevel="0" collapsed="false">
      <c r="B1024" s="36"/>
      <c r="C1024" s="7"/>
      <c r="D1024" s="7"/>
      <c r="E1024" s="37"/>
      <c r="F1024" s="38"/>
      <c r="G1024" s="24" t="str">
        <f aca="false">IF(OR(C1024="",D1024="",N(E1024)=0),"",E1024*IF(F1024="",IFERROR(N(INDEX(Produtos!$K$5:$K$54,MATCH(D1024,Produtos!$B$5:$B$54,0))),0),F1024))</f>
        <v/>
      </c>
      <c r="H1024" s="24" t="str">
        <f aca="false">IF(G1024="","",E1024*IFERROR(N(INDEX(Produtos!$F$5:$F$54,MATCH(D1024,Produtos!$B$5:$B$54,0))),0))</f>
        <v/>
      </c>
      <c r="I1024" s="24" t="str">
        <f aca="false">IF(G1024="","",G1024-H1024)</f>
        <v/>
      </c>
      <c r="J1024" s="37"/>
    </row>
    <row r="1025" customFormat="false" ht="21" hidden="false" customHeight="true" outlineLevel="0" collapsed="false">
      <c r="B1025" s="36"/>
      <c r="C1025" s="7"/>
      <c r="D1025" s="7"/>
      <c r="E1025" s="37"/>
      <c r="F1025" s="38"/>
      <c r="G1025" s="24" t="str">
        <f aca="false">IF(OR(C1025="",D1025="",N(E1025)=0),"",E1025*IF(F1025="",IFERROR(N(INDEX(Produtos!$K$5:$K$54,MATCH(D1025,Produtos!$B$5:$B$54,0))),0),F1025))</f>
        <v/>
      </c>
      <c r="H1025" s="24" t="str">
        <f aca="false">IF(G1025="","",E1025*IFERROR(N(INDEX(Produtos!$F$5:$F$54,MATCH(D1025,Produtos!$B$5:$B$54,0))),0))</f>
        <v/>
      </c>
      <c r="I1025" s="24" t="str">
        <f aca="false">IF(G1025="","",G1025-H1025)</f>
        <v/>
      </c>
      <c r="J1025" s="37"/>
    </row>
    <row r="1026" customFormat="false" ht="21" hidden="false" customHeight="true" outlineLevel="0" collapsed="false">
      <c r="B1026" s="36"/>
      <c r="C1026" s="7"/>
      <c r="D1026" s="7"/>
      <c r="E1026" s="37"/>
      <c r="F1026" s="38"/>
      <c r="G1026" s="24" t="str">
        <f aca="false">IF(OR(C1026="",D1026="",N(E1026)=0),"",E1026*IF(F1026="",IFERROR(N(INDEX(Produtos!$K$5:$K$54,MATCH(D1026,Produtos!$B$5:$B$54,0))),0),F1026))</f>
        <v/>
      </c>
      <c r="H1026" s="24" t="str">
        <f aca="false">IF(G1026="","",E1026*IFERROR(N(INDEX(Produtos!$F$5:$F$54,MATCH(D1026,Produtos!$B$5:$B$54,0))),0))</f>
        <v/>
      </c>
      <c r="I1026" s="24" t="str">
        <f aca="false">IF(G1026="","",G1026-H1026)</f>
        <v/>
      </c>
      <c r="J1026" s="37"/>
    </row>
    <row r="1027" customFormat="false" ht="21" hidden="false" customHeight="true" outlineLevel="0" collapsed="false">
      <c r="B1027" s="36"/>
      <c r="C1027" s="7"/>
      <c r="D1027" s="7"/>
      <c r="E1027" s="37"/>
      <c r="F1027" s="38"/>
      <c r="G1027" s="24" t="str">
        <f aca="false">IF(OR(C1027="",D1027="",N(E1027)=0),"",E1027*IF(F1027="",IFERROR(N(INDEX(Produtos!$K$5:$K$54,MATCH(D1027,Produtos!$B$5:$B$54,0))),0),F1027))</f>
        <v/>
      </c>
      <c r="H1027" s="24" t="str">
        <f aca="false">IF(G1027="","",E1027*IFERROR(N(INDEX(Produtos!$F$5:$F$54,MATCH(D1027,Produtos!$B$5:$B$54,0))),0))</f>
        <v/>
      </c>
      <c r="I1027" s="24" t="str">
        <f aca="false">IF(G1027="","",G1027-H1027)</f>
        <v/>
      </c>
      <c r="J1027" s="37"/>
    </row>
    <row r="1028" customFormat="false" ht="21" hidden="false" customHeight="true" outlineLevel="0" collapsed="false">
      <c r="B1028" s="36"/>
      <c r="C1028" s="7"/>
      <c r="D1028" s="7"/>
      <c r="E1028" s="37"/>
      <c r="F1028" s="38"/>
      <c r="G1028" s="24" t="str">
        <f aca="false">IF(OR(C1028="",D1028="",N(E1028)=0),"",E1028*IF(F1028="",IFERROR(N(INDEX(Produtos!$K$5:$K$54,MATCH(D1028,Produtos!$B$5:$B$54,0))),0),F1028))</f>
        <v/>
      </c>
      <c r="H1028" s="24" t="str">
        <f aca="false">IF(G1028="","",E1028*IFERROR(N(INDEX(Produtos!$F$5:$F$54,MATCH(D1028,Produtos!$B$5:$B$54,0))),0))</f>
        <v/>
      </c>
      <c r="I1028" s="24" t="str">
        <f aca="false">IF(G1028="","",G1028-H1028)</f>
        <v/>
      </c>
      <c r="J1028" s="37"/>
    </row>
    <row r="1029" customFormat="false" ht="21" hidden="false" customHeight="true" outlineLevel="0" collapsed="false">
      <c r="B1029" s="36"/>
      <c r="C1029" s="7"/>
      <c r="D1029" s="7"/>
      <c r="E1029" s="37"/>
      <c r="F1029" s="38"/>
      <c r="G1029" s="24" t="str">
        <f aca="false">IF(OR(C1029="",D1029="",N(E1029)=0),"",E1029*IF(F1029="",IFERROR(N(INDEX(Produtos!$K$5:$K$54,MATCH(D1029,Produtos!$B$5:$B$54,0))),0),F1029))</f>
        <v/>
      </c>
      <c r="H1029" s="24" t="str">
        <f aca="false">IF(G1029="","",E1029*IFERROR(N(INDEX(Produtos!$F$5:$F$54,MATCH(D1029,Produtos!$B$5:$B$54,0))),0))</f>
        <v/>
      </c>
      <c r="I1029" s="24" t="str">
        <f aca="false">IF(G1029="","",G1029-H1029)</f>
        <v/>
      </c>
      <c r="J1029" s="37"/>
    </row>
    <row r="1030" customFormat="false" ht="21" hidden="false" customHeight="true" outlineLevel="0" collapsed="false">
      <c r="B1030" s="36"/>
      <c r="C1030" s="7"/>
      <c r="D1030" s="7"/>
      <c r="E1030" s="37"/>
      <c r="F1030" s="38"/>
      <c r="G1030" s="24" t="str">
        <f aca="false">IF(OR(C1030="",D1030="",N(E1030)=0),"",E1030*IF(F1030="",IFERROR(N(INDEX(Produtos!$K$5:$K$54,MATCH(D1030,Produtos!$B$5:$B$54,0))),0),F1030))</f>
        <v/>
      </c>
      <c r="H1030" s="24" t="str">
        <f aca="false">IF(G1030="","",E1030*IFERROR(N(INDEX(Produtos!$F$5:$F$54,MATCH(D1030,Produtos!$B$5:$B$54,0))),0))</f>
        <v/>
      </c>
      <c r="I1030" s="24" t="str">
        <f aca="false">IF(G1030="","",G1030-H1030)</f>
        <v/>
      </c>
      <c r="J1030" s="37"/>
    </row>
    <row r="1031" customFormat="false" ht="21" hidden="false" customHeight="true" outlineLevel="0" collapsed="false">
      <c r="B1031" s="36"/>
      <c r="C1031" s="7"/>
      <c r="D1031" s="7"/>
      <c r="E1031" s="37"/>
      <c r="F1031" s="38"/>
      <c r="G1031" s="24" t="str">
        <f aca="false">IF(OR(C1031="",D1031="",N(E1031)=0),"",E1031*IF(F1031="",IFERROR(N(INDEX(Produtos!$K$5:$K$54,MATCH(D1031,Produtos!$B$5:$B$54,0))),0),F1031))</f>
        <v/>
      </c>
      <c r="H1031" s="24" t="str">
        <f aca="false">IF(G1031="","",E1031*IFERROR(N(INDEX(Produtos!$F$5:$F$54,MATCH(D1031,Produtos!$B$5:$B$54,0))),0))</f>
        <v/>
      </c>
      <c r="I1031" s="24" t="str">
        <f aca="false">IF(G1031="","",G1031-H1031)</f>
        <v/>
      </c>
      <c r="J1031" s="37"/>
    </row>
    <row r="1032" customFormat="false" ht="21" hidden="false" customHeight="true" outlineLevel="0" collapsed="false">
      <c r="B1032" s="36"/>
      <c r="C1032" s="7"/>
      <c r="D1032" s="7"/>
      <c r="E1032" s="37"/>
      <c r="F1032" s="38"/>
      <c r="G1032" s="24" t="str">
        <f aca="false">IF(OR(C1032="",D1032="",N(E1032)=0),"",E1032*IF(F1032="",IFERROR(N(INDEX(Produtos!$K$5:$K$54,MATCH(D1032,Produtos!$B$5:$B$54,0))),0),F1032))</f>
        <v/>
      </c>
      <c r="H1032" s="24" t="str">
        <f aca="false">IF(G1032="","",E1032*IFERROR(N(INDEX(Produtos!$F$5:$F$54,MATCH(D1032,Produtos!$B$5:$B$54,0))),0))</f>
        <v/>
      </c>
      <c r="I1032" s="24" t="str">
        <f aca="false">IF(G1032="","",G1032-H1032)</f>
        <v/>
      </c>
      <c r="J1032" s="37"/>
    </row>
    <row r="1033" customFormat="false" ht="21" hidden="false" customHeight="true" outlineLevel="0" collapsed="false">
      <c r="B1033" s="36"/>
      <c r="C1033" s="7"/>
      <c r="D1033" s="7"/>
      <c r="E1033" s="37"/>
      <c r="F1033" s="38"/>
      <c r="G1033" s="24" t="str">
        <f aca="false">IF(OR(C1033="",D1033="",N(E1033)=0),"",E1033*IF(F1033="",IFERROR(N(INDEX(Produtos!$K$5:$K$54,MATCH(D1033,Produtos!$B$5:$B$54,0))),0),F1033))</f>
        <v/>
      </c>
      <c r="H1033" s="24" t="str">
        <f aca="false">IF(G1033="","",E1033*IFERROR(N(INDEX(Produtos!$F$5:$F$54,MATCH(D1033,Produtos!$B$5:$B$54,0))),0))</f>
        <v/>
      </c>
      <c r="I1033" s="24" t="str">
        <f aca="false">IF(G1033="","",G1033-H1033)</f>
        <v/>
      </c>
      <c r="J1033" s="37"/>
    </row>
    <row r="1034" customFormat="false" ht="21" hidden="false" customHeight="true" outlineLevel="0" collapsed="false">
      <c r="B1034" s="36"/>
      <c r="C1034" s="7"/>
      <c r="D1034" s="7"/>
      <c r="E1034" s="37"/>
      <c r="F1034" s="38"/>
      <c r="G1034" s="24" t="str">
        <f aca="false">IF(OR(C1034="",D1034="",N(E1034)=0),"",E1034*IF(F1034="",IFERROR(N(INDEX(Produtos!$K$5:$K$54,MATCH(D1034,Produtos!$B$5:$B$54,0))),0),F1034))</f>
        <v/>
      </c>
      <c r="H1034" s="24" t="str">
        <f aca="false">IF(G1034="","",E1034*IFERROR(N(INDEX(Produtos!$F$5:$F$54,MATCH(D1034,Produtos!$B$5:$B$54,0))),0))</f>
        <v/>
      </c>
      <c r="I1034" s="24" t="str">
        <f aca="false">IF(G1034="","",G1034-H1034)</f>
        <v/>
      </c>
      <c r="J1034" s="37"/>
    </row>
    <row r="1035" customFormat="false" ht="21" hidden="false" customHeight="true" outlineLevel="0" collapsed="false">
      <c r="B1035" s="36"/>
      <c r="C1035" s="7"/>
      <c r="D1035" s="7"/>
      <c r="E1035" s="37"/>
      <c r="F1035" s="38"/>
      <c r="G1035" s="24" t="str">
        <f aca="false">IF(OR(C1035="",D1035="",N(E1035)=0),"",E1035*IF(F1035="",IFERROR(N(INDEX(Produtos!$K$5:$K$54,MATCH(D1035,Produtos!$B$5:$B$54,0))),0),F1035))</f>
        <v/>
      </c>
      <c r="H1035" s="24" t="str">
        <f aca="false">IF(G1035="","",E1035*IFERROR(N(INDEX(Produtos!$F$5:$F$54,MATCH(D1035,Produtos!$B$5:$B$54,0))),0))</f>
        <v/>
      </c>
      <c r="I1035" s="24" t="str">
        <f aca="false">IF(G1035="","",G1035-H1035)</f>
        <v/>
      </c>
      <c r="J1035" s="37"/>
    </row>
    <row r="1036" customFormat="false" ht="21" hidden="false" customHeight="true" outlineLevel="0" collapsed="false">
      <c r="B1036" s="36"/>
      <c r="C1036" s="7"/>
      <c r="D1036" s="7"/>
      <c r="E1036" s="37"/>
      <c r="F1036" s="38"/>
      <c r="G1036" s="24" t="str">
        <f aca="false">IF(OR(C1036="",D1036="",N(E1036)=0),"",E1036*IF(F1036="",IFERROR(N(INDEX(Produtos!$K$5:$K$54,MATCH(D1036,Produtos!$B$5:$B$54,0))),0),F1036))</f>
        <v/>
      </c>
      <c r="H1036" s="24" t="str">
        <f aca="false">IF(G1036="","",E1036*IFERROR(N(INDEX(Produtos!$F$5:$F$54,MATCH(D1036,Produtos!$B$5:$B$54,0))),0))</f>
        <v/>
      </c>
      <c r="I1036" s="24" t="str">
        <f aca="false">IF(G1036="","",G1036-H1036)</f>
        <v/>
      </c>
      <c r="J1036" s="37"/>
    </row>
    <row r="1037" customFormat="false" ht="21" hidden="false" customHeight="true" outlineLevel="0" collapsed="false">
      <c r="B1037" s="36"/>
      <c r="C1037" s="7"/>
      <c r="D1037" s="7"/>
      <c r="E1037" s="37"/>
      <c r="F1037" s="38"/>
      <c r="G1037" s="24" t="str">
        <f aca="false">IF(OR(C1037="",D1037="",N(E1037)=0),"",E1037*IF(F1037="",IFERROR(N(INDEX(Produtos!$K$5:$K$54,MATCH(D1037,Produtos!$B$5:$B$54,0))),0),F1037))</f>
        <v/>
      </c>
      <c r="H1037" s="24" t="str">
        <f aca="false">IF(G1037="","",E1037*IFERROR(N(INDEX(Produtos!$F$5:$F$54,MATCH(D1037,Produtos!$B$5:$B$54,0))),0))</f>
        <v/>
      </c>
      <c r="I1037" s="24" t="str">
        <f aca="false">IF(G1037="","",G1037-H1037)</f>
        <v/>
      </c>
      <c r="J1037" s="37"/>
    </row>
    <row r="1038" customFormat="false" ht="21" hidden="false" customHeight="true" outlineLevel="0" collapsed="false">
      <c r="B1038" s="36"/>
      <c r="C1038" s="7"/>
      <c r="D1038" s="7"/>
      <c r="E1038" s="37"/>
      <c r="F1038" s="38"/>
      <c r="G1038" s="24" t="str">
        <f aca="false">IF(OR(C1038="",D1038="",N(E1038)=0),"",E1038*IF(F1038="",IFERROR(N(INDEX(Produtos!$K$5:$K$54,MATCH(D1038,Produtos!$B$5:$B$54,0))),0),F1038))</f>
        <v/>
      </c>
      <c r="H1038" s="24" t="str">
        <f aca="false">IF(G1038="","",E1038*IFERROR(N(INDEX(Produtos!$F$5:$F$54,MATCH(D1038,Produtos!$B$5:$B$54,0))),0))</f>
        <v/>
      </c>
      <c r="I1038" s="24" t="str">
        <f aca="false">IF(G1038="","",G1038-H1038)</f>
        <v/>
      </c>
      <c r="J1038" s="37"/>
    </row>
    <row r="1039" customFormat="false" ht="21" hidden="false" customHeight="true" outlineLevel="0" collapsed="false">
      <c r="B1039" s="36"/>
      <c r="C1039" s="7"/>
      <c r="D1039" s="7"/>
      <c r="E1039" s="37"/>
      <c r="F1039" s="38"/>
      <c r="G1039" s="24" t="str">
        <f aca="false">IF(OR(C1039="",D1039="",N(E1039)=0),"",E1039*IF(F1039="",IFERROR(N(INDEX(Produtos!$K$5:$K$54,MATCH(D1039,Produtos!$B$5:$B$54,0))),0),F1039))</f>
        <v/>
      </c>
      <c r="H1039" s="24" t="str">
        <f aca="false">IF(G1039="","",E1039*IFERROR(N(INDEX(Produtos!$F$5:$F$54,MATCH(D1039,Produtos!$B$5:$B$54,0))),0))</f>
        <v/>
      </c>
      <c r="I1039" s="24" t="str">
        <f aca="false">IF(G1039="","",G1039-H1039)</f>
        <v/>
      </c>
      <c r="J1039" s="37"/>
    </row>
    <row r="1040" customFormat="false" ht="21" hidden="false" customHeight="true" outlineLevel="0" collapsed="false">
      <c r="B1040" s="36"/>
      <c r="C1040" s="7"/>
      <c r="D1040" s="7"/>
      <c r="E1040" s="37"/>
      <c r="F1040" s="38"/>
      <c r="G1040" s="24" t="str">
        <f aca="false">IF(OR(C1040="",D1040="",N(E1040)=0),"",E1040*IF(F1040="",IFERROR(N(INDEX(Produtos!$K$5:$K$54,MATCH(D1040,Produtos!$B$5:$B$54,0))),0),F1040))</f>
        <v/>
      </c>
      <c r="H1040" s="24" t="str">
        <f aca="false">IF(G1040="","",E1040*IFERROR(N(INDEX(Produtos!$F$5:$F$54,MATCH(D1040,Produtos!$B$5:$B$54,0))),0))</f>
        <v/>
      </c>
      <c r="I1040" s="24" t="str">
        <f aca="false">IF(G1040="","",G1040-H1040)</f>
        <v/>
      </c>
      <c r="J1040" s="37"/>
    </row>
    <row r="1041" customFormat="false" ht="21" hidden="false" customHeight="true" outlineLevel="0" collapsed="false">
      <c r="B1041" s="36"/>
      <c r="C1041" s="7"/>
      <c r="D1041" s="7"/>
      <c r="E1041" s="37"/>
      <c r="F1041" s="38"/>
      <c r="G1041" s="24" t="str">
        <f aca="false">IF(OR(C1041="",D1041="",N(E1041)=0),"",E1041*IF(F1041="",IFERROR(N(INDEX(Produtos!$K$5:$K$54,MATCH(D1041,Produtos!$B$5:$B$54,0))),0),F1041))</f>
        <v/>
      </c>
      <c r="H1041" s="24" t="str">
        <f aca="false">IF(G1041="","",E1041*IFERROR(N(INDEX(Produtos!$F$5:$F$54,MATCH(D1041,Produtos!$B$5:$B$54,0))),0))</f>
        <v/>
      </c>
      <c r="I1041" s="24" t="str">
        <f aca="false">IF(G1041="","",G1041-H1041)</f>
        <v/>
      </c>
      <c r="J1041" s="37"/>
    </row>
    <row r="1042" customFormat="false" ht="21" hidden="false" customHeight="true" outlineLevel="0" collapsed="false">
      <c r="B1042" s="36"/>
      <c r="C1042" s="7"/>
      <c r="D1042" s="7"/>
      <c r="E1042" s="37"/>
      <c r="F1042" s="38"/>
      <c r="G1042" s="24" t="str">
        <f aca="false">IF(OR(C1042="",D1042="",N(E1042)=0),"",E1042*IF(F1042="",IFERROR(N(INDEX(Produtos!$K$5:$K$54,MATCH(D1042,Produtos!$B$5:$B$54,0))),0),F1042))</f>
        <v/>
      </c>
      <c r="H1042" s="24" t="str">
        <f aca="false">IF(G1042="","",E1042*IFERROR(N(INDEX(Produtos!$F$5:$F$54,MATCH(D1042,Produtos!$B$5:$B$54,0))),0))</f>
        <v/>
      </c>
      <c r="I1042" s="24" t="str">
        <f aca="false">IF(G1042="","",G1042-H1042)</f>
        <v/>
      </c>
      <c r="J1042" s="37"/>
    </row>
    <row r="1043" customFormat="false" ht="21" hidden="false" customHeight="true" outlineLevel="0" collapsed="false">
      <c r="B1043" s="36"/>
      <c r="C1043" s="7"/>
      <c r="D1043" s="7"/>
      <c r="E1043" s="37"/>
      <c r="F1043" s="38"/>
      <c r="G1043" s="24" t="str">
        <f aca="false">IF(OR(C1043="",D1043="",N(E1043)=0),"",E1043*IF(F1043="",IFERROR(N(INDEX(Produtos!$K$5:$K$54,MATCH(D1043,Produtos!$B$5:$B$54,0))),0),F1043))</f>
        <v/>
      </c>
      <c r="H1043" s="24" t="str">
        <f aca="false">IF(G1043="","",E1043*IFERROR(N(INDEX(Produtos!$F$5:$F$54,MATCH(D1043,Produtos!$B$5:$B$54,0))),0))</f>
        <v/>
      </c>
      <c r="I1043" s="24" t="str">
        <f aca="false">IF(G1043="","",G1043-H1043)</f>
        <v/>
      </c>
      <c r="J1043" s="37"/>
    </row>
    <row r="1044" customFormat="false" ht="21" hidden="false" customHeight="true" outlineLevel="0" collapsed="false">
      <c r="B1044" s="36"/>
      <c r="C1044" s="7"/>
      <c r="D1044" s="7"/>
      <c r="E1044" s="37"/>
      <c r="F1044" s="38"/>
      <c r="G1044" s="24" t="str">
        <f aca="false">IF(OR(C1044="",D1044="",N(E1044)=0),"",E1044*IF(F1044="",IFERROR(N(INDEX(Produtos!$K$5:$K$54,MATCH(D1044,Produtos!$B$5:$B$54,0))),0),F1044))</f>
        <v/>
      </c>
      <c r="H1044" s="24" t="str">
        <f aca="false">IF(G1044="","",E1044*IFERROR(N(INDEX(Produtos!$F$5:$F$54,MATCH(D1044,Produtos!$B$5:$B$54,0))),0))</f>
        <v/>
      </c>
      <c r="I1044" s="24" t="str">
        <f aca="false">IF(G1044="","",G1044-H1044)</f>
        <v/>
      </c>
      <c r="J1044" s="37"/>
    </row>
    <row r="1045" customFormat="false" ht="21" hidden="false" customHeight="true" outlineLevel="0" collapsed="false">
      <c r="B1045" s="36"/>
      <c r="C1045" s="7"/>
      <c r="D1045" s="7"/>
      <c r="E1045" s="37"/>
      <c r="F1045" s="38"/>
      <c r="G1045" s="24" t="str">
        <f aca="false">IF(OR(C1045="",D1045="",N(E1045)=0),"",E1045*IF(F1045="",IFERROR(N(INDEX(Produtos!$K$5:$K$54,MATCH(D1045,Produtos!$B$5:$B$54,0))),0),F1045))</f>
        <v/>
      </c>
      <c r="H1045" s="24" t="str">
        <f aca="false">IF(G1045="","",E1045*IFERROR(N(INDEX(Produtos!$F$5:$F$54,MATCH(D1045,Produtos!$B$5:$B$54,0))),0))</f>
        <v/>
      </c>
      <c r="I1045" s="24" t="str">
        <f aca="false">IF(G1045="","",G1045-H1045)</f>
        <v/>
      </c>
      <c r="J1045" s="37"/>
    </row>
    <row r="1046" customFormat="false" ht="21" hidden="false" customHeight="true" outlineLevel="0" collapsed="false">
      <c r="B1046" s="36"/>
      <c r="C1046" s="7"/>
      <c r="D1046" s="7"/>
      <c r="E1046" s="37"/>
      <c r="F1046" s="38"/>
      <c r="G1046" s="24" t="str">
        <f aca="false">IF(OR(C1046="",D1046="",N(E1046)=0),"",E1046*IF(F1046="",IFERROR(N(INDEX(Produtos!$K$5:$K$54,MATCH(D1046,Produtos!$B$5:$B$54,0))),0),F1046))</f>
        <v/>
      </c>
      <c r="H1046" s="24" t="str">
        <f aca="false">IF(G1046="","",E1046*IFERROR(N(INDEX(Produtos!$F$5:$F$54,MATCH(D1046,Produtos!$B$5:$B$54,0))),0))</f>
        <v/>
      </c>
      <c r="I1046" s="24" t="str">
        <f aca="false">IF(G1046="","",G1046-H1046)</f>
        <v/>
      </c>
      <c r="J1046" s="37"/>
    </row>
    <row r="1047" customFormat="false" ht="21" hidden="false" customHeight="true" outlineLevel="0" collapsed="false">
      <c r="B1047" s="36"/>
      <c r="C1047" s="7"/>
      <c r="D1047" s="7"/>
      <c r="E1047" s="37"/>
      <c r="F1047" s="38"/>
      <c r="G1047" s="24" t="str">
        <f aca="false">IF(OR(C1047="",D1047="",N(E1047)=0),"",E1047*IF(F1047="",IFERROR(N(INDEX(Produtos!$K$5:$K$54,MATCH(D1047,Produtos!$B$5:$B$54,0))),0),F1047))</f>
        <v/>
      </c>
      <c r="H1047" s="24" t="str">
        <f aca="false">IF(G1047="","",E1047*IFERROR(N(INDEX(Produtos!$F$5:$F$54,MATCH(D1047,Produtos!$B$5:$B$54,0))),0))</f>
        <v/>
      </c>
      <c r="I1047" s="24" t="str">
        <f aca="false">IF(G1047="","",G1047-H1047)</f>
        <v/>
      </c>
      <c r="J1047" s="37"/>
    </row>
    <row r="1048" customFormat="false" ht="21" hidden="false" customHeight="true" outlineLevel="0" collapsed="false">
      <c r="B1048" s="36"/>
      <c r="C1048" s="7"/>
      <c r="D1048" s="7"/>
      <c r="E1048" s="37"/>
      <c r="F1048" s="38"/>
      <c r="G1048" s="24" t="str">
        <f aca="false">IF(OR(C1048="",D1048="",N(E1048)=0),"",E1048*IF(F1048="",IFERROR(N(INDEX(Produtos!$K$5:$K$54,MATCH(D1048,Produtos!$B$5:$B$54,0))),0),F1048))</f>
        <v/>
      </c>
      <c r="H1048" s="24" t="str">
        <f aca="false">IF(G1048="","",E1048*IFERROR(N(INDEX(Produtos!$F$5:$F$54,MATCH(D1048,Produtos!$B$5:$B$54,0))),0))</f>
        <v/>
      </c>
      <c r="I1048" s="24" t="str">
        <f aca="false">IF(G1048="","",G1048-H1048)</f>
        <v/>
      </c>
      <c r="J1048" s="37"/>
    </row>
    <row r="1049" customFormat="false" ht="21" hidden="false" customHeight="true" outlineLevel="0" collapsed="false">
      <c r="B1049" s="36"/>
      <c r="C1049" s="7"/>
      <c r="D1049" s="7"/>
      <c r="E1049" s="37"/>
      <c r="F1049" s="38"/>
      <c r="G1049" s="24" t="str">
        <f aca="false">IF(OR(C1049="",D1049="",N(E1049)=0),"",E1049*IF(F1049="",IFERROR(N(INDEX(Produtos!$K$5:$K$54,MATCH(D1049,Produtos!$B$5:$B$54,0))),0),F1049))</f>
        <v/>
      </c>
      <c r="H1049" s="24" t="str">
        <f aca="false">IF(G1049="","",E1049*IFERROR(N(INDEX(Produtos!$F$5:$F$54,MATCH(D1049,Produtos!$B$5:$B$54,0))),0))</f>
        <v/>
      </c>
      <c r="I1049" s="24" t="str">
        <f aca="false">IF(G1049="","",G1049-H1049)</f>
        <v/>
      </c>
      <c r="J1049" s="37"/>
    </row>
    <row r="1050" customFormat="false" ht="21" hidden="false" customHeight="true" outlineLevel="0" collapsed="false">
      <c r="B1050" s="36"/>
      <c r="C1050" s="7"/>
      <c r="D1050" s="7"/>
      <c r="E1050" s="37"/>
      <c r="F1050" s="38"/>
      <c r="G1050" s="24" t="str">
        <f aca="false">IF(OR(C1050="",D1050="",N(E1050)=0),"",E1050*IF(F1050="",IFERROR(N(INDEX(Produtos!$K$5:$K$54,MATCH(D1050,Produtos!$B$5:$B$54,0))),0),F1050))</f>
        <v/>
      </c>
      <c r="H1050" s="24" t="str">
        <f aca="false">IF(G1050="","",E1050*IFERROR(N(INDEX(Produtos!$F$5:$F$54,MATCH(D1050,Produtos!$B$5:$B$54,0))),0))</f>
        <v/>
      </c>
      <c r="I1050" s="24" t="str">
        <f aca="false">IF(G1050="","",G1050-H1050)</f>
        <v/>
      </c>
      <c r="J1050" s="37"/>
    </row>
    <row r="1051" customFormat="false" ht="21" hidden="false" customHeight="true" outlineLevel="0" collapsed="false">
      <c r="B1051" s="36"/>
      <c r="C1051" s="7"/>
      <c r="D1051" s="7"/>
      <c r="E1051" s="37"/>
      <c r="F1051" s="38"/>
      <c r="G1051" s="24" t="str">
        <f aca="false">IF(OR(C1051="",D1051="",N(E1051)=0),"",E1051*IF(F1051="",IFERROR(N(INDEX(Produtos!$K$5:$K$54,MATCH(D1051,Produtos!$B$5:$B$54,0))),0),F1051))</f>
        <v/>
      </c>
      <c r="H1051" s="24" t="str">
        <f aca="false">IF(G1051="","",E1051*IFERROR(N(INDEX(Produtos!$F$5:$F$54,MATCH(D1051,Produtos!$B$5:$B$54,0))),0))</f>
        <v/>
      </c>
      <c r="I1051" s="24" t="str">
        <f aca="false">IF(G1051="","",G1051-H1051)</f>
        <v/>
      </c>
      <c r="J1051" s="37"/>
    </row>
    <row r="1052" customFormat="false" ht="21" hidden="false" customHeight="true" outlineLevel="0" collapsed="false">
      <c r="B1052" s="36"/>
      <c r="C1052" s="7"/>
      <c r="D1052" s="7"/>
      <c r="E1052" s="37"/>
      <c r="F1052" s="38"/>
      <c r="G1052" s="24" t="str">
        <f aca="false">IF(OR(C1052="",D1052="",N(E1052)=0),"",E1052*IF(F1052="",IFERROR(N(INDEX(Produtos!$K$5:$K$54,MATCH(D1052,Produtos!$B$5:$B$54,0))),0),F1052))</f>
        <v/>
      </c>
      <c r="H1052" s="24" t="str">
        <f aca="false">IF(G1052="","",E1052*IFERROR(N(INDEX(Produtos!$F$5:$F$54,MATCH(D1052,Produtos!$B$5:$B$54,0))),0))</f>
        <v/>
      </c>
      <c r="I1052" s="24" t="str">
        <f aca="false">IF(G1052="","",G1052-H1052)</f>
        <v/>
      </c>
      <c r="J1052" s="37"/>
    </row>
    <row r="1053" customFormat="false" ht="21" hidden="false" customHeight="true" outlineLevel="0" collapsed="false">
      <c r="B1053" s="36"/>
      <c r="C1053" s="7"/>
      <c r="D1053" s="7"/>
      <c r="E1053" s="37"/>
      <c r="F1053" s="38"/>
      <c r="G1053" s="24" t="str">
        <f aca="false">IF(OR(C1053="",D1053="",N(E1053)=0),"",E1053*IF(F1053="",IFERROR(N(INDEX(Produtos!$K$5:$K$54,MATCH(D1053,Produtos!$B$5:$B$54,0))),0),F1053))</f>
        <v/>
      </c>
      <c r="H1053" s="24" t="str">
        <f aca="false">IF(G1053="","",E1053*IFERROR(N(INDEX(Produtos!$F$5:$F$54,MATCH(D1053,Produtos!$B$5:$B$54,0))),0))</f>
        <v/>
      </c>
      <c r="I1053" s="24" t="str">
        <f aca="false">IF(G1053="","",G1053-H1053)</f>
        <v/>
      </c>
      <c r="J1053" s="37"/>
    </row>
    <row r="1054" customFormat="false" ht="21" hidden="false" customHeight="true" outlineLevel="0" collapsed="false">
      <c r="B1054" s="36"/>
      <c r="C1054" s="7"/>
      <c r="D1054" s="7"/>
      <c r="E1054" s="37"/>
      <c r="F1054" s="38"/>
      <c r="G1054" s="24" t="str">
        <f aca="false">IF(OR(C1054="",D1054="",N(E1054)=0),"",E1054*IF(F1054="",IFERROR(N(INDEX(Produtos!$K$5:$K$54,MATCH(D1054,Produtos!$B$5:$B$54,0))),0),F1054))</f>
        <v/>
      </c>
      <c r="H1054" s="24" t="str">
        <f aca="false">IF(G1054="","",E1054*IFERROR(N(INDEX(Produtos!$F$5:$F$54,MATCH(D1054,Produtos!$B$5:$B$54,0))),0))</f>
        <v/>
      </c>
      <c r="I1054" s="24" t="str">
        <f aca="false">IF(G1054="","",G1054-H1054)</f>
        <v/>
      </c>
      <c r="J1054" s="37"/>
    </row>
    <row r="1055" customFormat="false" ht="21" hidden="false" customHeight="true" outlineLevel="0" collapsed="false">
      <c r="B1055" s="36"/>
      <c r="C1055" s="7"/>
      <c r="D1055" s="7"/>
      <c r="E1055" s="37"/>
      <c r="F1055" s="38"/>
      <c r="G1055" s="24" t="str">
        <f aca="false">IF(OR(C1055="",D1055="",N(E1055)=0),"",E1055*IF(F1055="",IFERROR(N(INDEX(Produtos!$K$5:$K$54,MATCH(D1055,Produtos!$B$5:$B$54,0))),0),F1055))</f>
        <v/>
      </c>
      <c r="H1055" s="24" t="str">
        <f aca="false">IF(G1055="","",E1055*IFERROR(N(INDEX(Produtos!$F$5:$F$54,MATCH(D1055,Produtos!$B$5:$B$54,0))),0))</f>
        <v/>
      </c>
      <c r="I1055" s="24" t="str">
        <f aca="false">IF(G1055="","",G1055-H1055)</f>
        <v/>
      </c>
      <c r="J1055" s="37"/>
    </row>
    <row r="1056" customFormat="false" ht="21" hidden="false" customHeight="true" outlineLevel="0" collapsed="false">
      <c r="B1056" s="36"/>
      <c r="C1056" s="7"/>
      <c r="D1056" s="7"/>
      <c r="E1056" s="37"/>
      <c r="F1056" s="38"/>
      <c r="G1056" s="24" t="str">
        <f aca="false">IF(OR(C1056="",D1056="",N(E1056)=0),"",E1056*IF(F1056="",IFERROR(N(INDEX(Produtos!$K$5:$K$54,MATCH(D1056,Produtos!$B$5:$B$54,0))),0),F1056))</f>
        <v/>
      </c>
      <c r="H1056" s="24" t="str">
        <f aca="false">IF(G1056="","",E1056*IFERROR(N(INDEX(Produtos!$F$5:$F$54,MATCH(D1056,Produtos!$B$5:$B$54,0))),0))</f>
        <v/>
      </c>
      <c r="I1056" s="24" t="str">
        <f aca="false">IF(G1056="","",G1056-H1056)</f>
        <v/>
      </c>
      <c r="J1056" s="37"/>
    </row>
    <row r="1057" customFormat="false" ht="21" hidden="false" customHeight="true" outlineLevel="0" collapsed="false">
      <c r="B1057" s="36"/>
      <c r="C1057" s="7"/>
      <c r="D1057" s="7"/>
      <c r="E1057" s="37"/>
      <c r="F1057" s="38"/>
      <c r="G1057" s="24" t="str">
        <f aca="false">IF(OR(C1057="",D1057="",N(E1057)=0),"",E1057*IF(F1057="",IFERROR(N(INDEX(Produtos!$K$5:$K$54,MATCH(D1057,Produtos!$B$5:$B$54,0))),0),F1057))</f>
        <v/>
      </c>
      <c r="H1057" s="24" t="str">
        <f aca="false">IF(G1057="","",E1057*IFERROR(N(INDEX(Produtos!$F$5:$F$54,MATCH(D1057,Produtos!$B$5:$B$54,0))),0))</f>
        <v/>
      </c>
      <c r="I1057" s="24" t="str">
        <f aca="false">IF(G1057="","",G1057-H1057)</f>
        <v/>
      </c>
      <c r="J1057" s="37"/>
    </row>
    <row r="1058" customFormat="false" ht="21" hidden="false" customHeight="true" outlineLevel="0" collapsed="false">
      <c r="B1058" s="36"/>
      <c r="C1058" s="7"/>
      <c r="D1058" s="7"/>
      <c r="E1058" s="37"/>
      <c r="F1058" s="38"/>
      <c r="G1058" s="24" t="str">
        <f aca="false">IF(OR(C1058="",D1058="",N(E1058)=0),"",E1058*IF(F1058="",IFERROR(N(INDEX(Produtos!$K$5:$K$54,MATCH(D1058,Produtos!$B$5:$B$54,0))),0),F1058))</f>
        <v/>
      </c>
      <c r="H1058" s="24" t="str">
        <f aca="false">IF(G1058="","",E1058*IFERROR(N(INDEX(Produtos!$F$5:$F$54,MATCH(D1058,Produtos!$B$5:$B$54,0))),0))</f>
        <v/>
      </c>
      <c r="I1058" s="24" t="str">
        <f aca="false">IF(G1058="","",G1058-H1058)</f>
        <v/>
      </c>
      <c r="J1058" s="37"/>
    </row>
    <row r="1059" customFormat="false" ht="21" hidden="false" customHeight="true" outlineLevel="0" collapsed="false">
      <c r="B1059" s="36"/>
      <c r="C1059" s="7"/>
      <c r="D1059" s="7"/>
      <c r="E1059" s="37"/>
      <c r="F1059" s="38"/>
      <c r="G1059" s="24" t="str">
        <f aca="false">IF(OR(C1059="",D1059="",N(E1059)=0),"",E1059*IF(F1059="",IFERROR(N(INDEX(Produtos!$K$5:$K$54,MATCH(D1059,Produtos!$B$5:$B$54,0))),0),F1059))</f>
        <v/>
      </c>
      <c r="H1059" s="24" t="str">
        <f aca="false">IF(G1059="","",E1059*IFERROR(N(INDEX(Produtos!$F$5:$F$54,MATCH(D1059,Produtos!$B$5:$B$54,0))),0))</f>
        <v/>
      </c>
      <c r="I1059" s="24" t="str">
        <f aca="false">IF(G1059="","",G1059-H1059)</f>
        <v/>
      </c>
      <c r="J1059" s="37"/>
    </row>
    <row r="1060" customFormat="false" ht="21" hidden="false" customHeight="true" outlineLevel="0" collapsed="false">
      <c r="B1060" s="36"/>
      <c r="C1060" s="7"/>
      <c r="D1060" s="7"/>
      <c r="E1060" s="37"/>
      <c r="F1060" s="38"/>
      <c r="G1060" s="24" t="str">
        <f aca="false">IF(OR(C1060="",D1060="",N(E1060)=0),"",E1060*IF(F1060="",IFERROR(N(INDEX(Produtos!$K$5:$K$54,MATCH(D1060,Produtos!$B$5:$B$54,0))),0),F1060))</f>
        <v/>
      </c>
      <c r="H1060" s="24" t="str">
        <f aca="false">IF(G1060="","",E1060*IFERROR(N(INDEX(Produtos!$F$5:$F$54,MATCH(D1060,Produtos!$B$5:$B$54,0))),0))</f>
        <v/>
      </c>
      <c r="I1060" s="24" t="str">
        <f aca="false">IF(G1060="","",G1060-H1060)</f>
        <v/>
      </c>
      <c r="J1060" s="37"/>
    </row>
    <row r="1061" customFormat="false" ht="21" hidden="false" customHeight="true" outlineLevel="0" collapsed="false">
      <c r="B1061" s="36"/>
      <c r="C1061" s="7"/>
      <c r="D1061" s="7"/>
      <c r="E1061" s="37"/>
      <c r="F1061" s="38"/>
      <c r="G1061" s="24" t="str">
        <f aca="false">IF(OR(C1061="",D1061="",N(E1061)=0),"",E1061*IF(F1061="",IFERROR(N(INDEX(Produtos!$K$5:$K$54,MATCH(D1061,Produtos!$B$5:$B$54,0))),0),F1061))</f>
        <v/>
      </c>
      <c r="H1061" s="24" t="str">
        <f aca="false">IF(G1061="","",E1061*IFERROR(N(INDEX(Produtos!$F$5:$F$54,MATCH(D1061,Produtos!$B$5:$B$54,0))),0))</f>
        <v/>
      </c>
      <c r="I1061" s="24" t="str">
        <f aca="false">IF(G1061="","",G1061-H1061)</f>
        <v/>
      </c>
      <c r="J1061" s="37"/>
    </row>
    <row r="1062" customFormat="false" ht="21" hidden="false" customHeight="true" outlineLevel="0" collapsed="false">
      <c r="B1062" s="36"/>
      <c r="C1062" s="7"/>
      <c r="D1062" s="7"/>
      <c r="E1062" s="37"/>
      <c r="F1062" s="38"/>
      <c r="G1062" s="24" t="str">
        <f aca="false">IF(OR(C1062="",D1062="",N(E1062)=0),"",E1062*IF(F1062="",IFERROR(N(INDEX(Produtos!$K$5:$K$54,MATCH(D1062,Produtos!$B$5:$B$54,0))),0),F1062))</f>
        <v/>
      </c>
      <c r="H1062" s="24" t="str">
        <f aca="false">IF(G1062="","",E1062*IFERROR(N(INDEX(Produtos!$F$5:$F$54,MATCH(D1062,Produtos!$B$5:$B$54,0))),0))</f>
        <v/>
      </c>
      <c r="I1062" s="24" t="str">
        <f aca="false">IF(G1062="","",G1062-H1062)</f>
        <v/>
      </c>
      <c r="J1062" s="37"/>
    </row>
    <row r="1063" customFormat="false" ht="21" hidden="false" customHeight="true" outlineLevel="0" collapsed="false">
      <c r="B1063" s="36"/>
      <c r="C1063" s="7"/>
      <c r="D1063" s="7"/>
      <c r="E1063" s="37"/>
      <c r="F1063" s="38"/>
      <c r="G1063" s="24" t="str">
        <f aca="false">IF(OR(C1063="",D1063="",N(E1063)=0),"",E1063*IF(F1063="",IFERROR(N(INDEX(Produtos!$K$5:$K$54,MATCH(D1063,Produtos!$B$5:$B$54,0))),0),F1063))</f>
        <v/>
      </c>
      <c r="H1063" s="24" t="str">
        <f aca="false">IF(G1063="","",E1063*IFERROR(N(INDEX(Produtos!$F$5:$F$54,MATCH(D1063,Produtos!$B$5:$B$54,0))),0))</f>
        <v/>
      </c>
      <c r="I1063" s="24" t="str">
        <f aca="false">IF(G1063="","",G1063-H1063)</f>
        <v/>
      </c>
      <c r="J1063" s="37"/>
    </row>
    <row r="1064" customFormat="false" ht="21" hidden="false" customHeight="true" outlineLevel="0" collapsed="false">
      <c r="B1064" s="36"/>
      <c r="C1064" s="7"/>
      <c r="D1064" s="7"/>
      <c r="E1064" s="37"/>
      <c r="F1064" s="38"/>
      <c r="G1064" s="24" t="str">
        <f aca="false">IF(OR(C1064="",D1064="",N(E1064)=0),"",E1064*IF(F1064="",IFERROR(N(INDEX(Produtos!$K$5:$K$54,MATCH(D1064,Produtos!$B$5:$B$54,0))),0),F1064))</f>
        <v/>
      </c>
      <c r="H1064" s="24" t="str">
        <f aca="false">IF(G1064="","",E1064*IFERROR(N(INDEX(Produtos!$F$5:$F$54,MATCH(D1064,Produtos!$B$5:$B$54,0))),0))</f>
        <v/>
      </c>
      <c r="I1064" s="24" t="str">
        <f aca="false">IF(G1064="","",G1064-H1064)</f>
        <v/>
      </c>
      <c r="J1064" s="37"/>
    </row>
    <row r="1065" customFormat="false" ht="21" hidden="false" customHeight="true" outlineLevel="0" collapsed="false">
      <c r="B1065" s="36"/>
      <c r="C1065" s="7"/>
      <c r="D1065" s="7"/>
      <c r="E1065" s="37"/>
      <c r="F1065" s="38"/>
      <c r="G1065" s="24" t="str">
        <f aca="false">IF(OR(C1065="",D1065="",N(E1065)=0),"",E1065*IF(F1065="",IFERROR(N(INDEX(Produtos!$K$5:$K$54,MATCH(D1065,Produtos!$B$5:$B$54,0))),0),F1065))</f>
        <v/>
      </c>
      <c r="H1065" s="24" t="str">
        <f aca="false">IF(G1065="","",E1065*IFERROR(N(INDEX(Produtos!$F$5:$F$54,MATCH(D1065,Produtos!$B$5:$B$54,0))),0))</f>
        <v/>
      </c>
      <c r="I1065" s="24" t="str">
        <f aca="false">IF(G1065="","",G1065-H1065)</f>
        <v/>
      </c>
      <c r="J1065" s="37"/>
    </row>
    <row r="1066" customFormat="false" ht="21" hidden="false" customHeight="true" outlineLevel="0" collapsed="false">
      <c r="B1066" s="36"/>
      <c r="C1066" s="7"/>
      <c r="D1066" s="7"/>
      <c r="E1066" s="37"/>
      <c r="F1066" s="38"/>
      <c r="G1066" s="24" t="str">
        <f aca="false">IF(OR(C1066="",D1066="",N(E1066)=0),"",E1066*IF(F1066="",IFERROR(N(INDEX(Produtos!$K$5:$K$54,MATCH(D1066,Produtos!$B$5:$B$54,0))),0),F1066))</f>
        <v/>
      </c>
      <c r="H1066" s="24" t="str">
        <f aca="false">IF(G1066="","",E1066*IFERROR(N(INDEX(Produtos!$F$5:$F$54,MATCH(D1066,Produtos!$B$5:$B$54,0))),0))</f>
        <v/>
      </c>
      <c r="I1066" s="24" t="str">
        <f aca="false">IF(G1066="","",G1066-H1066)</f>
        <v/>
      </c>
      <c r="J1066" s="37"/>
    </row>
    <row r="1067" customFormat="false" ht="21" hidden="false" customHeight="true" outlineLevel="0" collapsed="false">
      <c r="B1067" s="36"/>
      <c r="C1067" s="7"/>
      <c r="D1067" s="7"/>
      <c r="E1067" s="37"/>
      <c r="F1067" s="38"/>
      <c r="G1067" s="24" t="str">
        <f aca="false">IF(OR(C1067="",D1067="",N(E1067)=0),"",E1067*IF(F1067="",IFERROR(N(INDEX(Produtos!$K$5:$K$54,MATCH(D1067,Produtos!$B$5:$B$54,0))),0),F1067))</f>
        <v/>
      </c>
      <c r="H1067" s="24" t="str">
        <f aca="false">IF(G1067="","",E1067*IFERROR(N(INDEX(Produtos!$F$5:$F$54,MATCH(D1067,Produtos!$B$5:$B$54,0))),0))</f>
        <v/>
      </c>
      <c r="I1067" s="24" t="str">
        <f aca="false">IF(G1067="","",G1067-H1067)</f>
        <v/>
      </c>
      <c r="J1067" s="37"/>
    </row>
    <row r="1068" customFormat="false" ht="21" hidden="false" customHeight="true" outlineLevel="0" collapsed="false">
      <c r="B1068" s="36"/>
      <c r="C1068" s="7"/>
      <c r="D1068" s="7"/>
      <c r="E1068" s="37"/>
      <c r="F1068" s="38"/>
      <c r="G1068" s="24" t="str">
        <f aca="false">IF(OR(C1068="",D1068="",N(E1068)=0),"",E1068*IF(F1068="",IFERROR(N(INDEX(Produtos!$K$5:$K$54,MATCH(D1068,Produtos!$B$5:$B$54,0))),0),F1068))</f>
        <v/>
      </c>
      <c r="H1068" s="24" t="str">
        <f aca="false">IF(G1068="","",E1068*IFERROR(N(INDEX(Produtos!$F$5:$F$54,MATCH(D1068,Produtos!$B$5:$B$54,0))),0))</f>
        <v/>
      </c>
      <c r="I1068" s="24" t="str">
        <f aca="false">IF(G1068="","",G1068-H1068)</f>
        <v/>
      </c>
      <c r="J1068" s="37"/>
    </row>
    <row r="1069" customFormat="false" ht="21" hidden="false" customHeight="true" outlineLevel="0" collapsed="false">
      <c r="B1069" s="36"/>
      <c r="C1069" s="7"/>
      <c r="D1069" s="7"/>
      <c r="E1069" s="37"/>
      <c r="F1069" s="38"/>
      <c r="G1069" s="24" t="str">
        <f aca="false">IF(OR(C1069="",D1069="",N(E1069)=0),"",E1069*IF(F1069="",IFERROR(N(INDEX(Produtos!$K$5:$K$54,MATCH(D1069,Produtos!$B$5:$B$54,0))),0),F1069))</f>
        <v/>
      </c>
      <c r="H1069" s="24" t="str">
        <f aca="false">IF(G1069="","",E1069*IFERROR(N(INDEX(Produtos!$F$5:$F$54,MATCH(D1069,Produtos!$B$5:$B$54,0))),0))</f>
        <v/>
      </c>
      <c r="I1069" s="24" t="str">
        <f aca="false">IF(G1069="","",G1069-H1069)</f>
        <v/>
      </c>
      <c r="J1069" s="37"/>
    </row>
    <row r="1070" customFormat="false" ht="21" hidden="false" customHeight="true" outlineLevel="0" collapsed="false">
      <c r="B1070" s="36"/>
      <c r="C1070" s="7"/>
      <c r="D1070" s="7"/>
      <c r="E1070" s="37"/>
      <c r="F1070" s="38"/>
      <c r="G1070" s="24" t="str">
        <f aca="false">IF(OR(C1070="",D1070="",N(E1070)=0),"",E1070*IF(F1070="",IFERROR(N(INDEX(Produtos!$K$5:$K$54,MATCH(D1070,Produtos!$B$5:$B$54,0))),0),F1070))</f>
        <v/>
      </c>
      <c r="H1070" s="24" t="str">
        <f aca="false">IF(G1070="","",E1070*IFERROR(N(INDEX(Produtos!$F$5:$F$54,MATCH(D1070,Produtos!$B$5:$B$54,0))),0))</f>
        <v/>
      </c>
      <c r="I1070" s="24" t="str">
        <f aca="false">IF(G1070="","",G1070-H1070)</f>
        <v/>
      </c>
      <c r="J1070" s="37"/>
    </row>
    <row r="1071" customFormat="false" ht="21" hidden="false" customHeight="true" outlineLevel="0" collapsed="false">
      <c r="B1071" s="36"/>
      <c r="C1071" s="7"/>
      <c r="D1071" s="7"/>
      <c r="E1071" s="37"/>
      <c r="F1071" s="38"/>
      <c r="G1071" s="24" t="str">
        <f aca="false">IF(OR(C1071="",D1071="",N(E1071)=0),"",E1071*IF(F1071="",IFERROR(N(INDEX(Produtos!$K$5:$K$54,MATCH(D1071,Produtos!$B$5:$B$54,0))),0),F1071))</f>
        <v/>
      </c>
      <c r="H1071" s="24" t="str">
        <f aca="false">IF(G1071="","",E1071*IFERROR(N(INDEX(Produtos!$F$5:$F$54,MATCH(D1071,Produtos!$B$5:$B$54,0))),0))</f>
        <v/>
      </c>
      <c r="I1071" s="24" t="str">
        <f aca="false">IF(G1071="","",G1071-H1071)</f>
        <v/>
      </c>
      <c r="J1071" s="37"/>
    </row>
    <row r="1072" customFormat="false" ht="21" hidden="false" customHeight="true" outlineLevel="0" collapsed="false">
      <c r="B1072" s="36"/>
      <c r="C1072" s="7"/>
      <c r="D1072" s="7"/>
      <c r="E1072" s="37"/>
      <c r="F1072" s="38"/>
      <c r="G1072" s="24" t="str">
        <f aca="false">IF(OR(C1072="",D1072="",N(E1072)=0),"",E1072*IF(F1072="",IFERROR(N(INDEX(Produtos!$K$5:$K$54,MATCH(D1072,Produtos!$B$5:$B$54,0))),0),F1072))</f>
        <v/>
      </c>
      <c r="H1072" s="24" t="str">
        <f aca="false">IF(G1072="","",E1072*IFERROR(N(INDEX(Produtos!$F$5:$F$54,MATCH(D1072,Produtos!$B$5:$B$54,0))),0))</f>
        <v/>
      </c>
      <c r="I1072" s="24" t="str">
        <f aca="false">IF(G1072="","",G1072-H1072)</f>
        <v/>
      </c>
      <c r="J1072" s="37"/>
    </row>
    <row r="1073" customFormat="false" ht="21" hidden="false" customHeight="true" outlineLevel="0" collapsed="false">
      <c r="B1073" s="36"/>
      <c r="C1073" s="7"/>
      <c r="D1073" s="7"/>
      <c r="E1073" s="37"/>
      <c r="F1073" s="38"/>
      <c r="G1073" s="24" t="str">
        <f aca="false">IF(OR(C1073="",D1073="",N(E1073)=0),"",E1073*IF(F1073="",IFERROR(N(INDEX(Produtos!$K$5:$K$54,MATCH(D1073,Produtos!$B$5:$B$54,0))),0),F1073))</f>
        <v/>
      </c>
      <c r="H1073" s="24" t="str">
        <f aca="false">IF(G1073="","",E1073*IFERROR(N(INDEX(Produtos!$F$5:$F$54,MATCH(D1073,Produtos!$B$5:$B$54,0))),0))</f>
        <v/>
      </c>
      <c r="I1073" s="24" t="str">
        <f aca="false">IF(G1073="","",G1073-H1073)</f>
        <v/>
      </c>
      <c r="J1073" s="37"/>
    </row>
    <row r="1074" customFormat="false" ht="21" hidden="false" customHeight="true" outlineLevel="0" collapsed="false">
      <c r="B1074" s="36"/>
      <c r="C1074" s="7"/>
      <c r="D1074" s="7"/>
      <c r="E1074" s="37"/>
      <c r="F1074" s="38"/>
      <c r="G1074" s="24" t="str">
        <f aca="false">IF(OR(C1074="",D1074="",N(E1074)=0),"",E1074*IF(F1074="",IFERROR(N(INDEX(Produtos!$K$5:$K$54,MATCH(D1074,Produtos!$B$5:$B$54,0))),0),F1074))</f>
        <v/>
      </c>
      <c r="H1074" s="24" t="str">
        <f aca="false">IF(G1074="","",E1074*IFERROR(N(INDEX(Produtos!$F$5:$F$54,MATCH(D1074,Produtos!$B$5:$B$54,0))),0))</f>
        <v/>
      </c>
      <c r="I1074" s="24" t="str">
        <f aca="false">IF(G1074="","",G1074-H1074)</f>
        <v/>
      </c>
      <c r="J1074" s="37"/>
    </row>
    <row r="1075" customFormat="false" ht="21" hidden="false" customHeight="true" outlineLevel="0" collapsed="false">
      <c r="B1075" s="36"/>
      <c r="C1075" s="7"/>
      <c r="D1075" s="7"/>
      <c r="E1075" s="37"/>
      <c r="F1075" s="38"/>
      <c r="G1075" s="24" t="str">
        <f aca="false">IF(OR(C1075="",D1075="",N(E1075)=0),"",E1075*IF(F1075="",IFERROR(N(INDEX(Produtos!$K$5:$K$54,MATCH(D1075,Produtos!$B$5:$B$54,0))),0),F1075))</f>
        <v/>
      </c>
      <c r="H1075" s="24" t="str">
        <f aca="false">IF(G1075="","",E1075*IFERROR(N(INDEX(Produtos!$F$5:$F$54,MATCH(D1075,Produtos!$B$5:$B$54,0))),0))</f>
        <v/>
      </c>
      <c r="I1075" s="24" t="str">
        <f aca="false">IF(G1075="","",G1075-H1075)</f>
        <v/>
      </c>
      <c r="J1075" s="37"/>
    </row>
    <row r="1076" customFormat="false" ht="21" hidden="false" customHeight="true" outlineLevel="0" collapsed="false">
      <c r="B1076" s="36"/>
      <c r="C1076" s="7"/>
      <c r="D1076" s="7"/>
      <c r="E1076" s="37"/>
      <c r="F1076" s="38"/>
      <c r="G1076" s="24" t="str">
        <f aca="false">IF(OR(C1076="",D1076="",N(E1076)=0),"",E1076*IF(F1076="",IFERROR(N(INDEX(Produtos!$K$5:$K$54,MATCH(D1076,Produtos!$B$5:$B$54,0))),0),F1076))</f>
        <v/>
      </c>
      <c r="H1076" s="24" t="str">
        <f aca="false">IF(G1076="","",E1076*IFERROR(N(INDEX(Produtos!$F$5:$F$54,MATCH(D1076,Produtos!$B$5:$B$54,0))),0))</f>
        <v/>
      </c>
      <c r="I1076" s="24" t="str">
        <f aca="false">IF(G1076="","",G1076-H1076)</f>
        <v/>
      </c>
      <c r="J1076" s="37"/>
    </row>
    <row r="1077" customFormat="false" ht="21" hidden="false" customHeight="true" outlineLevel="0" collapsed="false">
      <c r="B1077" s="36"/>
      <c r="C1077" s="7"/>
      <c r="D1077" s="7"/>
      <c r="E1077" s="37"/>
      <c r="F1077" s="38"/>
      <c r="G1077" s="24" t="str">
        <f aca="false">IF(OR(C1077="",D1077="",N(E1077)=0),"",E1077*IF(F1077="",IFERROR(N(INDEX(Produtos!$K$5:$K$54,MATCH(D1077,Produtos!$B$5:$B$54,0))),0),F1077))</f>
        <v/>
      </c>
      <c r="H1077" s="24" t="str">
        <f aca="false">IF(G1077="","",E1077*IFERROR(N(INDEX(Produtos!$F$5:$F$54,MATCH(D1077,Produtos!$B$5:$B$54,0))),0))</f>
        <v/>
      </c>
      <c r="I1077" s="24" t="str">
        <f aca="false">IF(G1077="","",G1077-H1077)</f>
        <v/>
      </c>
      <c r="J1077" s="37"/>
    </row>
    <row r="1078" customFormat="false" ht="21" hidden="false" customHeight="true" outlineLevel="0" collapsed="false">
      <c r="B1078" s="36"/>
      <c r="C1078" s="7"/>
      <c r="D1078" s="7"/>
      <c r="E1078" s="37"/>
      <c r="F1078" s="38"/>
      <c r="G1078" s="24" t="str">
        <f aca="false">IF(OR(C1078="",D1078="",N(E1078)=0),"",E1078*IF(F1078="",IFERROR(N(INDEX(Produtos!$K$5:$K$54,MATCH(D1078,Produtos!$B$5:$B$54,0))),0),F1078))</f>
        <v/>
      </c>
      <c r="H1078" s="24" t="str">
        <f aca="false">IF(G1078="","",E1078*IFERROR(N(INDEX(Produtos!$F$5:$F$54,MATCH(D1078,Produtos!$B$5:$B$54,0))),0))</f>
        <v/>
      </c>
      <c r="I1078" s="24" t="str">
        <f aca="false">IF(G1078="","",G1078-H1078)</f>
        <v/>
      </c>
      <c r="J1078" s="37"/>
    </row>
    <row r="1079" customFormat="false" ht="21" hidden="false" customHeight="true" outlineLevel="0" collapsed="false">
      <c r="B1079" s="36"/>
      <c r="C1079" s="7"/>
      <c r="D1079" s="7"/>
      <c r="E1079" s="37"/>
      <c r="F1079" s="38"/>
      <c r="G1079" s="24" t="str">
        <f aca="false">IF(OR(C1079="",D1079="",N(E1079)=0),"",E1079*IF(F1079="",IFERROR(N(INDEX(Produtos!$K$5:$K$54,MATCH(D1079,Produtos!$B$5:$B$54,0))),0),F1079))</f>
        <v/>
      </c>
      <c r="H1079" s="24" t="str">
        <f aca="false">IF(G1079="","",E1079*IFERROR(N(INDEX(Produtos!$F$5:$F$54,MATCH(D1079,Produtos!$B$5:$B$54,0))),0))</f>
        <v/>
      </c>
      <c r="I1079" s="24" t="str">
        <f aca="false">IF(G1079="","",G1079-H1079)</f>
        <v/>
      </c>
      <c r="J1079" s="37"/>
    </row>
    <row r="1080" customFormat="false" ht="21" hidden="false" customHeight="true" outlineLevel="0" collapsed="false">
      <c r="B1080" s="36"/>
      <c r="C1080" s="7"/>
      <c r="D1080" s="7"/>
      <c r="E1080" s="37"/>
      <c r="F1080" s="38"/>
      <c r="G1080" s="24" t="str">
        <f aca="false">IF(OR(C1080="",D1080="",N(E1080)=0),"",E1080*IF(F1080="",IFERROR(N(INDEX(Produtos!$K$5:$K$54,MATCH(D1080,Produtos!$B$5:$B$54,0))),0),F1080))</f>
        <v/>
      </c>
      <c r="H1080" s="24" t="str">
        <f aca="false">IF(G1080="","",E1080*IFERROR(N(INDEX(Produtos!$F$5:$F$54,MATCH(D1080,Produtos!$B$5:$B$54,0))),0))</f>
        <v/>
      </c>
      <c r="I1080" s="24" t="str">
        <f aca="false">IF(G1080="","",G1080-H1080)</f>
        <v/>
      </c>
      <c r="J1080" s="37"/>
    </row>
    <row r="1081" customFormat="false" ht="21" hidden="false" customHeight="true" outlineLevel="0" collapsed="false">
      <c r="B1081" s="36"/>
      <c r="C1081" s="7"/>
      <c r="D1081" s="7"/>
      <c r="E1081" s="37"/>
      <c r="F1081" s="38"/>
      <c r="G1081" s="24" t="str">
        <f aca="false">IF(OR(C1081="",D1081="",N(E1081)=0),"",E1081*IF(F1081="",IFERROR(N(INDEX(Produtos!$K$5:$K$54,MATCH(D1081,Produtos!$B$5:$B$54,0))),0),F1081))</f>
        <v/>
      </c>
      <c r="H1081" s="24" t="str">
        <f aca="false">IF(G1081="","",E1081*IFERROR(N(INDEX(Produtos!$F$5:$F$54,MATCH(D1081,Produtos!$B$5:$B$54,0))),0))</f>
        <v/>
      </c>
      <c r="I1081" s="24" t="str">
        <f aca="false">IF(G1081="","",G1081-H1081)</f>
        <v/>
      </c>
      <c r="J1081" s="37"/>
    </row>
    <row r="1082" customFormat="false" ht="21" hidden="false" customHeight="true" outlineLevel="0" collapsed="false">
      <c r="B1082" s="36"/>
      <c r="C1082" s="7"/>
      <c r="D1082" s="7"/>
      <c r="E1082" s="37"/>
      <c r="F1082" s="38"/>
      <c r="G1082" s="24" t="str">
        <f aca="false">IF(OR(C1082="",D1082="",N(E1082)=0),"",E1082*IF(F1082="",IFERROR(N(INDEX(Produtos!$K$5:$K$54,MATCH(D1082,Produtos!$B$5:$B$54,0))),0),F1082))</f>
        <v/>
      </c>
      <c r="H1082" s="24" t="str">
        <f aca="false">IF(G1082="","",E1082*IFERROR(N(INDEX(Produtos!$F$5:$F$54,MATCH(D1082,Produtos!$B$5:$B$54,0))),0))</f>
        <v/>
      </c>
      <c r="I1082" s="24" t="str">
        <f aca="false">IF(G1082="","",G1082-H1082)</f>
        <v/>
      </c>
      <c r="J1082" s="37"/>
    </row>
    <row r="1083" customFormat="false" ht="21" hidden="false" customHeight="true" outlineLevel="0" collapsed="false">
      <c r="B1083" s="36"/>
      <c r="C1083" s="7"/>
      <c r="D1083" s="7"/>
      <c r="E1083" s="37"/>
      <c r="F1083" s="38"/>
      <c r="G1083" s="24" t="str">
        <f aca="false">IF(OR(C1083="",D1083="",N(E1083)=0),"",E1083*IF(F1083="",IFERROR(N(INDEX(Produtos!$K$5:$K$54,MATCH(D1083,Produtos!$B$5:$B$54,0))),0),F1083))</f>
        <v/>
      </c>
      <c r="H1083" s="24" t="str">
        <f aca="false">IF(G1083="","",E1083*IFERROR(N(INDEX(Produtos!$F$5:$F$54,MATCH(D1083,Produtos!$B$5:$B$54,0))),0))</f>
        <v/>
      </c>
      <c r="I1083" s="24" t="str">
        <f aca="false">IF(G1083="","",G1083-H1083)</f>
        <v/>
      </c>
      <c r="J1083" s="37"/>
    </row>
    <row r="1084" customFormat="false" ht="21" hidden="false" customHeight="true" outlineLevel="0" collapsed="false">
      <c r="B1084" s="36"/>
      <c r="C1084" s="7"/>
      <c r="D1084" s="7"/>
      <c r="E1084" s="37"/>
      <c r="F1084" s="38"/>
      <c r="G1084" s="24" t="str">
        <f aca="false">IF(OR(C1084="",D1084="",N(E1084)=0),"",E1084*IF(F1084="",IFERROR(N(INDEX(Produtos!$K$5:$K$54,MATCH(D1084,Produtos!$B$5:$B$54,0))),0),F1084))</f>
        <v/>
      </c>
      <c r="H1084" s="24" t="str">
        <f aca="false">IF(G1084="","",E1084*IFERROR(N(INDEX(Produtos!$F$5:$F$54,MATCH(D1084,Produtos!$B$5:$B$54,0))),0))</f>
        <v/>
      </c>
      <c r="I1084" s="24" t="str">
        <f aca="false">IF(G1084="","",G1084-H1084)</f>
        <v/>
      </c>
      <c r="J1084" s="37"/>
    </row>
    <row r="1085" customFormat="false" ht="21" hidden="false" customHeight="true" outlineLevel="0" collapsed="false">
      <c r="B1085" s="36"/>
      <c r="C1085" s="7"/>
      <c r="D1085" s="7"/>
      <c r="E1085" s="37"/>
      <c r="F1085" s="38"/>
      <c r="G1085" s="24" t="str">
        <f aca="false">IF(OR(C1085="",D1085="",N(E1085)=0),"",E1085*IF(F1085="",IFERROR(N(INDEX(Produtos!$K$5:$K$54,MATCH(D1085,Produtos!$B$5:$B$54,0))),0),F1085))</f>
        <v/>
      </c>
      <c r="H1085" s="24" t="str">
        <f aca="false">IF(G1085="","",E1085*IFERROR(N(INDEX(Produtos!$F$5:$F$54,MATCH(D1085,Produtos!$B$5:$B$54,0))),0))</f>
        <v/>
      </c>
      <c r="I1085" s="24" t="str">
        <f aca="false">IF(G1085="","",G1085-H1085)</f>
        <v/>
      </c>
      <c r="J1085" s="37"/>
    </row>
    <row r="1086" customFormat="false" ht="21" hidden="false" customHeight="true" outlineLevel="0" collapsed="false">
      <c r="B1086" s="36"/>
      <c r="C1086" s="7"/>
      <c r="D1086" s="7"/>
      <c r="E1086" s="37"/>
      <c r="F1086" s="38"/>
      <c r="G1086" s="24" t="str">
        <f aca="false">IF(OR(C1086="",D1086="",N(E1086)=0),"",E1086*IF(F1086="",IFERROR(N(INDEX(Produtos!$K$5:$K$54,MATCH(D1086,Produtos!$B$5:$B$54,0))),0),F1086))</f>
        <v/>
      </c>
      <c r="H1086" s="24" t="str">
        <f aca="false">IF(G1086="","",E1086*IFERROR(N(INDEX(Produtos!$F$5:$F$54,MATCH(D1086,Produtos!$B$5:$B$54,0))),0))</f>
        <v/>
      </c>
      <c r="I1086" s="24" t="str">
        <f aca="false">IF(G1086="","",G1086-H1086)</f>
        <v/>
      </c>
      <c r="J1086" s="37"/>
    </row>
    <row r="1087" customFormat="false" ht="21" hidden="false" customHeight="true" outlineLevel="0" collapsed="false">
      <c r="B1087" s="36"/>
      <c r="C1087" s="7"/>
      <c r="D1087" s="7"/>
      <c r="E1087" s="37"/>
      <c r="F1087" s="38"/>
      <c r="G1087" s="24" t="str">
        <f aca="false">IF(OR(C1087="",D1087="",N(E1087)=0),"",E1087*IF(F1087="",IFERROR(N(INDEX(Produtos!$K$5:$K$54,MATCH(D1087,Produtos!$B$5:$B$54,0))),0),F1087))</f>
        <v/>
      </c>
      <c r="H1087" s="24" t="str">
        <f aca="false">IF(G1087="","",E1087*IFERROR(N(INDEX(Produtos!$F$5:$F$54,MATCH(D1087,Produtos!$B$5:$B$54,0))),0))</f>
        <v/>
      </c>
      <c r="I1087" s="24" t="str">
        <f aca="false">IF(G1087="","",G1087-H1087)</f>
        <v/>
      </c>
      <c r="J1087" s="37"/>
    </row>
    <row r="1088" customFormat="false" ht="21" hidden="false" customHeight="true" outlineLevel="0" collapsed="false">
      <c r="B1088" s="36"/>
      <c r="C1088" s="7"/>
      <c r="D1088" s="7"/>
      <c r="E1088" s="37"/>
      <c r="F1088" s="38"/>
      <c r="G1088" s="24" t="str">
        <f aca="false">IF(OR(C1088="",D1088="",N(E1088)=0),"",E1088*IF(F1088="",IFERROR(N(INDEX(Produtos!$K$5:$K$54,MATCH(D1088,Produtos!$B$5:$B$54,0))),0),F1088))</f>
        <v/>
      </c>
      <c r="H1088" s="24" t="str">
        <f aca="false">IF(G1088="","",E1088*IFERROR(N(INDEX(Produtos!$F$5:$F$54,MATCH(D1088,Produtos!$B$5:$B$54,0))),0))</f>
        <v/>
      </c>
      <c r="I1088" s="24" t="str">
        <f aca="false">IF(G1088="","",G1088-H1088)</f>
        <v/>
      </c>
      <c r="J1088" s="37"/>
    </row>
    <row r="1089" customFormat="false" ht="21" hidden="false" customHeight="true" outlineLevel="0" collapsed="false">
      <c r="B1089" s="36"/>
      <c r="C1089" s="7"/>
      <c r="D1089" s="7"/>
      <c r="E1089" s="37"/>
      <c r="F1089" s="38"/>
      <c r="G1089" s="24" t="str">
        <f aca="false">IF(OR(C1089="",D1089="",N(E1089)=0),"",E1089*IF(F1089="",IFERROR(N(INDEX(Produtos!$K$5:$K$54,MATCH(D1089,Produtos!$B$5:$B$54,0))),0),F1089))</f>
        <v/>
      </c>
      <c r="H1089" s="24" t="str">
        <f aca="false">IF(G1089="","",E1089*IFERROR(N(INDEX(Produtos!$F$5:$F$54,MATCH(D1089,Produtos!$B$5:$B$54,0))),0))</f>
        <v/>
      </c>
      <c r="I1089" s="24" t="str">
        <f aca="false">IF(G1089="","",G1089-H1089)</f>
        <v/>
      </c>
      <c r="J1089" s="37"/>
    </row>
    <row r="1090" customFormat="false" ht="21" hidden="false" customHeight="true" outlineLevel="0" collapsed="false">
      <c r="B1090" s="36"/>
      <c r="C1090" s="7"/>
      <c r="D1090" s="7"/>
      <c r="E1090" s="37"/>
      <c r="F1090" s="38"/>
      <c r="G1090" s="24" t="str">
        <f aca="false">IF(OR(C1090="",D1090="",N(E1090)=0),"",E1090*IF(F1090="",IFERROR(N(INDEX(Produtos!$K$5:$K$54,MATCH(D1090,Produtos!$B$5:$B$54,0))),0),F1090))</f>
        <v/>
      </c>
      <c r="H1090" s="24" t="str">
        <f aca="false">IF(G1090="","",E1090*IFERROR(N(INDEX(Produtos!$F$5:$F$54,MATCH(D1090,Produtos!$B$5:$B$54,0))),0))</f>
        <v/>
      </c>
      <c r="I1090" s="24" t="str">
        <f aca="false">IF(G1090="","",G1090-H1090)</f>
        <v/>
      </c>
      <c r="J1090" s="37"/>
    </row>
    <row r="1091" customFormat="false" ht="21" hidden="false" customHeight="true" outlineLevel="0" collapsed="false">
      <c r="B1091" s="36"/>
      <c r="C1091" s="7"/>
      <c r="D1091" s="7"/>
      <c r="E1091" s="37"/>
      <c r="F1091" s="38"/>
      <c r="G1091" s="24" t="str">
        <f aca="false">IF(OR(C1091="",D1091="",N(E1091)=0),"",E1091*IF(F1091="",IFERROR(N(INDEX(Produtos!$K$5:$K$54,MATCH(D1091,Produtos!$B$5:$B$54,0))),0),F1091))</f>
        <v/>
      </c>
      <c r="H1091" s="24" t="str">
        <f aca="false">IF(G1091="","",E1091*IFERROR(N(INDEX(Produtos!$F$5:$F$54,MATCH(D1091,Produtos!$B$5:$B$54,0))),0))</f>
        <v/>
      </c>
      <c r="I1091" s="24" t="str">
        <f aca="false">IF(G1091="","",G1091-H1091)</f>
        <v/>
      </c>
      <c r="J1091" s="37"/>
    </row>
    <row r="1092" customFormat="false" ht="21" hidden="false" customHeight="true" outlineLevel="0" collapsed="false">
      <c r="B1092" s="36"/>
      <c r="C1092" s="7"/>
      <c r="D1092" s="7"/>
      <c r="E1092" s="37"/>
      <c r="F1092" s="38"/>
      <c r="G1092" s="24" t="str">
        <f aca="false">IF(OR(C1092="",D1092="",N(E1092)=0),"",E1092*IF(F1092="",IFERROR(N(INDEX(Produtos!$K$5:$K$54,MATCH(D1092,Produtos!$B$5:$B$54,0))),0),F1092))</f>
        <v/>
      </c>
      <c r="H1092" s="24" t="str">
        <f aca="false">IF(G1092="","",E1092*IFERROR(N(INDEX(Produtos!$F$5:$F$54,MATCH(D1092,Produtos!$B$5:$B$54,0))),0))</f>
        <v/>
      </c>
      <c r="I1092" s="24" t="str">
        <f aca="false">IF(G1092="","",G1092-H1092)</f>
        <v/>
      </c>
      <c r="J1092" s="37"/>
    </row>
    <row r="1093" customFormat="false" ht="21" hidden="false" customHeight="true" outlineLevel="0" collapsed="false">
      <c r="B1093" s="36"/>
      <c r="C1093" s="7"/>
      <c r="D1093" s="7"/>
      <c r="E1093" s="37"/>
      <c r="F1093" s="38"/>
      <c r="G1093" s="24" t="str">
        <f aca="false">IF(OR(C1093="",D1093="",N(E1093)=0),"",E1093*IF(F1093="",IFERROR(N(INDEX(Produtos!$K$5:$K$54,MATCH(D1093,Produtos!$B$5:$B$54,0))),0),F1093))</f>
        <v/>
      </c>
      <c r="H1093" s="24" t="str">
        <f aca="false">IF(G1093="","",E1093*IFERROR(N(INDEX(Produtos!$F$5:$F$54,MATCH(D1093,Produtos!$B$5:$B$54,0))),0))</f>
        <v/>
      </c>
      <c r="I1093" s="24" t="str">
        <f aca="false">IF(G1093="","",G1093-H1093)</f>
        <v/>
      </c>
      <c r="J1093" s="37"/>
    </row>
    <row r="1094" customFormat="false" ht="21" hidden="false" customHeight="true" outlineLevel="0" collapsed="false">
      <c r="B1094" s="36"/>
      <c r="C1094" s="7"/>
      <c r="D1094" s="7"/>
      <c r="E1094" s="37"/>
      <c r="F1094" s="38"/>
      <c r="G1094" s="24" t="str">
        <f aca="false">IF(OR(C1094="",D1094="",N(E1094)=0),"",E1094*IF(F1094="",IFERROR(N(INDEX(Produtos!$K$5:$K$54,MATCH(D1094,Produtos!$B$5:$B$54,0))),0),F1094))</f>
        <v/>
      </c>
      <c r="H1094" s="24" t="str">
        <f aca="false">IF(G1094="","",E1094*IFERROR(N(INDEX(Produtos!$F$5:$F$54,MATCH(D1094,Produtos!$B$5:$B$54,0))),0))</f>
        <v/>
      </c>
      <c r="I1094" s="24" t="str">
        <f aca="false">IF(G1094="","",G1094-H1094)</f>
        <v/>
      </c>
      <c r="J1094" s="37"/>
    </row>
    <row r="1095" customFormat="false" ht="21" hidden="false" customHeight="true" outlineLevel="0" collapsed="false">
      <c r="B1095" s="36"/>
      <c r="C1095" s="7"/>
      <c r="D1095" s="7"/>
      <c r="E1095" s="37"/>
      <c r="F1095" s="38"/>
      <c r="G1095" s="24" t="str">
        <f aca="false">IF(OR(C1095="",D1095="",N(E1095)=0),"",E1095*IF(F1095="",IFERROR(N(INDEX(Produtos!$K$5:$K$54,MATCH(D1095,Produtos!$B$5:$B$54,0))),0),F1095))</f>
        <v/>
      </c>
      <c r="H1095" s="24" t="str">
        <f aca="false">IF(G1095="","",E1095*IFERROR(N(INDEX(Produtos!$F$5:$F$54,MATCH(D1095,Produtos!$B$5:$B$54,0))),0))</f>
        <v/>
      </c>
      <c r="I1095" s="24" t="str">
        <f aca="false">IF(G1095="","",G1095-H1095)</f>
        <v/>
      </c>
      <c r="J1095" s="37"/>
    </row>
    <row r="1096" customFormat="false" ht="21" hidden="false" customHeight="true" outlineLevel="0" collapsed="false">
      <c r="B1096" s="36"/>
      <c r="C1096" s="7"/>
      <c r="D1096" s="7"/>
      <c r="E1096" s="37"/>
      <c r="F1096" s="38"/>
      <c r="G1096" s="24" t="str">
        <f aca="false">IF(OR(C1096="",D1096="",N(E1096)=0),"",E1096*IF(F1096="",IFERROR(N(INDEX(Produtos!$K$5:$K$54,MATCH(D1096,Produtos!$B$5:$B$54,0))),0),F1096))</f>
        <v/>
      </c>
      <c r="H1096" s="24" t="str">
        <f aca="false">IF(G1096="","",E1096*IFERROR(N(INDEX(Produtos!$F$5:$F$54,MATCH(D1096,Produtos!$B$5:$B$54,0))),0))</f>
        <v/>
      </c>
      <c r="I1096" s="24" t="str">
        <f aca="false">IF(G1096="","",G1096-H1096)</f>
        <v/>
      </c>
      <c r="J1096" s="37"/>
    </row>
    <row r="1097" customFormat="false" ht="21" hidden="false" customHeight="true" outlineLevel="0" collapsed="false">
      <c r="B1097" s="36"/>
      <c r="C1097" s="7"/>
      <c r="D1097" s="7"/>
      <c r="E1097" s="37"/>
      <c r="F1097" s="38"/>
      <c r="G1097" s="24" t="str">
        <f aca="false">IF(OR(C1097="",D1097="",N(E1097)=0),"",E1097*IF(F1097="",IFERROR(N(INDEX(Produtos!$K$5:$K$54,MATCH(D1097,Produtos!$B$5:$B$54,0))),0),F1097))</f>
        <v/>
      </c>
      <c r="H1097" s="24" t="str">
        <f aca="false">IF(G1097="","",E1097*IFERROR(N(INDEX(Produtos!$F$5:$F$54,MATCH(D1097,Produtos!$B$5:$B$54,0))),0))</f>
        <v/>
      </c>
      <c r="I1097" s="24" t="str">
        <f aca="false">IF(G1097="","",G1097-H1097)</f>
        <v/>
      </c>
      <c r="J1097" s="37"/>
    </row>
    <row r="1098" customFormat="false" ht="21" hidden="false" customHeight="true" outlineLevel="0" collapsed="false">
      <c r="B1098" s="36"/>
      <c r="C1098" s="7"/>
      <c r="D1098" s="7"/>
      <c r="E1098" s="37"/>
      <c r="F1098" s="38"/>
      <c r="G1098" s="24" t="str">
        <f aca="false">IF(OR(C1098="",D1098="",N(E1098)=0),"",E1098*IF(F1098="",IFERROR(N(INDEX(Produtos!$K$5:$K$54,MATCH(D1098,Produtos!$B$5:$B$54,0))),0),F1098))</f>
        <v/>
      </c>
      <c r="H1098" s="24" t="str">
        <f aca="false">IF(G1098="","",E1098*IFERROR(N(INDEX(Produtos!$F$5:$F$54,MATCH(D1098,Produtos!$B$5:$B$54,0))),0))</f>
        <v/>
      </c>
      <c r="I1098" s="24" t="str">
        <f aca="false">IF(G1098="","",G1098-H1098)</f>
        <v/>
      </c>
      <c r="J1098" s="37"/>
    </row>
    <row r="1099" customFormat="false" ht="21" hidden="false" customHeight="true" outlineLevel="0" collapsed="false">
      <c r="B1099" s="36"/>
      <c r="C1099" s="7"/>
      <c r="D1099" s="7"/>
      <c r="E1099" s="37"/>
      <c r="F1099" s="38"/>
      <c r="G1099" s="24" t="str">
        <f aca="false">IF(OR(C1099="",D1099="",N(E1099)=0),"",E1099*IF(F1099="",IFERROR(N(INDEX(Produtos!$K$5:$K$54,MATCH(D1099,Produtos!$B$5:$B$54,0))),0),F1099))</f>
        <v/>
      </c>
      <c r="H1099" s="24" t="str">
        <f aca="false">IF(G1099="","",E1099*IFERROR(N(INDEX(Produtos!$F$5:$F$54,MATCH(D1099,Produtos!$B$5:$B$54,0))),0))</f>
        <v/>
      </c>
      <c r="I1099" s="24" t="str">
        <f aca="false">IF(G1099="","",G1099-H1099)</f>
        <v/>
      </c>
      <c r="J1099" s="37"/>
    </row>
    <row r="1100" customFormat="false" ht="21" hidden="false" customHeight="true" outlineLevel="0" collapsed="false">
      <c r="B1100" s="36"/>
      <c r="C1100" s="7"/>
      <c r="D1100" s="7"/>
      <c r="E1100" s="37"/>
      <c r="F1100" s="38"/>
      <c r="G1100" s="24" t="str">
        <f aca="false">IF(OR(C1100="",D1100="",N(E1100)=0),"",E1100*IF(F1100="",IFERROR(N(INDEX(Produtos!$K$5:$K$54,MATCH(D1100,Produtos!$B$5:$B$54,0))),0),F1100))</f>
        <v/>
      </c>
      <c r="H1100" s="24" t="str">
        <f aca="false">IF(G1100="","",E1100*IFERROR(N(INDEX(Produtos!$F$5:$F$54,MATCH(D1100,Produtos!$B$5:$B$54,0))),0))</f>
        <v/>
      </c>
      <c r="I1100" s="24" t="str">
        <f aca="false">IF(G1100="","",G1100-H1100)</f>
        <v/>
      </c>
      <c r="J1100" s="37"/>
    </row>
    <row r="1101" customFormat="false" ht="21" hidden="false" customHeight="true" outlineLevel="0" collapsed="false">
      <c r="B1101" s="36"/>
      <c r="C1101" s="7"/>
      <c r="D1101" s="7"/>
      <c r="E1101" s="37"/>
      <c r="F1101" s="38"/>
      <c r="G1101" s="24" t="str">
        <f aca="false">IF(OR(C1101="",D1101="",N(E1101)=0),"",E1101*IF(F1101="",IFERROR(N(INDEX(Produtos!$K$5:$K$54,MATCH(D1101,Produtos!$B$5:$B$54,0))),0),F1101))</f>
        <v/>
      </c>
      <c r="H1101" s="24" t="str">
        <f aca="false">IF(G1101="","",E1101*IFERROR(N(INDEX(Produtos!$F$5:$F$54,MATCH(D1101,Produtos!$B$5:$B$54,0))),0))</f>
        <v/>
      </c>
      <c r="I1101" s="24" t="str">
        <f aca="false">IF(G1101="","",G1101-H1101)</f>
        <v/>
      </c>
      <c r="J1101" s="37"/>
    </row>
    <row r="1102" customFormat="false" ht="21" hidden="false" customHeight="true" outlineLevel="0" collapsed="false">
      <c r="B1102" s="36"/>
      <c r="C1102" s="7"/>
      <c r="D1102" s="7"/>
      <c r="E1102" s="37"/>
      <c r="F1102" s="38"/>
      <c r="G1102" s="24" t="str">
        <f aca="false">IF(OR(C1102="",D1102="",N(E1102)=0),"",E1102*IF(F1102="",IFERROR(N(INDEX(Produtos!$K$5:$K$54,MATCH(D1102,Produtos!$B$5:$B$54,0))),0),F1102))</f>
        <v/>
      </c>
      <c r="H1102" s="24" t="str">
        <f aca="false">IF(G1102="","",E1102*IFERROR(N(INDEX(Produtos!$F$5:$F$54,MATCH(D1102,Produtos!$B$5:$B$54,0))),0))</f>
        <v/>
      </c>
      <c r="I1102" s="24" t="str">
        <f aca="false">IF(G1102="","",G1102-H1102)</f>
        <v/>
      </c>
      <c r="J1102" s="37"/>
    </row>
    <row r="1103" customFormat="false" ht="21" hidden="false" customHeight="true" outlineLevel="0" collapsed="false">
      <c r="B1103" s="36"/>
      <c r="C1103" s="7"/>
      <c r="D1103" s="7"/>
      <c r="E1103" s="37"/>
      <c r="F1103" s="38"/>
      <c r="G1103" s="24" t="str">
        <f aca="false">IF(OR(C1103="",D1103="",N(E1103)=0),"",E1103*IF(F1103="",IFERROR(N(INDEX(Produtos!$K$5:$K$54,MATCH(D1103,Produtos!$B$5:$B$54,0))),0),F1103))</f>
        <v/>
      </c>
      <c r="H1103" s="24" t="str">
        <f aca="false">IF(G1103="","",E1103*IFERROR(N(INDEX(Produtos!$F$5:$F$54,MATCH(D1103,Produtos!$B$5:$B$54,0))),0))</f>
        <v/>
      </c>
      <c r="I1103" s="24" t="str">
        <f aca="false">IF(G1103="","",G1103-H1103)</f>
        <v/>
      </c>
      <c r="J1103" s="37"/>
    </row>
    <row r="1104" customFormat="false" ht="21" hidden="false" customHeight="true" outlineLevel="0" collapsed="false">
      <c r="B1104" s="36"/>
      <c r="C1104" s="7"/>
      <c r="D1104" s="7"/>
      <c r="E1104" s="37"/>
      <c r="F1104" s="38"/>
      <c r="G1104" s="24" t="str">
        <f aca="false">IF(OR(C1104="",D1104="",N(E1104)=0),"",E1104*IF(F1104="",IFERROR(N(INDEX(Produtos!$K$5:$K$54,MATCH(D1104,Produtos!$B$5:$B$54,0))),0),F1104))</f>
        <v/>
      </c>
      <c r="H1104" s="24" t="str">
        <f aca="false">IF(G1104="","",E1104*IFERROR(N(INDEX(Produtos!$F$5:$F$54,MATCH(D1104,Produtos!$B$5:$B$54,0))),0))</f>
        <v/>
      </c>
      <c r="I1104" s="24" t="str">
        <f aca="false">IF(G1104="","",G1104-H1104)</f>
        <v/>
      </c>
      <c r="J1104" s="37"/>
    </row>
    <row r="1105" customFormat="false" ht="21" hidden="false" customHeight="true" outlineLevel="0" collapsed="false">
      <c r="B1105" s="36"/>
      <c r="C1105" s="7"/>
      <c r="D1105" s="7"/>
      <c r="E1105" s="37"/>
      <c r="F1105" s="38"/>
      <c r="G1105" s="24" t="str">
        <f aca="false">IF(OR(C1105="",D1105="",N(E1105)=0),"",E1105*IF(F1105="",IFERROR(N(INDEX(Produtos!$K$5:$K$54,MATCH(D1105,Produtos!$B$5:$B$54,0))),0),F1105))</f>
        <v/>
      </c>
      <c r="H1105" s="24" t="str">
        <f aca="false">IF(G1105="","",E1105*IFERROR(N(INDEX(Produtos!$F$5:$F$54,MATCH(D1105,Produtos!$B$5:$B$54,0))),0))</f>
        <v/>
      </c>
      <c r="I1105" s="24" t="str">
        <f aca="false">IF(G1105="","",G1105-H1105)</f>
        <v/>
      </c>
      <c r="J1105" s="37"/>
    </row>
    <row r="1106" customFormat="false" ht="21" hidden="false" customHeight="true" outlineLevel="0" collapsed="false">
      <c r="B1106" s="36"/>
      <c r="C1106" s="7"/>
      <c r="D1106" s="7"/>
      <c r="E1106" s="37"/>
      <c r="F1106" s="38"/>
      <c r="G1106" s="24" t="str">
        <f aca="false">IF(OR(C1106="",D1106="",N(E1106)=0),"",E1106*IF(F1106="",IFERROR(N(INDEX(Produtos!$K$5:$K$54,MATCH(D1106,Produtos!$B$5:$B$54,0))),0),F1106))</f>
        <v/>
      </c>
      <c r="H1106" s="24" t="str">
        <f aca="false">IF(G1106="","",E1106*IFERROR(N(INDEX(Produtos!$F$5:$F$54,MATCH(D1106,Produtos!$B$5:$B$54,0))),0))</f>
        <v/>
      </c>
      <c r="I1106" s="24" t="str">
        <f aca="false">IF(G1106="","",G1106-H1106)</f>
        <v/>
      </c>
      <c r="J1106" s="37"/>
    </row>
    <row r="1107" customFormat="false" ht="21" hidden="false" customHeight="true" outlineLevel="0" collapsed="false">
      <c r="B1107" s="36"/>
      <c r="C1107" s="7"/>
      <c r="D1107" s="7"/>
      <c r="E1107" s="37"/>
      <c r="F1107" s="38"/>
      <c r="G1107" s="24" t="str">
        <f aca="false">IF(OR(C1107="",D1107="",N(E1107)=0),"",E1107*IF(F1107="",IFERROR(N(INDEX(Produtos!$K$5:$K$54,MATCH(D1107,Produtos!$B$5:$B$54,0))),0),F1107))</f>
        <v/>
      </c>
      <c r="H1107" s="24" t="str">
        <f aca="false">IF(G1107="","",E1107*IFERROR(N(INDEX(Produtos!$F$5:$F$54,MATCH(D1107,Produtos!$B$5:$B$54,0))),0))</f>
        <v/>
      </c>
      <c r="I1107" s="24" t="str">
        <f aca="false">IF(G1107="","",G1107-H1107)</f>
        <v/>
      </c>
      <c r="J1107" s="37"/>
    </row>
    <row r="1108" customFormat="false" ht="21" hidden="false" customHeight="true" outlineLevel="0" collapsed="false">
      <c r="B1108" s="36"/>
      <c r="C1108" s="7"/>
      <c r="D1108" s="7"/>
      <c r="E1108" s="37"/>
      <c r="F1108" s="38"/>
      <c r="G1108" s="24" t="str">
        <f aca="false">IF(OR(C1108="",D1108="",N(E1108)=0),"",E1108*IF(F1108="",IFERROR(N(INDEX(Produtos!$K$5:$K$54,MATCH(D1108,Produtos!$B$5:$B$54,0))),0),F1108))</f>
        <v/>
      </c>
      <c r="H1108" s="24" t="str">
        <f aca="false">IF(G1108="","",E1108*IFERROR(N(INDEX(Produtos!$F$5:$F$54,MATCH(D1108,Produtos!$B$5:$B$54,0))),0))</f>
        <v/>
      </c>
      <c r="I1108" s="24" t="str">
        <f aca="false">IF(G1108="","",G1108-H1108)</f>
        <v/>
      </c>
      <c r="J1108" s="37"/>
    </row>
    <row r="1109" customFormat="false" ht="21" hidden="false" customHeight="true" outlineLevel="0" collapsed="false">
      <c r="B1109" s="36"/>
      <c r="C1109" s="7"/>
      <c r="D1109" s="7"/>
      <c r="E1109" s="37"/>
      <c r="F1109" s="38"/>
      <c r="G1109" s="24" t="str">
        <f aca="false">IF(OR(C1109="",D1109="",N(E1109)=0),"",E1109*IF(F1109="",IFERROR(N(INDEX(Produtos!$K$5:$K$54,MATCH(D1109,Produtos!$B$5:$B$54,0))),0),F1109))</f>
        <v/>
      </c>
      <c r="H1109" s="24" t="str">
        <f aca="false">IF(G1109="","",E1109*IFERROR(N(INDEX(Produtos!$F$5:$F$54,MATCH(D1109,Produtos!$B$5:$B$54,0))),0))</f>
        <v/>
      </c>
      <c r="I1109" s="24" t="str">
        <f aca="false">IF(G1109="","",G1109-H1109)</f>
        <v/>
      </c>
      <c r="J1109" s="37"/>
    </row>
    <row r="1110" customFormat="false" ht="21" hidden="false" customHeight="true" outlineLevel="0" collapsed="false">
      <c r="B1110" s="36"/>
      <c r="C1110" s="7"/>
      <c r="D1110" s="7"/>
      <c r="E1110" s="37"/>
      <c r="F1110" s="38"/>
      <c r="G1110" s="24" t="str">
        <f aca="false">IF(OR(C1110="",D1110="",N(E1110)=0),"",E1110*IF(F1110="",IFERROR(N(INDEX(Produtos!$K$5:$K$54,MATCH(D1110,Produtos!$B$5:$B$54,0))),0),F1110))</f>
        <v/>
      </c>
      <c r="H1110" s="24" t="str">
        <f aca="false">IF(G1110="","",E1110*IFERROR(N(INDEX(Produtos!$F$5:$F$54,MATCH(D1110,Produtos!$B$5:$B$54,0))),0))</f>
        <v/>
      </c>
      <c r="I1110" s="24" t="str">
        <f aca="false">IF(G1110="","",G1110-H1110)</f>
        <v/>
      </c>
      <c r="J1110" s="37"/>
    </row>
    <row r="1111" customFormat="false" ht="21" hidden="false" customHeight="true" outlineLevel="0" collapsed="false">
      <c r="B1111" s="36"/>
      <c r="C1111" s="7"/>
      <c r="D1111" s="7"/>
      <c r="E1111" s="37"/>
      <c r="F1111" s="38"/>
      <c r="G1111" s="24" t="str">
        <f aca="false">IF(OR(C1111="",D1111="",N(E1111)=0),"",E1111*IF(F1111="",IFERROR(N(INDEX(Produtos!$K$5:$K$54,MATCH(D1111,Produtos!$B$5:$B$54,0))),0),F1111))</f>
        <v/>
      </c>
      <c r="H1111" s="24" t="str">
        <f aca="false">IF(G1111="","",E1111*IFERROR(N(INDEX(Produtos!$F$5:$F$54,MATCH(D1111,Produtos!$B$5:$B$54,0))),0))</f>
        <v/>
      </c>
      <c r="I1111" s="24" t="str">
        <f aca="false">IF(G1111="","",G1111-H1111)</f>
        <v/>
      </c>
      <c r="J1111" s="37"/>
    </row>
    <row r="1112" customFormat="false" ht="21" hidden="false" customHeight="true" outlineLevel="0" collapsed="false">
      <c r="B1112" s="36"/>
      <c r="C1112" s="7"/>
      <c r="D1112" s="7"/>
      <c r="E1112" s="37"/>
      <c r="F1112" s="38"/>
      <c r="G1112" s="24" t="str">
        <f aca="false">IF(OR(C1112="",D1112="",N(E1112)=0),"",E1112*IF(F1112="",IFERROR(N(INDEX(Produtos!$K$5:$K$54,MATCH(D1112,Produtos!$B$5:$B$54,0))),0),F1112))</f>
        <v/>
      </c>
      <c r="H1112" s="24" t="str">
        <f aca="false">IF(G1112="","",E1112*IFERROR(N(INDEX(Produtos!$F$5:$F$54,MATCH(D1112,Produtos!$B$5:$B$54,0))),0))</f>
        <v/>
      </c>
      <c r="I1112" s="24" t="str">
        <f aca="false">IF(G1112="","",G1112-H1112)</f>
        <v/>
      </c>
      <c r="J1112" s="37"/>
    </row>
    <row r="1113" customFormat="false" ht="21" hidden="false" customHeight="true" outlineLevel="0" collapsed="false">
      <c r="B1113" s="36"/>
      <c r="C1113" s="7"/>
      <c r="D1113" s="7"/>
      <c r="E1113" s="37"/>
      <c r="F1113" s="38"/>
      <c r="G1113" s="24" t="str">
        <f aca="false">IF(OR(C1113="",D1113="",N(E1113)=0),"",E1113*IF(F1113="",IFERROR(N(INDEX(Produtos!$K$5:$K$54,MATCH(D1113,Produtos!$B$5:$B$54,0))),0),F1113))</f>
        <v/>
      </c>
      <c r="H1113" s="24" t="str">
        <f aca="false">IF(G1113="","",E1113*IFERROR(N(INDEX(Produtos!$F$5:$F$54,MATCH(D1113,Produtos!$B$5:$B$54,0))),0))</f>
        <v/>
      </c>
      <c r="I1113" s="24" t="str">
        <f aca="false">IF(G1113="","",G1113-H1113)</f>
        <v/>
      </c>
      <c r="J1113" s="37"/>
    </row>
    <row r="1114" customFormat="false" ht="21" hidden="false" customHeight="true" outlineLevel="0" collapsed="false">
      <c r="B1114" s="36"/>
      <c r="C1114" s="7"/>
      <c r="D1114" s="7"/>
      <c r="E1114" s="37"/>
      <c r="F1114" s="38"/>
      <c r="G1114" s="24" t="str">
        <f aca="false">IF(OR(C1114="",D1114="",N(E1114)=0),"",E1114*IF(F1114="",IFERROR(N(INDEX(Produtos!$K$5:$K$54,MATCH(D1114,Produtos!$B$5:$B$54,0))),0),F1114))</f>
        <v/>
      </c>
      <c r="H1114" s="24" t="str">
        <f aca="false">IF(G1114="","",E1114*IFERROR(N(INDEX(Produtos!$F$5:$F$54,MATCH(D1114,Produtos!$B$5:$B$54,0))),0))</f>
        <v/>
      </c>
      <c r="I1114" s="24" t="str">
        <f aca="false">IF(G1114="","",G1114-H1114)</f>
        <v/>
      </c>
      <c r="J1114" s="37"/>
    </row>
    <row r="1115" customFormat="false" ht="21" hidden="false" customHeight="true" outlineLevel="0" collapsed="false">
      <c r="B1115" s="36"/>
      <c r="C1115" s="7"/>
      <c r="D1115" s="7"/>
      <c r="E1115" s="37"/>
      <c r="F1115" s="38"/>
      <c r="G1115" s="24" t="str">
        <f aca="false">IF(OR(C1115="",D1115="",N(E1115)=0),"",E1115*IF(F1115="",IFERROR(N(INDEX(Produtos!$K$5:$K$54,MATCH(D1115,Produtos!$B$5:$B$54,0))),0),F1115))</f>
        <v/>
      </c>
      <c r="H1115" s="24" t="str">
        <f aca="false">IF(G1115="","",E1115*IFERROR(N(INDEX(Produtos!$F$5:$F$54,MATCH(D1115,Produtos!$B$5:$B$54,0))),0))</f>
        <v/>
      </c>
      <c r="I1115" s="24" t="str">
        <f aca="false">IF(G1115="","",G1115-H1115)</f>
        <v/>
      </c>
      <c r="J1115" s="37"/>
    </row>
    <row r="1116" customFormat="false" ht="21" hidden="false" customHeight="true" outlineLevel="0" collapsed="false">
      <c r="B1116" s="36"/>
      <c r="C1116" s="7"/>
      <c r="D1116" s="7"/>
      <c r="E1116" s="37"/>
      <c r="F1116" s="38"/>
      <c r="G1116" s="24" t="str">
        <f aca="false">IF(OR(C1116="",D1116="",N(E1116)=0),"",E1116*IF(F1116="",IFERROR(N(INDEX(Produtos!$K$5:$K$54,MATCH(D1116,Produtos!$B$5:$B$54,0))),0),F1116))</f>
        <v/>
      </c>
      <c r="H1116" s="24" t="str">
        <f aca="false">IF(G1116="","",E1116*IFERROR(N(INDEX(Produtos!$F$5:$F$54,MATCH(D1116,Produtos!$B$5:$B$54,0))),0))</f>
        <v/>
      </c>
      <c r="I1116" s="24" t="str">
        <f aca="false">IF(G1116="","",G1116-H1116)</f>
        <v/>
      </c>
      <c r="J1116" s="37"/>
    </row>
    <row r="1117" customFormat="false" ht="21" hidden="false" customHeight="true" outlineLevel="0" collapsed="false">
      <c r="B1117" s="36"/>
      <c r="C1117" s="7"/>
      <c r="D1117" s="7"/>
      <c r="E1117" s="37"/>
      <c r="F1117" s="38"/>
      <c r="G1117" s="24" t="str">
        <f aca="false">IF(OR(C1117="",D1117="",N(E1117)=0),"",E1117*IF(F1117="",IFERROR(N(INDEX(Produtos!$K$5:$K$54,MATCH(D1117,Produtos!$B$5:$B$54,0))),0),F1117))</f>
        <v/>
      </c>
      <c r="H1117" s="24" t="str">
        <f aca="false">IF(G1117="","",E1117*IFERROR(N(INDEX(Produtos!$F$5:$F$54,MATCH(D1117,Produtos!$B$5:$B$54,0))),0))</f>
        <v/>
      </c>
      <c r="I1117" s="24" t="str">
        <f aca="false">IF(G1117="","",G1117-H1117)</f>
        <v/>
      </c>
      <c r="J1117" s="37"/>
    </row>
    <row r="1118" customFormat="false" ht="21" hidden="false" customHeight="true" outlineLevel="0" collapsed="false">
      <c r="B1118" s="36"/>
      <c r="C1118" s="7"/>
      <c r="D1118" s="7"/>
      <c r="E1118" s="37"/>
      <c r="F1118" s="38"/>
      <c r="G1118" s="24" t="str">
        <f aca="false">IF(OR(C1118="",D1118="",N(E1118)=0),"",E1118*IF(F1118="",IFERROR(N(INDEX(Produtos!$K$5:$K$54,MATCH(D1118,Produtos!$B$5:$B$54,0))),0),F1118))</f>
        <v/>
      </c>
      <c r="H1118" s="24" t="str">
        <f aca="false">IF(G1118="","",E1118*IFERROR(N(INDEX(Produtos!$F$5:$F$54,MATCH(D1118,Produtos!$B$5:$B$54,0))),0))</f>
        <v/>
      </c>
      <c r="I1118" s="24" t="str">
        <f aca="false">IF(G1118="","",G1118-H1118)</f>
        <v/>
      </c>
      <c r="J1118" s="37"/>
    </row>
    <row r="1119" customFormat="false" ht="21" hidden="false" customHeight="true" outlineLevel="0" collapsed="false">
      <c r="B1119" s="36"/>
      <c r="C1119" s="7"/>
      <c r="D1119" s="7"/>
      <c r="E1119" s="37"/>
      <c r="F1119" s="38"/>
      <c r="G1119" s="24" t="str">
        <f aca="false">IF(OR(C1119="",D1119="",N(E1119)=0),"",E1119*IF(F1119="",IFERROR(N(INDEX(Produtos!$K$5:$K$54,MATCH(D1119,Produtos!$B$5:$B$54,0))),0),F1119))</f>
        <v/>
      </c>
      <c r="H1119" s="24" t="str">
        <f aca="false">IF(G1119="","",E1119*IFERROR(N(INDEX(Produtos!$F$5:$F$54,MATCH(D1119,Produtos!$B$5:$B$54,0))),0))</f>
        <v/>
      </c>
      <c r="I1119" s="24" t="str">
        <f aca="false">IF(G1119="","",G1119-H1119)</f>
        <v/>
      </c>
      <c r="J1119" s="37"/>
    </row>
    <row r="1120" customFormat="false" ht="21" hidden="false" customHeight="true" outlineLevel="0" collapsed="false">
      <c r="B1120" s="36"/>
      <c r="C1120" s="7"/>
      <c r="D1120" s="7"/>
      <c r="E1120" s="37"/>
      <c r="F1120" s="38"/>
      <c r="G1120" s="24" t="str">
        <f aca="false">IF(OR(C1120="",D1120="",N(E1120)=0),"",E1120*IF(F1120="",IFERROR(N(INDEX(Produtos!$K$5:$K$54,MATCH(D1120,Produtos!$B$5:$B$54,0))),0),F1120))</f>
        <v/>
      </c>
      <c r="H1120" s="24" t="str">
        <f aca="false">IF(G1120="","",E1120*IFERROR(N(INDEX(Produtos!$F$5:$F$54,MATCH(D1120,Produtos!$B$5:$B$54,0))),0))</f>
        <v/>
      </c>
      <c r="I1120" s="24" t="str">
        <f aca="false">IF(G1120="","",G1120-H1120)</f>
        <v/>
      </c>
      <c r="J1120" s="37"/>
    </row>
    <row r="1121" customFormat="false" ht="21" hidden="false" customHeight="true" outlineLevel="0" collapsed="false">
      <c r="B1121" s="36"/>
      <c r="C1121" s="7"/>
      <c r="D1121" s="7"/>
      <c r="E1121" s="37"/>
      <c r="F1121" s="38"/>
      <c r="G1121" s="24" t="str">
        <f aca="false">IF(OR(C1121="",D1121="",N(E1121)=0),"",E1121*IF(F1121="",IFERROR(N(INDEX(Produtos!$K$5:$K$54,MATCH(D1121,Produtos!$B$5:$B$54,0))),0),F1121))</f>
        <v/>
      </c>
      <c r="H1121" s="24" t="str">
        <f aca="false">IF(G1121="","",E1121*IFERROR(N(INDEX(Produtos!$F$5:$F$54,MATCH(D1121,Produtos!$B$5:$B$54,0))),0))</f>
        <v/>
      </c>
      <c r="I1121" s="24" t="str">
        <f aca="false">IF(G1121="","",G1121-H1121)</f>
        <v/>
      </c>
      <c r="J1121" s="37"/>
    </row>
    <row r="1122" customFormat="false" ht="21" hidden="false" customHeight="true" outlineLevel="0" collapsed="false">
      <c r="B1122" s="36"/>
      <c r="C1122" s="7"/>
      <c r="D1122" s="7"/>
      <c r="E1122" s="37"/>
      <c r="F1122" s="38"/>
      <c r="G1122" s="24" t="str">
        <f aca="false">IF(OR(C1122="",D1122="",N(E1122)=0),"",E1122*IF(F1122="",IFERROR(N(INDEX(Produtos!$K$5:$K$54,MATCH(D1122,Produtos!$B$5:$B$54,0))),0),F1122))</f>
        <v/>
      </c>
      <c r="H1122" s="24" t="str">
        <f aca="false">IF(G1122="","",E1122*IFERROR(N(INDEX(Produtos!$F$5:$F$54,MATCH(D1122,Produtos!$B$5:$B$54,0))),0))</f>
        <v/>
      </c>
      <c r="I1122" s="24" t="str">
        <f aca="false">IF(G1122="","",G1122-H1122)</f>
        <v/>
      </c>
      <c r="J1122" s="37"/>
    </row>
    <row r="1123" customFormat="false" ht="21" hidden="false" customHeight="true" outlineLevel="0" collapsed="false">
      <c r="B1123" s="36"/>
      <c r="C1123" s="7"/>
      <c r="D1123" s="7"/>
      <c r="E1123" s="37"/>
      <c r="F1123" s="38"/>
      <c r="G1123" s="24" t="str">
        <f aca="false">IF(OR(C1123="",D1123="",N(E1123)=0),"",E1123*IF(F1123="",IFERROR(N(INDEX(Produtos!$K$5:$K$54,MATCH(D1123,Produtos!$B$5:$B$54,0))),0),F1123))</f>
        <v/>
      </c>
      <c r="H1123" s="24" t="str">
        <f aca="false">IF(G1123="","",E1123*IFERROR(N(INDEX(Produtos!$F$5:$F$54,MATCH(D1123,Produtos!$B$5:$B$54,0))),0))</f>
        <v/>
      </c>
      <c r="I1123" s="24" t="str">
        <f aca="false">IF(G1123="","",G1123-H1123)</f>
        <v/>
      </c>
      <c r="J1123" s="37"/>
    </row>
    <row r="1124" customFormat="false" ht="21" hidden="false" customHeight="true" outlineLevel="0" collapsed="false">
      <c r="B1124" s="36"/>
      <c r="C1124" s="7"/>
      <c r="D1124" s="7"/>
      <c r="E1124" s="37"/>
      <c r="F1124" s="38"/>
      <c r="G1124" s="24" t="str">
        <f aca="false">IF(OR(C1124="",D1124="",N(E1124)=0),"",E1124*IF(F1124="",IFERROR(N(INDEX(Produtos!$K$5:$K$54,MATCH(D1124,Produtos!$B$5:$B$54,0))),0),F1124))</f>
        <v/>
      </c>
      <c r="H1124" s="24" t="str">
        <f aca="false">IF(G1124="","",E1124*IFERROR(N(INDEX(Produtos!$F$5:$F$54,MATCH(D1124,Produtos!$B$5:$B$54,0))),0))</f>
        <v/>
      </c>
      <c r="I1124" s="24" t="str">
        <f aca="false">IF(G1124="","",G1124-H1124)</f>
        <v/>
      </c>
      <c r="J1124" s="37"/>
    </row>
    <row r="1125" customFormat="false" ht="21" hidden="false" customHeight="true" outlineLevel="0" collapsed="false">
      <c r="B1125" s="36"/>
      <c r="C1125" s="7"/>
      <c r="D1125" s="7"/>
      <c r="E1125" s="37"/>
      <c r="F1125" s="38"/>
      <c r="G1125" s="24" t="str">
        <f aca="false">IF(OR(C1125="",D1125="",N(E1125)=0),"",E1125*IF(F1125="",IFERROR(N(INDEX(Produtos!$K$5:$K$54,MATCH(D1125,Produtos!$B$5:$B$54,0))),0),F1125))</f>
        <v/>
      </c>
      <c r="H1125" s="24" t="str">
        <f aca="false">IF(G1125="","",E1125*IFERROR(N(INDEX(Produtos!$F$5:$F$54,MATCH(D1125,Produtos!$B$5:$B$54,0))),0))</f>
        <v/>
      </c>
      <c r="I1125" s="24" t="str">
        <f aca="false">IF(G1125="","",G1125-H1125)</f>
        <v/>
      </c>
      <c r="J1125" s="37"/>
    </row>
    <row r="1126" customFormat="false" ht="21" hidden="false" customHeight="true" outlineLevel="0" collapsed="false">
      <c r="B1126" s="36"/>
      <c r="C1126" s="7"/>
      <c r="D1126" s="7"/>
      <c r="E1126" s="37"/>
      <c r="F1126" s="38"/>
      <c r="G1126" s="24" t="str">
        <f aca="false">IF(OR(C1126="",D1126="",N(E1126)=0),"",E1126*IF(F1126="",IFERROR(N(INDEX(Produtos!$K$5:$K$54,MATCH(D1126,Produtos!$B$5:$B$54,0))),0),F1126))</f>
        <v/>
      </c>
      <c r="H1126" s="24" t="str">
        <f aca="false">IF(G1126="","",E1126*IFERROR(N(INDEX(Produtos!$F$5:$F$54,MATCH(D1126,Produtos!$B$5:$B$54,0))),0))</f>
        <v/>
      </c>
      <c r="I1126" s="24" t="str">
        <f aca="false">IF(G1126="","",G1126-H1126)</f>
        <v/>
      </c>
      <c r="J1126" s="37"/>
    </row>
    <row r="1127" customFormat="false" ht="21" hidden="false" customHeight="true" outlineLevel="0" collapsed="false">
      <c r="B1127" s="36"/>
      <c r="C1127" s="7"/>
      <c r="D1127" s="7"/>
      <c r="E1127" s="37"/>
      <c r="F1127" s="38"/>
      <c r="G1127" s="24" t="str">
        <f aca="false">IF(OR(C1127="",D1127="",N(E1127)=0),"",E1127*IF(F1127="",IFERROR(N(INDEX(Produtos!$K$5:$K$54,MATCH(D1127,Produtos!$B$5:$B$54,0))),0),F1127))</f>
        <v/>
      </c>
      <c r="H1127" s="24" t="str">
        <f aca="false">IF(G1127="","",E1127*IFERROR(N(INDEX(Produtos!$F$5:$F$54,MATCH(D1127,Produtos!$B$5:$B$54,0))),0))</f>
        <v/>
      </c>
      <c r="I1127" s="24" t="str">
        <f aca="false">IF(G1127="","",G1127-H1127)</f>
        <v/>
      </c>
      <c r="J1127" s="37"/>
    </row>
    <row r="1128" customFormat="false" ht="21" hidden="false" customHeight="true" outlineLevel="0" collapsed="false">
      <c r="B1128" s="36"/>
      <c r="C1128" s="7"/>
      <c r="D1128" s="7"/>
      <c r="E1128" s="37"/>
      <c r="F1128" s="38"/>
      <c r="G1128" s="24" t="str">
        <f aca="false">IF(OR(C1128="",D1128="",N(E1128)=0),"",E1128*IF(F1128="",IFERROR(N(INDEX(Produtos!$K$5:$K$54,MATCH(D1128,Produtos!$B$5:$B$54,0))),0),F1128))</f>
        <v/>
      </c>
      <c r="H1128" s="24" t="str">
        <f aca="false">IF(G1128="","",E1128*IFERROR(N(INDEX(Produtos!$F$5:$F$54,MATCH(D1128,Produtos!$B$5:$B$54,0))),0))</f>
        <v/>
      </c>
      <c r="I1128" s="24" t="str">
        <f aca="false">IF(G1128="","",G1128-H1128)</f>
        <v/>
      </c>
      <c r="J1128" s="37"/>
    </row>
    <row r="1129" customFormat="false" ht="21" hidden="false" customHeight="true" outlineLevel="0" collapsed="false">
      <c r="B1129" s="36"/>
      <c r="C1129" s="7"/>
      <c r="D1129" s="7"/>
      <c r="E1129" s="37"/>
      <c r="F1129" s="38"/>
      <c r="G1129" s="24" t="str">
        <f aca="false">IF(OR(C1129="",D1129="",N(E1129)=0),"",E1129*IF(F1129="",IFERROR(N(INDEX(Produtos!$K$5:$K$54,MATCH(D1129,Produtos!$B$5:$B$54,0))),0),F1129))</f>
        <v/>
      </c>
      <c r="H1129" s="24" t="str">
        <f aca="false">IF(G1129="","",E1129*IFERROR(N(INDEX(Produtos!$F$5:$F$54,MATCH(D1129,Produtos!$B$5:$B$54,0))),0))</f>
        <v/>
      </c>
      <c r="I1129" s="24" t="str">
        <f aca="false">IF(G1129="","",G1129-H1129)</f>
        <v/>
      </c>
      <c r="J1129" s="37"/>
    </row>
    <row r="1130" customFormat="false" ht="21" hidden="false" customHeight="true" outlineLevel="0" collapsed="false">
      <c r="B1130" s="36"/>
      <c r="C1130" s="7"/>
      <c r="D1130" s="7"/>
      <c r="E1130" s="37"/>
      <c r="F1130" s="38"/>
      <c r="G1130" s="24" t="str">
        <f aca="false">IF(OR(C1130="",D1130="",N(E1130)=0),"",E1130*IF(F1130="",IFERROR(N(INDEX(Produtos!$K$5:$K$54,MATCH(D1130,Produtos!$B$5:$B$54,0))),0),F1130))</f>
        <v/>
      </c>
      <c r="H1130" s="24" t="str">
        <f aca="false">IF(G1130="","",E1130*IFERROR(N(INDEX(Produtos!$F$5:$F$54,MATCH(D1130,Produtos!$B$5:$B$54,0))),0))</f>
        <v/>
      </c>
      <c r="I1130" s="24" t="str">
        <f aca="false">IF(G1130="","",G1130-H1130)</f>
        <v/>
      </c>
      <c r="J1130" s="37"/>
    </row>
    <row r="1131" customFormat="false" ht="21" hidden="false" customHeight="true" outlineLevel="0" collapsed="false">
      <c r="B1131" s="36"/>
      <c r="C1131" s="7"/>
      <c r="D1131" s="7"/>
      <c r="E1131" s="37"/>
      <c r="F1131" s="38"/>
      <c r="G1131" s="24" t="str">
        <f aca="false">IF(OR(C1131="",D1131="",N(E1131)=0),"",E1131*IF(F1131="",IFERROR(N(INDEX(Produtos!$K$5:$K$54,MATCH(D1131,Produtos!$B$5:$B$54,0))),0),F1131))</f>
        <v/>
      </c>
      <c r="H1131" s="24" t="str">
        <f aca="false">IF(G1131="","",E1131*IFERROR(N(INDEX(Produtos!$F$5:$F$54,MATCH(D1131,Produtos!$B$5:$B$54,0))),0))</f>
        <v/>
      </c>
      <c r="I1131" s="24" t="str">
        <f aca="false">IF(G1131="","",G1131-H1131)</f>
        <v/>
      </c>
      <c r="J1131" s="37"/>
    </row>
    <row r="1132" customFormat="false" ht="21" hidden="false" customHeight="true" outlineLevel="0" collapsed="false">
      <c r="B1132" s="36"/>
      <c r="C1132" s="7"/>
      <c r="D1132" s="7"/>
      <c r="E1132" s="37"/>
      <c r="F1132" s="38"/>
      <c r="G1132" s="24" t="str">
        <f aca="false">IF(OR(C1132="",D1132="",N(E1132)=0),"",E1132*IF(F1132="",IFERROR(N(INDEX(Produtos!$K$5:$K$54,MATCH(D1132,Produtos!$B$5:$B$54,0))),0),F1132))</f>
        <v/>
      </c>
      <c r="H1132" s="24" t="str">
        <f aca="false">IF(G1132="","",E1132*IFERROR(N(INDEX(Produtos!$F$5:$F$54,MATCH(D1132,Produtos!$B$5:$B$54,0))),0))</f>
        <v/>
      </c>
      <c r="I1132" s="24" t="str">
        <f aca="false">IF(G1132="","",G1132-H1132)</f>
        <v/>
      </c>
      <c r="J1132" s="37"/>
    </row>
    <row r="1133" customFormat="false" ht="21" hidden="false" customHeight="true" outlineLevel="0" collapsed="false">
      <c r="B1133" s="36"/>
      <c r="C1133" s="7"/>
      <c r="D1133" s="7"/>
      <c r="E1133" s="37"/>
      <c r="F1133" s="38"/>
      <c r="G1133" s="24" t="str">
        <f aca="false">IF(OR(C1133="",D1133="",N(E1133)=0),"",E1133*IF(F1133="",IFERROR(N(INDEX(Produtos!$K$5:$K$54,MATCH(D1133,Produtos!$B$5:$B$54,0))),0),F1133))</f>
        <v/>
      </c>
      <c r="H1133" s="24" t="str">
        <f aca="false">IF(G1133="","",E1133*IFERROR(N(INDEX(Produtos!$F$5:$F$54,MATCH(D1133,Produtos!$B$5:$B$54,0))),0))</f>
        <v/>
      </c>
      <c r="I1133" s="24" t="str">
        <f aca="false">IF(G1133="","",G1133-H1133)</f>
        <v/>
      </c>
      <c r="J1133" s="37"/>
    </row>
    <row r="1134" customFormat="false" ht="21" hidden="false" customHeight="true" outlineLevel="0" collapsed="false">
      <c r="B1134" s="36"/>
      <c r="C1134" s="7"/>
      <c r="D1134" s="7"/>
      <c r="E1134" s="37"/>
      <c r="F1134" s="38"/>
      <c r="G1134" s="24" t="str">
        <f aca="false">IF(OR(C1134="",D1134="",N(E1134)=0),"",E1134*IF(F1134="",IFERROR(N(INDEX(Produtos!$K$5:$K$54,MATCH(D1134,Produtos!$B$5:$B$54,0))),0),F1134))</f>
        <v/>
      </c>
      <c r="H1134" s="24" t="str">
        <f aca="false">IF(G1134="","",E1134*IFERROR(N(INDEX(Produtos!$F$5:$F$54,MATCH(D1134,Produtos!$B$5:$B$54,0))),0))</f>
        <v/>
      </c>
      <c r="I1134" s="24" t="str">
        <f aca="false">IF(G1134="","",G1134-H1134)</f>
        <v/>
      </c>
      <c r="J1134" s="37"/>
    </row>
    <row r="1135" customFormat="false" ht="21" hidden="false" customHeight="true" outlineLevel="0" collapsed="false">
      <c r="B1135" s="36"/>
      <c r="C1135" s="7"/>
      <c r="D1135" s="7"/>
      <c r="E1135" s="37"/>
      <c r="F1135" s="38"/>
      <c r="G1135" s="24" t="str">
        <f aca="false">IF(OR(C1135="",D1135="",N(E1135)=0),"",E1135*IF(F1135="",IFERROR(N(INDEX(Produtos!$K$5:$K$54,MATCH(D1135,Produtos!$B$5:$B$54,0))),0),F1135))</f>
        <v/>
      </c>
      <c r="H1135" s="24" t="str">
        <f aca="false">IF(G1135="","",E1135*IFERROR(N(INDEX(Produtos!$F$5:$F$54,MATCH(D1135,Produtos!$B$5:$B$54,0))),0))</f>
        <v/>
      </c>
      <c r="I1135" s="24" t="str">
        <f aca="false">IF(G1135="","",G1135-H1135)</f>
        <v/>
      </c>
      <c r="J1135" s="37"/>
    </row>
    <row r="1136" customFormat="false" ht="21" hidden="false" customHeight="true" outlineLevel="0" collapsed="false">
      <c r="B1136" s="36"/>
      <c r="C1136" s="7"/>
      <c r="D1136" s="7"/>
      <c r="E1136" s="37"/>
      <c r="F1136" s="38"/>
      <c r="G1136" s="24" t="str">
        <f aca="false">IF(OR(C1136="",D1136="",N(E1136)=0),"",E1136*IF(F1136="",IFERROR(N(INDEX(Produtos!$K$5:$K$54,MATCH(D1136,Produtos!$B$5:$B$54,0))),0),F1136))</f>
        <v/>
      </c>
      <c r="H1136" s="24" t="str">
        <f aca="false">IF(G1136="","",E1136*IFERROR(N(INDEX(Produtos!$F$5:$F$54,MATCH(D1136,Produtos!$B$5:$B$54,0))),0))</f>
        <v/>
      </c>
      <c r="I1136" s="24" t="str">
        <f aca="false">IF(G1136="","",G1136-H1136)</f>
        <v/>
      </c>
      <c r="J1136" s="37"/>
    </row>
    <row r="1137" customFormat="false" ht="21" hidden="false" customHeight="true" outlineLevel="0" collapsed="false">
      <c r="B1137" s="36"/>
      <c r="C1137" s="7"/>
      <c r="D1137" s="7"/>
      <c r="E1137" s="37"/>
      <c r="F1137" s="38"/>
      <c r="G1137" s="24" t="str">
        <f aca="false">IF(OR(C1137="",D1137="",N(E1137)=0),"",E1137*IF(F1137="",IFERROR(N(INDEX(Produtos!$K$5:$K$54,MATCH(D1137,Produtos!$B$5:$B$54,0))),0),F1137))</f>
        <v/>
      </c>
      <c r="H1137" s="24" t="str">
        <f aca="false">IF(G1137="","",E1137*IFERROR(N(INDEX(Produtos!$F$5:$F$54,MATCH(D1137,Produtos!$B$5:$B$54,0))),0))</f>
        <v/>
      </c>
      <c r="I1137" s="24" t="str">
        <f aca="false">IF(G1137="","",G1137-H1137)</f>
        <v/>
      </c>
      <c r="J1137" s="37"/>
    </row>
    <row r="1138" customFormat="false" ht="21" hidden="false" customHeight="true" outlineLevel="0" collapsed="false">
      <c r="B1138" s="36"/>
      <c r="C1138" s="7"/>
      <c r="D1138" s="7"/>
      <c r="E1138" s="37"/>
      <c r="F1138" s="38"/>
      <c r="G1138" s="24" t="str">
        <f aca="false">IF(OR(C1138="",D1138="",N(E1138)=0),"",E1138*IF(F1138="",IFERROR(N(INDEX(Produtos!$K$5:$K$54,MATCH(D1138,Produtos!$B$5:$B$54,0))),0),F1138))</f>
        <v/>
      </c>
      <c r="H1138" s="24" t="str">
        <f aca="false">IF(G1138="","",E1138*IFERROR(N(INDEX(Produtos!$F$5:$F$54,MATCH(D1138,Produtos!$B$5:$B$54,0))),0))</f>
        <v/>
      </c>
      <c r="I1138" s="24" t="str">
        <f aca="false">IF(G1138="","",G1138-H1138)</f>
        <v/>
      </c>
      <c r="J1138" s="37"/>
    </row>
    <row r="1139" customFormat="false" ht="21" hidden="false" customHeight="true" outlineLevel="0" collapsed="false">
      <c r="B1139" s="36"/>
      <c r="C1139" s="7"/>
      <c r="D1139" s="7"/>
      <c r="E1139" s="37"/>
      <c r="F1139" s="38"/>
      <c r="G1139" s="24" t="str">
        <f aca="false">IF(OR(C1139="",D1139="",N(E1139)=0),"",E1139*IF(F1139="",IFERROR(N(INDEX(Produtos!$K$5:$K$54,MATCH(D1139,Produtos!$B$5:$B$54,0))),0),F1139))</f>
        <v/>
      </c>
      <c r="H1139" s="24" t="str">
        <f aca="false">IF(G1139="","",E1139*IFERROR(N(INDEX(Produtos!$F$5:$F$54,MATCH(D1139,Produtos!$B$5:$B$54,0))),0))</f>
        <v/>
      </c>
      <c r="I1139" s="24" t="str">
        <f aca="false">IF(G1139="","",G1139-H1139)</f>
        <v/>
      </c>
      <c r="J1139" s="37"/>
    </row>
    <row r="1140" customFormat="false" ht="21" hidden="false" customHeight="true" outlineLevel="0" collapsed="false">
      <c r="B1140" s="36"/>
      <c r="C1140" s="7"/>
      <c r="D1140" s="7"/>
      <c r="E1140" s="37"/>
      <c r="F1140" s="38"/>
      <c r="G1140" s="24" t="str">
        <f aca="false">IF(OR(C1140="",D1140="",N(E1140)=0),"",E1140*IF(F1140="",IFERROR(N(INDEX(Produtos!$K$5:$K$54,MATCH(D1140,Produtos!$B$5:$B$54,0))),0),F1140))</f>
        <v/>
      </c>
      <c r="H1140" s="24" t="str">
        <f aca="false">IF(G1140="","",E1140*IFERROR(N(INDEX(Produtos!$F$5:$F$54,MATCH(D1140,Produtos!$B$5:$B$54,0))),0))</f>
        <v/>
      </c>
      <c r="I1140" s="24" t="str">
        <f aca="false">IF(G1140="","",G1140-H1140)</f>
        <v/>
      </c>
      <c r="J1140" s="37"/>
    </row>
    <row r="1141" customFormat="false" ht="21" hidden="false" customHeight="true" outlineLevel="0" collapsed="false">
      <c r="B1141" s="36"/>
      <c r="C1141" s="7"/>
      <c r="D1141" s="7"/>
      <c r="E1141" s="37"/>
      <c r="F1141" s="38"/>
      <c r="G1141" s="24" t="str">
        <f aca="false">IF(OR(C1141="",D1141="",N(E1141)=0),"",E1141*IF(F1141="",IFERROR(N(INDEX(Produtos!$K$5:$K$54,MATCH(D1141,Produtos!$B$5:$B$54,0))),0),F1141))</f>
        <v/>
      </c>
      <c r="H1141" s="24" t="str">
        <f aca="false">IF(G1141="","",E1141*IFERROR(N(INDEX(Produtos!$F$5:$F$54,MATCH(D1141,Produtos!$B$5:$B$54,0))),0))</f>
        <v/>
      </c>
      <c r="I1141" s="24" t="str">
        <f aca="false">IF(G1141="","",G1141-H1141)</f>
        <v/>
      </c>
      <c r="J1141" s="37"/>
    </row>
    <row r="1142" customFormat="false" ht="21" hidden="false" customHeight="true" outlineLevel="0" collapsed="false">
      <c r="B1142" s="36"/>
      <c r="C1142" s="7"/>
      <c r="D1142" s="7"/>
      <c r="E1142" s="37"/>
      <c r="F1142" s="38"/>
      <c r="G1142" s="24" t="str">
        <f aca="false">IF(OR(C1142="",D1142="",N(E1142)=0),"",E1142*IF(F1142="",IFERROR(N(INDEX(Produtos!$K$5:$K$54,MATCH(D1142,Produtos!$B$5:$B$54,0))),0),F1142))</f>
        <v/>
      </c>
      <c r="H1142" s="24" t="str">
        <f aca="false">IF(G1142="","",E1142*IFERROR(N(INDEX(Produtos!$F$5:$F$54,MATCH(D1142,Produtos!$B$5:$B$54,0))),0))</f>
        <v/>
      </c>
      <c r="I1142" s="24" t="str">
        <f aca="false">IF(G1142="","",G1142-H1142)</f>
        <v/>
      </c>
      <c r="J1142" s="37"/>
    </row>
    <row r="1143" customFormat="false" ht="21" hidden="false" customHeight="true" outlineLevel="0" collapsed="false">
      <c r="B1143" s="36"/>
      <c r="C1143" s="7"/>
      <c r="D1143" s="7"/>
      <c r="E1143" s="37"/>
      <c r="F1143" s="38"/>
      <c r="G1143" s="24" t="str">
        <f aca="false">IF(OR(C1143="",D1143="",N(E1143)=0),"",E1143*IF(F1143="",IFERROR(N(INDEX(Produtos!$K$5:$K$54,MATCH(D1143,Produtos!$B$5:$B$54,0))),0),F1143))</f>
        <v/>
      </c>
      <c r="H1143" s="24" t="str">
        <f aca="false">IF(G1143="","",E1143*IFERROR(N(INDEX(Produtos!$F$5:$F$54,MATCH(D1143,Produtos!$B$5:$B$54,0))),0))</f>
        <v/>
      </c>
      <c r="I1143" s="24" t="str">
        <f aca="false">IF(G1143="","",G1143-H1143)</f>
        <v/>
      </c>
      <c r="J1143" s="37"/>
    </row>
    <row r="1144" customFormat="false" ht="21" hidden="false" customHeight="true" outlineLevel="0" collapsed="false">
      <c r="B1144" s="36"/>
      <c r="C1144" s="7"/>
      <c r="D1144" s="7"/>
      <c r="E1144" s="37"/>
      <c r="F1144" s="38"/>
      <c r="G1144" s="24" t="str">
        <f aca="false">IF(OR(C1144="",D1144="",N(E1144)=0),"",E1144*IF(F1144="",IFERROR(N(INDEX(Produtos!$K$5:$K$54,MATCH(D1144,Produtos!$B$5:$B$54,0))),0),F1144))</f>
        <v/>
      </c>
      <c r="H1144" s="24" t="str">
        <f aca="false">IF(G1144="","",E1144*IFERROR(N(INDEX(Produtos!$F$5:$F$54,MATCH(D1144,Produtos!$B$5:$B$54,0))),0))</f>
        <v/>
      </c>
      <c r="I1144" s="24" t="str">
        <f aca="false">IF(G1144="","",G1144-H1144)</f>
        <v/>
      </c>
      <c r="J1144" s="37"/>
    </row>
    <row r="1145" customFormat="false" ht="21" hidden="false" customHeight="true" outlineLevel="0" collapsed="false">
      <c r="B1145" s="36"/>
      <c r="C1145" s="7"/>
      <c r="D1145" s="7"/>
      <c r="E1145" s="37"/>
      <c r="F1145" s="38"/>
      <c r="G1145" s="24" t="str">
        <f aca="false">IF(OR(C1145="",D1145="",N(E1145)=0),"",E1145*IF(F1145="",IFERROR(N(INDEX(Produtos!$K$5:$K$54,MATCH(D1145,Produtos!$B$5:$B$54,0))),0),F1145))</f>
        <v/>
      </c>
      <c r="H1145" s="24" t="str">
        <f aca="false">IF(G1145="","",E1145*IFERROR(N(INDEX(Produtos!$F$5:$F$54,MATCH(D1145,Produtos!$B$5:$B$54,0))),0))</f>
        <v/>
      </c>
      <c r="I1145" s="24" t="str">
        <f aca="false">IF(G1145="","",G1145-H1145)</f>
        <v/>
      </c>
      <c r="J1145" s="37"/>
    </row>
    <row r="1146" customFormat="false" ht="21" hidden="false" customHeight="true" outlineLevel="0" collapsed="false">
      <c r="B1146" s="36"/>
      <c r="C1146" s="7"/>
      <c r="D1146" s="7"/>
      <c r="E1146" s="37"/>
      <c r="F1146" s="38"/>
      <c r="G1146" s="24" t="str">
        <f aca="false">IF(OR(C1146="",D1146="",N(E1146)=0),"",E1146*IF(F1146="",IFERROR(N(INDEX(Produtos!$K$5:$K$54,MATCH(D1146,Produtos!$B$5:$B$54,0))),0),F1146))</f>
        <v/>
      </c>
      <c r="H1146" s="24" t="str">
        <f aca="false">IF(G1146="","",E1146*IFERROR(N(INDEX(Produtos!$F$5:$F$54,MATCH(D1146,Produtos!$B$5:$B$54,0))),0))</f>
        <v/>
      </c>
      <c r="I1146" s="24" t="str">
        <f aca="false">IF(G1146="","",G1146-H1146)</f>
        <v/>
      </c>
      <c r="J1146" s="37"/>
    </row>
    <row r="1147" customFormat="false" ht="21" hidden="false" customHeight="true" outlineLevel="0" collapsed="false">
      <c r="B1147" s="36"/>
      <c r="C1147" s="7"/>
      <c r="D1147" s="7"/>
      <c r="E1147" s="37"/>
      <c r="F1147" s="38"/>
      <c r="G1147" s="24" t="str">
        <f aca="false">IF(OR(C1147="",D1147="",N(E1147)=0),"",E1147*IF(F1147="",IFERROR(N(INDEX(Produtos!$K$5:$K$54,MATCH(D1147,Produtos!$B$5:$B$54,0))),0),F1147))</f>
        <v/>
      </c>
      <c r="H1147" s="24" t="str">
        <f aca="false">IF(G1147="","",E1147*IFERROR(N(INDEX(Produtos!$F$5:$F$54,MATCH(D1147,Produtos!$B$5:$B$54,0))),0))</f>
        <v/>
      </c>
      <c r="I1147" s="24" t="str">
        <f aca="false">IF(G1147="","",G1147-H1147)</f>
        <v/>
      </c>
      <c r="J1147" s="37"/>
    </row>
    <row r="1148" customFormat="false" ht="21" hidden="false" customHeight="true" outlineLevel="0" collapsed="false">
      <c r="B1148" s="36"/>
      <c r="C1148" s="7"/>
      <c r="D1148" s="7"/>
      <c r="E1148" s="37"/>
      <c r="F1148" s="38"/>
      <c r="G1148" s="24" t="str">
        <f aca="false">IF(OR(C1148="",D1148="",N(E1148)=0),"",E1148*IF(F1148="",IFERROR(N(INDEX(Produtos!$K$5:$K$54,MATCH(D1148,Produtos!$B$5:$B$54,0))),0),F1148))</f>
        <v/>
      </c>
      <c r="H1148" s="24" t="str">
        <f aca="false">IF(G1148="","",E1148*IFERROR(N(INDEX(Produtos!$F$5:$F$54,MATCH(D1148,Produtos!$B$5:$B$54,0))),0))</f>
        <v/>
      </c>
      <c r="I1148" s="24" t="str">
        <f aca="false">IF(G1148="","",G1148-H1148)</f>
        <v/>
      </c>
      <c r="J1148" s="37"/>
    </row>
    <row r="1149" customFormat="false" ht="21" hidden="false" customHeight="true" outlineLevel="0" collapsed="false">
      <c r="B1149" s="36"/>
      <c r="C1149" s="7"/>
      <c r="D1149" s="7"/>
      <c r="E1149" s="37"/>
      <c r="F1149" s="38"/>
      <c r="G1149" s="24" t="str">
        <f aca="false">IF(OR(C1149="",D1149="",N(E1149)=0),"",E1149*IF(F1149="",IFERROR(N(INDEX(Produtos!$K$5:$K$54,MATCH(D1149,Produtos!$B$5:$B$54,0))),0),F1149))</f>
        <v/>
      </c>
      <c r="H1149" s="24" t="str">
        <f aca="false">IF(G1149="","",E1149*IFERROR(N(INDEX(Produtos!$F$5:$F$54,MATCH(D1149,Produtos!$B$5:$B$54,0))),0))</f>
        <v/>
      </c>
      <c r="I1149" s="24" t="str">
        <f aca="false">IF(G1149="","",G1149-H1149)</f>
        <v/>
      </c>
      <c r="J1149" s="37"/>
    </row>
    <row r="1150" customFormat="false" ht="21" hidden="false" customHeight="true" outlineLevel="0" collapsed="false">
      <c r="B1150" s="36"/>
      <c r="C1150" s="7"/>
      <c r="D1150" s="7"/>
      <c r="E1150" s="37"/>
      <c r="F1150" s="38"/>
      <c r="G1150" s="24" t="str">
        <f aca="false">IF(OR(C1150="",D1150="",N(E1150)=0),"",E1150*IF(F1150="",IFERROR(N(INDEX(Produtos!$K$5:$K$54,MATCH(D1150,Produtos!$B$5:$B$54,0))),0),F1150))</f>
        <v/>
      </c>
      <c r="H1150" s="24" t="str">
        <f aca="false">IF(G1150="","",E1150*IFERROR(N(INDEX(Produtos!$F$5:$F$54,MATCH(D1150,Produtos!$B$5:$B$54,0))),0))</f>
        <v/>
      </c>
      <c r="I1150" s="24" t="str">
        <f aca="false">IF(G1150="","",G1150-H1150)</f>
        <v/>
      </c>
      <c r="J1150" s="37"/>
    </row>
    <row r="1151" customFormat="false" ht="21" hidden="false" customHeight="true" outlineLevel="0" collapsed="false">
      <c r="B1151" s="36"/>
      <c r="C1151" s="7"/>
      <c r="D1151" s="7"/>
      <c r="E1151" s="37"/>
      <c r="F1151" s="38"/>
      <c r="G1151" s="24" t="str">
        <f aca="false">IF(OR(C1151="",D1151="",N(E1151)=0),"",E1151*IF(F1151="",IFERROR(N(INDEX(Produtos!$K$5:$K$54,MATCH(D1151,Produtos!$B$5:$B$54,0))),0),F1151))</f>
        <v/>
      </c>
      <c r="H1151" s="24" t="str">
        <f aca="false">IF(G1151="","",E1151*IFERROR(N(INDEX(Produtos!$F$5:$F$54,MATCH(D1151,Produtos!$B$5:$B$54,0))),0))</f>
        <v/>
      </c>
      <c r="I1151" s="24" t="str">
        <f aca="false">IF(G1151="","",G1151-H1151)</f>
        <v/>
      </c>
      <c r="J1151" s="37"/>
    </row>
    <row r="1152" customFormat="false" ht="21" hidden="false" customHeight="true" outlineLevel="0" collapsed="false">
      <c r="B1152" s="36"/>
      <c r="C1152" s="7"/>
      <c r="D1152" s="7"/>
      <c r="E1152" s="37"/>
      <c r="F1152" s="38"/>
      <c r="G1152" s="24" t="str">
        <f aca="false">IF(OR(C1152="",D1152="",N(E1152)=0),"",E1152*IF(F1152="",IFERROR(N(INDEX(Produtos!$K$5:$K$54,MATCH(D1152,Produtos!$B$5:$B$54,0))),0),F1152))</f>
        <v/>
      </c>
      <c r="H1152" s="24" t="str">
        <f aca="false">IF(G1152="","",E1152*IFERROR(N(INDEX(Produtos!$F$5:$F$54,MATCH(D1152,Produtos!$B$5:$B$54,0))),0))</f>
        <v/>
      </c>
      <c r="I1152" s="24" t="str">
        <f aca="false">IF(G1152="","",G1152-H1152)</f>
        <v/>
      </c>
      <c r="J1152" s="37"/>
    </row>
    <row r="1153" customFormat="false" ht="21" hidden="false" customHeight="true" outlineLevel="0" collapsed="false">
      <c r="B1153" s="36"/>
      <c r="C1153" s="7"/>
      <c r="D1153" s="7"/>
      <c r="E1153" s="37"/>
      <c r="F1153" s="38"/>
      <c r="G1153" s="24" t="str">
        <f aca="false">IF(OR(C1153="",D1153="",N(E1153)=0),"",E1153*IF(F1153="",IFERROR(N(INDEX(Produtos!$K$5:$K$54,MATCH(D1153,Produtos!$B$5:$B$54,0))),0),F1153))</f>
        <v/>
      </c>
      <c r="H1153" s="24" t="str">
        <f aca="false">IF(G1153="","",E1153*IFERROR(N(INDEX(Produtos!$F$5:$F$54,MATCH(D1153,Produtos!$B$5:$B$54,0))),0))</f>
        <v/>
      </c>
      <c r="I1153" s="24" t="str">
        <f aca="false">IF(G1153="","",G1153-H1153)</f>
        <v/>
      </c>
      <c r="J1153" s="37"/>
    </row>
    <row r="1154" customFormat="false" ht="21" hidden="false" customHeight="true" outlineLevel="0" collapsed="false">
      <c r="B1154" s="36"/>
      <c r="C1154" s="7"/>
      <c r="D1154" s="7"/>
      <c r="E1154" s="37"/>
      <c r="F1154" s="38"/>
      <c r="G1154" s="24" t="str">
        <f aca="false">IF(OR(C1154="",D1154="",N(E1154)=0),"",E1154*IF(F1154="",IFERROR(N(INDEX(Produtos!$K$5:$K$54,MATCH(D1154,Produtos!$B$5:$B$54,0))),0),F1154))</f>
        <v/>
      </c>
      <c r="H1154" s="24" t="str">
        <f aca="false">IF(G1154="","",E1154*IFERROR(N(INDEX(Produtos!$F$5:$F$54,MATCH(D1154,Produtos!$B$5:$B$54,0))),0))</f>
        <v/>
      </c>
      <c r="I1154" s="24" t="str">
        <f aca="false">IF(G1154="","",G1154-H1154)</f>
        <v/>
      </c>
      <c r="J1154" s="37"/>
    </row>
    <row r="1155" customFormat="false" ht="21" hidden="false" customHeight="true" outlineLevel="0" collapsed="false">
      <c r="B1155" s="36"/>
      <c r="C1155" s="7"/>
      <c r="D1155" s="7"/>
      <c r="E1155" s="37"/>
      <c r="F1155" s="38"/>
      <c r="G1155" s="24" t="str">
        <f aca="false">IF(OR(C1155="",D1155="",N(E1155)=0),"",E1155*IF(F1155="",IFERROR(N(INDEX(Produtos!$K$5:$K$54,MATCH(D1155,Produtos!$B$5:$B$54,0))),0),F1155))</f>
        <v/>
      </c>
      <c r="H1155" s="24" t="str">
        <f aca="false">IF(G1155="","",E1155*IFERROR(N(INDEX(Produtos!$F$5:$F$54,MATCH(D1155,Produtos!$B$5:$B$54,0))),0))</f>
        <v/>
      </c>
      <c r="I1155" s="24" t="str">
        <f aca="false">IF(G1155="","",G1155-H1155)</f>
        <v/>
      </c>
      <c r="J1155" s="37"/>
    </row>
    <row r="1156" customFormat="false" ht="21" hidden="false" customHeight="true" outlineLevel="0" collapsed="false">
      <c r="B1156" s="36"/>
      <c r="C1156" s="7"/>
      <c r="D1156" s="7"/>
      <c r="E1156" s="37"/>
      <c r="F1156" s="38"/>
      <c r="G1156" s="24" t="str">
        <f aca="false">IF(OR(C1156="",D1156="",N(E1156)=0),"",E1156*IF(F1156="",IFERROR(N(INDEX(Produtos!$K$5:$K$54,MATCH(D1156,Produtos!$B$5:$B$54,0))),0),F1156))</f>
        <v/>
      </c>
      <c r="H1156" s="24" t="str">
        <f aca="false">IF(G1156="","",E1156*IFERROR(N(INDEX(Produtos!$F$5:$F$54,MATCH(D1156,Produtos!$B$5:$B$54,0))),0))</f>
        <v/>
      </c>
      <c r="I1156" s="24" t="str">
        <f aca="false">IF(G1156="","",G1156-H1156)</f>
        <v/>
      </c>
      <c r="J1156" s="37"/>
    </row>
    <row r="1157" customFormat="false" ht="21" hidden="false" customHeight="true" outlineLevel="0" collapsed="false">
      <c r="B1157" s="36"/>
      <c r="C1157" s="7"/>
      <c r="D1157" s="7"/>
      <c r="E1157" s="37"/>
      <c r="F1157" s="38"/>
      <c r="G1157" s="24" t="str">
        <f aca="false">IF(OR(C1157="",D1157="",N(E1157)=0),"",E1157*IF(F1157="",IFERROR(N(INDEX(Produtos!$K$5:$K$54,MATCH(D1157,Produtos!$B$5:$B$54,0))),0),F1157))</f>
        <v/>
      </c>
      <c r="H1157" s="24" t="str">
        <f aca="false">IF(G1157="","",E1157*IFERROR(N(INDEX(Produtos!$F$5:$F$54,MATCH(D1157,Produtos!$B$5:$B$54,0))),0))</f>
        <v/>
      </c>
      <c r="I1157" s="24" t="str">
        <f aca="false">IF(G1157="","",G1157-H1157)</f>
        <v/>
      </c>
      <c r="J1157" s="37"/>
    </row>
    <row r="1158" customFormat="false" ht="21" hidden="false" customHeight="true" outlineLevel="0" collapsed="false">
      <c r="B1158" s="36"/>
      <c r="C1158" s="7"/>
      <c r="D1158" s="7"/>
      <c r="E1158" s="37"/>
      <c r="F1158" s="38"/>
      <c r="G1158" s="24" t="str">
        <f aca="false">IF(OR(C1158="",D1158="",N(E1158)=0),"",E1158*IF(F1158="",IFERROR(N(INDEX(Produtos!$K$5:$K$54,MATCH(D1158,Produtos!$B$5:$B$54,0))),0),F1158))</f>
        <v/>
      </c>
      <c r="H1158" s="24" t="str">
        <f aca="false">IF(G1158="","",E1158*IFERROR(N(INDEX(Produtos!$F$5:$F$54,MATCH(D1158,Produtos!$B$5:$B$54,0))),0))</f>
        <v/>
      </c>
      <c r="I1158" s="24" t="str">
        <f aca="false">IF(G1158="","",G1158-H1158)</f>
        <v/>
      </c>
      <c r="J1158" s="37"/>
    </row>
    <row r="1159" customFormat="false" ht="21" hidden="false" customHeight="true" outlineLevel="0" collapsed="false">
      <c r="B1159" s="36"/>
      <c r="C1159" s="7"/>
      <c r="D1159" s="7"/>
      <c r="E1159" s="37"/>
      <c r="F1159" s="38"/>
      <c r="G1159" s="24" t="str">
        <f aca="false">IF(OR(C1159="",D1159="",N(E1159)=0),"",E1159*IF(F1159="",IFERROR(N(INDEX(Produtos!$K$5:$K$54,MATCH(D1159,Produtos!$B$5:$B$54,0))),0),F1159))</f>
        <v/>
      </c>
      <c r="H1159" s="24" t="str">
        <f aca="false">IF(G1159="","",E1159*IFERROR(N(INDEX(Produtos!$F$5:$F$54,MATCH(D1159,Produtos!$B$5:$B$54,0))),0))</f>
        <v/>
      </c>
      <c r="I1159" s="24" t="str">
        <f aca="false">IF(G1159="","",G1159-H1159)</f>
        <v/>
      </c>
      <c r="J1159" s="37"/>
    </row>
    <row r="1160" customFormat="false" ht="21" hidden="false" customHeight="true" outlineLevel="0" collapsed="false">
      <c r="B1160" s="36"/>
      <c r="C1160" s="7"/>
      <c r="D1160" s="7"/>
      <c r="E1160" s="37"/>
      <c r="F1160" s="38"/>
      <c r="G1160" s="24" t="str">
        <f aca="false">IF(OR(C1160="",D1160="",N(E1160)=0),"",E1160*IF(F1160="",IFERROR(N(INDEX(Produtos!$K$5:$K$54,MATCH(D1160,Produtos!$B$5:$B$54,0))),0),F1160))</f>
        <v/>
      </c>
      <c r="H1160" s="24" t="str">
        <f aca="false">IF(G1160="","",E1160*IFERROR(N(INDEX(Produtos!$F$5:$F$54,MATCH(D1160,Produtos!$B$5:$B$54,0))),0))</f>
        <v/>
      </c>
      <c r="I1160" s="24" t="str">
        <f aca="false">IF(G1160="","",G1160-H1160)</f>
        <v/>
      </c>
      <c r="J1160" s="37"/>
    </row>
    <row r="1161" customFormat="false" ht="21" hidden="false" customHeight="true" outlineLevel="0" collapsed="false">
      <c r="B1161" s="36"/>
      <c r="C1161" s="7"/>
      <c r="D1161" s="7"/>
      <c r="E1161" s="37"/>
      <c r="F1161" s="38"/>
      <c r="G1161" s="24" t="str">
        <f aca="false">IF(OR(C1161="",D1161="",N(E1161)=0),"",E1161*IF(F1161="",IFERROR(N(INDEX(Produtos!$K$5:$K$54,MATCH(D1161,Produtos!$B$5:$B$54,0))),0),F1161))</f>
        <v/>
      </c>
      <c r="H1161" s="24" t="str">
        <f aca="false">IF(G1161="","",E1161*IFERROR(N(INDEX(Produtos!$F$5:$F$54,MATCH(D1161,Produtos!$B$5:$B$54,0))),0))</f>
        <v/>
      </c>
      <c r="I1161" s="24" t="str">
        <f aca="false">IF(G1161="","",G1161-H1161)</f>
        <v/>
      </c>
      <c r="J1161" s="37"/>
    </row>
    <row r="1162" customFormat="false" ht="21" hidden="false" customHeight="true" outlineLevel="0" collapsed="false">
      <c r="B1162" s="36"/>
      <c r="C1162" s="7"/>
      <c r="D1162" s="7"/>
      <c r="E1162" s="37"/>
      <c r="F1162" s="38"/>
      <c r="G1162" s="24" t="str">
        <f aca="false">IF(OR(C1162="",D1162="",N(E1162)=0),"",E1162*IF(F1162="",IFERROR(N(INDEX(Produtos!$K$5:$K$54,MATCH(D1162,Produtos!$B$5:$B$54,0))),0),F1162))</f>
        <v/>
      </c>
      <c r="H1162" s="24" t="str">
        <f aca="false">IF(G1162="","",E1162*IFERROR(N(INDEX(Produtos!$F$5:$F$54,MATCH(D1162,Produtos!$B$5:$B$54,0))),0))</f>
        <v/>
      </c>
      <c r="I1162" s="24" t="str">
        <f aca="false">IF(G1162="","",G1162-H1162)</f>
        <v/>
      </c>
      <c r="J1162" s="37"/>
    </row>
    <row r="1163" customFormat="false" ht="21" hidden="false" customHeight="true" outlineLevel="0" collapsed="false">
      <c r="B1163" s="36"/>
      <c r="C1163" s="7"/>
      <c r="D1163" s="7"/>
      <c r="E1163" s="37"/>
      <c r="F1163" s="38"/>
      <c r="G1163" s="24" t="str">
        <f aca="false">IF(OR(C1163="",D1163="",N(E1163)=0),"",E1163*IF(F1163="",IFERROR(N(INDEX(Produtos!$K$5:$K$54,MATCH(D1163,Produtos!$B$5:$B$54,0))),0),F1163))</f>
        <v/>
      </c>
      <c r="H1163" s="24" t="str">
        <f aca="false">IF(G1163="","",E1163*IFERROR(N(INDEX(Produtos!$F$5:$F$54,MATCH(D1163,Produtos!$B$5:$B$54,0))),0))</f>
        <v/>
      </c>
      <c r="I1163" s="24" t="str">
        <f aca="false">IF(G1163="","",G1163-H1163)</f>
        <v/>
      </c>
      <c r="J1163" s="37"/>
    </row>
    <row r="1164" customFormat="false" ht="21" hidden="false" customHeight="true" outlineLevel="0" collapsed="false">
      <c r="B1164" s="36"/>
      <c r="C1164" s="7"/>
      <c r="D1164" s="7"/>
      <c r="E1164" s="37"/>
      <c r="F1164" s="38"/>
      <c r="G1164" s="24" t="str">
        <f aca="false">IF(OR(C1164="",D1164="",N(E1164)=0),"",E1164*IF(F1164="",IFERROR(N(INDEX(Produtos!$K$5:$K$54,MATCH(D1164,Produtos!$B$5:$B$54,0))),0),F1164))</f>
        <v/>
      </c>
      <c r="H1164" s="24" t="str">
        <f aca="false">IF(G1164="","",E1164*IFERROR(N(INDEX(Produtos!$F$5:$F$54,MATCH(D1164,Produtos!$B$5:$B$54,0))),0))</f>
        <v/>
      </c>
      <c r="I1164" s="24" t="str">
        <f aca="false">IF(G1164="","",G1164-H1164)</f>
        <v/>
      </c>
      <c r="J1164" s="37"/>
    </row>
    <row r="1165" customFormat="false" ht="21" hidden="false" customHeight="true" outlineLevel="0" collapsed="false">
      <c r="B1165" s="36"/>
      <c r="C1165" s="7"/>
      <c r="D1165" s="7"/>
      <c r="E1165" s="37"/>
      <c r="F1165" s="38"/>
      <c r="G1165" s="24" t="str">
        <f aca="false">IF(OR(C1165="",D1165="",N(E1165)=0),"",E1165*IF(F1165="",IFERROR(N(INDEX(Produtos!$K$5:$K$54,MATCH(D1165,Produtos!$B$5:$B$54,0))),0),F1165))</f>
        <v/>
      </c>
      <c r="H1165" s="24" t="str">
        <f aca="false">IF(G1165="","",E1165*IFERROR(N(INDEX(Produtos!$F$5:$F$54,MATCH(D1165,Produtos!$B$5:$B$54,0))),0))</f>
        <v/>
      </c>
      <c r="I1165" s="24" t="str">
        <f aca="false">IF(G1165="","",G1165-H1165)</f>
        <v/>
      </c>
      <c r="J1165" s="37"/>
    </row>
    <row r="1166" customFormat="false" ht="21" hidden="false" customHeight="true" outlineLevel="0" collapsed="false">
      <c r="B1166" s="36"/>
      <c r="C1166" s="7"/>
      <c r="D1166" s="7"/>
      <c r="E1166" s="37"/>
      <c r="F1166" s="38"/>
      <c r="G1166" s="24" t="str">
        <f aca="false">IF(OR(C1166="",D1166="",N(E1166)=0),"",E1166*IF(F1166="",IFERROR(N(INDEX(Produtos!$K$5:$K$54,MATCH(D1166,Produtos!$B$5:$B$54,0))),0),F1166))</f>
        <v/>
      </c>
      <c r="H1166" s="24" t="str">
        <f aca="false">IF(G1166="","",E1166*IFERROR(N(INDEX(Produtos!$F$5:$F$54,MATCH(D1166,Produtos!$B$5:$B$54,0))),0))</f>
        <v/>
      </c>
      <c r="I1166" s="24" t="str">
        <f aca="false">IF(G1166="","",G1166-H1166)</f>
        <v/>
      </c>
      <c r="J1166" s="37"/>
    </row>
    <row r="1167" customFormat="false" ht="21" hidden="false" customHeight="true" outlineLevel="0" collapsed="false">
      <c r="B1167" s="36"/>
      <c r="C1167" s="7"/>
      <c r="D1167" s="7"/>
      <c r="E1167" s="37"/>
      <c r="F1167" s="38"/>
      <c r="G1167" s="24" t="str">
        <f aca="false">IF(OR(C1167="",D1167="",N(E1167)=0),"",E1167*IF(F1167="",IFERROR(N(INDEX(Produtos!$K$5:$K$54,MATCH(D1167,Produtos!$B$5:$B$54,0))),0),F1167))</f>
        <v/>
      </c>
      <c r="H1167" s="24" t="str">
        <f aca="false">IF(G1167="","",E1167*IFERROR(N(INDEX(Produtos!$F$5:$F$54,MATCH(D1167,Produtos!$B$5:$B$54,0))),0))</f>
        <v/>
      </c>
      <c r="I1167" s="24" t="str">
        <f aca="false">IF(G1167="","",G1167-H1167)</f>
        <v/>
      </c>
      <c r="J1167" s="37"/>
    </row>
    <row r="1168" customFormat="false" ht="21" hidden="false" customHeight="true" outlineLevel="0" collapsed="false">
      <c r="B1168" s="36"/>
      <c r="C1168" s="7"/>
      <c r="D1168" s="7"/>
      <c r="E1168" s="37"/>
      <c r="F1168" s="38"/>
      <c r="G1168" s="24" t="str">
        <f aca="false">IF(OR(C1168="",D1168="",N(E1168)=0),"",E1168*IF(F1168="",IFERROR(N(INDEX(Produtos!$K$5:$K$54,MATCH(D1168,Produtos!$B$5:$B$54,0))),0),F1168))</f>
        <v/>
      </c>
      <c r="H1168" s="24" t="str">
        <f aca="false">IF(G1168="","",E1168*IFERROR(N(INDEX(Produtos!$F$5:$F$54,MATCH(D1168,Produtos!$B$5:$B$54,0))),0))</f>
        <v/>
      </c>
      <c r="I1168" s="24" t="str">
        <f aca="false">IF(G1168="","",G1168-H1168)</f>
        <v/>
      </c>
      <c r="J1168" s="37"/>
    </row>
    <row r="1169" customFormat="false" ht="21" hidden="false" customHeight="true" outlineLevel="0" collapsed="false">
      <c r="B1169" s="36"/>
      <c r="C1169" s="7"/>
      <c r="D1169" s="7"/>
      <c r="E1169" s="37"/>
      <c r="F1169" s="38"/>
      <c r="G1169" s="24" t="str">
        <f aca="false">IF(OR(C1169="",D1169="",N(E1169)=0),"",E1169*IF(F1169="",IFERROR(N(INDEX(Produtos!$K$5:$K$54,MATCH(D1169,Produtos!$B$5:$B$54,0))),0),F1169))</f>
        <v/>
      </c>
      <c r="H1169" s="24" t="str">
        <f aca="false">IF(G1169="","",E1169*IFERROR(N(INDEX(Produtos!$F$5:$F$54,MATCH(D1169,Produtos!$B$5:$B$54,0))),0))</f>
        <v/>
      </c>
      <c r="I1169" s="24" t="str">
        <f aca="false">IF(G1169="","",G1169-H1169)</f>
        <v/>
      </c>
      <c r="J1169" s="37"/>
    </row>
    <row r="1170" customFormat="false" ht="21" hidden="false" customHeight="true" outlineLevel="0" collapsed="false">
      <c r="B1170" s="36"/>
      <c r="C1170" s="7"/>
      <c r="D1170" s="7"/>
      <c r="E1170" s="37"/>
      <c r="F1170" s="38"/>
      <c r="G1170" s="24" t="str">
        <f aca="false">IF(OR(C1170="",D1170="",N(E1170)=0),"",E1170*IF(F1170="",IFERROR(N(INDEX(Produtos!$K$5:$K$54,MATCH(D1170,Produtos!$B$5:$B$54,0))),0),F1170))</f>
        <v/>
      </c>
      <c r="H1170" s="24" t="str">
        <f aca="false">IF(G1170="","",E1170*IFERROR(N(INDEX(Produtos!$F$5:$F$54,MATCH(D1170,Produtos!$B$5:$B$54,0))),0))</f>
        <v/>
      </c>
      <c r="I1170" s="24" t="str">
        <f aca="false">IF(G1170="","",G1170-H1170)</f>
        <v/>
      </c>
      <c r="J1170" s="37"/>
    </row>
    <row r="1171" customFormat="false" ht="21" hidden="false" customHeight="true" outlineLevel="0" collapsed="false">
      <c r="B1171" s="36"/>
      <c r="C1171" s="7"/>
      <c r="D1171" s="7"/>
      <c r="E1171" s="37"/>
      <c r="F1171" s="38"/>
      <c r="G1171" s="24" t="str">
        <f aca="false">IF(OR(C1171="",D1171="",N(E1171)=0),"",E1171*IF(F1171="",IFERROR(N(INDEX(Produtos!$K$5:$K$54,MATCH(D1171,Produtos!$B$5:$B$54,0))),0),F1171))</f>
        <v/>
      </c>
      <c r="H1171" s="24" t="str">
        <f aca="false">IF(G1171="","",E1171*IFERROR(N(INDEX(Produtos!$F$5:$F$54,MATCH(D1171,Produtos!$B$5:$B$54,0))),0))</f>
        <v/>
      </c>
      <c r="I1171" s="24" t="str">
        <f aca="false">IF(G1171="","",G1171-H1171)</f>
        <v/>
      </c>
      <c r="J1171" s="37"/>
    </row>
    <row r="1172" customFormat="false" ht="21" hidden="false" customHeight="true" outlineLevel="0" collapsed="false">
      <c r="B1172" s="36"/>
      <c r="C1172" s="7"/>
      <c r="D1172" s="7"/>
      <c r="E1172" s="37"/>
      <c r="F1172" s="38"/>
      <c r="G1172" s="24" t="str">
        <f aca="false">IF(OR(C1172="",D1172="",N(E1172)=0),"",E1172*IF(F1172="",IFERROR(N(INDEX(Produtos!$K$5:$K$54,MATCH(D1172,Produtos!$B$5:$B$54,0))),0),F1172))</f>
        <v/>
      </c>
      <c r="H1172" s="24" t="str">
        <f aca="false">IF(G1172="","",E1172*IFERROR(N(INDEX(Produtos!$F$5:$F$54,MATCH(D1172,Produtos!$B$5:$B$54,0))),0))</f>
        <v/>
      </c>
      <c r="I1172" s="24" t="str">
        <f aca="false">IF(G1172="","",G1172-H1172)</f>
        <v/>
      </c>
      <c r="J1172" s="37"/>
    </row>
    <row r="1173" customFormat="false" ht="21" hidden="false" customHeight="true" outlineLevel="0" collapsed="false">
      <c r="B1173" s="36"/>
      <c r="C1173" s="7"/>
      <c r="D1173" s="7"/>
      <c r="E1173" s="37"/>
      <c r="F1173" s="38"/>
      <c r="G1173" s="24" t="str">
        <f aca="false">IF(OR(C1173="",D1173="",N(E1173)=0),"",E1173*IF(F1173="",IFERROR(N(INDEX(Produtos!$K$5:$K$54,MATCH(D1173,Produtos!$B$5:$B$54,0))),0),F1173))</f>
        <v/>
      </c>
      <c r="H1173" s="24" t="str">
        <f aca="false">IF(G1173="","",E1173*IFERROR(N(INDEX(Produtos!$F$5:$F$54,MATCH(D1173,Produtos!$B$5:$B$54,0))),0))</f>
        <v/>
      </c>
      <c r="I1173" s="24" t="str">
        <f aca="false">IF(G1173="","",G1173-H1173)</f>
        <v/>
      </c>
      <c r="J1173" s="37"/>
    </row>
    <row r="1174" customFormat="false" ht="21" hidden="false" customHeight="true" outlineLevel="0" collapsed="false">
      <c r="B1174" s="36"/>
      <c r="C1174" s="7"/>
      <c r="D1174" s="7"/>
      <c r="E1174" s="37"/>
      <c r="F1174" s="38"/>
      <c r="G1174" s="24" t="str">
        <f aca="false">IF(OR(C1174="",D1174="",N(E1174)=0),"",E1174*IF(F1174="",IFERROR(N(INDEX(Produtos!$K$5:$K$54,MATCH(D1174,Produtos!$B$5:$B$54,0))),0),F1174))</f>
        <v/>
      </c>
      <c r="H1174" s="24" t="str">
        <f aca="false">IF(G1174="","",E1174*IFERROR(N(INDEX(Produtos!$F$5:$F$54,MATCH(D1174,Produtos!$B$5:$B$54,0))),0))</f>
        <v/>
      </c>
      <c r="I1174" s="24" t="str">
        <f aca="false">IF(G1174="","",G1174-H1174)</f>
        <v/>
      </c>
      <c r="J1174" s="37"/>
    </row>
    <row r="1175" customFormat="false" ht="21" hidden="false" customHeight="true" outlineLevel="0" collapsed="false">
      <c r="B1175" s="36"/>
      <c r="C1175" s="7"/>
      <c r="D1175" s="7"/>
      <c r="E1175" s="37"/>
      <c r="F1175" s="38"/>
      <c r="G1175" s="24" t="str">
        <f aca="false">IF(OR(C1175="",D1175="",N(E1175)=0),"",E1175*IF(F1175="",IFERROR(N(INDEX(Produtos!$K$5:$K$54,MATCH(D1175,Produtos!$B$5:$B$54,0))),0),F1175))</f>
        <v/>
      </c>
      <c r="H1175" s="24" t="str">
        <f aca="false">IF(G1175="","",E1175*IFERROR(N(INDEX(Produtos!$F$5:$F$54,MATCH(D1175,Produtos!$B$5:$B$54,0))),0))</f>
        <v/>
      </c>
      <c r="I1175" s="24" t="str">
        <f aca="false">IF(G1175="","",G1175-H1175)</f>
        <v/>
      </c>
      <c r="J1175" s="37"/>
    </row>
    <row r="1176" customFormat="false" ht="21" hidden="false" customHeight="true" outlineLevel="0" collapsed="false">
      <c r="B1176" s="36"/>
      <c r="C1176" s="7"/>
      <c r="D1176" s="7"/>
      <c r="E1176" s="37"/>
      <c r="F1176" s="38"/>
      <c r="G1176" s="24" t="str">
        <f aca="false">IF(OR(C1176="",D1176="",N(E1176)=0),"",E1176*IF(F1176="",IFERROR(N(INDEX(Produtos!$K$5:$K$54,MATCH(D1176,Produtos!$B$5:$B$54,0))),0),F1176))</f>
        <v/>
      </c>
      <c r="H1176" s="24" t="str">
        <f aca="false">IF(G1176="","",E1176*IFERROR(N(INDEX(Produtos!$F$5:$F$54,MATCH(D1176,Produtos!$B$5:$B$54,0))),0))</f>
        <v/>
      </c>
      <c r="I1176" s="24" t="str">
        <f aca="false">IF(G1176="","",G1176-H1176)</f>
        <v/>
      </c>
      <c r="J1176" s="37"/>
    </row>
    <row r="1177" customFormat="false" ht="21" hidden="false" customHeight="true" outlineLevel="0" collapsed="false">
      <c r="B1177" s="36"/>
      <c r="C1177" s="7"/>
      <c r="D1177" s="7"/>
      <c r="E1177" s="37"/>
      <c r="F1177" s="38"/>
      <c r="G1177" s="24" t="str">
        <f aca="false">IF(OR(C1177="",D1177="",N(E1177)=0),"",E1177*IF(F1177="",IFERROR(N(INDEX(Produtos!$K$5:$K$54,MATCH(D1177,Produtos!$B$5:$B$54,0))),0),F1177))</f>
        <v/>
      </c>
      <c r="H1177" s="24" t="str">
        <f aca="false">IF(G1177="","",E1177*IFERROR(N(INDEX(Produtos!$F$5:$F$54,MATCH(D1177,Produtos!$B$5:$B$54,0))),0))</f>
        <v/>
      </c>
      <c r="I1177" s="24" t="str">
        <f aca="false">IF(G1177="","",G1177-H1177)</f>
        <v/>
      </c>
      <c r="J1177" s="37"/>
    </row>
    <row r="1178" customFormat="false" ht="21" hidden="false" customHeight="true" outlineLevel="0" collapsed="false">
      <c r="B1178" s="36"/>
      <c r="C1178" s="7"/>
      <c r="D1178" s="7"/>
      <c r="E1178" s="37"/>
      <c r="F1178" s="38"/>
      <c r="G1178" s="24" t="str">
        <f aca="false">IF(OR(C1178="",D1178="",N(E1178)=0),"",E1178*IF(F1178="",IFERROR(N(INDEX(Produtos!$K$5:$K$54,MATCH(D1178,Produtos!$B$5:$B$54,0))),0),F1178))</f>
        <v/>
      </c>
      <c r="H1178" s="24" t="str">
        <f aca="false">IF(G1178="","",E1178*IFERROR(N(INDEX(Produtos!$F$5:$F$54,MATCH(D1178,Produtos!$B$5:$B$54,0))),0))</f>
        <v/>
      </c>
      <c r="I1178" s="24" t="str">
        <f aca="false">IF(G1178="","",G1178-H1178)</f>
        <v/>
      </c>
      <c r="J1178" s="37"/>
    </row>
    <row r="1179" customFormat="false" ht="21" hidden="false" customHeight="true" outlineLevel="0" collapsed="false">
      <c r="B1179" s="36"/>
      <c r="C1179" s="7"/>
      <c r="D1179" s="7"/>
      <c r="E1179" s="37"/>
      <c r="F1179" s="38"/>
      <c r="G1179" s="24" t="str">
        <f aca="false">IF(OR(C1179="",D1179="",N(E1179)=0),"",E1179*IF(F1179="",IFERROR(N(INDEX(Produtos!$K$5:$K$54,MATCH(D1179,Produtos!$B$5:$B$54,0))),0),F1179))</f>
        <v/>
      </c>
      <c r="H1179" s="24" t="str">
        <f aca="false">IF(G1179="","",E1179*IFERROR(N(INDEX(Produtos!$F$5:$F$54,MATCH(D1179,Produtos!$B$5:$B$54,0))),0))</f>
        <v/>
      </c>
      <c r="I1179" s="24" t="str">
        <f aca="false">IF(G1179="","",G1179-H1179)</f>
        <v/>
      </c>
      <c r="J1179" s="37"/>
    </row>
    <row r="1180" customFormat="false" ht="21" hidden="false" customHeight="true" outlineLevel="0" collapsed="false">
      <c r="B1180" s="36"/>
      <c r="C1180" s="7"/>
      <c r="D1180" s="7"/>
      <c r="E1180" s="37"/>
      <c r="F1180" s="38"/>
      <c r="G1180" s="24" t="str">
        <f aca="false">IF(OR(C1180="",D1180="",N(E1180)=0),"",E1180*IF(F1180="",IFERROR(N(INDEX(Produtos!$K$5:$K$54,MATCH(D1180,Produtos!$B$5:$B$54,0))),0),F1180))</f>
        <v/>
      </c>
      <c r="H1180" s="24" t="str">
        <f aca="false">IF(G1180="","",E1180*IFERROR(N(INDEX(Produtos!$F$5:$F$54,MATCH(D1180,Produtos!$B$5:$B$54,0))),0))</f>
        <v/>
      </c>
      <c r="I1180" s="24" t="str">
        <f aca="false">IF(G1180="","",G1180-H1180)</f>
        <v/>
      </c>
      <c r="J1180" s="37"/>
    </row>
    <row r="1181" customFormat="false" ht="21" hidden="false" customHeight="true" outlineLevel="0" collapsed="false">
      <c r="B1181" s="36"/>
      <c r="C1181" s="7"/>
      <c r="D1181" s="7"/>
      <c r="E1181" s="37"/>
      <c r="F1181" s="38"/>
      <c r="G1181" s="24" t="str">
        <f aca="false">IF(OR(C1181="",D1181="",N(E1181)=0),"",E1181*IF(F1181="",IFERROR(N(INDEX(Produtos!$K$5:$K$54,MATCH(D1181,Produtos!$B$5:$B$54,0))),0),F1181))</f>
        <v/>
      </c>
      <c r="H1181" s="24" t="str">
        <f aca="false">IF(G1181="","",E1181*IFERROR(N(INDEX(Produtos!$F$5:$F$54,MATCH(D1181,Produtos!$B$5:$B$54,0))),0))</f>
        <v/>
      </c>
      <c r="I1181" s="24" t="str">
        <f aca="false">IF(G1181="","",G1181-H1181)</f>
        <v/>
      </c>
      <c r="J1181" s="37"/>
    </row>
    <row r="1182" customFormat="false" ht="21" hidden="false" customHeight="true" outlineLevel="0" collapsed="false">
      <c r="B1182" s="36"/>
      <c r="C1182" s="7"/>
      <c r="D1182" s="7"/>
      <c r="E1182" s="37"/>
      <c r="F1182" s="38"/>
      <c r="G1182" s="24" t="str">
        <f aca="false">IF(OR(C1182="",D1182="",N(E1182)=0),"",E1182*IF(F1182="",IFERROR(N(INDEX(Produtos!$K$5:$K$54,MATCH(D1182,Produtos!$B$5:$B$54,0))),0),F1182))</f>
        <v/>
      </c>
      <c r="H1182" s="24" t="str">
        <f aca="false">IF(G1182="","",E1182*IFERROR(N(INDEX(Produtos!$F$5:$F$54,MATCH(D1182,Produtos!$B$5:$B$54,0))),0))</f>
        <v/>
      </c>
      <c r="I1182" s="24" t="str">
        <f aca="false">IF(G1182="","",G1182-H1182)</f>
        <v/>
      </c>
      <c r="J1182" s="37"/>
    </row>
    <row r="1183" customFormat="false" ht="21" hidden="false" customHeight="true" outlineLevel="0" collapsed="false">
      <c r="B1183" s="36"/>
      <c r="C1183" s="7"/>
      <c r="D1183" s="7"/>
      <c r="E1183" s="37"/>
      <c r="F1183" s="38"/>
      <c r="G1183" s="24" t="str">
        <f aca="false">IF(OR(C1183="",D1183="",N(E1183)=0),"",E1183*IF(F1183="",IFERROR(N(INDEX(Produtos!$K$5:$K$54,MATCH(D1183,Produtos!$B$5:$B$54,0))),0),F1183))</f>
        <v/>
      </c>
      <c r="H1183" s="24" t="str">
        <f aca="false">IF(G1183="","",E1183*IFERROR(N(INDEX(Produtos!$F$5:$F$54,MATCH(D1183,Produtos!$B$5:$B$54,0))),0))</f>
        <v/>
      </c>
      <c r="I1183" s="24" t="str">
        <f aca="false">IF(G1183="","",G1183-H1183)</f>
        <v/>
      </c>
      <c r="J1183" s="37"/>
    </row>
    <row r="1184" customFormat="false" ht="21" hidden="false" customHeight="true" outlineLevel="0" collapsed="false">
      <c r="B1184" s="36"/>
      <c r="C1184" s="7"/>
      <c r="D1184" s="7"/>
      <c r="E1184" s="37"/>
      <c r="F1184" s="38"/>
      <c r="G1184" s="24" t="str">
        <f aca="false">IF(OR(C1184="",D1184="",N(E1184)=0),"",E1184*IF(F1184="",IFERROR(N(INDEX(Produtos!$K$5:$K$54,MATCH(D1184,Produtos!$B$5:$B$54,0))),0),F1184))</f>
        <v/>
      </c>
      <c r="H1184" s="24" t="str">
        <f aca="false">IF(G1184="","",E1184*IFERROR(N(INDEX(Produtos!$F$5:$F$54,MATCH(D1184,Produtos!$B$5:$B$54,0))),0))</f>
        <v/>
      </c>
      <c r="I1184" s="24" t="str">
        <f aca="false">IF(G1184="","",G1184-H1184)</f>
        <v/>
      </c>
      <c r="J1184" s="37"/>
    </row>
    <row r="1185" customFormat="false" ht="21" hidden="false" customHeight="true" outlineLevel="0" collapsed="false">
      <c r="B1185" s="36"/>
      <c r="C1185" s="7"/>
      <c r="D1185" s="7"/>
      <c r="E1185" s="37"/>
      <c r="F1185" s="38"/>
      <c r="G1185" s="24" t="str">
        <f aca="false">IF(OR(C1185="",D1185="",N(E1185)=0),"",E1185*IF(F1185="",IFERROR(N(INDEX(Produtos!$K$5:$K$54,MATCH(D1185,Produtos!$B$5:$B$54,0))),0),F1185))</f>
        <v/>
      </c>
      <c r="H1185" s="24" t="str">
        <f aca="false">IF(G1185="","",E1185*IFERROR(N(INDEX(Produtos!$F$5:$F$54,MATCH(D1185,Produtos!$B$5:$B$54,0))),0))</f>
        <v/>
      </c>
      <c r="I1185" s="24" t="str">
        <f aca="false">IF(G1185="","",G1185-H1185)</f>
        <v/>
      </c>
      <c r="J1185" s="37"/>
    </row>
    <row r="1186" customFormat="false" ht="21" hidden="false" customHeight="true" outlineLevel="0" collapsed="false">
      <c r="B1186" s="36"/>
      <c r="C1186" s="7"/>
      <c r="D1186" s="7"/>
      <c r="E1186" s="37"/>
      <c r="F1186" s="38"/>
      <c r="G1186" s="24" t="str">
        <f aca="false">IF(OR(C1186="",D1186="",N(E1186)=0),"",E1186*IF(F1186="",IFERROR(N(INDEX(Produtos!$K$5:$K$54,MATCH(D1186,Produtos!$B$5:$B$54,0))),0),F1186))</f>
        <v/>
      </c>
      <c r="H1186" s="24" t="str">
        <f aca="false">IF(G1186="","",E1186*IFERROR(N(INDEX(Produtos!$F$5:$F$54,MATCH(D1186,Produtos!$B$5:$B$54,0))),0))</f>
        <v/>
      </c>
      <c r="I1186" s="24" t="str">
        <f aca="false">IF(G1186="","",G1186-H1186)</f>
        <v/>
      </c>
      <c r="J1186" s="37"/>
    </row>
    <row r="1187" customFormat="false" ht="21" hidden="false" customHeight="true" outlineLevel="0" collapsed="false">
      <c r="B1187" s="36"/>
      <c r="C1187" s="7"/>
      <c r="D1187" s="7"/>
      <c r="E1187" s="37"/>
      <c r="F1187" s="38"/>
      <c r="G1187" s="24" t="str">
        <f aca="false">IF(OR(C1187="",D1187="",N(E1187)=0),"",E1187*IF(F1187="",IFERROR(N(INDEX(Produtos!$K$5:$K$54,MATCH(D1187,Produtos!$B$5:$B$54,0))),0),F1187))</f>
        <v/>
      </c>
      <c r="H1187" s="24" t="str">
        <f aca="false">IF(G1187="","",E1187*IFERROR(N(INDEX(Produtos!$F$5:$F$54,MATCH(D1187,Produtos!$B$5:$B$54,0))),0))</f>
        <v/>
      </c>
      <c r="I1187" s="24" t="str">
        <f aca="false">IF(G1187="","",G1187-H1187)</f>
        <v/>
      </c>
      <c r="J1187" s="37"/>
    </row>
    <row r="1188" customFormat="false" ht="21" hidden="false" customHeight="true" outlineLevel="0" collapsed="false">
      <c r="B1188" s="36"/>
      <c r="C1188" s="7"/>
      <c r="D1188" s="7"/>
      <c r="E1188" s="37"/>
      <c r="F1188" s="38"/>
      <c r="G1188" s="24" t="str">
        <f aca="false">IF(OR(C1188="",D1188="",N(E1188)=0),"",E1188*IF(F1188="",IFERROR(N(INDEX(Produtos!$K$5:$K$54,MATCH(D1188,Produtos!$B$5:$B$54,0))),0),F1188))</f>
        <v/>
      </c>
      <c r="H1188" s="24" t="str">
        <f aca="false">IF(G1188="","",E1188*IFERROR(N(INDEX(Produtos!$F$5:$F$54,MATCH(D1188,Produtos!$B$5:$B$54,0))),0))</f>
        <v/>
      </c>
      <c r="I1188" s="24" t="str">
        <f aca="false">IF(G1188="","",G1188-H1188)</f>
        <v/>
      </c>
      <c r="J1188" s="37"/>
    </row>
    <row r="1189" customFormat="false" ht="21" hidden="false" customHeight="true" outlineLevel="0" collapsed="false">
      <c r="B1189" s="36"/>
      <c r="C1189" s="7"/>
      <c r="D1189" s="7"/>
      <c r="E1189" s="37"/>
      <c r="F1189" s="38"/>
      <c r="G1189" s="24" t="str">
        <f aca="false">IF(OR(C1189="",D1189="",N(E1189)=0),"",E1189*IF(F1189="",IFERROR(N(INDEX(Produtos!$K$5:$K$54,MATCH(D1189,Produtos!$B$5:$B$54,0))),0),F1189))</f>
        <v/>
      </c>
      <c r="H1189" s="24" t="str">
        <f aca="false">IF(G1189="","",E1189*IFERROR(N(INDEX(Produtos!$F$5:$F$54,MATCH(D1189,Produtos!$B$5:$B$54,0))),0))</f>
        <v/>
      </c>
      <c r="I1189" s="24" t="str">
        <f aca="false">IF(G1189="","",G1189-H1189)</f>
        <v/>
      </c>
      <c r="J1189" s="37"/>
    </row>
    <row r="1190" customFormat="false" ht="21" hidden="false" customHeight="true" outlineLevel="0" collapsed="false">
      <c r="B1190" s="36"/>
      <c r="C1190" s="7"/>
      <c r="D1190" s="7"/>
      <c r="E1190" s="37"/>
      <c r="F1190" s="38"/>
      <c r="G1190" s="24" t="str">
        <f aca="false">IF(OR(C1190="",D1190="",N(E1190)=0),"",E1190*IF(F1190="",IFERROR(N(INDEX(Produtos!$K$5:$K$54,MATCH(D1190,Produtos!$B$5:$B$54,0))),0),F1190))</f>
        <v/>
      </c>
      <c r="H1190" s="24" t="str">
        <f aca="false">IF(G1190="","",E1190*IFERROR(N(INDEX(Produtos!$F$5:$F$54,MATCH(D1190,Produtos!$B$5:$B$54,0))),0))</f>
        <v/>
      </c>
      <c r="I1190" s="24" t="str">
        <f aca="false">IF(G1190="","",G1190-H1190)</f>
        <v/>
      </c>
      <c r="J1190" s="37"/>
    </row>
    <row r="1191" customFormat="false" ht="21" hidden="false" customHeight="true" outlineLevel="0" collapsed="false">
      <c r="B1191" s="36"/>
      <c r="C1191" s="7"/>
      <c r="D1191" s="7"/>
      <c r="E1191" s="37"/>
      <c r="F1191" s="38"/>
      <c r="G1191" s="24" t="str">
        <f aca="false">IF(OR(C1191="",D1191="",N(E1191)=0),"",E1191*IF(F1191="",IFERROR(N(INDEX(Produtos!$K$5:$K$54,MATCH(D1191,Produtos!$B$5:$B$54,0))),0),F1191))</f>
        <v/>
      </c>
      <c r="H1191" s="24" t="str">
        <f aca="false">IF(G1191="","",E1191*IFERROR(N(INDEX(Produtos!$F$5:$F$54,MATCH(D1191,Produtos!$B$5:$B$54,0))),0))</f>
        <v/>
      </c>
      <c r="I1191" s="24" t="str">
        <f aca="false">IF(G1191="","",G1191-H1191)</f>
        <v/>
      </c>
      <c r="J1191" s="37"/>
    </row>
    <row r="1192" customFormat="false" ht="21" hidden="false" customHeight="true" outlineLevel="0" collapsed="false">
      <c r="B1192" s="36"/>
      <c r="C1192" s="7"/>
      <c r="D1192" s="7"/>
      <c r="E1192" s="37"/>
      <c r="F1192" s="38"/>
      <c r="G1192" s="24" t="str">
        <f aca="false">IF(OR(C1192="",D1192="",N(E1192)=0),"",E1192*IF(F1192="",IFERROR(N(INDEX(Produtos!$K$5:$K$54,MATCH(D1192,Produtos!$B$5:$B$54,0))),0),F1192))</f>
        <v/>
      </c>
      <c r="H1192" s="24" t="str">
        <f aca="false">IF(G1192="","",E1192*IFERROR(N(INDEX(Produtos!$F$5:$F$54,MATCH(D1192,Produtos!$B$5:$B$54,0))),0))</f>
        <v/>
      </c>
      <c r="I1192" s="24" t="str">
        <f aca="false">IF(G1192="","",G1192-H1192)</f>
        <v/>
      </c>
      <c r="J1192" s="37"/>
    </row>
    <row r="1193" customFormat="false" ht="21" hidden="false" customHeight="true" outlineLevel="0" collapsed="false">
      <c r="B1193" s="36"/>
      <c r="C1193" s="7"/>
      <c r="D1193" s="7"/>
      <c r="E1193" s="37"/>
      <c r="F1193" s="38"/>
      <c r="G1193" s="24" t="str">
        <f aca="false">IF(OR(C1193="",D1193="",N(E1193)=0),"",E1193*IF(F1193="",IFERROR(N(INDEX(Produtos!$K$5:$K$54,MATCH(D1193,Produtos!$B$5:$B$54,0))),0),F1193))</f>
        <v/>
      </c>
      <c r="H1193" s="24" t="str">
        <f aca="false">IF(G1193="","",E1193*IFERROR(N(INDEX(Produtos!$F$5:$F$54,MATCH(D1193,Produtos!$B$5:$B$54,0))),0))</f>
        <v/>
      </c>
      <c r="I1193" s="24" t="str">
        <f aca="false">IF(G1193="","",G1193-H1193)</f>
        <v/>
      </c>
      <c r="J1193" s="37"/>
    </row>
    <row r="1194" customFormat="false" ht="21" hidden="false" customHeight="true" outlineLevel="0" collapsed="false">
      <c r="B1194" s="36"/>
      <c r="C1194" s="7"/>
      <c r="D1194" s="7"/>
      <c r="E1194" s="37"/>
      <c r="F1194" s="38"/>
      <c r="G1194" s="24" t="str">
        <f aca="false">IF(OR(C1194="",D1194="",N(E1194)=0),"",E1194*IF(F1194="",IFERROR(N(INDEX(Produtos!$K$5:$K$54,MATCH(D1194,Produtos!$B$5:$B$54,0))),0),F1194))</f>
        <v/>
      </c>
      <c r="H1194" s="24" t="str">
        <f aca="false">IF(G1194="","",E1194*IFERROR(N(INDEX(Produtos!$F$5:$F$54,MATCH(D1194,Produtos!$B$5:$B$54,0))),0))</f>
        <v/>
      </c>
      <c r="I1194" s="24" t="str">
        <f aca="false">IF(G1194="","",G1194-H1194)</f>
        <v/>
      </c>
      <c r="J1194" s="37"/>
    </row>
    <row r="1195" customFormat="false" ht="21" hidden="false" customHeight="true" outlineLevel="0" collapsed="false">
      <c r="B1195" s="36"/>
      <c r="C1195" s="7"/>
      <c r="D1195" s="7"/>
      <c r="E1195" s="37"/>
      <c r="F1195" s="38"/>
      <c r="G1195" s="24" t="str">
        <f aca="false">IF(OR(C1195="",D1195="",N(E1195)=0),"",E1195*IF(F1195="",IFERROR(N(INDEX(Produtos!$K$5:$K$54,MATCH(D1195,Produtos!$B$5:$B$54,0))),0),F1195))</f>
        <v/>
      </c>
      <c r="H1195" s="24" t="str">
        <f aca="false">IF(G1195="","",E1195*IFERROR(N(INDEX(Produtos!$F$5:$F$54,MATCH(D1195,Produtos!$B$5:$B$54,0))),0))</f>
        <v/>
      </c>
      <c r="I1195" s="24" t="str">
        <f aca="false">IF(G1195="","",G1195-H1195)</f>
        <v/>
      </c>
      <c r="J1195" s="37"/>
    </row>
    <row r="1196" customFormat="false" ht="21" hidden="false" customHeight="true" outlineLevel="0" collapsed="false">
      <c r="B1196" s="36"/>
      <c r="C1196" s="7"/>
      <c r="D1196" s="7"/>
      <c r="E1196" s="37"/>
      <c r="F1196" s="38"/>
      <c r="G1196" s="24" t="str">
        <f aca="false">IF(OR(C1196="",D1196="",N(E1196)=0),"",E1196*IF(F1196="",IFERROR(N(INDEX(Produtos!$K$5:$K$54,MATCH(D1196,Produtos!$B$5:$B$54,0))),0),F1196))</f>
        <v/>
      </c>
      <c r="H1196" s="24" t="str">
        <f aca="false">IF(G1196="","",E1196*IFERROR(N(INDEX(Produtos!$F$5:$F$54,MATCH(D1196,Produtos!$B$5:$B$54,0))),0))</f>
        <v/>
      </c>
      <c r="I1196" s="24" t="str">
        <f aca="false">IF(G1196="","",G1196-H1196)</f>
        <v/>
      </c>
      <c r="J1196" s="37"/>
    </row>
    <row r="1197" customFormat="false" ht="21" hidden="false" customHeight="true" outlineLevel="0" collapsed="false">
      <c r="B1197" s="36"/>
      <c r="C1197" s="7"/>
      <c r="D1197" s="7"/>
      <c r="E1197" s="37"/>
      <c r="F1197" s="38"/>
      <c r="G1197" s="24" t="str">
        <f aca="false">IF(OR(C1197="",D1197="",N(E1197)=0),"",E1197*IF(F1197="",IFERROR(N(INDEX(Produtos!$K$5:$K$54,MATCH(D1197,Produtos!$B$5:$B$54,0))),0),F1197))</f>
        <v/>
      </c>
      <c r="H1197" s="24" t="str">
        <f aca="false">IF(G1197="","",E1197*IFERROR(N(INDEX(Produtos!$F$5:$F$54,MATCH(D1197,Produtos!$B$5:$B$54,0))),0))</f>
        <v/>
      </c>
      <c r="I1197" s="24" t="str">
        <f aca="false">IF(G1197="","",G1197-H1197)</f>
        <v/>
      </c>
      <c r="J1197" s="37"/>
    </row>
    <row r="1198" customFormat="false" ht="21" hidden="false" customHeight="true" outlineLevel="0" collapsed="false">
      <c r="B1198" s="36"/>
      <c r="C1198" s="7"/>
      <c r="D1198" s="7"/>
      <c r="E1198" s="37"/>
      <c r="F1198" s="38"/>
      <c r="G1198" s="24" t="str">
        <f aca="false">IF(OR(C1198="",D1198="",N(E1198)=0),"",E1198*IF(F1198="",IFERROR(N(INDEX(Produtos!$K$5:$K$54,MATCH(D1198,Produtos!$B$5:$B$54,0))),0),F1198))</f>
        <v/>
      </c>
      <c r="H1198" s="24" t="str">
        <f aca="false">IF(G1198="","",E1198*IFERROR(N(INDEX(Produtos!$F$5:$F$54,MATCH(D1198,Produtos!$B$5:$B$54,0))),0))</f>
        <v/>
      </c>
      <c r="I1198" s="24" t="str">
        <f aca="false">IF(G1198="","",G1198-H1198)</f>
        <v/>
      </c>
      <c r="J1198" s="37"/>
    </row>
    <row r="1199" customFormat="false" ht="21" hidden="false" customHeight="true" outlineLevel="0" collapsed="false">
      <c r="B1199" s="36"/>
      <c r="C1199" s="7"/>
      <c r="D1199" s="7"/>
      <c r="E1199" s="37"/>
      <c r="F1199" s="38"/>
      <c r="G1199" s="24" t="str">
        <f aca="false">IF(OR(C1199="",D1199="",N(E1199)=0),"",E1199*IF(F1199="",IFERROR(N(INDEX(Produtos!$K$5:$K$54,MATCH(D1199,Produtos!$B$5:$B$54,0))),0),F1199))</f>
        <v/>
      </c>
      <c r="H1199" s="24" t="str">
        <f aca="false">IF(G1199="","",E1199*IFERROR(N(INDEX(Produtos!$F$5:$F$54,MATCH(D1199,Produtos!$B$5:$B$54,0))),0))</f>
        <v/>
      </c>
      <c r="I1199" s="24" t="str">
        <f aca="false">IF(G1199="","",G1199-H1199)</f>
        <v/>
      </c>
      <c r="J1199" s="37"/>
    </row>
    <row r="1200" customFormat="false" ht="21" hidden="false" customHeight="true" outlineLevel="0" collapsed="false">
      <c r="B1200" s="36"/>
      <c r="C1200" s="7"/>
      <c r="D1200" s="7"/>
      <c r="E1200" s="37"/>
      <c r="F1200" s="38"/>
      <c r="G1200" s="24" t="str">
        <f aca="false">IF(OR(C1200="",D1200="",N(E1200)=0),"",E1200*IF(F1200="",IFERROR(N(INDEX(Produtos!$K$5:$K$54,MATCH(D1200,Produtos!$B$5:$B$54,0))),0),F1200))</f>
        <v/>
      </c>
      <c r="H1200" s="24" t="str">
        <f aca="false">IF(G1200="","",E1200*IFERROR(N(INDEX(Produtos!$F$5:$F$54,MATCH(D1200,Produtos!$B$5:$B$54,0))),0))</f>
        <v/>
      </c>
      <c r="I1200" s="24" t="str">
        <f aca="false">IF(G1200="","",G1200-H1200)</f>
        <v/>
      </c>
      <c r="J1200" s="37"/>
    </row>
    <row r="1201" customFormat="false" ht="21" hidden="false" customHeight="true" outlineLevel="0" collapsed="false">
      <c r="B1201" s="36"/>
      <c r="C1201" s="7"/>
      <c r="D1201" s="7"/>
      <c r="E1201" s="37"/>
      <c r="F1201" s="38"/>
      <c r="G1201" s="24" t="str">
        <f aca="false">IF(OR(C1201="",D1201="",N(E1201)=0),"",E1201*IF(F1201="",IFERROR(N(INDEX(Produtos!$K$5:$K$54,MATCH(D1201,Produtos!$B$5:$B$54,0))),0),F1201))</f>
        <v/>
      </c>
      <c r="H1201" s="24" t="str">
        <f aca="false">IF(G1201="","",E1201*IFERROR(N(INDEX(Produtos!$F$5:$F$54,MATCH(D1201,Produtos!$B$5:$B$54,0))),0))</f>
        <v/>
      </c>
      <c r="I1201" s="24" t="str">
        <f aca="false">IF(G1201="","",G1201-H1201)</f>
        <v/>
      </c>
      <c r="J1201" s="37"/>
    </row>
    <row r="1202" customFormat="false" ht="21" hidden="false" customHeight="true" outlineLevel="0" collapsed="false">
      <c r="B1202" s="36"/>
      <c r="C1202" s="7"/>
      <c r="D1202" s="7"/>
      <c r="E1202" s="37"/>
      <c r="F1202" s="38"/>
      <c r="G1202" s="24" t="str">
        <f aca="false">IF(OR(C1202="",D1202="",N(E1202)=0),"",E1202*IF(F1202="",IFERROR(N(INDEX(Produtos!$K$5:$K$54,MATCH(D1202,Produtos!$B$5:$B$54,0))),0),F1202))</f>
        <v/>
      </c>
      <c r="H1202" s="24" t="str">
        <f aca="false">IF(G1202="","",E1202*IFERROR(N(INDEX(Produtos!$F$5:$F$54,MATCH(D1202,Produtos!$B$5:$B$54,0))),0))</f>
        <v/>
      </c>
      <c r="I1202" s="24" t="str">
        <f aca="false">IF(G1202="","",G1202-H1202)</f>
        <v/>
      </c>
      <c r="J1202" s="37"/>
    </row>
    <row r="1203" customFormat="false" ht="21" hidden="false" customHeight="true" outlineLevel="0" collapsed="false">
      <c r="B1203" s="36"/>
      <c r="C1203" s="7"/>
      <c r="D1203" s="7"/>
      <c r="E1203" s="37"/>
      <c r="F1203" s="38"/>
      <c r="G1203" s="24" t="str">
        <f aca="false">IF(OR(C1203="",D1203="",N(E1203)=0),"",E1203*IF(F1203="",IFERROR(N(INDEX(Produtos!$K$5:$K$54,MATCH(D1203,Produtos!$B$5:$B$54,0))),0),F1203))</f>
        <v/>
      </c>
      <c r="H1203" s="24" t="str">
        <f aca="false">IF(G1203="","",E1203*IFERROR(N(INDEX(Produtos!$F$5:$F$54,MATCH(D1203,Produtos!$B$5:$B$54,0))),0))</f>
        <v/>
      </c>
      <c r="I1203" s="24" t="str">
        <f aca="false">IF(G1203="","",G1203-H1203)</f>
        <v/>
      </c>
      <c r="J1203" s="37"/>
    </row>
    <row r="1204" customFormat="false" ht="21" hidden="false" customHeight="true" outlineLevel="0" collapsed="false">
      <c r="B1204" s="36"/>
      <c r="C1204" s="7"/>
      <c r="D1204" s="7"/>
      <c r="E1204" s="37"/>
      <c r="F1204" s="38"/>
      <c r="G1204" s="24" t="str">
        <f aca="false">IF(OR(C1204="",D1204="",N(E1204)=0),"",E1204*IF(F1204="",IFERROR(N(INDEX(Produtos!$K$5:$K$54,MATCH(D1204,Produtos!$B$5:$B$54,0))),0),F1204))</f>
        <v/>
      </c>
      <c r="H1204" s="24" t="str">
        <f aca="false">IF(G1204="","",E1204*IFERROR(N(INDEX(Produtos!$F$5:$F$54,MATCH(D1204,Produtos!$B$5:$B$54,0))),0))</f>
        <v/>
      </c>
      <c r="I1204" s="24" t="str">
        <f aca="false">IF(G1204="","",G1204-H1204)</f>
        <v/>
      </c>
      <c r="J1204" s="37"/>
    </row>
    <row r="1205" customFormat="false" ht="21" hidden="false" customHeight="true" outlineLevel="0" collapsed="false">
      <c r="B1205" s="36"/>
      <c r="C1205" s="7"/>
      <c r="D1205" s="7"/>
      <c r="E1205" s="37"/>
      <c r="F1205" s="38"/>
      <c r="G1205" s="24" t="str">
        <f aca="false">IF(OR(C1205="",D1205="",N(E1205)=0),"",E1205*IF(F1205="",IFERROR(N(INDEX(Produtos!$K$5:$K$54,MATCH(D1205,Produtos!$B$5:$B$54,0))),0),F1205))</f>
        <v/>
      </c>
      <c r="H1205" s="24" t="str">
        <f aca="false">IF(G1205="","",E1205*IFERROR(N(INDEX(Produtos!$F$5:$F$54,MATCH(D1205,Produtos!$B$5:$B$54,0))),0))</f>
        <v/>
      </c>
      <c r="I1205" s="24" t="str">
        <f aca="false">IF(G1205="","",G1205-H1205)</f>
        <v/>
      </c>
      <c r="J1205" s="37"/>
    </row>
    <row r="1206" customFormat="false" ht="21" hidden="false" customHeight="true" outlineLevel="0" collapsed="false">
      <c r="B1206" s="36"/>
      <c r="C1206" s="7"/>
      <c r="D1206" s="7"/>
      <c r="E1206" s="37"/>
      <c r="F1206" s="38"/>
      <c r="G1206" s="24" t="str">
        <f aca="false">IF(OR(C1206="",D1206="",N(E1206)=0),"",E1206*IF(F1206="",IFERROR(N(INDEX(Produtos!$K$5:$K$54,MATCH(D1206,Produtos!$B$5:$B$54,0))),0),F1206))</f>
        <v/>
      </c>
      <c r="H1206" s="24" t="str">
        <f aca="false">IF(G1206="","",E1206*IFERROR(N(INDEX(Produtos!$F$5:$F$54,MATCH(D1206,Produtos!$B$5:$B$54,0))),0))</f>
        <v/>
      </c>
      <c r="I1206" s="24" t="str">
        <f aca="false">IF(G1206="","",G1206-H1206)</f>
        <v/>
      </c>
      <c r="J1206" s="37"/>
    </row>
    <row r="1207" customFormat="false" ht="21" hidden="false" customHeight="true" outlineLevel="0" collapsed="false">
      <c r="B1207" s="36"/>
      <c r="C1207" s="7"/>
      <c r="D1207" s="7"/>
      <c r="E1207" s="37"/>
      <c r="F1207" s="38"/>
      <c r="G1207" s="24" t="str">
        <f aca="false">IF(OR(C1207="",D1207="",N(E1207)=0),"",E1207*IF(F1207="",IFERROR(N(INDEX(Produtos!$K$5:$K$54,MATCH(D1207,Produtos!$B$5:$B$54,0))),0),F1207))</f>
        <v/>
      </c>
      <c r="H1207" s="24" t="str">
        <f aca="false">IF(G1207="","",E1207*IFERROR(N(INDEX(Produtos!$F$5:$F$54,MATCH(D1207,Produtos!$B$5:$B$54,0))),0))</f>
        <v/>
      </c>
      <c r="I1207" s="24" t="str">
        <f aca="false">IF(G1207="","",G1207-H1207)</f>
        <v/>
      </c>
      <c r="J1207" s="37"/>
    </row>
    <row r="1208" customFormat="false" ht="21" hidden="false" customHeight="true" outlineLevel="0" collapsed="false">
      <c r="B1208" s="36"/>
      <c r="C1208" s="7"/>
      <c r="D1208" s="7"/>
      <c r="E1208" s="37"/>
      <c r="F1208" s="38"/>
      <c r="G1208" s="24" t="str">
        <f aca="false">IF(OR(C1208="",D1208="",N(E1208)=0),"",E1208*IF(F1208="",IFERROR(N(INDEX(Produtos!$K$5:$K$54,MATCH(D1208,Produtos!$B$5:$B$54,0))),0),F1208))</f>
        <v/>
      </c>
      <c r="H1208" s="24" t="str">
        <f aca="false">IF(G1208="","",E1208*IFERROR(N(INDEX(Produtos!$F$5:$F$54,MATCH(D1208,Produtos!$B$5:$B$54,0))),0))</f>
        <v/>
      </c>
      <c r="I1208" s="24" t="str">
        <f aca="false">IF(G1208="","",G1208-H1208)</f>
        <v/>
      </c>
      <c r="J1208" s="37"/>
    </row>
    <row r="1209" customFormat="false" ht="21" hidden="false" customHeight="true" outlineLevel="0" collapsed="false">
      <c r="B1209" s="36"/>
      <c r="C1209" s="7"/>
      <c r="D1209" s="7"/>
      <c r="E1209" s="37"/>
      <c r="F1209" s="38"/>
      <c r="G1209" s="24" t="str">
        <f aca="false">IF(OR(C1209="",D1209="",N(E1209)=0),"",E1209*IF(F1209="",IFERROR(N(INDEX(Produtos!$K$5:$K$54,MATCH(D1209,Produtos!$B$5:$B$54,0))),0),F1209))</f>
        <v/>
      </c>
      <c r="H1209" s="24" t="str">
        <f aca="false">IF(G1209="","",E1209*IFERROR(N(INDEX(Produtos!$F$5:$F$54,MATCH(D1209,Produtos!$B$5:$B$54,0))),0))</f>
        <v/>
      </c>
      <c r="I1209" s="24" t="str">
        <f aca="false">IF(G1209="","",G1209-H1209)</f>
        <v/>
      </c>
      <c r="J1209" s="37"/>
    </row>
    <row r="1210" customFormat="false" ht="21" hidden="false" customHeight="true" outlineLevel="0" collapsed="false">
      <c r="B1210" s="36"/>
      <c r="C1210" s="7"/>
      <c r="D1210" s="7"/>
      <c r="E1210" s="37"/>
      <c r="F1210" s="38"/>
      <c r="G1210" s="24" t="str">
        <f aca="false">IF(OR(C1210="",D1210="",N(E1210)=0),"",E1210*IF(F1210="",IFERROR(N(INDEX(Produtos!$K$5:$K$54,MATCH(D1210,Produtos!$B$5:$B$54,0))),0),F1210))</f>
        <v/>
      </c>
      <c r="H1210" s="24" t="str">
        <f aca="false">IF(G1210="","",E1210*IFERROR(N(INDEX(Produtos!$F$5:$F$54,MATCH(D1210,Produtos!$B$5:$B$54,0))),0))</f>
        <v/>
      </c>
      <c r="I1210" s="24" t="str">
        <f aca="false">IF(G1210="","",G1210-H1210)</f>
        <v/>
      </c>
      <c r="J1210" s="37"/>
    </row>
    <row r="1211" customFormat="false" ht="21" hidden="false" customHeight="true" outlineLevel="0" collapsed="false">
      <c r="B1211" s="36"/>
      <c r="C1211" s="7"/>
      <c r="D1211" s="7"/>
      <c r="E1211" s="37"/>
      <c r="F1211" s="38"/>
      <c r="G1211" s="24" t="str">
        <f aca="false">IF(OR(C1211="",D1211="",N(E1211)=0),"",E1211*IF(F1211="",IFERROR(N(INDEX(Produtos!$K$5:$K$54,MATCH(D1211,Produtos!$B$5:$B$54,0))),0),F1211))</f>
        <v/>
      </c>
      <c r="H1211" s="24" t="str">
        <f aca="false">IF(G1211="","",E1211*IFERROR(N(INDEX(Produtos!$F$5:$F$54,MATCH(D1211,Produtos!$B$5:$B$54,0))),0))</f>
        <v/>
      </c>
      <c r="I1211" s="24" t="str">
        <f aca="false">IF(G1211="","",G1211-H1211)</f>
        <v/>
      </c>
      <c r="J1211" s="37"/>
    </row>
    <row r="1212" customFormat="false" ht="21" hidden="false" customHeight="true" outlineLevel="0" collapsed="false">
      <c r="B1212" s="36"/>
      <c r="C1212" s="7"/>
      <c r="D1212" s="7"/>
      <c r="E1212" s="37"/>
      <c r="F1212" s="38"/>
      <c r="G1212" s="24" t="str">
        <f aca="false">IF(OR(C1212="",D1212="",N(E1212)=0),"",E1212*IF(F1212="",IFERROR(N(INDEX(Produtos!$K$5:$K$54,MATCH(D1212,Produtos!$B$5:$B$54,0))),0),F1212))</f>
        <v/>
      </c>
      <c r="H1212" s="24" t="str">
        <f aca="false">IF(G1212="","",E1212*IFERROR(N(INDEX(Produtos!$F$5:$F$54,MATCH(D1212,Produtos!$B$5:$B$54,0))),0))</f>
        <v/>
      </c>
      <c r="I1212" s="24" t="str">
        <f aca="false">IF(G1212="","",G1212-H1212)</f>
        <v/>
      </c>
      <c r="J1212" s="37"/>
    </row>
    <row r="1213" customFormat="false" ht="21" hidden="false" customHeight="true" outlineLevel="0" collapsed="false">
      <c r="B1213" s="36"/>
      <c r="C1213" s="7"/>
      <c r="D1213" s="7"/>
      <c r="E1213" s="37"/>
      <c r="F1213" s="38"/>
      <c r="G1213" s="24" t="str">
        <f aca="false">IF(OR(C1213="",D1213="",N(E1213)=0),"",E1213*IF(F1213="",IFERROR(N(INDEX(Produtos!$K$5:$K$54,MATCH(D1213,Produtos!$B$5:$B$54,0))),0),F1213))</f>
        <v/>
      </c>
      <c r="H1213" s="24" t="str">
        <f aca="false">IF(G1213="","",E1213*IFERROR(N(INDEX(Produtos!$F$5:$F$54,MATCH(D1213,Produtos!$B$5:$B$54,0))),0))</f>
        <v/>
      </c>
      <c r="I1213" s="24" t="str">
        <f aca="false">IF(G1213="","",G1213-H1213)</f>
        <v/>
      </c>
      <c r="J1213" s="37"/>
    </row>
    <row r="1214" customFormat="false" ht="21" hidden="false" customHeight="true" outlineLevel="0" collapsed="false">
      <c r="B1214" s="36"/>
      <c r="C1214" s="7"/>
      <c r="D1214" s="7"/>
      <c r="E1214" s="37"/>
      <c r="F1214" s="38"/>
      <c r="G1214" s="24" t="str">
        <f aca="false">IF(OR(C1214="",D1214="",N(E1214)=0),"",E1214*IF(F1214="",IFERROR(N(INDEX(Produtos!$K$5:$K$54,MATCH(D1214,Produtos!$B$5:$B$54,0))),0),F1214))</f>
        <v/>
      </c>
      <c r="H1214" s="24" t="str">
        <f aca="false">IF(G1214="","",E1214*IFERROR(N(INDEX(Produtos!$F$5:$F$54,MATCH(D1214,Produtos!$B$5:$B$54,0))),0))</f>
        <v/>
      </c>
      <c r="I1214" s="24" t="str">
        <f aca="false">IF(G1214="","",G1214-H1214)</f>
        <v/>
      </c>
      <c r="J1214" s="37"/>
    </row>
    <row r="1215" customFormat="false" ht="21" hidden="false" customHeight="true" outlineLevel="0" collapsed="false">
      <c r="B1215" s="36"/>
      <c r="C1215" s="7"/>
      <c r="D1215" s="7"/>
      <c r="E1215" s="37"/>
      <c r="F1215" s="38"/>
      <c r="G1215" s="24" t="str">
        <f aca="false">IF(OR(C1215="",D1215="",N(E1215)=0),"",E1215*IF(F1215="",IFERROR(N(INDEX(Produtos!$K$5:$K$54,MATCH(D1215,Produtos!$B$5:$B$54,0))),0),F1215))</f>
        <v/>
      </c>
      <c r="H1215" s="24" t="str">
        <f aca="false">IF(G1215="","",E1215*IFERROR(N(INDEX(Produtos!$F$5:$F$54,MATCH(D1215,Produtos!$B$5:$B$54,0))),0))</f>
        <v/>
      </c>
      <c r="I1215" s="24" t="str">
        <f aca="false">IF(G1215="","",G1215-H1215)</f>
        <v/>
      </c>
      <c r="J1215" s="37"/>
    </row>
    <row r="1216" customFormat="false" ht="21" hidden="false" customHeight="true" outlineLevel="0" collapsed="false">
      <c r="B1216" s="36"/>
      <c r="C1216" s="7"/>
      <c r="D1216" s="7"/>
      <c r="E1216" s="37"/>
      <c r="F1216" s="38"/>
      <c r="G1216" s="24" t="str">
        <f aca="false">IF(OR(C1216="",D1216="",N(E1216)=0),"",E1216*IF(F1216="",IFERROR(N(INDEX(Produtos!$K$5:$K$54,MATCH(D1216,Produtos!$B$5:$B$54,0))),0),F1216))</f>
        <v/>
      </c>
      <c r="H1216" s="24" t="str">
        <f aca="false">IF(G1216="","",E1216*IFERROR(N(INDEX(Produtos!$F$5:$F$54,MATCH(D1216,Produtos!$B$5:$B$54,0))),0))</f>
        <v/>
      </c>
      <c r="I1216" s="24" t="str">
        <f aca="false">IF(G1216="","",G1216-H1216)</f>
        <v/>
      </c>
      <c r="J1216" s="37"/>
    </row>
    <row r="1217" customFormat="false" ht="21" hidden="false" customHeight="true" outlineLevel="0" collapsed="false">
      <c r="B1217" s="36"/>
      <c r="C1217" s="7"/>
      <c r="D1217" s="7"/>
      <c r="E1217" s="37"/>
      <c r="F1217" s="38"/>
      <c r="G1217" s="24" t="str">
        <f aca="false">IF(OR(C1217="",D1217="",N(E1217)=0),"",E1217*IF(F1217="",IFERROR(N(INDEX(Produtos!$K$5:$K$54,MATCH(D1217,Produtos!$B$5:$B$54,0))),0),F1217))</f>
        <v/>
      </c>
      <c r="H1217" s="24" t="str">
        <f aca="false">IF(G1217="","",E1217*IFERROR(N(INDEX(Produtos!$F$5:$F$54,MATCH(D1217,Produtos!$B$5:$B$54,0))),0))</f>
        <v/>
      </c>
      <c r="I1217" s="24" t="str">
        <f aca="false">IF(G1217="","",G1217-H1217)</f>
        <v/>
      </c>
      <c r="J1217" s="37"/>
    </row>
    <row r="1218" customFormat="false" ht="21" hidden="false" customHeight="true" outlineLevel="0" collapsed="false">
      <c r="B1218" s="36"/>
      <c r="C1218" s="7"/>
      <c r="D1218" s="7"/>
      <c r="E1218" s="37"/>
      <c r="F1218" s="38"/>
      <c r="G1218" s="24" t="str">
        <f aca="false">IF(OR(C1218="",D1218="",N(E1218)=0),"",E1218*IF(F1218="",IFERROR(N(INDEX(Produtos!$K$5:$K$54,MATCH(D1218,Produtos!$B$5:$B$54,0))),0),F1218))</f>
        <v/>
      </c>
      <c r="H1218" s="24" t="str">
        <f aca="false">IF(G1218="","",E1218*IFERROR(N(INDEX(Produtos!$F$5:$F$54,MATCH(D1218,Produtos!$B$5:$B$54,0))),0))</f>
        <v/>
      </c>
      <c r="I1218" s="24" t="str">
        <f aca="false">IF(G1218="","",G1218-H1218)</f>
        <v/>
      </c>
      <c r="J1218" s="37"/>
    </row>
    <row r="1219" customFormat="false" ht="21" hidden="false" customHeight="true" outlineLevel="0" collapsed="false">
      <c r="B1219" s="36"/>
      <c r="C1219" s="7"/>
      <c r="D1219" s="7"/>
      <c r="E1219" s="37"/>
      <c r="F1219" s="38"/>
      <c r="G1219" s="24" t="str">
        <f aca="false">IF(OR(C1219="",D1219="",N(E1219)=0),"",E1219*IF(F1219="",IFERROR(N(INDEX(Produtos!$K$5:$K$54,MATCH(D1219,Produtos!$B$5:$B$54,0))),0),F1219))</f>
        <v/>
      </c>
      <c r="H1219" s="24" t="str">
        <f aca="false">IF(G1219="","",E1219*IFERROR(N(INDEX(Produtos!$F$5:$F$54,MATCH(D1219,Produtos!$B$5:$B$54,0))),0))</f>
        <v/>
      </c>
      <c r="I1219" s="24" t="str">
        <f aca="false">IF(G1219="","",G1219-H1219)</f>
        <v/>
      </c>
      <c r="J1219" s="37"/>
    </row>
    <row r="1220" customFormat="false" ht="21" hidden="false" customHeight="true" outlineLevel="0" collapsed="false">
      <c r="B1220" s="36"/>
      <c r="C1220" s="7"/>
      <c r="D1220" s="7"/>
      <c r="E1220" s="37"/>
      <c r="F1220" s="38"/>
      <c r="G1220" s="24" t="str">
        <f aca="false">IF(OR(C1220="",D1220="",N(E1220)=0),"",E1220*IF(F1220="",IFERROR(N(INDEX(Produtos!$K$5:$K$54,MATCH(D1220,Produtos!$B$5:$B$54,0))),0),F1220))</f>
        <v/>
      </c>
      <c r="H1220" s="24" t="str">
        <f aca="false">IF(G1220="","",E1220*IFERROR(N(INDEX(Produtos!$F$5:$F$54,MATCH(D1220,Produtos!$B$5:$B$54,0))),0))</f>
        <v/>
      </c>
      <c r="I1220" s="24" t="str">
        <f aca="false">IF(G1220="","",G1220-H1220)</f>
        <v/>
      </c>
      <c r="J1220" s="37"/>
    </row>
    <row r="1221" customFormat="false" ht="21" hidden="false" customHeight="true" outlineLevel="0" collapsed="false">
      <c r="B1221" s="36"/>
      <c r="C1221" s="7"/>
      <c r="D1221" s="7"/>
      <c r="E1221" s="37"/>
      <c r="F1221" s="38"/>
      <c r="G1221" s="24" t="str">
        <f aca="false">IF(OR(C1221="",D1221="",N(E1221)=0),"",E1221*IF(F1221="",IFERROR(N(INDEX(Produtos!$K$5:$K$54,MATCH(D1221,Produtos!$B$5:$B$54,0))),0),F1221))</f>
        <v/>
      </c>
      <c r="H1221" s="24" t="str">
        <f aca="false">IF(G1221="","",E1221*IFERROR(N(INDEX(Produtos!$F$5:$F$54,MATCH(D1221,Produtos!$B$5:$B$54,0))),0))</f>
        <v/>
      </c>
      <c r="I1221" s="24" t="str">
        <f aca="false">IF(G1221="","",G1221-H1221)</f>
        <v/>
      </c>
      <c r="J1221" s="37"/>
    </row>
    <row r="1222" customFormat="false" ht="21" hidden="false" customHeight="true" outlineLevel="0" collapsed="false">
      <c r="B1222" s="36"/>
      <c r="C1222" s="7"/>
      <c r="D1222" s="7"/>
      <c r="E1222" s="37"/>
      <c r="F1222" s="38"/>
      <c r="G1222" s="24" t="str">
        <f aca="false">IF(OR(C1222="",D1222="",N(E1222)=0),"",E1222*IF(F1222="",IFERROR(N(INDEX(Produtos!$K$5:$K$54,MATCH(D1222,Produtos!$B$5:$B$54,0))),0),F1222))</f>
        <v/>
      </c>
      <c r="H1222" s="24" t="str">
        <f aca="false">IF(G1222="","",E1222*IFERROR(N(INDEX(Produtos!$F$5:$F$54,MATCH(D1222,Produtos!$B$5:$B$54,0))),0))</f>
        <v/>
      </c>
      <c r="I1222" s="24" t="str">
        <f aca="false">IF(G1222="","",G1222-H1222)</f>
        <v/>
      </c>
      <c r="J1222" s="37"/>
    </row>
    <row r="1223" customFormat="false" ht="21" hidden="false" customHeight="true" outlineLevel="0" collapsed="false">
      <c r="B1223" s="36"/>
      <c r="C1223" s="7"/>
      <c r="D1223" s="7"/>
      <c r="E1223" s="37"/>
      <c r="F1223" s="38"/>
      <c r="G1223" s="24" t="str">
        <f aca="false">IF(OR(C1223="",D1223="",N(E1223)=0),"",E1223*IF(F1223="",IFERROR(N(INDEX(Produtos!$K$5:$K$54,MATCH(D1223,Produtos!$B$5:$B$54,0))),0),F1223))</f>
        <v/>
      </c>
      <c r="H1223" s="24" t="str">
        <f aca="false">IF(G1223="","",E1223*IFERROR(N(INDEX(Produtos!$F$5:$F$54,MATCH(D1223,Produtos!$B$5:$B$54,0))),0))</f>
        <v/>
      </c>
      <c r="I1223" s="24" t="str">
        <f aca="false">IF(G1223="","",G1223-H1223)</f>
        <v/>
      </c>
      <c r="J1223" s="37"/>
    </row>
    <row r="1224" customFormat="false" ht="21" hidden="false" customHeight="true" outlineLevel="0" collapsed="false">
      <c r="B1224" s="36"/>
      <c r="C1224" s="7"/>
      <c r="D1224" s="7"/>
      <c r="E1224" s="37"/>
      <c r="F1224" s="38"/>
      <c r="G1224" s="24" t="str">
        <f aca="false">IF(OR(C1224="",D1224="",N(E1224)=0),"",E1224*IF(F1224="",IFERROR(N(INDEX(Produtos!$K$5:$K$54,MATCH(D1224,Produtos!$B$5:$B$54,0))),0),F1224))</f>
        <v/>
      </c>
      <c r="H1224" s="24" t="str">
        <f aca="false">IF(G1224="","",E1224*IFERROR(N(INDEX(Produtos!$F$5:$F$54,MATCH(D1224,Produtos!$B$5:$B$54,0))),0))</f>
        <v/>
      </c>
      <c r="I1224" s="24" t="str">
        <f aca="false">IF(G1224="","",G1224-H1224)</f>
        <v/>
      </c>
      <c r="J1224" s="37"/>
    </row>
    <row r="1225" customFormat="false" ht="21" hidden="false" customHeight="true" outlineLevel="0" collapsed="false">
      <c r="B1225" s="36"/>
      <c r="C1225" s="7"/>
      <c r="D1225" s="7"/>
      <c r="E1225" s="37"/>
      <c r="F1225" s="38"/>
      <c r="G1225" s="24" t="str">
        <f aca="false">IF(OR(C1225="",D1225="",N(E1225)=0),"",E1225*IF(F1225="",IFERROR(N(INDEX(Produtos!$K$5:$K$54,MATCH(D1225,Produtos!$B$5:$B$54,0))),0),F1225))</f>
        <v/>
      </c>
      <c r="H1225" s="24" t="str">
        <f aca="false">IF(G1225="","",E1225*IFERROR(N(INDEX(Produtos!$F$5:$F$54,MATCH(D1225,Produtos!$B$5:$B$54,0))),0))</f>
        <v/>
      </c>
      <c r="I1225" s="24" t="str">
        <f aca="false">IF(G1225="","",G1225-H1225)</f>
        <v/>
      </c>
      <c r="J1225" s="37"/>
    </row>
    <row r="1226" customFormat="false" ht="21" hidden="false" customHeight="true" outlineLevel="0" collapsed="false">
      <c r="B1226" s="36"/>
      <c r="C1226" s="7"/>
      <c r="D1226" s="7"/>
      <c r="E1226" s="37"/>
      <c r="F1226" s="38"/>
      <c r="G1226" s="24" t="str">
        <f aca="false">IF(OR(C1226="",D1226="",N(E1226)=0),"",E1226*IF(F1226="",IFERROR(N(INDEX(Produtos!$K$5:$K$54,MATCH(D1226,Produtos!$B$5:$B$54,0))),0),F1226))</f>
        <v/>
      </c>
      <c r="H1226" s="24" t="str">
        <f aca="false">IF(G1226="","",E1226*IFERROR(N(INDEX(Produtos!$F$5:$F$54,MATCH(D1226,Produtos!$B$5:$B$54,0))),0))</f>
        <v/>
      </c>
      <c r="I1226" s="24" t="str">
        <f aca="false">IF(G1226="","",G1226-H1226)</f>
        <v/>
      </c>
      <c r="J1226" s="37"/>
    </row>
    <row r="1227" customFormat="false" ht="21" hidden="false" customHeight="true" outlineLevel="0" collapsed="false">
      <c r="B1227" s="36"/>
      <c r="C1227" s="7"/>
      <c r="D1227" s="7"/>
      <c r="E1227" s="37"/>
      <c r="F1227" s="38"/>
      <c r="G1227" s="24" t="str">
        <f aca="false">IF(OR(C1227="",D1227="",N(E1227)=0),"",E1227*IF(F1227="",IFERROR(N(INDEX(Produtos!$K$5:$K$54,MATCH(D1227,Produtos!$B$5:$B$54,0))),0),F1227))</f>
        <v/>
      </c>
      <c r="H1227" s="24" t="str">
        <f aca="false">IF(G1227="","",E1227*IFERROR(N(INDEX(Produtos!$F$5:$F$54,MATCH(D1227,Produtos!$B$5:$B$54,0))),0))</f>
        <v/>
      </c>
      <c r="I1227" s="24" t="str">
        <f aca="false">IF(G1227="","",G1227-H1227)</f>
        <v/>
      </c>
      <c r="J1227" s="37"/>
    </row>
    <row r="1228" customFormat="false" ht="21" hidden="false" customHeight="true" outlineLevel="0" collapsed="false">
      <c r="B1228" s="36"/>
      <c r="C1228" s="7"/>
      <c r="D1228" s="7"/>
      <c r="E1228" s="37"/>
      <c r="F1228" s="38"/>
      <c r="G1228" s="24" t="str">
        <f aca="false">IF(OR(C1228="",D1228="",N(E1228)=0),"",E1228*IF(F1228="",IFERROR(N(INDEX(Produtos!$K$5:$K$54,MATCH(D1228,Produtos!$B$5:$B$54,0))),0),F1228))</f>
        <v/>
      </c>
      <c r="H1228" s="24" t="str">
        <f aca="false">IF(G1228="","",E1228*IFERROR(N(INDEX(Produtos!$F$5:$F$54,MATCH(D1228,Produtos!$B$5:$B$54,0))),0))</f>
        <v/>
      </c>
      <c r="I1228" s="24" t="str">
        <f aca="false">IF(G1228="","",G1228-H1228)</f>
        <v/>
      </c>
      <c r="J1228" s="37"/>
    </row>
    <row r="1229" customFormat="false" ht="21" hidden="false" customHeight="true" outlineLevel="0" collapsed="false">
      <c r="B1229" s="36"/>
      <c r="C1229" s="7"/>
      <c r="D1229" s="7"/>
      <c r="E1229" s="37"/>
      <c r="F1229" s="38"/>
      <c r="G1229" s="24" t="str">
        <f aca="false">IF(OR(C1229="",D1229="",N(E1229)=0),"",E1229*IF(F1229="",IFERROR(N(INDEX(Produtos!$K$5:$K$54,MATCH(D1229,Produtos!$B$5:$B$54,0))),0),F1229))</f>
        <v/>
      </c>
      <c r="H1229" s="24" t="str">
        <f aca="false">IF(G1229="","",E1229*IFERROR(N(INDEX(Produtos!$F$5:$F$54,MATCH(D1229,Produtos!$B$5:$B$54,0))),0))</f>
        <v/>
      </c>
      <c r="I1229" s="24" t="str">
        <f aca="false">IF(G1229="","",G1229-H1229)</f>
        <v/>
      </c>
      <c r="J1229" s="37"/>
    </row>
    <row r="1230" customFormat="false" ht="21" hidden="false" customHeight="true" outlineLevel="0" collapsed="false">
      <c r="B1230" s="36"/>
      <c r="C1230" s="7"/>
      <c r="D1230" s="7"/>
      <c r="E1230" s="37"/>
      <c r="F1230" s="38"/>
      <c r="G1230" s="24" t="str">
        <f aca="false">IF(OR(C1230="",D1230="",N(E1230)=0),"",E1230*IF(F1230="",IFERROR(N(INDEX(Produtos!$K$5:$K$54,MATCH(D1230,Produtos!$B$5:$B$54,0))),0),F1230))</f>
        <v/>
      </c>
      <c r="H1230" s="24" t="str">
        <f aca="false">IF(G1230="","",E1230*IFERROR(N(INDEX(Produtos!$F$5:$F$54,MATCH(D1230,Produtos!$B$5:$B$54,0))),0))</f>
        <v/>
      </c>
      <c r="I1230" s="24" t="str">
        <f aca="false">IF(G1230="","",G1230-H1230)</f>
        <v/>
      </c>
      <c r="J1230" s="37"/>
    </row>
    <row r="1231" customFormat="false" ht="21" hidden="false" customHeight="true" outlineLevel="0" collapsed="false">
      <c r="B1231" s="36"/>
      <c r="C1231" s="7"/>
      <c r="D1231" s="7"/>
      <c r="E1231" s="37"/>
      <c r="F1231" s="38"/>
      <c r="G1231" s="24" t="str">
        <f aca="false">IF(OR(C1231="",D1231="",N(E1231)=0),"",E1231*IF(F1231="",IFERROR(N(INDEX(Produtos!$K$5:$K$54,MATCH(D1231,Produtos!$B$5:$B$54,0))),0),F1231))</f>
        <v/>
      </c>
      <c r="H1231" s="24" t="str">
        <f aca="false">IF(G1231="","",E1231*IFERROR(N(INDEX(Produtos!$F$5:$F$54,MATCH(D1231,Produtos!$B$5:$B$54,0))),0))</f>
        <v/>
      </c>
      <c r="I1231" s="24" t="str">
        <f aca="false">IF(G1231="","",G1231-H1231)</f>
        <v/>
      </c>
      <c r="J1231" s="37"/>
    </row>
    <row r="1232" customFormat="false" ht="21" hidden="false" customHeight="true" outlineLevel="0" collapsed="false">
      <c r="B1232" s="36"/>
      <c r="C1232" s="7"/>
      <c r="D1232" s="7"/>
      <c r="E1232" s="37"/>
      <c r="F1232" s="38"/>
      <c r="G1232" s="24" t="str">
        <f aca="false">IF(OR(C1232="",D1232="",N(E1232)=0),"",E1232*IF(F1232="",IFERROR(N(INDEX(Produtos!$K$5:$K$54,MATCH(D1232,Produtos!$B$5:$B$54,0))),0),F1232))</f>
        <v/>
      </c>
      <c r="H1232" s="24" t="str">
        <f aca="false">IF(G1232="","",E1232*IFERROR(N(INDEX(Produtos!$F$5:$F$54,MATCH(D1232,Produtos!$B$5:$B$54,0))),0))</f>
        <v/>
      </c>
      <c r="I1232" s="24" t="str">
        <f aca="false">IF(G1232="","",G1232-H1232)</f>
        <v/>
      </c>
      <c r="J1232" s="37"/>
    </row>
    <row r="1233" customFormat="false" ht="21" hidden="false" customHeight="true" outlineLevel="0" collapsed="false">
      <c r="B1233" s="36"/>
      <c r="C1233" s="7"/>
      <c r="D1233" s="7"/>
      <c r="E1233" s="37"/>
      <c r="F1233" s="38"/>
      <c r="G1233" s="24" t="str">
        <f aca="false">IF(OR(C1233="",D1233="",N(E1233)=0),"",E1233*IF(F1233="",IFERROR(N(INDEX(Produtos!$K$5:$K$54,MATCH(D1233,Produtos!$B$5:$B$54,0))),0),F1233))</f>
        <v/>
      </c>
      <c r="H1233" s="24" t="str">
        <f aca="false">IF(G1233="","",E1233*IFERROR(N(INDEX(Produtos!$F$5:$F$54,MATCH(D1233,Produtos!$B$5:$B$54,0))),0))</f>
        <v/>
      </c>
      <c r="I1233" s="24" t="str">
        <f aca="false">IF(G1233="","",G1233-H1233)</f>
        <v/>
      </c>
      <c r="J1233" s="37"/>
    </row>
    <row r="1234" customFormat="false" ht="21" hidden="false" customHeight="true" outlineLevel="0" collapsed="false">
      <c r="B1234" s="36"/>
      <c r="C1234" s="7"/>
      <c r="D1234" s="7"/>
      <c r="E1234" s="37"/>
      <c r="F1234" s="38"/>
      <c r="G1234" s="24" t="str">
        <f aca="false">IF(OR(C1234="",D1234="",N(E1234)=0),"",E1234*IF(F1234="",IFERROR(N(INDEX(Produtos!$K$5:$K$54,MATCH(D1234,Produtos!$B$5:$B$54,0))),0),F1234))</f>
        <v/>
      </c>
      <c r="H1234" s="24" t="str">
        <f aca="false">IF(G1234="","",E1234*IFERROR(N(INDEX(Produtos!$F$5:$F$54,MATCH(D1234,Produtos!$B$5:$B$54,0))),0))</f>
        <v/>
      </c>
      <c r="I1234" s="24" t="str">
        <f aca="false">IF(G1234="","",G1234-H1234)</f>
        <v/>
      </c>
      <c r="J1234" s="37"/>
    </row>
    <row r="1235" customFormat="false" ht="21" hidden="false" customHeight="true" outlineLevel="0" collapsed="false">
      <c r="B1235" s="36"/>
      <c r="C1235" s="7"/>
      <c r="D1235" s="7"/>
      <c r="E1235" s="37"/>
      <c r="F1235" s="38"/>
      <c r="G1235" s="24" t="str">
        <f aca="false">IF(OR(C1235="",D1235="",N(E1235)=0),"",E1235*IF(F1235="",IFERROR(N(INDEX(Produtos!$K$5:$K$54,MATCH(D1235,Produtos!$B$5:$B$54,0))),0),F1235))</f>
        <v/>
      </c>
      <c r="H1235" s="24" t="str">
        <f aca="false">IF(G1235="","",E1235*IFERROR(N(INDEX(Produtos!$F$5:$F$54,MATCH(D1235,Produtos!$B$5:$B$54,0))),0))</f>
        <v/>
      </c>
      <c r="I1235" s="24" t="str">
        <f aca="false">IF(G1235="","",G1235-H1235)</f>
        <v/>
      </c>
      <c r="J1235" s="37"/>
    </row>
    <row r="1236" customFormat="false" ht="21" hidden="false" customHeight="true" outlineLevel="0" collapsed="false">
      <c r="B1236" s="36"/>
      <c r="C1236" s="7"/>
      <c r="D1236" s="7"/>
      <c r="E1236" s="37"/>
      <c r="F1236" s="38"/>
      <c r="G1236" s="24" t="str">
        <f aca="false">IF(OR(C1236="",D1236="",N(E1236)=0),"",E1236*IF(F1236="",IFERROR(N(INDEX(Produtos!$K$5:$K$54,MATCH(D1236,Produtos!$B$5:$B$54,0))),0),F1236))</f>
        <v/>
      </c>
      <c r="H1236" s="24" t="str">
        <f aca="false">IF(G1236="","",E1236*IFERROR(N(INDEX(Produtos!$F$5:$F$54,MATCH(D1236,Produtos!$B$5:$B$54,0))),0))</f>
        <v/>
      </c>
      <c r="I1236" s="24" t="str">
        <f aca="false">IF(G1236="","",G1236-H1236)</f>
        <v/>
      </c>
      <c r="J1236" s="37"/>
    </row>
    <row r="1237" customFormat="false" ht="21" hidden="false" customHeight="true" outlineLevel="0" collapsed="false">
      <c r="B1237" s="36"/>
      <c r="C1237" s="7"/>
      <c r="D1237" s="7"/>
      <c r="E1237" s="37"/>
      <c r="F1237" s="38"/>
      <c r="G1237" s="24" t="str">
        <f aca="false">IF(OR(C1237="",D1237="",N(E1237)=0),"",E1237*IF(F1237="",IFERROR(N(INDEX(Produtos!$K$5:$K$54,MATCH(D1237,Produtos!$B$5:$B$54,0))),0),F1237))</f>
        <v/>
      </c>
      <c r="H1237" s="24" t="str">
        <f aca="false">IF(G1237="","",E1237*IFERROR(N(INDEX(Produtos!$F$5:$F$54,MATCH(D1237,Produtos!$B$5:$B$54,0))),0))</f>
        <v/>
      </c>
      <c r="I1237" s="24" t="str">
        <f aca="false">IF(G1237="","",G1237-H1237)</f>
        <v/>
      </c>
      <c r="J1237" s="37"/>
    </row>
    <row r="1238" customFormat="false" ht="21" hidden="false" customHeight="true" outlineLevel="0" collapsed="false">
      <c r="B1238" s="36"/>
      <c r="C1238" s="7"/>
      <c r="D1238" s="7"/>
      <c r="E1238" s="37"/>
      <c r="F1238" s="38"/>
      <c r="G1238" s="24" t="str">
        <f aca="false">IF(OR(C1238="",D1238="",N(E1238)=0),"",E1238*IF(F1238="",IFERROR(N(INDEX(Produtos!$K$5:$K$54,MATCH(D1238,Produtos!$B$5:$B$54,0))),0),F1238))</f>
        <v/>
      </c>
      <c r="H1238" s="24" t="str">
        <f aca="false">IF(G1238="","",E1238*IFERROR(N(INDEX(Produtos!$F$5:$F$54,MATCH(D1238,Produtos!$B$5:$B$54,0))),0))</f>
        <v/>
      </c>
      <c r="I1238" s="24" t="str">
        <f aca="false">IF(G1238="","",G1238-H1238)</f>
        <v/>
      </c>
      <c r="J1238" s="37"/>
    </row>
    <row r="1239" customFormat="false" ht="21" hidden="false" customHeight="true" outlineLevel="0" collapsed="false">
      <c r="B1239" s="36"/>
      <c r="C1239" s="7"/>
      <c r="D1239" s="7"/>
      <c r="E1239" s="37"/>
      <c r="F1239" s="38"/>
      <c r="G1239" s="24" t="str">
        <f aca="false">IF(OR(C1239="",D1239="",N(E1239)=0),"",E1239*IF(F1239="",IFERROR(N(INDEX(Produtos!$K$5:$K$54,MATCH(D1239,Produtos!$B$5:$B$54,0))),0),F1239))</f>
        <v/>
      </c>
      <c r="H1239" s="24" t="str">
        <f aca="false">IF(G1239="","",E1239*IFERROR(N(INDEX(Produtos!$F$5:$F$54,MATCH(D1239,Produtos!$B$5:$B$54,0))),0))</f>
        <v/>
      </c>
      <c r="I1239" s="24" t="str">
        <f aca="false">IF(G1239="","",G1239-H1239)</f>
        <v/>
      </c>
      <c r="J1239" s="37"/>
    </row>
    <row r="1240" customFormat="false" ht="21" hidden="false" customHeight="true" outlineLevel="0" collapsed="false">
      <c r="B1240" s="36"/>
      <c r="C1240" s="7"/>
      <c r="D1240" s="7"/>
      <c r="E1240" s="37"/>
      <c r="F1240" s="38"/>
      <c r="G1240" s="24" t="str">
        <f aca="false">IF(OR(C1240="",D1240="",N(E1240)=0),"",E1240*IF(F1240="",IFERROR(N(INDEX(Produtos!$K$5:$K$54,MATCH(D1240,Produtos!$B$5:$B$54,0))),0),F1240))</f>
        <v/>
      </c>
      <c r="H1240" s="24" t="str">
        <f aca="false">IF(G1240="","",E1240*IFERROR(N(INDEX(Produtos!$F$5:$F$54,MATCH(D1240,Produtos!$B$5:$B$54,0))),0))</f>
        <v/>
      </c>
      <c r="I1240" s="24" t="str">
        <f aca="false">IF(G1240="","",G1240-H1240)</f>
        <v/>
      </c>
      <c r="J1240" s="37"/>
    </row>
    <row r="1241" customFormat="false" ht="21" hidden="false" customHeight="true" outlineLevel="0" collapsed="false">
      <c r="B1241" s="36"/>
      <c r="C1241" s="7"/>
      <c r="D1241" s="7"/>
      <c r="E1241" s="37"/>
      <c r="F1241" s="38"/>
      <c r="G1241" s="24" t="str">
        <f aca="false">IF(OR(C1241="",D1241="",N(E1241)=0),"",E1241*IF(F1241="",IFERROR(N(INDEX(Produtos!$K$5:$K$54,MATCH(D1241,Produtos!$B$5:$B$54,0))),0),F1241))</f>
        <v/>
      </c>
      <c r="H1241" s="24" t="str">
        <f aca="false">IF(G1241="","",E1241*IFERROR(N(INDEX(Produtos!$F$5:$F$54,MATCH(D1241,Produtos!$B$5:$B$54,0))),0))</f>
        <v/>
      </c>
      <c r="I1241" s="24" t="str">
        <f aca="false">IF(G1241="","",G1241-H1241)</f>
        <v/>
      </c>
      <c r="J1241" s="37"/>
    </row>
    <row r="1242" customFormat="false" ht="21" hidden="false" customHeight="true" outlineLevel="0" collapsed="false">
      <c r="B1242" s="36"/>
      <c r="C1242" s="7"/>
      <c r="D1242" s="7"/>
      <c r="E1242" s="37"/>
      <c r="F1242" s="38"/>
      <c r="G1242" s="24" t="str">
        <f aca="false">IF(OR(C1242="",D1242="",N(E1242)=0),"",E1242*IF(F1242="",IFERROR(N(INDEX(Produtos!$K$5:$K$54,MATCH(D1242,Produtos!$B$5:$B$54,0))),0),F1242))</f>
        <v/>
      </c>
      <c r="H1242" s="24" t="str">
        <f aca="false">IF(G1242="","",E1242*IFERROR(N(INDEX(Produtos!$F$5:$F$54,MATCH(D1242,Produtos!$B$5:$B$54,0))),0))</f>
        <v/>
      </c>
      <c r="I1242" s="24" t="str">
        <f aca="false">IF(G1242="","",G1242-H1242)</f>
        <v/>
      </c>
      <c r="J1242" s="37"/>
    </row>
    <row r="1243" customFormat="false" ht="21" hidden="false" customHeight="true" outlineLevel="0" collapsed="false">
      <c r="B1243" s="36"/>
      <c r="C1243" s="7"/>
      <c r="D1243" s="7"/>
      <c r="E1243" s="37"/>
      <c r="F1243" s="38"/>
      <c r="G1243" s="24" t="str">
        <f aca="false">IF(OR(C1243="",D1243="",N(E1243)=0),"",E1243*IF(F1243="",IFERROR(N(INDEX(Produtos!$K$5:$K$54,MATCH(D1243,Produtos!$B$5:$B$54,0))),0),F1243))</f>
        <v/>
      </c>
      <c r="H1243" s="24" t="str">
        <f aca="false">IF(G1243="","",E1243*IFERROR(N(INDEX(Produtos!$F$5:$F$54,MATCH(D1243,Produtos!$B$5:$B$54,0))),0))</f>
        <v/>
      </c>
      <c r="I1243" s="24" t="str">
        <f aca="false">IF(G1243="","",G1243-H1243)</f>
        <v/>
      </c>
      <c r="J1243" s="37"/>
    </row>
    <row r="1244" customFormat="false" ht="21" hidden="false" customHeight="true" outlineLevel="0" collapsed="false">
      <c r="B1244" s="36"/>
      <c r="C1244" s="7"/>
      <c r="D1244" s="7"/>
      <c r="E1244" s="37"/>
      <c r="F1244" s="38"/>
      <c r="G1244" s="24" t="str">
        <f aca="false">IF(OR(C1244="",D1244="",N(E1244)=0),"",E1244*IF(F1244="",IFERROR(N(INDEX(Produtos!$K$5:$K$54,MATCH(D1244,Produtos!$B$5:$B$54,0))),0),F1244))</f>
        <v/>
      </c>
      <c r="H1244" s="24" t="str">
        <f aca="false">IF(G1244="","",E1244*IFERROR(N(INDEX(Produtos!$F$5:$F$54,MATCH(D1244,Produtos!$B$5:$B$54,0))),0))</f>
        <v/>
      </c>
      <c r="I1244" s="24" t="str">
        <f aca="false">IF(G1244="","",G1244-H1244)</f>
        <v/>
      </c>
      <c r="J1244" s="37"/>
    </row>
    <row r="1245" customFormat="false" ht="21" hidden="false" customHeight="true" outlineLevel="0" collapsed="false">
      <c r="B1245" s="36"/>
      <c r="C1245" s="7"/>
      <c r="D1245" s="7"/>
      <c r="E1245" s="37"/>
      <c r="F1245" s="38"/>
      <c r="G1245" s="24" t="str">
        <f aca="false">IF(OR(C1245="",D1245="",N(E1245)=0),"",E1245*IF(F1245="",IFERROR(N(INDEX(Produtos!$K$5:$K$54,MATCH(D1245,Produtos!$B$5:$B$54,0))),0),F1245))</f>
        <v/>
      </c>
      <c r="H1245" s="24" t="str">
        <f aca="false">IF(G1245="","",E1245*IFERROR(N(INDEX(Produtos!$F$5:$F$54,MATCH(D1245,Produtos!$B$5:$B$54,0))),0))</f>
        <v/>
      </c>
      <c r="I1245" s="24" t="str">
        <f aca="false">IF(G1245="","",G1245-H1245)</f>
        <v/>
      </c>
      <c r="J1245" s="37"/>
    </row>
    <row r="1246" customFormat="false" ht="21" hidden="false" customHeight="true" outlineLevel="0" collapsed="false">
      <c r="B1246" s="36"/>
      <c r="C1246" s="7"/>
      <c r="D1246" s="7"/>
      <c r="E1246" s="37"/>
      <c r="F1246" s="38"/>
      <c r="G1246" s="24" t="str">
        <f aca="false">IF(OR(C1246="",D1246="",N(E1246)=0),"",E1246*IF(F1246="",IFERROR(N(INDEX(Produtos!$K$5:$K$54,MATCH(D1246,Produtos!$B$5:$B$54,0))),0),F1246))</f>
        <v/>
      </c>
      <c r="H1246" s="24" t="str">
        <f aca="false">IF(G1246="","",E1246*IFERROR(N(INDEX(Produtos!$F$5:$F$54,MATCH(D1246,Produtos!$B$5:$B$54,0))),0))</f>
        <v/>
      </c>
      <c r="I1246" s="24" t="str">
        <f aca="false">IF(G1246="","",G1246-H1246)</f>
        <v/>
      </c>
      <c r="J1246" s="37"/>
    </row>
    <row r="1247" customFormat="false" ht="21" hidden="false" customHeight="true" outlineLevel="0" collapsed="false">
      <c r="B1247" s="36"/>
      <c r="C1247" s="7"/>
      <c r="D1247" s="7"/>
      <c r="E1247" s="37"/>
      <c r="F1247" s="38"/>
      <c r="G1247" s="24" t="str">
        <f aca="false">IF(OR(C1247="",D1247="",N(E1247)=0),"",E1247*IF(F1247="",IFERROR(N(INDEX(Produtos!$K$5:$K$54,MATCH(D1247,Produtos!$B$5:$B$54,0))),0),F1247))</f>
        <v/>
      </c>
      <c r="H1247" s="24" t="str">
        <f aca="false">IF(G1247="","",E1247*IFERROR(N(INDEX(Produtos!$F$5:$F$54,MATCH(D1247,Produtos!$B$5:$B$54,0))),0))</f>
        <v/>
      </c>
      <c r="I1247" s="24" t="str">
        <f aca="false">IF(G1247="","",G1247-H1247)</f>
        <v/>
      </c>
      <c r="J1247" s="37"/>
    </row>
    <row r="1248" customFormat="false" ht="21" hidden="false" customHeight="true" outlineLevel="0" collapsed="false">
      <c r="B1248" s="36"/>
      <c r="C1248" s="7"/>
      <c r="D1248" s="7"/>
      <c r="E1248" s="37"/>
      <c r="F1248" s="38"/>
      <c r="G1248" s="24" t="str">
        <f aca="false">IF(OR(C1248="",D1248="",N(E1248)=0),"",E1248*IF(F1248="",IFERROR(N(INDEX(Produtos!$K$5:$K$54,MATCH(D1248,Produtos!$B$5:$B$54,0))),0),F1248))</f>
        <v/>
      </c>
      <c r="H1248" s="24" t="str">
        <f aca="false">IF(G1248="","",E1248*IFERROR(N(INDEX(Produtos!$F$5:$F$54,MATCH(D1248,Produtos!$B$5:$B$54,0))),0))</f>
        <v/>
      </c>
      <c r="I1248" s="24" t="str">
        <f aca="false">IF(G1248="","",G1248-H1248)</f>
        <v/>
      </c>
      <c r="J1248" s="37"/>
    </row>
    <row r="1249" customFormat="false" ht="21" hidden="false" customHeight="true" outlineLevel="0" collapsed="false">
      <c r="B1249" s="36"/>
      <c r="C1249" s="7"/>
      <c r="D1249" s="7"/>
      <c r="E1249" s="37"/>
      <c r="F1249" s="38"/>
      <c r="G1249" s="24" t="str">
        <f aca="false">IF(OR(C1249="",D1249="",N(E1249)=0),"",E1249*IF(F1249="",IFERROR(N(INDEX(Produtos!$K$5:$K$54,MATCH(D1249,Produtos!$B$5:$B$54,0))),0),F1249))</f>
        <v/>
      </c>
      <c r="H1249" s="24" t="str">
        <f aca="false">IF(G1249="","",E1249*IFERROR(N(INDEX(Produtos!$F$5:$F$54,MATCH(D1249,Produtos!$B$5:$B$54,0))),0))</f>
        <v/>
      </c>
      <c r="I1249" s="24" t="str">
        <f aca="false">IF(G1249="","",G1249-H1249)</f>
        <v/>
      </c>
      <c r="J1249" s="37"/>
    </row>
    <row r="1250" customFormat="false" ht="21" hidden="false" customHeight="true" outlineLevel="0" collapsed="false">
      <c r="B1250" s="36"/>
      <c r="C1250" s="7"/>
      <c r="D1250" s="7"/>
      <c r="E1250" s="37"/>
      <c r="F1250" s="38"/>
      <c r="G1250" s="24" t="str">
        <f aca="false">IF(OR(C1250="",D1250="",N(E1250)=0),"",E1250*IF(F1250="",IFERROR(N(INDEX(Produtos!$K$5:$K$54,MATCH(D1250,Produtos!$B$5:$B$54,0))),0),F1250))</f>
        <v/>
      </c>
      <c r="H1250" s="24" t="str">
        <f aca="false">IF(G1250="","",E1250*IFERROR(N(INDEX(Produtos!$F$5:$F$54,MATCH(D1250,Produtos!$B$5:$B$54,0))),0))</f>
        <v/>
      </c>
      <c r="I1250" s="24" t="str">
        <f aca="false">IF(G1250="","",G1250-H1250)</f>
        <v/>
      </c>
      <c r="J1250" s="37"/>
    </row>
    <row r="1251" customFormat="false" ht="21" hidden="false" customHeight="true" outlineLevel="0" collapsed="false">
      <c r="B1251" s="36"/>
      <c r="C1251" s="7"/>
      <c r="D1251" s="7"/>
      <c r="E1251" s="37"/>
      <c r="F1251" s="38"/>
      <c r="G1251" s="24" t="str">
        <f aca="false">IF(OR(C1251="",D1251="",N(E1251)=0),"",E1251*IF(F1251="",IFERROR(N(INDEX(Produtos!$K$5:$K$54,MATCH(D1251,Produtos!$B$5:$B$54,0))),0),F1251))</f>
        <v/>
      </c>
      <c r="H1251" s="24" t="str">
        <f aca="false">IF(G1251="","",E1251*IFERROR(N(INDEX(Produtos!$F$5:$F$54,MATCH(D1251,Produtos!$B$5:$B$54,0))),0))</f>
        <v/>
      </c>
      <c r="I1251" s="24" t="str">
        <f aca="false">IF(G1251="","",G1251-H1251)</f>
        <v/>
      </c>
      <c r="J1251" s="37"/>
    </row>
    <row r="1252" customFormat="false" ht="21" hidden="false" customHeight="true" outlineLevel="0" collapsed="false">
      <c r="B1252" s="36"/>
      <c r="C1252" s="7"/>
      <c r="D1252" s="7"/>
      <c r="E1252" s="37"/>
      <c r="F1252" s="38"/>
      <c r="G1252" s="24" t="str">
        <f aca="false">IF(OR(C1252="",D1252="",N(E1252)=0),"",E1252*IF(F1252="",IFERROR(N(INDEX(Produtos!$K$5:$K$54,MATCH(D1252,Produtos!$B$5:$B$54,0))),0),F1252))</f>
        <v/>
      </c>
      <c r="H1252" s="24" t="str">
        <f aca="false">IF(G1252="","",E1252*IFERROR(N(INDEX(Produtos!$F$5:$F$54,MATCH(D1252,Produtos!$B$5:$B$54,0))),0))</f>
        <v/>
      </c>
      <c r="I1252" s="24" t="str">
        <f aca="false">IF(G1252="","",G1252-H1252)</f>
        <v/>
      </c>
      <c r="J1252" s="37"/>
    </row>
    <row r="1253" customFormat="false" ht="21" hidden="false" customHeight="true" outlineLevel="0" collapsed="false">
      <c r="B1253" s="36"/>
      <c r="C1253" s="7"/>
      <c r="D1253" s="7"/>
      <c r="E1253" s="37"/>
      <c r="F1253" s="38"/>
      <c r="G1253" s="24" t="str">
        <f aca="false">IF(OR(C1253="",D1253="",N(E1253)=0),"",E1253*IF(F1253="",IFERROR(N(INDEX(Produtos!$K$5:$K$54,MATCH(D1253,Produtos!$B$5:$B$54,0))),0),F1253))</f>
        <v/>
      </c>
      <c r="H1253" s="24" t="str">
        <f aca="false">IF(G1253="","",E1253*IFERROR(N(INDEX(Produtos!$F$5:$F$54,MATCH(D1253,Produtos!$B$5:$B$54,0))),0))</f>
        <v/>
      </c>
      <c r="I1253" s="24" t="str">
        <f aca="false">IF(G1253="","",G1253-H1253)</f>
        <v/>
      </c>
      <c r="J1253" s="37"/>
    </row>
    <row r="1254" customFormat="false" ht="21" hidden="false" customHeight="true" outlineLevel="0" collapsed="false">
      <c r="B1254" s="36"/>
      <c r="C1254" s="7"/>
      <c r="D1254" s="7"/>
      <c r="E1254" s="37"/>
      <c r="F1254" s="38"/>
      <c r="G1254" s="24" t="str">
        <f aca="false">IF(OR(C1254="",D1254="",N(E1254)=0),"",E1254*IF(F1254="",IFERROR(N(INDEX(Produtos!$K$5:$K$54,MATCH(D1254,Produtos!$B$5:$B$54,0))),0),F1254))</f>
        <v/>
      </c>
      <c r="H1254" s="24" t="str">
        <f aca="false">IF(G1254="","",E1254*IFERROR(N(INDEX(Produtos!$F$5:$F$54,MATCH(D1254,Produtos!$B$5:$B$54,0))),0))</f>
        <v/>
      </c>
      <c r="I1254" s="24" t="str">
        <f aca="false">IF(G1254="","",G1254-H1254)</f>
        <v/>
      </c>
      <c r="J1254" s="37"/>
    </row>
    <row r="1255" customFormat="false" ht="21" hidden="false" customHeight="true" outlineLevel="0" collapsed="false">
      <c r="B1255" s="36"/>
      <c r="C1255" s="7"/>
      <c r="D1255" s="7"/>
      <c r="E1255" s="37"/>
      <c r="F1255" s="38"/>
      <c r="G1255" s="24" t="str">
        <f aca="false">IF(OR(C1255="",D1255="",N(E1255)=0),"",E1255*IF(F1255="",IFERROR(N(INDEX(Produtos!$K$5:$K$54,MATCH(D1255,Produtos!$B$5:$B$54,0))),0),F1255))</f>
        <v/>
      </c>
      <c r="H1255" s="24" t="str">
        <f aca="false">IF(G1255="","",E1255*IFERROR(N(INDEX(Produtos!$F$5:$F$54,MATCH(D1255,Produtos!$B$5:$B$54,0))),0))</f>
        <v/>
      </c>
      <c r="I1255" s="24" t="str">
        <f aca="false">IF(G1255="","",G1255-H1255)</f>
        <v/>
      </c>
      <c r="J1255" s="37"/>
    </row>
    <row r="1256" customFormat="false" ht="21" hidden="false" customHeight="true" outlineLevel="0" collapsed="false">
      <c r="B1256" s="36"/>
      <c r="C1256" s="7"/>
      <c r="D1256" s="7"/>
      <c r="E1256" s="37"/>
      <c r="F1256" s="38"/>
      <c r="G1256" s="24" t="str">
        <f aca="false">IF(OR(C1256="",D1256="",N(E1256)=0),"",E1256*IF(F1256="",IFERROR(N(INDEX(Produtos!$K$5:$K$54,MATCH(D1256,Produtos!$B$5:$B$54,0))),0),F1256))</f>
        <v/>
      </c>
      <c r="H1256" s="24" t="str">
        <f aca="false">IF(G1256="","",E1256*IFERROR(N(INDEX(Produtos!$F$5:$F$54,MATCH(D1256,Produtos!$B$5:$B$54,0))),0))</f>
        <v/>
      </c>
      <c r="I1256" s="24" t="str">
        <f aca="false">IF(G1256="","",G1256-H1256)</f>
        <v/>
      </c>
      <c r="J1256" s="37"/>
    </row>
    <row r="1257" customFormat="false" ht="21" hidden="false" customHeight="true" outlineLevel="0" collapsed="false">
      <c r="B1257" s="36"/>
      <c r="C1257" s="7"/>
      <c r="D1257" s="7"/>
      <c r="E1257" s="37"/>
      <c r="F1257" s="38"/>
      <c r="G1257" s="24" t="str">
        <f aca="false">IF(OR(C1257="",D1257="",N(E1257)=0),"",E1257*IF(F1257="",IFERROR(N(INDEX(Produtos!$K$5:$K$54,MATCH(D1257,Produtos!$B$5:$B$54,0))),0),F1257))</f>
        <v/>
      </c>
      <c r="H1257" s="24" t="str">
        <f aca="false">IF(G1257="","",E1257*IFERROR(N(INDEX(Produtos!$F$5:$F$54,MATCH(D1257,Produtos!$B$5:$B$54,0))),0))</f>
        <v/>
      </c>
      <c r="I1257" s="24" t="str">
        <f aca="false">IF(G1257="","",G1257-H1257)</f>
        <v/>
      </c>
      <c r="J1257" s="37"/>
    </row>
    <row r="1258" customFormat="false" ht="21" hidden="false" customHeight="true" outlineLevel="0" collapsed="false">
      <c r="B1258" s="36"/>
      <c r="C1258" s="7"/>
      <c r="D1258" s="7"/>
      <c r="E1258" s="37"/>
      <c r="F1258" s="38"/>
      <c r="G1258" s="24" t="str">
        <f aca="false">IF(OR(C1258="",D1258="",N(E1258)=0),"",E1258*IF(F1258="",IFERROR(N(INDEX(Produtos!$K$5:$K$54,MATCH(D1258,Produtos!$B$5:$B$54,0))),0),F1258))</f>
        <v/>
      </c>
      <c r="H1258" s="24" t="str">
        <f aca="false">IF(G1258="","",E1258*IFERROR(N(INDEX(Produtos!$F$5:$F$54,MATCH(D1258,Produtos!$B$5:$B$54,0))),0))</f>
        <v/>
      </c>
      <c r="I1258" s="24" t="str">
        <f aca="false">IF(G1258="","",G1258-H1258)</f>
        <v/>
      </c>
      <c r="J1258" s="37"/>
    </row>
    <row r="1259" customFormat="false" ht="21" hidden="false" customHeight="true" outlineLevel="0" collapsed="false">
      <c r="B1259" s="36"/>
      <c r="C1259" s="7"/>
      <c r="D1259" s="7"/>
      <c r="E1259" s="37"/>
      <c r="F1259" s="38"/>
      <c r="G1259" s="24" t="str">
        <f aca="false">IF(OR(C1259="",D1259="",N(E1259)=0),"",E1259*IF(F1259="",IFERROR(N(INDEX(Produtos!$K$5:$K$54,MATCH(D1259,Produtos!$B$5:$B$54,0))),0),F1259))</f>
        <v/>
      </c>
      <c r="H1259" s="24" t="str">
        <f aca="false">IF(G1259="","",E1259*IFERROR(N(INDEX(Produtos!$F$5:$F$54,MATCH(D1259,Produtos!$B$5:$B$54,0))),0))</f>
        <v/>
      </c>
      <c r="I1259" s="24" t="str">
        <f aca="false">IF(G1259="","",G1259-H1259)</f>
        <v/>
      </c>
      <c r="J1259" s="37"/>
    </row>
    <row r="1260" customFormat="false" ht="21" hidden="false" customHeight="true" outlineLevel="0" collapsed="false">
      <c r="B1260" s="36"/>
      <c r="C1260" s="7"/>
      <c r="D1260" s="7"/>
      <c r="E1260" s="37"/>
      <c r="F1260" s="38"/>
      <c r="G1260" s="24" t="str">
        <f aca="false">IF(OR(C1260="",D1260="",N(E1260)=0),"",E1260*IF(F1260="",IFERROR(N(INDEX(Produtos!$K$5:$K$54,MATCH(D1260,Produtos!$B$5:$B$54,0))),0),F1260))</f>
        <v/>
      </c>
      <c r="H1260" s="24" t="str">
        <f aca="false">IF(G1260="","",E1260*IFERROR(N(INDEX(Produtos!$F$5:$F$54,MATCH(D1260,Produtos!$B$5:$B$54,0))),0))</f>
        <v/>
      </c>
      <c r="I1260" s="24" t="str">
        <f aca="false">IF(G1260="","",G1260-H1260)</f>
        <v/>
      </c>
      <c r="J1260" s="37"/>
    </row>
    <row r="1261" customFormat="false" ht="21" hidden="false" customHeight="true" outlineLevel="0" collapsed="false">
      <c r="B1261" s="36"/>
      <c r="C1261" s="7"/>
      <c r="D1261" s="7"/>
      <c r="E1261" s="37"/>
      <c r="F1261" s="38"/>
      <c r="G1261" s="24" t="str">
        <f aca="false">IF(OR(C1261="",D1261="",N(E1261)=0),"",E1261*IF(F1261="",IFERROR(N(INDEX(Produtos!$K$5:$K$54,MATCH(D1261,Produtos!$B$5:$B$54,0))),0),F1261))</f>
        <v/>
      </c>
      <c r="H1261" s="24" t="str">
        <f aca="false">IF(G1261="","",E1261*IFERROR(N(INDEX(Produtos!$F$5:$F$54,MATCH(D1261,Produtos!$B$5:$B$54,0))),0))</f>
        <v/>
      </c>
      <c r="I1261" s="24" t="str">
        <f aca="false">IF(G1261="","",G1261-H1261)</f>
        <v/>
      </c>
      <c r="J1261" s="37"/>
    </row>
    <row r="1262" customFormat="false" ht="21" hidden="false" customHeight="true" outlineLevel="0" collapsed="false">
      <c r="B1262" s="36"/>
      <c r="C1262" s="7"/>
      <c r="D1262" s="7"/>
      <c r="E1262" s="37"/>
      <c r="F1262" s="38"/>
      <c r="G1262" s="24" t="str">
        <f aca="false">IF(OR(C1262="",D1262="",N(E1262)=0),"",E1262*IF(F1262="",IFERROR(N(INDEX(Produtos!$K$5:$K$54,MATCH(D1262,Produtos!$B$5:$B$54,0))),0),F1262))</f>
        <v/>
      </c>
      <c r="H1262" s="24" t="str">
        <f aca="false">IF(G1262="","",E1262*IFERROR(N(INDEX(Produtos!$F$5:$F$54,MATCH(D1262,Produtos!$B$5:$B$54,0))),0))</f>
        <v/>
      </c>
      <c r="I1262" s="24" t="str">
        <f aca="false">IF(G1262="","",G1262-H1262)</f>
        <v/>
      </c>
      <c r="J1262" s="37"/>
    </row>
    <row r="1263" customFormat="false" ht="21" hidden="false" customHeight="true" outlineLevel="0" collapsed="false">
      <c r="B1263" s="36"/>
      <c r="C1263" s="7"/>
      <c r="D1263" s="7"/>
      <c r="E1263" s="37"/>
      <c r="F1263" s="38"/>
      <c r="G1263" s="24" t="str">
        <f aca="false">IF(OR(C1263="",D1263="",N(E1263)=0),"",E1263*IF(F1263="",IFERROR(N(INDEX(Produtos!$K$5:$K$54,MATCH(D1263,Produtos!$B$5:$B$54,0))),0),F1263))</f>
        <v/>
      </c>
      <c r="H1263" s="24" t="str">
        <f aca="false">IF(G1263="","",E1263*IFERROR(N(INDEX(Produtos!$F$5:$F$54,MATCH(D1263,Produtos!$B$5:$B$54,0))),0))</f>
        <v/>
      </c>
      <c r="I1263" s="24" t="str">
        <f aca="false">IF(G1263="","",G1263-H1263)</f>
        <v/>
      </c>
      <c r="J1263" s="37"/>
    </row>
    <row r="1264" customFormat="false" ht="21" hidden="false" customHeight="true" outlineLevel="0" collapsed="false">
      <c r="B1264" s="36"/>
      <c r="C1264" s="7"/>
      <c r="D1264" s="7"/>
      <c r="E1264" s="37"/>
      <c r="F1264" s="38"/>
      <c r="G1264" s="24" t="str">
        <f aca="false">IF(OR(C1264="",D1264="",N(E1264)=0),"",E1264*IF(F1264="",IFERROR(N(INDEX(Produtos!$K$5:$K$54,MATCH(D1264,Produtos!$B$5:$B$54,0))),0),F1264))</f>
        <v/>
      </c>
      <c r="H1264" s="24" t="str">
        <f aca="false">IF(G1264="","",E1264*IFERROR(N(INDEX(Produtos!$F$5:$F$54,MATCH(D1264,Produtos!$B$5:$B$54,0))),0))</f>
        <v/>
      </c>
      <c r="I1264" s="24" t="str">
        <f aca="false">IF(G1264="","",G1264-H1264)</f>
        <v/>
      </c>
      <c r="J1264" s="37"/>
    </row>
    <row r="1265" customFormat="false" ht="21" hidden="false" customHeight="true" outlineLevel="0" collapsed="false">
      <c r="B1265" s="36"/>
      <c r="C1265" s="7"/>
      <c r="D1265" s="7"/>
      <c r="E1265" s="37"/>
      <c r="F1265" s="38"/>
      <c r="G1265" s="24" t="str">
        <f aca="false">IF(OR(C1265="",D1265="",N(E1265)=0),"",E1265*IF(F1265="",IFERROR(N(INDEX(Produtos!$K$5:$K$54,MATCH(D1265,Produtos!$B$5:$B$54,0))),0),F1265))</f>
        <v/>
      </c>
      <c r="H1265" s="24" t="str">
        <f aca="false">IF(G1265="","",E1265*IFERROR(N(INDEX(Produtos!$F$5:$F$54,MATCH(D1265,Produtos!$B$5:$B$54,0))),0))</f>
        <v/>
      </c>
      <c r="I1265" s="24" t="str">
        <f aca="false">IF(G1265="","",G1265-H1265)</f>
        <v/>
      </c>
      <c r="J1265" s="37"/>
    </row>
    <row r="1266" customFormat="false" ht="21" hidden="false" customHeight="true" outlineLevel="0" collapsed="false">
      <c r="B1266" s="36"/>
      <c r="C1266" s="7"/>
      <c r="D1266" s="7"/>
      <c r="E1266" s="37"/>
      <c r="F1266" s="38"/>
      <c r="G1266" s="24" t="str">
        <f aca="false">IF(OR(C1266="",D1266="",N(E1266)=0),"",E1266*IF(F1266="",IFERROR(N(INDEX(Produtos!$K$5:$K$54,MATCH(D1266,Produtos!$B$5:$B$54,0))),0),F1266))</f>
        <v/>
      </c>
      <c r="H1266" s="24" t="str">
        <f aca="false">IF(G1266="","",E1266*IFERROR(N(INDEX(Produtos!$F$5:$F$54,MATCH(D1266,Produtos!$B$5:$B$54,0))),0))</f>
        <v/>
      </c>
      <c r="I1266" s="24" t="str">
        <f aca="false">IF(G1266="","",G1266-H1266)</f>
        <v/>
      </c>
      <c r="J1266" s="37"/>
    </row>
    <row r="1267" customFormat="false" ht="21" hidden="false" customHeight="true" outlineLevel="0" collapsed="false">
      <c r="B1267" s="36"/>
      <c r="C1267" s="7"/>
      <c r="D1267" s="7"/>
      <c r="E1267" s="37"/>
      <c r="F1267" s="38"/>
      <c r="G1267" s="24" t="str">
        <f aca="false">IF(OR(C1267="",D1267="",N(E1267)=0),"",E1267*IF(F1267="",IFERROR(N(INDEX(Produtos!$K$5:$K$54,MATCH(D1267,Produtos!$B$5:$B$54,0))),0),F1267))</f>
        <v/>
      </c>
      <c r="H1267" s="24" t="str">
        <f aca="false">IF(G1267="","",E1267*IFERROR(N(INDEX(Produtos!$F$5:$F$54,MATCH(D1267,Produtos!$B$5:$B$54,0))),0))</f>
        <v/>
      </c>
      <c r="I1267" s="24" t="str">
        <f aca="false">IF(G1267="","",G1267-H1267)</f>
        <v/>
      </c>
      <c r="J1267" s="37"/>
    </row>
    <row r="1268" customFormat="false" ht="21" hidden="false" customHeight="true" outlineLevel="0" collapsed="false">
      <c r="B1268" s="36"/>
      <c r="C1268" s="7"/>
      <c r="D1268" s="7"/>
      <c r="E1268" s="37"/>
      <c r="F1268" s="38"/>
      <c r="G1268" s="24" t="str">
        <f aca="false">IF(OR(C1268="",D1268="",N(E1268)=0),"",E1268*IF(F1268="",IFERROR(N(INDEX(Produtos!$K$5:$K$54,MATCH(D1268,Produtos!$B$5:$B$54,0))),0),F1268))</f>
        <v/>
      </c>
      <c r="H1268" s="24" t="str">
        <f aca="false">IF(G1268="","",E1268*IFERROR(N(INDEX(Produtos!$F$5:$F$54,MATCH(D1268,Produtos!$B$5:$B$54,0))),0))</f>
        <v/>
      </c>
      <c r="I1268" s="24" t="str">
        <f aca="false">IF(G1268="","",G1268-H1268)</f>
        <v/>
      </c>
      <c r="J1268" s="37"/>
    </row>
    <row r="1269" customFormat="false" ht="21" hidden="false" customHeight="true" outlineLevel="0" collapsed="false">
      <c r="B1269" s="36"/>
      <c r="C1269" s="7"/>
      <c r="D1269" s="7"/>
      <c r="E1269" s="37"/>
      <c r="F1269" s="38"/>
      <c r="G1269" s="24" t="str">
        <f aca="false">IF(OR(C1269="",D1269="",N(E1269)=0),"",E1269*IF(F1269="",IFERROR(N(INDEX(Produtos!$K$5:$K$54,MATCH(D1269,Produtos!$B$5:$B$54,0))),0),F1269))</f>
        <v/>
      </c>
      <c r="H1269" s="24" t="str">
        <f aca="false">IF(G1269="","",E1269*IFERROR(N(INDEX(Produtos!$F$5:$F$54,MATCH(D1269,Produtos!$B$5:$B$54,0))),0))</f>
        <v/>
      </c>
      <c r="I1269" s="24" t="str">
        <f aca="false">IF(G1269="","",G1269-H1269)</f>
        <v/>
      </c>
      <c r="J1269" s="37"/>
    </row>
    <row r="1270" customFormat="false" ht="21" hidden="false" customHeight="true" outlineLevel="0" collapsed="false">
      <c r="B1270" s="36"/>
      <c r="C1270" s="7"/>
      <c r="D1270" s="7"/>
      <c r="E1270" s="37"/>
      <c r="F1270" s="38"/>
      <c r="G1270" s="24" t="str">
        <f aca="false">IF(OR(C1270="",D1270="",N(E1270)=0),"",E1270*IF(F1270="",IFERROR(N(INDEX(Produtos!$K$5:$K$54,MATCH(D1270,Produtos!$B$5:$B$54,0))),0),F1270))</f>
        <v/>
      </c>
      <c r="H1270" s="24" t="str">
        <f aca="false">IF(G1270="","",E1270*IFERROR(N(INDEX(Produtos!$F$5:$F$54,MATCH(D1270,Produtos!$B$5:$B$54,0))),0))</f>
        <v/>
      </c>
      <c r="I1270" s="24" t="str">
        <f aca="false">IF(G1270="","",G1270-H1270)</f>
        <v/>
      </c>
      <c r="J1270" s="37"/>
    </row>
    <row r="1271" customFormat="false" ht="21" hidden="false" customHeight="true" outlineLevel="0" collapsed="false">
      <c r="B1271" s="36"/>
      <c r="C1271" s="7"/>
      <c r="D1271" s="7"/>
      <c r="E1271" s="37"/>
      <c r="F1271" s="38"/>
      <c r="G1271" s="24" t="str">
        <f aca="false">IF(OR(C1271="",D1271="",N(E1271)=0),"",E1271*IF(F1271="",IFERROR(N(INDEX(Produtos!$K$5:$K$54,MATCH(D1271,Produtos!$B$5:$B$54,0))),0),F1271))</f>
        <v/>
      </c>
      <c r="H1271" s="24" t="str">
        <f aca="false">IF(G1271="","",E1271*IFERROR(N(INDEX(Produtos!$F$5:$F$54,MATCH(D1271,Produtos!$B$5:$B$54,0))),0))</f>
        <v/>
      </c>
      <c r="I1271" s="24" t="str">
        <f aca="false">IF(G1271="","",G1271-H1271)</f>
        <v/>
      </c>
      <c r="J1271" s="37"/>
    </row>
    <row r="1272" customFormat="false" ht="21" hidden="false" customHeight="true" outlineLevel="0" collapsed="false">
      <c r="B1272" s="36"/>
      <c r="C1272" s="7"/>
      <c r="D1272" s="7"/>
      <c r="E1272" s="37"/>
      <c r="F1272" s="38"/>
      <c r="G1272" s="24" t="str">
        <f aca="false">IF(OR(C1272="",D1272="",N(E1272)=0),"",E1272*IF(F1272="",IFERROR(N(INDEX(Produtos!$K$5:$K$54,MATCH(D1272,Produtos!$B$5:$B$54,0))),0),F1272))</f>
        <v/>
      </c>
      <c r="H1272" s="24" t="str">
        <f aca="false">IF(G1272="","",E1272*IFERROR(N(INDEX(Produtos!$F$5:$F$54,MATCH(D1272,Produtos!$B$5:$B$54,0))),0))</f>
        <v/>
      </c>
      <c r="I1272" s="24" t="str">
        <f aca="false">IF(G1272="","",G1272-H1272)</f>
        <v/>
      </c>
      <c r="J1272" s="37"/>
    </row>
    <row r="1273" customFormat="false" ht="21" hidden="false" customHeight="true" outlineLevel="0" collapsed="false">
      <c r="B1273" s="36"/>
      <c r="C1273" s="7"/>
      <c r="D1273" s="7"/>
      <c r="E1273" s="37"/>
      <c r="F1273" s="38"/>
      <c r="G1273" s="24" t="str">
        <f aca="false">IF(OR(C1273="",D1273="",N(E1273)=0),"",E1273*IF(F1273="",IFERROR(N(INDEX(Produtos!$K$5:$K$54,MATCH(D1273,Produtos!$B$5:$B$54,0))),0),F1273))</f>
        <v/>
      </c>
      <c r="H1273" s="24" t="str">
        <f aca="false">IF(G1273="","",E1273*IFERROR(N(INDEX(Produtos!$F$5:$F$54,MATCH(D1273,Produtos!$B$5:$B$54,0))),0))</f>
        <v/>
      </c>
      <c r="I1273" s="24" t="str">
        <f aca="false">IF(G1273="","",G1273-H1273)</f>
        <v/>
      </c>
      <c r="J1273" s="37"/>
    </row>
    <row r="1274" customFormat="false" ht="21" hidden="false" customHeight="true" outlineLevel="0" collapsed="false">
      <c r="B1274" s="36"/>
      <c r="C1274" s="7"/>
      <c r="D1274" s="7"/>
      <c r="E1274" s="37"/>
      <c r="F1274" s="38"/>
      <c r="G1274" s="24" t="str">
        <f aca="false">IF(OR(C1274="",D1274="",N(E1274)=0),"",E1274*IF(F1274="",IFERROR(N(INDEX(Produtos!$K$5:$K$54,MATCH(D1274,Produtos!$B$5:$B$54,0))),0),F1274))</f>
        <v/>
      </c>
      <c r="H1274" s="24" t="str">
        <f aca="false">IF(G1274="","",E1274*IFERROR(N(INDEX(Produtos!$F$5:$F$54,MATCH(D1274,Produtos!$B$5:$B$54,0))),0))</f>
        <v/>
      </c>
      <c r="I1274" s="24" t="str">
        <f aca="false">IF(G1274="","",G1274-H1274)</f>
        <v/>
      </c>
      <c r="J1274" s="37"/>
    </row>
    <row r="1275" customFormat="false" ht="21" hidden="false" customHeight="true" outlineLevel="0" collapsed="false">
      <c r="B1275" s="36"/>
      <c r="C1275" s="7"/>
      <c r="D1275" s="7"/>
      <c r="E1275" s="37"/>
      <c r="F1275" s="38"/>
      <c r="G1275" s="24" t="str">
        <f aca="false">IF(OR(C1275="",D1275="",N(E1275)=0),"",E1275*IF(F1275="",IFERROR(N(INDEX(Produtos!$K$5:$K$54,MATCH(D1275,Produtos!$B$5:$B$54,0))),0),F1275))</f>
        <v/>
      </c>
      <c r="H1275" s="24" t="str">
        <f aca="false">IF(G1275="","",E1275*IFERROR(N(INDEX(Produtos!$F$5:$F$54,MATCH(D1275,Produtos!$B$5:$B$54,0))),0))</f>
        <v/>
      </c>
      <c r="I1275" s="24" t="str">
        <f aca="false">IF(G1275="","",G1275-H1275)</f>
        <v/>
      </c>
      <c r="J1275" s="37"/>
    </row>
    <row r="1276" customFormat="false" ht="21" hidden="false" customHeight="true" outlineLevel="0" collapsed="false">
      <c r="B1276" s="36"/>
      <c r="C1276" s="7"/>
      <c r="D1276" s="7"/>
      <c r="E1276" s="37"/>
      <c r="F1276" s="38"/>
      <c r="G1276" s="24" t="str">
        <f aca="false">IF(OR(C1276="",D1276="",N(E1276)=0),"",E1276*IF(F1276="",IFERROR(N(INDEX(Produtos!$K$5:$K$54,MATCH(D1276,Produtos!$B$5:$B$54,0))),0),F1276))</f>
        <v/>
      </c>
      <c r="H1276" s="24" t="str">
        <f aca="false">IF(G1276="","",E1276*IFERROR(N(INDEX(Produtos!$F$5:$F$54,MATCH(D1276,Produtos!$B$5:$B$54,0))),0))</f>
        <v/>
      </c>
      <c r="I1276" s="24" t="str">
        <f aca="false">IF(G1276="","",G1276-H1276)</f>
        <v/>
      </c>
      <c r="J1276" s="37"/>
    </row>
    <row r="1277" customFormat="false" ht="21" hidden="false" customHeight="true" outlineLevel="0" collapsed="false">
      <c r="B1277" s="36"/>
      <c r="C1277" s="7"/>
      <c r="D1277" s="7"/>
      <c r="E1277" s="37"/>
      <c r="F1277" s="38"/>
      <c r="G1277" s="24" t="str">
        <f aca="false">IF(OR(C1277="",D1277="",N(E1277)=0),"",E1277*IF(F1277="",IFERROR(N(INDEX(Produtos!$K$5:$K$54,MATCH(D1277,Produtos!$B$5:$B$54,0))),0),F1277))</f>
        <v/>
      </c>
      <c r="H1277" s="24" t="str">
        <f aca="false">IF(G1277="","",E1277*IFERROR(N(INDEX(Produtos!$F$5:$F$54,MATCH(D1277,Produtos!$B$5:$B$54,0))),0))</f>
        <v/>
      </c>
      <c r="I1277" s="24" t="str">
        <f aca="false">IF(G1277="","",G1277-H1277)</f>
        <v/>
      </c>
      <c r="J1277" s="37"/>
    </row>
    <row r="1278" customFormat="false" ht="21" hidden="false" customHeight="true" outlineLevel="0" collapsed="false">
      <c r="B1278" s="36"/>
      <c r="C1278" s="7"/>
      <c r="D1278" s="7"/>
      <c r="E1278" s="37"/>
      <c r="F1278" s="38"/>
      <c r="G1278" s="24" t="str">
        <f aca="false">IF(OR(C1278="",D1278="",N(E1278)=0),"",E1278*IF(F1278="",IFERROR(N(INDEX(Produtos!$K$5:$K$54,MATCH(D1278,Produtos!$B$5:$B$54,0))),0),F1278))</f>
        <v/>
      </c>
      <c r="H1278" s="24" t="str">
        <f aca="false">IF(G1278="","",E1278*IFERROR(N(INDEX(Produtos!$F$5:$F$54,MATCH(D1278,Produtos!$B$5:$B$54,0))),0))</f>
        <v/>
      </c>
      <c r="I1278" s="24" t="str">
        <f aca="false">IF(G1278="","",G1278-H1278)</f>
        <v/>
      </c>
      <c r="J1278" s="37"/>
    </row>
    <row r="1279" customFormat="false" ht="21" hidden="false" customHeight="true" outlineLevel="0" collapsed="false">
      <c r="B1279" s="36"/>
      <c r="C1279" s="7"/>
      <c r="D1279" s="7"/>
      <c r="E1279" s="37"/>
      <c r="F1279" s="38"/>
      <c r="G1279" s="24" t="str">
        <f aca="false">IF(OR(C1279="",D1279="",N(E1279)=0),"",E1279*IF(F1279="",IFERROR(N(INDEX(Produtos!$K$5:$K$54,MATCH(D1279,Produtos!$B$5:$B$54,0))),0),F1279))</f>
        <v/>
      </c>
      <c r="H1279" s="24" t="str">
        <f aca="false">IF(G1279="","",E1279*IFERROR(N(INDEX(Produtos!$F$5:$F$54,MATCH(D1279,Produtos!$B$5:$B$54,0))),0))</f>
        <v/>
      </c>
      <c r="I1279" s="24" t="str">
        <f aca="false">IF(G1279="","",G1279-H1279)</f>
        <v/>
      </c>
      <c r="J1279" s="37"/>
    </row>
    <row r="1280" customFormat="false" ht="21" hidden="false" customHeight="true" outlineLevel="0" collapsed="false">
      <c r="B1280" s="36"/>
      <c r="C1280" s="7"/>
      <c r="D1280" s="7"/>
      <c r="E1280" s="37"/>
      <c r="F1280" s="38"/>
      <c r="G1280" s="24" t="str">
        <f aca="false">IF(OR(C1280="",D1280="",N(E1280)=0),"",E1280*IF(F1280="",IFERROR(N(INDEX(Produtos!$K$5:$K$54,MATCH(D1280,Produtos!$B$5:$B$54,0))),0),F1280))</f>
        <v/>
      </c>
      <c r="H1280" s="24" t="str">
        <f aca="false">IF(G1280="","",E1280*IFERROR(N(INDEX(Produtos!$F$5:$F$54,MATCH(D1280,Produtos!$B$5:$B$54,0))),0))</f>
        <v/>
      </c>
      <c r="I1280" s="24" t="str">
        <f aca="false">IF(G1280="","",G1280-H1280)</f>
        <v/>
      </c>
      <c r="J1280" s="37"/>
    </row>
    <row r="1281" customFormat="false" ht="21" hidden="false" customHeight="true" outlineLevel="0" collapsed="false">
      <c r="B1281" s="36"/>
      <c r="C1281" s="7"/>
      <c r="D1281" s="7"/>
      <c r="E1281" s="37"/>
      <c r="F1281" s="38"/>
      <c r="G1281" s="24" t="str">
        <f aca="false">IF(OR(C1281="",D1281="",N(E1281)=0),"",E1281*IF(F1281="",IFERROR(N(INDEX(Produtos!$K$5:$K$54,MATCH(D1281,Produtos!$B$5:$B$54,0))),0),F1281))</f>
        <v/>
      </c>
      <c r="H1281" s="24" t="str">
        <f aca="false">IF(G1281="","",E1281*IFERROR(N(INDEX(Produtos!$F$5:$F$54,MATCH(D1281,Produtos!$B$5:$B$54,0))),0))</f>
        <v/>
      </c>
      <c r="I1281" s="24" t="str">
        <f aca="false">IF(G1281="","",G1281-H1281)</f>
        <v/>
      </c>
      <c r="J1281" s="37"/>
    </row>
    <row r="1282" customFormat="false" ht="21" hidden="false" customHeight="true" outlineLevel="0" collapsed="false">
      <c r="B1282" s="36"/>
      <c r="C1282" s="7"/>
      <c r="D1282" s="7"/>
      <c r="E1282" s="37"/>
      <c r="F1282" s="38"/>
      <c r="G1282" s="24" t="str">
        <f aca="false">IF(OR(C1282="",D1282="",N(E1282)=0),"",E1282*IF(F1282="",IFERROR(N(INDEX(Produtos!$K$5:$K$54,MATCH(D1282,Produtos!$B$5:$B$54,0))),0),F1282))</f>
        <v/>
      </c>
      <c r="H1282" s="24" t="str">
        <f aca="false">IF(G1282="","",E1282*IFERROR(N(INDEX(Produtos!$F$5:$F$54,MATCH(D1282,Produtos!$B$5:$B$54,0))),0))</f>
        <v/>
      </c>
      <c r="I1282" s="24" t="str">
        <f aca="false">IF(G1282="","",G1282-H1282)</f>
        <v/>
      </c>
      <c r="J1282" s="37"/>
    </row>
    <row r="1283" customFormat="false" ht="21" hidden="false" customHeight="true" outlineLevel="0" collapsed="false">
      <c r="B1283" s="36"/>
      <c r="C1283" s="7"/>
      <c r="D1283" s="7"/>
      <c r="E1283" s="37"/>
      <c r="F1283" s="38"/>
      <c r="G1283" s="24" t="str">
        <f aca="false">IF(OR(C1283="",D1283="",N(E1283)=0),"",E1283*IF(F1283="",IFERROR(N(INDEX(Produtos!$K$5:$K$54,MATCH(D1283,Produtos!$B$5:$B$54,0))),0),F1283))</f>
        <v/>
      </c>
      <c r="H1283" s="24" t="str">
        <f aca="false">IF(G1283="","",E1283*IFERROR(N(INDEX(Produtos!$F$5:$F$54,MATCH(D1283,Produtos!$B$5:$B$54,0))),0))</f>
        <v/>
      </c>
      <c r="I1283" s="24" t="str">
        <f aca="false">IF(G1283="","",G1283-H1283)</f>
        <v/>
      </c>
      <c r="J1283" s="37"/>
    </row>
    <row r="1284" customFormat="false" ht="21" hidden="false" customHeight="true" outlineLevel="0" collapsed="false">
      <c r="B1284" s="36"/>
      <c r="C1284" s="7"/>
      <c r="D1284" s="7"/>
      <c r="E1284" s="37"/>
      <c r="F1284" s="38"/>
      <c r="G1284" s="24" t="str">
        <f aca="false">IF(OR(C1284="",D1284="",N(E1284)=0),"",E1284*IF(F1284="",IFERROR(N(INDEX(Produtos!$K$5:$K$54,MATCH(D1284,Produtos!$B$5:$B$54,0))),0),F1284))</f>
        <v/>
      </c>
      <c r="H1284" s="24" t="str">
        <f aca="false">IF(G1284="","",E1284*IFERROR(N(INDEX(Produtos!$F$5:$F$54,MATCH(D1284,Produtos!$B$5:$B$54,0))),0))</f>
        <v/>
      </c>
      <c r="I1284" s="24" t="str">
        <f aca="false">IF(G1284="","",G1284-H1284)</f>
        <v/>
      </c>
      <c r="J1284" s="37"/>
    </row>
    <row r="1285" customFormat="false" ht="21" hidden="false" customHeight="true" outlineLevel="0" collapsed="false">
      <c r="B1285" s="36"/>
      <c r="C1285" s="7"/>
      <c r="D1285" s="7"/>
      <c r="E1285" s="37"/>
      <c r="F1285" s="38"/>
      <c r="G1285" s="24" t="str">
        <f aca="false">IF(OR(C1285="",D1285="",N(E1285)=0),"",E1285*IF(F1285="",IFERROR(N(INDEX(Produtos!$K$5:$K$54,MATCH(D1285,Produtos!$B$5:$B$54,0))),0),F1285))</f>
        <v/>
      </c>
      <c r="H1285" s="24" t="str">
        <f aca="false">IF(G1285="","",E1285*IFERROR(N(INDEX(Produtos!$F$5:$F$54,MATCH(D1285,Produtos!$B$5:$B$54,0))),0))</f>
        <v/>
      </c>
      <c r="I1285" s="24" t="str">
        <f aca="false">IF(G1285="","",G1285-H1285)</f>
        <v/>
      </c>
      <c r="J1285" s="37"/>
    </row>
    <row r="1286" customFormat="false" ht="21" hidden="false" customHeight="true" outlineLevel="0" collapsed="false">
      <c r="B1286" s="36"/>
      <c r="C1286" s="7"/>
      <c r="D1286" s="7"/>
      <c r="E1286" s="37"/>
      <c r="F1286" s="38"/>
      <c r="G1286" s="24" t="str">
        <f aca="false">IF(OR(C1286="",D1286="",N(E1286)=0),"",E1286*IF(F1286="",IFERROR(N(INDEX(Produtos!$K$5:$K$54,MATCH(D1286,Produtos!$B$5:$B$54,0))),0),F1286))</f>
        <v/>
      </c>
      <c r="H1286" s="24" t="str">
        <f aca="false">IF(G1286="","",E1286*IFERROR(N(INDEX(Produtos!$F$5:$F$54,MATCH(D1286,Produtos!$B$5:$B$54,0))),0))</f>
        <v/>
      </c>
      <c r="I1286" s="24" t="str">
        <f aca="false">IF(G1286="","",G1286-H1286)</f>
        <v/>
      </c>
      <c r="J1286" s="37"/>
    </row>
    <row r="1287" customFormat="false" ht="21" hidden="false" customHeight="true" outlineLevel="0" collapsed="false">
      <c r="B1287" s="36"/>
      <c r="C1287" s="7"/>
      <c r="D1287" s="7"/>
      <c r="E1287" s="37"/>
      <c r="F1287" s="38"/>
      <c r="G1287" s="24" t="str">
        <f aca="false">IF(OR(C1287="",D1287="",N(E1287)=0),"",E1287*IF(F1287="",IFERROR(N(INDEX(Produtos!$K$5:$K$54,MATCH(D1287,Produtos!$B$5:$B$54,0))),0),F1287))</f>
        <v/>
      </c>
      <c r="H1287" s="24" t="str">
        <f aca="false">IF(G1287="","",E1287*IFERROR(N(INDEX(Produtos!$F$5:$F$54,MATCH(D1287,Produtos!$B$5:$B$54,0))),0))</f>
        <v/>
      </c>
      <c r="I1287" s="24" t="str">
        <f aca="false">IF(G1287="","",G1287-H1287)</f>
        <v/>
      </c>
      <c r="J1287" s="37"/>
    </row>
    <row r="1288" customFormat="false" ht="21" hidden="false" customHeight="true" outlineLevel="0" collapsed="false">
      <c r="B1288" s="36"/>
      <c r="C1288" s="7"/>
      <c r="D1288" s="7"/>
      <c r="E1288" s="37"/>
      <c r="F1288" s="38"/>
      <c r="G1288" s="24" t="str">
        <f aca="false">IF(OR(C1288="",D1288="",N(E1288)=0),"",E1288*IF(F1288="",IFERROR(N(INDEX(Produtos!$K$5:$K$54,MATCH(D1288,Produtos!$B$5:$B$54,0))),0),F1288))</f>
        <v/>
      </c>
      <c r="H1288" s="24" t="str">
        <f aca="false">IF(G1288="","",E1288*IFERROR(N(INDEX(Produtos!$F$5:$F$54,MATCH(D1288,Produtos!$B$5:$B$54,0))),0))</f>
        <v/>
      </c>
      <c r="I1288" s="24" t="str">
        <f aca="false">IF(G1288="","",G1288-H1288)</f>
        <v/>
      </c>
      <c r="J1288" s="37"/>
    </row>
    <row r="1289" customFormat="false" ht="21" hidden="false" customHeight="true" outlineLevel="0" collapsed="false">
      <c r="B1289" s="36"/>
      <c r="C1289" s="7"/>
      <c r="D1289" s="7"/>
      <c r="E1289" s="37"/>
      <c r="F1289" s="38"/>
      <c r="G1289" s="24" t="str">
        <f aca="false">IF(OR(C1289="",D1289="",N(E1289)=0),"",E1289*IF(F1289="",IFERROR(N(INDEX(Produtos!$K$5:$K$54,MATCH(D1289,Produtos!$B$5:$B$54,0))),0),F1289))</f>
        <v/>
      </c>
      <c r="H1289" s="24" t="str">
        <f aca="false">IF(G1289="","",E1289*IFERROR(N(INDEX(Produtos!$F$5:$F$54,MATCH(D1289,Produtos!$B$5:$B$54,0))),0))</f>
        <v/>
      </c>
      <c r="I1289" s="24" t="str">
        <f aca="false">IF(G1289="","",G1289-H1289)</f>
        <v/>
      </c>
      <c r="J1289" s="37"/>
    </row>
    <row r="1290" customFormat="false" ht="21" hidden="false" customHeight="true" outlineLevel="0" collapsed="false">
      <c r="B1290" s="36"/>
      <c r="C1290" s="7"/>
      <c r="D1290" s="7"/>
      <c r="E1290" s="37"/>
      <c r="F1290" s="38"/>
      <c r="G1290" s="24" t="str">
        <f aca="false">IF(OR(C1290="",D1290="",N(E1290)=0),"",E1290*IF(F1290="",IFERROR(N(INDEX(Produtos!$K$5:$K$54,MATCH(D1290,Produtos!$B$5:$B$54,0))),0),F1290))</f>
        <v/>
      </c>
      <c r="H1290" s="24" t="str">
        <f aca="false">IF(G1290="","",E1290*IFERROR(N(INDEX(Produtos!$F$5:$F$54,MATCH(D1290,Produtos!$B$5:$B$54,0))),0))</f>
        <v/>
      </c>
      <c r="I1290" s="24" t="str">
        <f aca="false">IF(G1290="","",G1290-H1290)</f>
        <v/>
      </c>
      <c r="J1290" s="37"/>
    </row>
    <row r="1291" customFormat="false" ht="21" hidden="false" customHeight="true" outlineLevel="0" collapsed="false">
      <c r="B1291" s="36"/>
      <c r="C1291" s="7"/>
      <c r="D1291" s="7"/>
      <c r="E1291" s="37"/>
      <c r="F1291" s="38"/>
      <c r="G1291" s="24" t="str">
        <f aca="false">IF(OR(C1291="",D1291="",N(E1291)=0),"",E1291*IF(F1291="",IFERROR(N(INDEX(Produtos!$K$5:$K$54,MATCH(D1291,Produtos!$B$5:$B$54,0))),0),F1291))</f>
        <v/>
      </c>
      <c r="H1291" s="24" t="str">
        <f aca="false">IF(G1291="","",E1291*IFERROR(N(INDEX(Produtos!$F$5:$F$54,MATCH(D1291,Produtos!$B$5:$B$54,0))),0))</f>
        <v/>
      </c>
      <c r="I1291" s="24" t="str">
        <f aca="false">IF(G1291="","",G1291-H1291)</f>
        <v/>
      </c>
      <c r="J1291" s="37"/>
    </row>
    <row r="1292" customFormat="false" ht="21" hidden="false" customHeight="true" outlineLevel="0" collapsed="false">
      <c r="B1292" s="36"/>
      <c r="C1292" s="7"/>
      <c r="D1292" s="7"/>
      <c r="E1292" s="37"/>
      <c r="F1292" s="38"/>
      <c r="G1292" s="24" t="str">
        <f aca="false">IF(OR(C1292="",D1292="",N(E1292)=0),"",E1292*IF(F1292="",IFERROR(N(INDEX(Produtos!$K$5:$K$54,MATCH(D1292,Produtos!$B$5:$B$54,0))),0),F1292))</f>
        <v/>
      </c>
      <c r="H1292" s="24" t="str">
        <f aca="false">IF(G1292="","",E1292*IFERROR(N(INDEX(Produtos!$F$5:$F$54,MATCH(D1292,Produtos!$B$5:$B$54,0))),0))</f>
        <v/>
      </c>
      <c r="I1292" s="24" t="str">
        <f aca="false">IF(G1292="","",G1292-H1292)</f>
        <v/>
      </c>
      <c r="J1292" s="37"/>
    </row>
    <row r="1293" customFormat="false" ht="21" hidden="false" customHeight="true" outlineLevel="0" collapsed="false">
      <c r="B1293" s="36"/>
      <c r="C1293" s="7"/>
      <c r="D1293" s="7"/>
      <c r="E1293" s="37"/>
      <c r="F1293" s="38"/>
      <c r="G1293" s="24" t="str">
        <f aca="false">IF(OR(C1293="",D1293="",N(E1293)=0),"",E1293*IF(F1293="",IFERROR(N(INDEX(Produtos!$K$5:$K$54,MATCH(D1293,Produtos!$B$5:$B$54,0))),0),F1293))</f>
        <v/>
      </c>
      <c r="H1293" s="24" t="str">
        <f aca="false">IF(G1293="","",E1293*IFERROR(N(INDEX(Produtos!$F$5:$F$54,MATCH(D1293,Produtos!$B$5:$B$54,0))),0))</f>
        <v/>
      </c>
      <c r="I1293" s="24" t="str">
        <f aca="false">IF(G1293="","",G1293-H1293)</f>
        <v/>
      </c>
      <c r="J1293" s="37"/>
    </row>
    <row r="1294" customFormat="false" ht="21" hidden="false" customHeight="true" outlineLevel="0" collapsed="false">
      <c r="B1294" s="36"/>
      <c r="C1294" s="7"/>
      <c r="D1294" s="7"/>
      <c r="E1294" s="37"/>
      <c r="F1294" s="38"/>
      <c r="G1294" s="24" t="str">
        <f aca="false">IF(OR(C1294="",D1294="",N(E1294)=0),"",E1294*IF(F1294="",IFERROR(N(INDEX(Produtos!$K$5:$K$54,MATCH(D1294,Produtos!$B$5:$B$54,0))),0),F1294))</f>
        <v/>
      </c>
      <c r="H1294" s="24" t="str">
        <f aca="false">IF(G1294="","",E1294*IFERROR(N(INDEX(Produtos!$F$5:$F$54,MATCH(D1294,Produtos!$B$5:$B$54,0))),0))</f>
        <v/>
      </c>
      <c r="I1294" s="24" t="str">
        <f aca="false">IF(G1294="","",G1294-H1294)</f>
        <v/>
      </c>
      <c r="J1294" s="37"/>
    </row>
    <row r="1295" customFormat="false" ht="21" hidden="false" customHeight="true" outlineLevel="0" collapsed="false">
      <c r="B1295" s="36"/>
      <c r="C1295" s="7"/>
      <c r="D1295" s="7"/>
      <c r="E1295" s="37"/>
      <c r="F1295" s="38"/>
      <c r="G1295" s="24" t="str">
        <f aca="false">IF(OR(C1295="",D1295="",N(E1295)=0),"",E1295*IF(F1295="",IFERROR(N(INDEX(Produtos!$K$5:$K$54,MATCH(D1295,Produtos!$B$5:$B$54,0))),0),F1295))</f>
        <v/>
      </c>
      <c r="H1295" s="24" t="str">
        <f aca="false">IF(G1295="","",E1295*IFERROR(N(INDEX(Produtos!$F$5:$F$54,MATCH(D1295,Produtos!$B$5:$B$54,0))),0))</f>
        <v/>
      </c>
      <c r="I1295" s="24" t="str">
        <f aca="false">IF(G1295="","",G1295-H1295)</f>
        <v/>
      </c>
      <c r="J1295" s="37"/>
    </row>
    <row r="1296" customFormat="false" ht="21" hidden="false" customHeight="true" outlineLevel="0" collapsed="false">
      <c r="B1296" s="36"/>
      <c r="C1296" s="7"/>
      <c r="D1296" s="7"/>
      <c r="E1296" s="37"/>
      <c r="F1296" s="38"/>
      <c r="G1296" s="24" t="str">
        <f aca="false">IF(OR(C1296="",D1296="",N(E1296)=0),"",E1296*IF(F1296="",IFERROR(N(INDEX(Produtos!$K$5:$K$54,MATCH(D1296,Produtos!$B$5:$B$54,0))),0),F1296))</f>
        <v/>
      </c>
      <c r="H1296" s="24" t="str">
        <f aca="false">IF(G1296="","",E1296*IFERROR(N(INDEX(Produtos!$F$5:$F$54,MATCH(D1296,Produtos!$B$5:$B$54,0))),0))</f>
        <v/>
      </c>
      <c r="I1296" s="24" t="str">
        <f aca="false">IF(G1296="","",G1296-H1296)</f>
        <v/>
      </c>
      <c r="J1296" s="37"/>
    </row>
    <row r="1297" customFormat="false" ht="21" hidden="false" customHeight="true" outlineLevel="0" collapsed="false">
      <c r="B1297" s="36"/>
      <c r="C1297" s="7"/>
      <c r="D1297" s="7"/>
      <c r="E1297" s="37"/>
      <c r="F1297" s="38"/>
      <c r="G1297" s="24" t="str">
        <f aca="false">IF(OR(C1297="",D1297="",N(E1297)=0),"",E1297*IF(F1297="",IFERROR(N(INDEX(Produtos!$K$5:$K$54,MATCH(D1297,Produtos!$B$5:$B$54,0))),0),F1297))</f>
        <v/>
      </c>
      <c r="H1297" s="24" t="str">
        <f aca="false">IF(G1297="","",E1297*IFERROR(N(INDEX(Produtos!$F$5:$F$54,MATCH(D1297,Produtos!$B$5:$B$54,0))),0))</f>
        <v/>
      </c>
      <c r="I1297" s="24" t="str">
        <f aca="false">IF(G1297="","",G1297-H1297)</f>
        <v/>
      </c>
      <c r="J1297" s="37"/>
    </row>
    <row r="1298" customFormat="false" ht="21" hidden="false" customHeight="true" outlineLevel="0" collapsed="false">
      <c r="B1298" s="36"/>
      <c r="C1298" s="7"/>
      <c r="D1298" s="7"/>
      <c r="E1298" s="37"/>
      <c r="F1298" s="38"/>
      <c r="G1298" s="24" t="str">
        <f aca="false">IF(OR(C1298="",D1298="",N(E1298)=0),"",E1298*IF(F1298="",IFERROR(N(INDEX(Produtos!$K$5:$K$54,MATCH(D1298,Produtos!$B$5:$B$54,0))),0),F1298))</f>
        <v/>
      </c>
      <c r="H1298" s="24" t="str">
        <f aca="false">IF(G1298="","",E1298*IFERROR(N(INDEX(Produtos!$F$5:$F$54,MATCH(D1298,Produtos!$B$5:$B$54,0))),0))</f>
        <v/>
      </c>
      <c r="I1298" s="24" t="str">
        <f aca="false">IF(G1298="","",G1298-H1298)</f>
        <v/>
      </c>
      <c r="J1298" s="37"/>
    </row>
    <row r="1299" customFormat="false" ht="21" hidden="false" customHeight="true" outlineLevel="0" collapsed="false">
      <c r="B1299" s="36"/>
      <c r="C1299" s="7"/>
      <c r="D1299" s="7"/>
      <c r="E1299" s="37"/>
      <c r="F1299" s="38"/>
      <c r="G1299" s="24" t="str">
        <f aca="false">IF(OR(C1299="",D1299="",N(E1299)=0),"",E1299*IF(F1299="",IFERROR(N(INDEX(Produtos!$K$5:$K$54,MATCH(D1299,Produtos!$B$5:$B$54,0))),0),F1299))</f>
        <v/>
      </c>
      <c r="H1299" s="24" t="str">
        <f aca="false">IF(G1299="","",E1299*IFERROR(N(INDEX(Produtos!$F$5:$F$54,MATCH(D1299,Produtos!$B$5:$B$54,0))),0))</f>
        <v/>
      </c>
      <c r="I1299" s="24" t="str">
        <f aca="false">IF(G1299="","",G1299-H1299)</f>
        <v/>
      </c>
      <c r="J1299" s="37"/>
    </row>
    <row r="1300" customFormat="false" ht="21" hidden="false" customHeight="true" outlineLevel="0" collapsed="false">
      <c r="B1300" s="36"/>
      <c r="C1300" s="7"/>
      <c r="D1300" s="7"/>
      <c r="E1300" s="37"/>
      <c r="F1300" s="38"/>
      <c r="G1300" s="24" t="str">
        <f aca="false">IF(OR(C1300="",D1300="",N(E1300)=0),"",E1300*IF(F1300="",IFERROR(N(INDEX(Produtos!$K$5:$K$54,MATCH(D1300,Produtos!$B$5:$B$54,0))),0),F1300))</f>
        <v/>
      </c>
      <c r="H1300" s="24" t="str">
        <f aca="false">IF(G1300="","",E1300*IFERROR(N(INDEX(Produtos!$F$5:$F$54,MATCH(D1300,Produtos!$B$5:$B$54,0))),0))</f>
        <v/>
      </c>
      <c r="I1300" s="24" t="str">
        <f aca="false">IF(G1300="","",G1300-H1300)</f>
        <v/>
      </c>
      <c r="J1300" s="37"/>
    </row>
    <row r="1301" customFormat="false" ht="21" hidden="false" customHeight="true" outlineLevel="0" collapsed="false">
      <c r="B1301" s="36"/>
      <c r="C1301" s="7"/>
      <c r="D1301" s="7"/>
      <c r="E1301" s="37"/>
      <c r="F1301" s="38"/>
      <c r="G1301" s="24" t="str">
        <f aca="false">IF(OR(C1301="",D1301="",N(E1301)=0),"",E1301*IF(F1301="",IFERROR(N(INDEX(Produtos!$K$5:$K$54,MATCH(D1301,Produtos!$B$5:$B$54,0))),0),F1301))</f>
        <v/>
      </c>
      <c r="H1301" s="24" t="str">
        <f aca="false">IF(G1301="","",E1301*IFERROR(N(INDEX(Produtos!$F$5:$F$54,MATCH(D1301,Produtos!$B$5:$B$54,0))),0))</f>
        <v/>
      </c>
      <c r="I1301" s="24" t="str">
        <f aca="false">IF(G1301="","",G1301-H1301)</f>
        <v/>
      </c>
      <c r="J1301" s="37"/>
    </row>
    <row r="1302" customFormat="false" ht="21" hidden="false" customHeight="true" outlineLevel="0" collapsed="false">
      <c r="B1302" s="36"/>
      <c r="C1302" s="7"/>
      <c r="D1302" s="7"/>
      <c r="E1302" s="37"/>
      <c r="F1302" s="38"/>
      <c r="G1302" s="24" t="str">
        <f aca="false">IF(OR(C1302="",D1302="",N(E1302)=0),"",E1302*IF(F1302="",IFERROR(N(INDEX(Produtos!$K$5:$K$54,MATCH(D1302,Produtos!$B$5:$B$54,0))),0),F1302))</f>
        <v/>
      </c>
      <c r="H1302" s="24" t="str">
        <f aca="false">IF(G1302="","",E1302*IFERROR(N(INDEX(Produtos!$F$5:$F$54,MATCH(D1302,Produtos!$B$5:$B$54,0))),0))</f>
        <v/>
      </c>
      <c r="I1302" s="24" t="str">
        <f aca="false">IF(G1302="","",G1302-H1302)</f>
        <v/>
      </c>
      <c r="J1302" s="37"/>
    </row>
    <row r="1303" customFormat="false" ht="21" hidden="false" customHeight="true" outlineLevel="0" collapsed="false">
      <c r="B1303" s="36"/>
      <c r="C1303" s="7"/>
      <c r="D1303" s="7"/>
      <c r="E1303" s="37"/>
      <c r="F1303" s="38"/>
      <c r="G1303" s="24" t="str">
        <f aca="false">IF(OR(C1303="",D1303="",N(E1303)=0),"",E1303*IF(F1303="",IFERROR(N(INDEX(Produtos!$K$5:$K$54,MATCH(D1303,Produtos!$B$5:$B$54,0))),0),F1303))</f>
        <v/>
      </c>
      <c r="H1303" s="24" t="str">
        <f aca="false">IF(G1303="","",E1303*IFERROR(N(INDEX(Produtos!$F$5:$F$54,MATCH(D1303,Produtos!$B$5:$B$54,0))),0))</f>
        <v/>
      </c>
      <c r="I1303" s="24" t="str">
        <f aca="false">IF(G1303="","",G1303-H1303)</f>
        <v/>
      </c>
      <c r="J1303" s="37"/>
    </row>
    <row r="1304" customFormat="false" ht="21" hidden="false" customHeight="true" outlineLevel="0" collapsed="false">
      <c r="B1304" s="36"/>
      <c r="C1304" s="7"/>
      <c r="D1304" s="7"/>
      <c r="E1304" s="37"/>
      <c r="F1304" s="38"/>
      <c r="G1304" s="24" t="str">
        <f aca="false">IF(OR(C1304="",D1304="",N(E1304)=0),"",E1304*IF(F1304="",IFERROR(N(INDEX(Produtos!$K$5:$K$54,MATCH(D1304,Produtos!$B$5:$B$54,0))),0),F1304))</f>
        <v/>
      </c>
      <c r="H1304" s="24" t="str">
        <f aca="false">IF(G1304="","",E1304*IFERROR(N(INDEX(Produtos!$F$5:$F$54,MATCH(D1304,Produtos!$B$5:$B$54,0))),0))</f>
        <v/>
      </c>
      <c r="I1304" s="24" t="str">
        <f aca="false">IF(G1304="","",G1304-H1304)</f>
        <v/>
      </c>
      <c r="J1304" s="37"/>
    </row>
    <row r="1305" customFormat="false" ht="21" hidden="false" customHeight="true" outlineLevel="0" collapsed="false">
      <c r="B1305" s="36"/>
      <c r="C1305" s="7"/>
      <c r="D1305" s="7"/>
      <c r="E1305" s="37"/>
      <c r="F1305" s="38"/>
      <c r="G1305" s="24" t="str">
        <f aca="false">IF(OR(C1305="",D1305="",N(E1305)=0),"",E1305*IF(F1305="",IFERROR(N(INDEX(Produtos!$K$5:$K$54,MATCH(D1305,Produtos!$B$5:$B$54,0))),0),F1305))</f>
        <v/>
      </c>
      <c r="H1305" s="24" t="str">
        <f aca="false">IF(G1305="","",E1305*IFERROR(N(INDEX(Produtos!$F$5:$F$54,MATCH(D1305,Produtos!$B$5:$B$54,0))),0))</f>
        <v/>
      </c>
      <c r="I1305" s="24" t="str">
        <f aca="false">IF(G1305="","",G1305-H1305)</f>
        <v/>
      </c>
      <c r="J1305" s="37"/>
    </row>
    <row r="1306" customFormat="false" ht="21" hidden="false" customHeight="true" outlineLevel="0" collapsed="false">
      <c r="B1306" s="36"/>
      <c r="C1306" s="7"/>
      <c r="D1306" s="7"/>
      <c r="E1306" s="37"/>
      <c r="F1306" s="38"/>
      <c r="G1306" s="24" t="str">
        <f aca="false">IF(OR(C1306="",D1306="",N(E1306)=0),"",E1306*IF(F1306="",IFERROR(N(INDEX(Produtos!$K$5:$K$54,MATCH(D1306,Produtos!$B$5:$B$54,0))),0),F1306))</f>
        <v/>
      </c>
      <c r="H1306" s="24" t="str">
        <f aca="false">IF(G1306="","",E1306*IFERROR(N(INDEX(Produtos!$F$5:$F$54,MATCH(D1306,Produtos!$B$5:$B$54,0))),0))</f>
        <v/>
      </c>
      <c r="I1306" s="24" t="str">
        <f aca="false">IF(G1306="","",G1306-H1306)</f>
        <v/>
      </c>
      <c r="J1306" s="37"/>
    </row>
    <row r="1307" customFormat="false" ht="21" hidden="false" customHeight="true" outlineLevel="0" collapsed="false">
      <c r="B1307" s="36"/>
      <c r="C1307" s="7"/>
      <c r="D1307" s="7"/>
      <c r="E1307" s="37"/>
      <c r="F1307" s="38"/>
      <c r="G1307" s="24" t="str">
        <f aca="false">IF(OR(C1307="",D1307="",N(E1307)=0),"",E1307*IF(F1307="",IFERROR(N(INDEX(Produtos!$K$5:$K$54,MATCH(D1307,Produtos!$B$5:$B$54,0))),0),F1307))</f>
        <v/>
      </c>
      <c r="H1307" s="24" t="str">
        <f aca="false">IF(G1307="","",E1307*IFERROR(N(INDEX(Produtos!$F$5:$F$54,MATCH(D1307,Produtos!$B$5:$B$54,0))),0))</f>
        <v/>
      </c>
      <c r="I1307" s="24" t="str">
        <f aca="false">IF(G1307="","",G1307-H1307)</f>
        <v/>
      </c>
      <c r="J1307" s="37"/>
    </row>
    <row r="1308" customFormat="false" ht="21" hidden="false" customHeight="true" outlineLevel="0" collapsed="false">
      <c r="B1308" s="36"/>
      <c r="C1308" s="7"/>
      <c r="D1308" s="7"/>
      <c r="E1308" s="37"/>
      <c r="F1308" s="38"/>
      <c r="G1308" s="24" t="str">
        <f aca="false">IF(OR(C1308="",D1308="",N(E1308)=0),"",E1308*IF(F1308="",IFERROR(N(INDEX(Produtos!$K$5:$K$54,MATCH(D1308,Produtos!$B$5:$B$54,0))),0),F1308))</f>
        <v/>
      </c>
      <c r="H1308" s="24" t="str">
        <f aca="false">IF(G1308="","",E1308*IFERROR(N(INDEX(Produtos!$F$5:$F$54,MATCH(D1308,Produtos!$B$5:$B$54,0))),0))</f>
        <v/>
      </c>
      <c r="I1308" s="24" t="str">
        <f aca="false">IF(G1308="","",G1308-H1308)</f>
        <v/>
      </c>
      <c r="J1308" s="37"/>
    </row>
    <row r="1309" customFormat="false" ht="21" hidden="false" customHeight="true" outlineLevel="0" collapsed="false">
      <c r="B1309" s="36"/>
      <c r="C1309" s="7"/>
      <c r="D1309" s="7"/>
      <c r="E1309" s="37"/>
      <c r="F1309" s="38"/>
      <c r="G1309" s="24" t="str">
        <f aca="false">IF(OR(C1309="",D1309="",N(E1309)=0),"",E1309*IF(F1309="",IFERROR(N(INDEX(Produtos!$K$5:$K$54,MATCH(D1309,Produtos!$B$5:$B$54,0))),0),F1309))</f>
        <v/>
      </c>
      <c r="H1309" s="24" t="str">
        <f aca="false">IF(G1309="","",E1309*IFERROR(N(INDEX(Produtos!$F$5:$F$54,MATCH(D1309,Produtos!$B$5:$B$54,0))),0))</f>
        <v/>
      </c>
      <c r="I1309" s="24" t="str">
        <f aca="false">IF(G1309="","",G1309-H1309)</f>
        <v/>
      </c>
      <c r="J1309" s="37"/>
    </row>
    <row r="1310" customFormat="false" ht="21" hidden="false" customHeight="true" outlineLevel="0" collapsed="false">
      <c r="B1310" s="36"/>
      <c r="C1310" s="7"/>
      <c r="D1310" s="7"/>
      <c r="E1310" s="37"/>
      <c r="F1310" s="38"/>
      <c r="G1310" s="24" t="str">
        <f aca="false">IF(OR(C1310="",D1310="",N(E1310)=0),"",E1310*IF(F1310="",IFERROR(N(INDEX(Produtos!$K$5:$K$54,MATCH(D1310,Produtos!$B$5:$B$54,0))),0),F1310))</f>
        <v/>
      </c>
      <c r="H1310" s="24" t="str">
        <f aca="false">IF(G1310="","",E1310*IFERROR(N(INDEX(Produtos!$F$5:$F$54,MATCH(D1310,Produtos!$B$5:$B$54,0))),0))</f>
        <v/>
      </c>
      <c r="I1310" s="24" t="str">
        <f aca="false">IF(G1310="","",G1310-H1310)</f>
        <v/>
      </c>
      <c r="J1310" s="37"/>
    </row>
    <row r="1311" customFormat="false" ht="21" hidden="false" customHeight="true" outlineLevel="0" collapsed="false">
      <c r="B1311" s="36"/>
      <c r="C1311" s="7"/>
      <c r="D1311" s="7"/>
      <c r="E1311" s="37"/>
      <c r="F1311" s="38"/>
      <c r="G1311" s="24" t="str">
        <f aca="false">IF(OR(C1311="",D1311="",N(E1311)=0),"",E1311*IF(F1311="",IFERROR(N(INDEX(Produtos!$K$5:$K$54,MATCH(D1311,Produtos!$B$5:$B$54,0))),0),F1311))</f>
        <v/>
      </c>
      <c r="H1311" s="24" t="str">
        <f aca="false">IF(G1311="","",E1311*IFERROR(N(INDEX(Produtos!$F$5:$F$54,MATCH(D1311,Produtos!$B$5:$B$54,0))),0))</f>
        <v/>
      </c>
      <c r="I1311" s="24" t="str">
        <f aca="false">IF(G1311="","",G1311-H1311)</f>
        <v/>
      </c>
      <c r="J1311" s="37"/>
    </row>
    <row r="1312" customFormat="false" ht="21" hidden="false" customHeight="true" outlineLevel="0" collapsed="false">
      <c r="B1312" s="36"/>
      <c r="C1312" s="7"/>
      <c r="D1312" s="7"/>
      <c r="E1312" s="37"/>
      <c r="F1312" s="38"/>
      <c r="G1312" s="24" t="str">
        <f aca="false">IF(OR(C1312="",D1312="",N(E1312)=0),"",E1312*IF(F1312="",IFERROR(N(INDEX(Produtos!$K$5:$K$54,MATCH(D1312,Produtos!$B$5:$B$54,0))),0),F1312))</f>
        <v/>
      </c>
      <c r="H1312" s="24" t="str">
        <f aca="false">IF(G1312="","",E1312*IFERROR(N(INDEX(Produtos!$F$5:$F$54,MATCH(D1312,Produtos!$B$5:$B$54,0))),0))</f>
        <v/>
      </c>
      <c r="I1312" s="24" t="str">
        <f aca="false">IF(G1312="","",G1312-H1312)</f>
        <v/>
      </c>
      <c r="J1312" s="37"/>
    </row>
    <row r="1313" customFormat="false" ht="21" hidden="false" customHeight="true" outlineLevel="0" collapsed="false">
      <c r="B1313" s="36"/>
      <c r="C1313" s="7"/>
      <c r="D1313" s="7"/>
      <c r="E1313" s="37"/>
      <c r="F1313" s="38"/>
      <c r="G1313" s="24" t="str">
        <f aca="false">IF(OR(C1313="",D1313="",N(E1313)=0),"",E1313*IF(F1313="",IFERROR(N(INDEX(Produtos!$K$5:$K$54,MATCH(D1313,Produtos!$B$5:$B$54,0))),0),F1313))</f>
        <v/>
      </c>
      <c r="H1313" s="24" t="str">
        <f aca="false">IF(G1313="","",E1313*IFERROR(N(INDEX(Produtos!$F$5:$F$54,MATCH(D1313,Produtos!$B$5:$B$54,0))),0))</f>
        <v/>
      </c>
      <c r="I1313" s="24" t="str">
        <f aca="false">IF(G1313="","",G1313-H1313)</f>
        <v/>
      </c>
      <c r="J1313" s="37"/>
    </row>
    <row r="1314" customFormat="false" ht="21" hidden="false" customHeight="true" outlineLevel="0" collapsed="false">
      <c r="B1314" s="36"/>
      <c r="C1314" s="7"/>
      <c r="D1314" s="7"/>
      <c r="E1314" s="37"/>
      <c r="F1314" s="38"/>
      <c r="G1314" s="24" t="str">
        <f aca="false">IF(OR(C1314="",D1314="",N(E1314)=0),"",E1314*IF(F1314="",IFERROR(N(INDEX(Produtos!$K$5:$K$54,MATCH(D1314,Produtos!$B$5:$B$54,0))),0),F1314))</f>
        <v/>
      </c>
      <c r="H1314" s="24" t="str">
        <f aca="false">IF(G1314="","",E1314*IFERROR(N(INDEX(Produtos!$F$5:$F$54,MATCH(D1314,Produtos!$B$5:$B$54,0))),0))</f>
        <v/>
      </c>
      <c r="I1314" s="24" t="str">
        <f aca="false">IF(G1314="","",G1314-H1314)</f>
        <v/>
      </c>
      <c r="J1314" s="37"/>
    </row>
    <row r="1315" customFormat="false" ht="21" hidden="false" customHeight="true" outlineLevel="0" collapsed="false">
      <c r="B1315" s="36"/>
      <c r="C1315" s="7"/>
      <c r="D1315" s="7"/>
      <c r="E1315" s="37"/>
      <c r="F1315" s="38"/>
      <c r="G1315" s="24" t="str">
        <f aca="false">IF(OR(C1315="",D1315="",N(E1315)=0),"",E1315*IF(F1315="",IFERROR(N(INDEX(Produtos!$K$5:$K$54,MATCH(D1315,Produtos!$B$5:$B$54,0))),0),F1315))</f>
        <v/>
      </c>
      <c r="H1315" s="24" t="str">
        <f aca="false">IF(G1315="","",E1315*IFERROR(N(INDEX(Produtos!$F$5:$F$54,MATCH(D1315,Produtos!$B$5:$B$54,0))),0))</f>
        <v/>
      </c>
      <c r="I1315" s="24" t="str">
        <f aca="false">IF(G1315="","",G1315-H1315)</f>
        <v/>
      </c>
      <c r="J1315" s="37"/>
    </row>
    <row r="1316" customFormat="false" ht="21" hidden="false" customHeight="true" outlineLevel="0" collapsed="false">
      <c r="B1316" s="36"/>
      <c r="C1316" s="7"/>
      <c r="D1316" s="7"/>
      <c r="E1316" s="37"/>
      <c r="F1316" s="38"/>
      <c r="G1316" s="24" t="str">
        <f aca="false">IF(OR(C1316="",D1316="",N(E1316)=0),"",E1316*IF(F1316="",IFERROR(N(INDEX(Produtos!$K$5:$K$54,MATCH(D1316,Produtos!$B$5:$B$54,0))),0),F1316))</f>
        <v/>
      </c>
      <c r="H1316" s="24" t="str">
        <f aca="false">IF(G1316="","",E1316*IFERROR(N(INDEX(Produtos!$F$5:$F$54,MATCH(D1316,Produtos!$B$5:$B$54,0))),0))</f>
        <v/>
      </c>
      <c r="I1316" s="24" t="str">
        <f aca="false">IF(G1316="","",G1316-H1316)</f>
        <v/>
      </c>
      <c r="J1316" s="37"/>
    </row>
    <row r="1317" customFormat="false" ht="21" hidden="false" customHeight="true" outlineLevel="0" collapsed="false">
      <c r="B1317" s="36"/>
      <c r="C1317" s="7"/>
      <c r="D1317" s="7"/>
      <c r="E1317" s="37"/>
      <c r="F1317" s="38"/>
      <c r="G1317" s="24" t="str">
        <f aca="false">IF(OR(C1317="",D1317="",N(E1317)=0),"",E1317*IF(F1317="",IFERROR(N(INDEX(Produtos!$K$5:$K$54,MATCH(D1317,Produtos!$B$5:$B$54,0))),0),F1317))</f>
        <v/>
      </c>
      <c r="H1317" s="24" t="str">
        <f aca="false">IF(G1317="","",E1317*IFERROR(N(INDEX(Produtos!$F$5:$F$54,MATCH(D1317,Produtos!$B$5:$B$54,0))),0))</f>
        <v/>
      </c>
      <c r="I1317" s="24" t="str">
        <f aca="false">IF(G1317="","",G1317-H1317)</f>
        <v/>
      </c>
      <c r="J1317" s="37"/>
    </row>
    <row r="1318" customFormat="false" ht="21" hidden="false" customHeight="true" outlineLevel="0" collapsed="false">
      <c r="B1318" s="36"/>
      <c r="C1318" s="7"/>
      <c r="D1318" s="7"/>
      <c r="E1318" s="37"/>
      <c r="F1318" s="38"/>
      <c r="G1318" s="24" t="str">
        <f aca="false">IF(OR(C1318="",D1318="",N(E1318)=0),"",E1318*IF(F1318="",IFERROR(N(INDEX(Produtos!$K$5:$K$54,MATCH(D1318,Produtos!$B$5:$B$54,0))),0),F1318))</f>
        <v/>
      </c>
      <c r="H1318" s="24" t="str">
        <f aca="false">IF(G1318="","",E1318*IFERROR(N(INDEX(Produtos!$F$5:$F$54,MATCH(D1318,Produtos!$B$5:$B$54,0))),0))</f>
        <v/>
      </c>
      <c r="I1318" s="24" t="str">
        <f aca="false">IF(G1318="","",G1318-H1318)</f>
        <v/>
      </c>
      <c r="J1318" s="37"/>
    </row>
    <row r="1319" customFormat="false" ht="21" hidden="false" customHeight="true" outlineLevel="0" collapsed="false">
      <c r="B1319" s="36"/>
      <c r="C1319" s="7"/>
      <c r="D1319" s="7"/>
      <c r="E1319" s="37"/>
      <c r="F1319" s="38"/>
      <c r="G1319" s="24" t="str">
        <f aca="false">IF(OR(C1319="",D1319="",N(E1319)=0),"",E1319*IF(F1319="",IFERROR(N(INDEX(Produtos!$K$5:$K$54,MATCH(D1319,Produtos!$B$5:$B$54,0))),0),F1319))</f>
        <v/>
      </c>
      <c r="H1319" s="24" t="str">
        <f aca="false">IF(G1319="","",E1319*IFERROR(N(INDEX(Produtos!$F$5:$F$54,MATCH(D1319,Produtos!$B$5:$B$54,0))),0))</f>
        <v/>
      </c>
      <c r="I1319" s="24" t="str">
        <f aca="false">IF(G1319="","",G1319-H1319)</f>
        <v/>
      </c>
      <c r="J1319" s="37"/>
    </row>
    <row r="1320" customFormat="false" ht="21" hidden="false" customHeight="true" outlineLevel="0" collapsed="false">
      <c r="B1320" s="36"/>
      <c r="C1320" s="7"/>
      <c r="D1320" s="7"/>
      <c r="E1320" s="37"/>
      <c r="F1320" s="38"/>
      <c r="G1320" s="24" t="str">
        <f aca="false">IF(OR(C1320="",D1320="",N(E1320)=0),"",E1320*IF(F1320="",IFERROR(N(INDEX(Produtos!$K$5:$K$54,MATCH(D1320,Produtos!$B$5:$B$54,0))),0),F1320))</f>
        <v/>
      </c>
      <c r="H1320" s="24" t="str">
        <f aca="false">IF(G1320="","",E1320*IFERROR(N(INDEX(Produtos!$F$5:$F$54,MATCH(D1320,Produtos!$B$5:$B$54,0))),0))</f>
        <v/>
      </c>
      <c r="I1320" s="24" t="str">
        <f aca="false">IF(G1320="","",G1320-H1320)</f>
        <v/>
      </c>
      <c r="J1320" s="37"/>
    </row>
    <row r="1321" customFormat="false" ht="21" hidden="false" customHeight="true" outlineLevel="0" collapsed="false">
      <c r="B1321" s="36"/>
      <c r="C1321" s="7"/>
      <c r="D1321" s="7"/>
      <c r="E1321" s="37"/>
      <c r="F1321" s="38"/>
      <c r="G1321" s="24" t="str">
        <f aca="false">IF(OR(C1321="",D1321="",N(E1321)=0),"",E1321*IF(F1321="",IFERROR(N(INDEX(Produtos!$K$5:$K$54,MATCH(D1321,Produtos!$B$5:$B$54,0))),0),F1321))</f>
        <v/>
      </c>
      <c r="H1321" s="24" t="str">
        <f aca="false">IF(G1321="","",E1321*IFERROR(N(INDEX(Produtos!$F$5:$F$54,MATCH(D1321,Produtos!$B$5:$B$54,0))),0))</f>
        <v/>
      </c>
      <c r="I1321" s="24" t="str">
        <f aca="false">IF(G1321="","",G1321-H1321)</f>
        <v/>
      </c>
      <c r="J1321" s="37"/>
    </row>
    <row r="1322" customFormat="false" ht="21" hidden="false" customHeight="true" outlineLevel="0" collapsed="false">
      <c r="B1322" s="36"/>
      <c r="C1322" s="7"/>
      <c r="D1322" s="7"/>
      <c r="E1322" s="37"/>
      <c r="F1322" s="38"/>
      <c r="G1322" s="24" t="str">
        <f aca="false">IF(OR(C1322="",D1322="",N(E1322)=0),"",E1322*IF(F1322="",IFERROR(N(INDEX(Produtos!$K$5:$K$54,MATCH(D1322,Produtos!$B$5:$B$54,0))),0),F1322))</f>
        <v/>
      </c>
      <c r="H1322" s="24" t="str">
        <f aca="false">IF(G1322="","",E1322*IFERROR(N(INDEX(Produtos!$F$5:$F$54,MATCH(D1322,Produtos!$B$5:$B$54,0))),0))</f>
        <v/>
      </c>
      <c r="I1322" s="24" t="str">
        <f aca="false">IF(G1322="","",G1322-H1322)</f>
        <v/>
      </c>
      <c r="J1322" s="37"/>
    </row>
    <row r="1323" customFormat="false" ht="21" hidden="false" customHeight="true" outlineLevel="0" collapsed="false">
      <c r="B1323" s="36"/>
      <c r="C1323" s="7"/>
      <c r="D1323" s="7"/>
      <c r="E1323" s="37"/>
      <c r="F1323" s="38"/>
      <c r="G1323" s="24" t="str">
        <f aca="false">IF(OR(C1323="",D1323="",N(E1323)=0),"",E1323*IF(F1323="",IFERROR(N(INDEX(Produtos!$K$5:$K$54,MATCH(D1323,Produtos!$B$5:$B$54,0))),0),F1323))</f>
        <v/>
      </c>
      <c r="H1323" s="24" t="str">
        <f aca="false">IF(G1323="","",E1323*IFERROR(N(INDEX(Produtos!$F$5:$F$54,MATCH(D1323,Produtos!$B$5:$B$54,0))),0))</f>
        <v/>
      </c>
      <c r="I1323" s="24" t="str">
        <f aca="false">IF(G1323="","",G1323-H1323)</f>
        <v/>
      </c>
      <c r="J1323" s="37"/>
    </row>
    <row r="1324" customFormat="false" ht="21" hidden="false" customHeight="true" outlineLevel="0" collapsed="false">
      <c r="B1324" s="36"/>
      <c r="C1324" s="7"/>
      <c r="D1324" s="7"/>
      <c r="E1324" s="37"/>
      <c r="F1324" s="38"/>
      <c r="G1324" s="24" t="str">
        <f aca="false">IF(OR(C1324="",D1324="",N(E1324)=0),"",E1324*IF(F1324="",IFERROR(N(INDEX(Produtos!$K$5:$K$54,MATCH(D1324,Produtos!$B$5:$B$54,0))),0),F1324))</f>
        <v/>
      </c>
      <c r="H1324" s="24" t="str">
        <f aca="false">IF(G1324="","",E1324*IFERROR(N(INDEX(Produtos!$F$5:$F$54,MATCH(D1324,Produtos!$B$5:$B$54,0))),0))</f>
        <v/>
      </c>
      <c r="I1324" s="24" t="str">
        <f aca="false">IF(G1324="","",G1324-H1324)</f>
        <v/>
      </c>
      <c r="J1324" s="37"/>
    </row>
    <row r="1325" customFormat="false" ht="21" hidden="false" customHeight="true" outlineLevel="0" collapsed="false">
      <c r="B1325" s="36"/>
      <c r="C1325" s="7"/>
      <c r="D1325" s="7"/>
      <c r="E1325" s="37"/>
      <c r="F1325" s="38"/>
      <c r="G1325" s="24" t="str">
        <f aca="false">IF(OR(C1325="",D1325="",N(E1325)=0),"",E1325*IF(F1325="",IFERROR(N(INDEX(Produtos!$K$5:$K$54,MATCH(D1325,Produtos!$B$5:$B$54,0))),0),F1325))</f>
        <v/>
      </c>
      <c r="H1325" s="24" t="str">
        <f aca="false">IF(G1325="","",E1325*IFERROR(N(INDEX(Produtos!$F$5:$F$54,MATCH(D1325,Produtos!$B$5:$B$54,0))),0))</f>
        <v/>
      </c>
      <c r="I1325" s="24" t="str">
        <f aca="false">IF(G1325="","",G1325-H1325)</f>
        <v/>
      </c>
      <c r="J1325" s="37"/>
    </row>
    <row r="1326" customFormat="false" ht="21" hidden="false" customHeight="true" outlineLevel="0" collapsed="false">
      <c r="B1326" s="36"/>
      <c r="C1326" s="7"/>
      <c r="D1326" s="7"/>
      <c r="E1326" s="37"/>
      <c r="F1326" s="38"/>
      <c r="G1326" s="24" t="str">
        <f aca="false">IF(OR(C1326="",D1326="",N(E1326)=0),"",E1326*IF(F1326="",IFERROR(N(INDEX(Produtos!$K$5:$K$54,MATCH(D1326,Produtos!$B$5:$B$54,0))),0),F1326))</f>
        <v/>
      </c>
      <c r="H1326" s="24" t="str">
        <f aca="false">IF(G1326="","",E1326*IFERROR(N(INDEX(Produtos!$F$5:$F$54,MATCH(D1326,Produtos!$B$5:$B$54,0))),0))</f>
        <v/>
      </c>
      <c r="I1326" s="24" t="str">
        <f aca="false">IF(G1326="","",G1326-H1326)</f>
        <v/>
      </c>
      <c r="J1326" s="37"/>
    </row>
    <row r="1327" customFormat="false" ht="21" hidden="false" customHeight="true" outlineLevel="0" collapsed="false">
      <c r="B1327" s="36"/>
      <c r="C1327" s="7"/>
      <c r="D1327" s="7"/>
      <c r="E1327" s="37"/>
      <c r="F1327" s="38"/>
      <c r="G1327" s="24" t="str">
        <f aca="false">IF(OR(C1327="",D1327="",N(E1327)=0),"",E1327*IF(F1327="",IFERROR(N(INDEX(Produtos!$K$5:$K$54,MATCH(D1327,Produtos!$B$5:$B$54,0))),0),F1327))</f>
        <v/>
      </c>
      <c r="H1327" s="24" t="str">
        <f aca="false">IF(G1327="","",E1327*IFERROR(N(INDEX(Produtos!$F$5:$F$54,MATCH(D1327,Produtos!$B$5:$B$54,0))),0))</f>
        <v/>
      </c>
      <c r="I1327" s="24" t="str">
        <f aca="false">IF(G1327="","",G1327-H1327)</f>
        <v/>
      </c>
      <c r="J1327" s="37"/>
    </row>
    <row r="1328" customFormat="false" ht="21" hidden="false" customHeight="true" outlineLevel="0" collapsed="false">
      <c r="B1328" s="36"/>
      <c r="C1328" s="7"/>
      <c r="D1328" s="7"/>
      <c r="E1328" s="37"/>
      <c r="F1328" s="38"/>
      <c r="G1328" s="24" t="str">
        <f aca="false">IF(OR(C1328="",D1328="",N(E1328)=0),"",E1328*IF(F1328="",IFERROR(N(INDEX(Produtos!$K$5:$K$54,MATCH(D1328,Produtos!$B$5:$B$54,0))),0),F1328))</f>
        <v/>
      </c>
      <c r="H1328" s="24" t="str">
        <f aca="false">IF(G1328="","",E1328*IFERROR(N(INDEX(Produtos!$F$5:$F$54,MATCH(D1328,Produtos!$B$5:$B$54,0))),0))</f>
        <v/>
      </c>
      <c r="I1328" s="24" t="str">
        <f aca="false">IF(G1328="","",G1328-H1328)</f>
        <v/>
      </c>
      <c r="J1328" s="37"/>
    </row>
    <row r="1329" customFormat="false" ht="21" hidden="false" customHeight="true" outlineLevel="0" collapsed="false">
      <c r="B1329" s="36"/>
      <c r="C1329" s="7"/>
      <c r="D1329" s="7"/>
      <c r="E1329" s="37"/>
      <c r="F1329" s="38"/>
      <c r="G1329" s="24" t="str">
        <f aca="false">IF(OR(C1329="",D1329="",N(E1329)=0),"",E1329*IF(F1329="",IFERROR(N(INDEX(Produtos!$K$5:$K$54,MATCH(D1329,Produtos!$B$5:$B$54,0))),0),F1329))</f>
        <v/>
      </c>
      <c r="H1329" s="24" t="str">
        <f aca="false">IF(G1329="","",E1329*IFERROR(N(INDEX(Produtos!$F$5:$F$54,MATCH(D1329,Produtos!$B$5:$B$54,0))),0))</f>
        <v/>
      </c>
      <c r="I1329" s="24" t="str">
        <f aca="false">IF(G1329="","",G1329-H1329)</f>
        <v/>
      </c>
      <c r="J1329" s="37"/>
    </row>
    <row r="1330" customFormat="false" ht="21" hidden="false" customHeight="true" outlineLevel="0" collapsed="false">
      <c r="B1330" s="36"/>
      <c r="C1330" s="7"/>
      <c r="D1330" s="7"/>
      <c r="E1330" s="37"/>
      <c r="F1330" s="38"/>
      <c r="G1330" s="24" t="str">
        <f aca="false">IF(OR(C1330="",D1330="",N(E1330)=0),"",E1330*IF(F1330="",IFERROR(N(INDEX(Produtos!$K$5:$K$54,MATCH(D1330,Produtos!$B$5:$B$54,0))),0),F1330))</f>
        <v/>
      </c>
      <c r="H1330" s="24" t="str">
        <f aca="false">IF(G1330="","",E1330*IFERROR(N(INDEX(Produtos!$F$5:$F$54,MATCH(D1330,Produtos!$B$5:$B$54,0))),0))</f>
        <v/>
      </c>
      <c r="I1330" s="24" t="str">
        <f aca="false">IF(G1330="","",G1330-H1330)</f>
        <v/>
      </c>
      <c r="J1330" s="37"/>
    </row>
    <row r="1331" customFormat="false" ht="21" hidden="false" customHeight="true" outlineLevel="0" collapsed="false">
      <c r="B1331" s="36"/>
      <c r="C1331" s="7"/>
      <c r="D1331" s="7"/>
      <c r="E1331" s="37"/>
      <c r="F1331" s="38"/>
      <c r="G1331" s="24" t="str">
        <f aca="false">IF(OR(C1331="",D1331="",N(E1331)=0),"",E1331*IF(F1331="",IFERROR(N(INDEX(Produtos!$K$5:$K$54,MATCH(D1331,Produtos!$B$5:$B$54,0))),0),F1331))</f>
        <v/>
      </c>
      <c r="H1331" s="24" t="str">
        <f aca="false">IF(G1331="","",E1331*IFERROR(N(INDEX(Produtos!$F$5:$F$54,MATCH(D1331,Produtos!$B$5:$B$54,0))),0))</f>
        <v/>
      </c>
      <c r="I1331" s="24" t="str">
        <f aca="false">IF(G1331="","",G1331-H1331)</f>
        <v/>
      </c>
      <c r="J1331" s="37"/>
    </row>
    <row r="1332" customFormat="false" ht="21" hidden="false" customHeight="true" outlineLevel="0" collapsed="false">
      <c r="B1332" s="36"/>
      <c r="C1332" s="7"/>
      <c r="D1332" s="7"/>
      <c r="E1332" s="37"/>
      <c r="F1332" s="38"/>
      <c r="G1332" s="24" t="str">
        <f aca="false">IF(OR(C1332="",D1332="",N(E1332)=0),"",E1332*IF(F1332="",IFERROR(N(INDEX(Produtos!$K$5:$K$54,MATCH(D1332,Produtos!$B$5:$B$54,0))),0),F1332))</f>
        <v/>
      </c>
      <c r="H1332" s="24" t="str">
        <f aca="false">IF(G1332="","",E1332*IFERROR(N(INDEX(Produtos!$F$5:$F$54,MATCH(D1332,Produtos!$B$5:$B$54,0))),0))</f>
        <v/>
      </c>
      <c r="I1332" s="24" t="str">
        <f aca="false">IF(G1332="","",G1332-H1332)</f>
        <v/>
      </c>
      <c r="J1332" s="37"/>
    </row>
    <row r="1333" customFormat="false" ht="21" hidden="false" customHeight="true" outlineLevel="0" collapsed="false">
      <c r="B1333" s="36"/>
      <c r="C1333" s="7"/>
      <c r="D1333" s="7"/>
      <c r="E1333" s="37"/>
      <c r="F1333" s="38"/>
      <c r="G1333" s="24" t="str">
        <f aca="false">IF(OR(C1333="",D1333="",N(E1333)=0),"",E1333*IF(F1333="",IFERROR(N(INDEX(Produtos!$K$5:$K$54,MATCH(D1333,Produtos!$B$5:$B$54,0))),0),F1333))</f>
        <v/>
      </c>
      <c r="H1333" s="24" t="str">
        <f aca="false">IF(G1333="","",E1333*IFERROR(N(INDEX(Produtos!$F$5:$F$54,MATCH(D1333,Produtos!$B$5:$B$54,0))),0))</f>
        <v/>
      </c>
      <c r="I1333" s="24" t="str">
        <f aca="false">IF(G1333="","",G1333-H1333)</f>
        <v/>
      </c>
      <c r="J1333" s="37"/>
    </row>
    <row r="1334" customFormat="false" ht="21" hidden="false" customHeight="true" outlineLevel="0" collapsed="false">
      <c r="B1334" s="36"/>
      <c r="C1334" s="7"/>
      <c r="D1334" s="7"/>
      <c r="E1334" s="37"/>
      <c r="F1334" s="38"/>
      <c r="G1334" s="24" t="str">
        <f aca="false">IF(OR(C1334="",D1334="",N(E1334)=0),"",E1334*IF(F1334="",IFERROR(N(INDEX(Produtos!$K$5:$K$54,MATCH(D1334,Produtos!$B$5:$B$54,0))),0),F1334))</f>
        <v/>
      </c>
      <c r="H1334" s="24" t="str">
        <f aca="false">IF(G1334="","",E1334*IFERROR(N(INDEX(Produtos!$F$5:$F$54,MATCH(D1334,Produtos!$B$5:$B$54,0))),0))</f>
        <v/>
      </c>
      <c r="I1334" s="24" t="str">
        <f aca="false">IF(G1334="","",G1334-H1334)</f>
        <v/>
      </c>
      <c r="J1334" s="37"/>
    </row>
    <row r="1335" customFormat="false" ht="21" hidden="false" customHeight="true" outlineLevel="0" collapsed="false">
      <c r="B1335" s="36"/>
      <c r="C1335" s="7"/>
      <c r="D1335" s="7"/>
      <c r="E1335" s="37"/>
      <c r="F1335" s="38"/>
      <c r="G1335" s="24" t="str">
        <f aca="false">IF(OR(C1335="",D1335="",N(E1335)=0),"",E1335*IF(F1335="",IFERROR(N(INDEX(Produtos!$K$5:$K$54,MATCH(D1335,Produtos!$B$5:$B$54,0))),0),F1335))</f>
        <v/>
      </c>
      <c r="H1335" s="24" t="str">
        <f aca="false">IF(G1335="","",E1335*IFERROR(N(INDEX(Produtos!$F$5:$F$54,MATCH(D1335,Produtos!$B$5:$B$54,0))),0))</f>
        <v/>
      </c>
      <c r="I1335" s="24" t="str">
        <f aca="false">IF(G1335="","",G1335-H1335)</f>
        <v/>
      </c>
      <c r="J1335" s="37"/>
    </row>
    <row r="1336" customFormat="false" ht="21" hidden="false" customHeight="true" outlineLevel="0" collapsed="false">
      <c r="B1336" s="36"/>
      <c r="C1336" s="7"/>
      <c r="D1336" s="7"/>
      <c r="E1336" s="37"/>
      <c r="F1336" s="38"/>
      <c r="G1336" s="24" t="str">
        <f aca="false">IF(OR(C1336="",D1336="",N(E1336)=0),"",E1336*IF(F1336="",IFERROR(N(INDEX(Produtos!$K$5:$K$54,MATCH(D1336,Produtos!$B$5:$B$54,0))),0),F1336))</f>
        <v/>
      </c>
      <c r="H1336" s="24" t="str">
        <f aca="false">IF(G1336="","",E1336*IFERROR(N(INDEX(Produtos!$F$5:$F$54,MATCH(D1336,Produtos!$B$5:$B$54,0))),0))</f>
        <v/>
      </c>
      <c r="I1336" s="24" t="str">
        <f aca="false">IF(G1336="","",G1336-H1336)</f>
        <v/>
      </c>
      <c r="J1336" s="37"/>
    </row>
    <row r="1337" customFormat="false" ht="21" hidden="false" customHeight="true" outlineLevel="0" collapsed="false">
      <c r="B1337" s="36"/>
      <c r="C1337" s="7"/>
      <c r="D1337" s="7"/>
      <c r="E1337" s="37"/>
      <c r="F1337" s="38"/>
      <c r="G1337" s="24" t="str">
        <f aca="false">IF(OR(C1337="",D1337="",N(E1337)=0),"",E1337*IF(F1337="",IFERROR(N(INDEX(Produtos!$K$5:$K$54,MATCH(D1337,Produtos!$B$5:$B$54,0))),0),F1337))</f>
        <v/>
      </c>
      <c r="H1337" s="24" t="str">
        <f aca="false">IF(G1337="","",E1337*IFERROR(N(INDEX(Produtos!$F$5:$F$54,MATCH(D1337,Produtos!$B$5:$B$54,0))),0))</f>
        <v/>
      </c>
      <c r="I1337" s="24" t="str">
        <f aca="false">IF(G1337="","",G1337-H1337)</f>
        <v/>
      </c>
      <c r="J1337" s="37"/>
    </row>
    <row r="1338" customFormat="false" ht="21" hidden="false" customHeight="true" outlineLevel="0" collapsed="false">
      <c r="B1338" s="36"/>
      <c r="C1338" s="7"/>
      <c r="D1338" s="7"/>
      <c r="E1338" s="37"/>
      <c r="F1338" s="38"/>
      <c r="G1338" s="24" t="str">
        <f aca="false">IF(OR(C1338="",D1338="",N(E1338)=0),"",E1338*IF(F1338="",IFERROR(N(INDEX(Produtos!$K$5:$K$54,MATCH(D1338,Produtos!$B$5:$B$54,0))),0),F1338))</f>
        <v/>
      </c>
      <c r="H1338" s="24" t="str">
        <f aca="false">IF(G1338="","",E1338*IFERROR(N(INDEX(Produtos!$F$5:$F$54,MATCH(D1338,Produtos!$B$5:$B$54,0))),0))</f>
        <v/>
      </c>
      <c r="I1338" s="24" t="str">
        <f aca="false">IF(G1338="","",G1338-H1338)</f>
        <v/>
      </c>
      <c r="J1338" s="37"/>
    </row>
    <row r="1339" customFormat="false" ht="21" hidden="false" customHeight="true" outlineLevel="0" collapsed="false">
      <c r="B1339" s="36"/>
      <c r="C1339" s="7"/>
      <c r="D1339" s="7"/>
      <c r="E1339" s="37"/>
      <c r="F1339" s="38"/>
      <c r="G1339" s="24" t="str">
        <f aca="false">IF(OR(C1339="",D1339="",N(E1339)=0),"",E1339*IF(F1339="",IFERROR(N(INDEX(Produtos!$K$5:$K$54,MATCH(D1339,Produtos!$B$5:$B$54,0))),0),F1339))</f>
        <v/>
      </c>
      <c r="H1339" s="24" t="str">
        <f aca="false">IF(G1339="","",E1339*IFERROR(N(INDEX(Produtos!$F$5:$F$54,MATCH(D1339,Produtos!$B$5:$B$54,0))),0))</f>
        <v/>
      </c>
      <c r="I1339" s="24" t="str">
        <f aca="false">IF(G1339="","",G1339-H1339)</f>
        <v/>
      </c>
      <c r="J1339" s="37"/>
    </row>
    <row r="1340" customFormat="false" ht="21" hidden="false" customHeight="true" outlineLevel="0" collapsed="false">
      <c r="B1340" s="36"/>
      <c r="C1340" s="7"/>
      <c r="D1340" s="7"/>
      <c r="E1340" s="37"/>
      <c r="F1340" s="38"/>
      <c r="G1340" s="24" t="str">
        <f aca="false">IF(OR(C1340="",D1340="",N(E1340)=0),"",E1340*IF(F1340="",IFERROR(N(INDEX(Produtos!$K$5:$K$54,MATCH(D1340,Produtos!$B$5:$B$54,0))),0),F1340))</f>
        <v/>
      </c>
      <c r="H1340" s="24" t="str">
        <f aca="false">IF(G1340="","",E1340*IFERROR(N(INDEX(Produtos!$F$5:$F$54,MATCH(D1340,Produtos!$B$5:$B$54,0))),0))</f>
        <v/>
      </c>
      <c r="I1340" s="24" t="str">
        <f aca="false">IF(G1340="","",G1340-H1340)</f>
        <v/>
      </c>
      <c r="J1340" s="37"/>
    </row>
    <row r="1341" customFormat="false" ht="21" hidden="false" customHeight="true" outlineLevel="0" collapsed="false">
      <c r="B1341" s="36"/>
      <c r="C1341" s="7"/>
      <c r="D1341" s="7"/>
      <c r="E1341" s="37"/>
      <c r="F1341" s="38"/>
      <c r="G1341" s="24" t="str">
        <f aca="false">IF(OR(C1341="",D1341="",N(E1341)=0),"",E1341*IF(F1341="",IFERROR(N(INDEX(Produtos!$K$5:$K$54,MATCH(D1341,Produtos!$B$5:$B$54,0))),0),F1341))</f>
        <v/>
      </c>
      <c r="H1341" s="24" t="str">
        <f aca="false">IF(G1341="","",E1341*IFERROR(N(INDEX(Produtos!$F$5:$F$54,MATCH(D1341,Produtos!$B$5:$B$54,0))),0))</f>
        <v/>
      </c>
      <c r="I1341" s="24" t="str">
        <f aca="false">IF(G1341="","",G1341-H1341)</f>
        <v/>
      </c>
      <c r="J1341" s="37"/>
    </row>
    <row r="1342" customFormat="false" ht="21" hidden="false" customHeight="true" outlineLevel="0" collapsed="false">
      <c r="B1342" s="36"/>
      <c r="C1342" s="7"/>
      <c r="D1342" s="7"/>
      <c r="E1342" s="37"/>
      <c r="F1342" s="38"/>
      <c r="G1342" s="24" t="str">
        <f aca="false">IF(OR(C1342="",D1342="",N(E1342)=0),"",E1342*IF(F1342="",IFERROR(N(INDEX(Produtos!$K$5:$K$54,MATCH(D1342,Produtos!$B$5:$B$54,0))),0),F1342))</f>
        <v/>
      </c>
      <c r="H1342" s="24" t="str">
        <f aca="false">IF(G1342="","",E1342*IFERROR(N(INDEX(Produtos!$F$5:$F$54,MATCH(D1342,Produtos!$B$5:$B$54,0))),0))</f>
        <v/>
      </c>
      <c r="I1342" s="24" t="str">
        <f aca="false">IF(G1342="","",G1342-H1342)</f>
        <v/>
      </c>
      <c r="J1342" s="37"/>
    </row>
    <row r="1343" customFormat="false" ht="21" hidden="false" customHeight="true" outlineLevel="0" collapsed="false">
      <c r="B1343" s="36"/>
      <c r="C1343" s="7"/>
      <c r="D1343" s="7"/>
      <c r="E1343" s="37"/>
      <c r="F1343" s="38"/>
      <c r="G1343" s="24" t="str">
        <f aca="false">IF(OR(C1343="",D1343="",N(E1343)=0),"",E1343*IF(F1343="",IFERROR(N(INDEX(Produtos!$K$5:$K$54,MATCH(D1343,Produtos!$B$5:$B$54,0))),0),F1343))</f>
        <v/>
      </c>
      <c r="H1343" s="24" t="str">
        <f aca="false">IF(G1343="","",E1343*IFERROR(N(INDEX(Produtos!$F$5:$F$54,MATCH(D1343,Produtos!$B$5:$B$54,0))),0))</f>
        <v/>
      </c>
      <c r="I1343" s="24" t="str">
        <f aca="false">IF(G1343="","",G1343-H1343)</f>
        <v/>
      </c>
      <c r="J1343" s="37"/>
    </row>
    <row r="1344" customFormat="false" ht="21" hidden="false" customHeight="true" outlineLevel="0" collapsed="false">
      <c r="B1344" s="36"/>
      <c r="C1344" s="7"/>
      <c r="D1344" s="7"/>
      <c r="E1344" s="37"/>
      <c r="F1344" s="38"/>
      <c r="G1344" s="24" t="str">
        <f aca="false">IF(OR(C1344="",D1344="",N(E1344)=0),"",E1344*IF(F1344="",IFERROR(N(INDEX(Produtos!$K$5:$K$54,MATCH(D1344,Produtos!$B$5:$B$54,0))),0),F1344))</f>
        <v/>
      </c>
      <c r="H1344" s="24" t="str">
        <f aca="false">IF(G1344="","",E1344*IFERROR(N(INDEX(Produtos!$F$5:$F$54,MATCH(D1344,Produtos!$B$5:$B$54,0))),0))</f>
        <v/>
      </c>
      <c r="I1344" s="24" t="str">
        <f aca="false">IF(G1344="","",G1344-H1344)</f>
        <v/>
      </c>
      <c r="J1344" s="37"/>
    </row>
    <row r="1345" customFormat="false" ht="21" hidden="false" customHeight="true" outlineLevel="0" collapsed="false">
      <c r="B1345" s="36"/>
      <c r="C1345" s="7"/>
      <c r="D1345" s="7"/>
      <c r="E1345" s="37"/>
      <c r="F1345" s="38"/>
      <c r="G1345" s="24" t="str">
        <f aca="false">IF(OR(C1345="",D1345="",N(E1345)=0),"",E1345*IF(F1345="",IFERROR(N(INDEX(Produtos!$K$5:$K$54,MATCH(D1345,Produtos!$B$5:$B$54,0))),0),F1345))</f>
        <v/>
      </c>
      <c r="H1345" s="24" t="str">
        <f aca="false">IF(G1345="","",E1345*IFERROR(N(INDEX(Produtos!$F$5:$F$54,MATCH(D1345,Produtos!$B$5:$B$54,0))),0))</f>
        <v/>
      </c>
      <c r="I1345" s="24" t="str">
        <f aca="false">IF(G1345="","",G1345-H1345)</f>
        <v/>
      </c>
      <c r="J1345" s="37"/>
    </row>
    <row r="1346" customFormat="false" ht="21" hidden="false" customHeight="true" outlineLevel="0" collapsed="false">
      <c r="B1346" s="36"/>
      <c r="C1346" s="7"/>
      <c r="D1346" s="7"/>
      <c r="E1346" s="37"/>
      <c r="F1346" s="38"/>
      <c r="G1346" s="24" t="str">
        <f aca="false">IF(OR(C1346="",D1346="",N(E1346)=0),"",E1346*IF(F1346="",IFERROR(N(INDEX(Produtos!$K$5:$K$54,MATCH(D1346,Produtos!$B$5:$B$54,0))),0),F1346))</f>
        <v/>
      </c>
      <c r="H1346" s="24" t="str">
        <f aca="false">IF(G1346="","",E1346*IFERROR(N(INDEX(Produtos!$F$5:$F$54,MATCH(D1346,Produtos!$B$5:$B$54,0))),0))</f>
        <v/>
      </c>
      <c r="I1346" s="24" t="str">
        <f aca="false">IF(G1346="","",G1346-H1346)</f>
        <v/>
      </c>
      <c r="J1346" s="37"/>
    </row>
    <row r="1347" customFormat="false" ht="21" hidden="false" customHeight="true" outlineLevel="0" collapsed="false">
      <c r="B1347" s="36"/>
      <c r="C1347" s="7"/>
      <c r="D1347" s="7"/>
      <c r="E1347" s="37"/>
      <c r="F1347" s="38"/>
      <c r="G1347" s="24" t="str">
        <f aca="false">IF(OR(C1347="",D1347="",N(E1347)=0),"",E1347*IF(F1347="",IFERROR(N(INDEX(Produtos!$K$5:$K$54,MATCH(D1347,Produtos!$B$5:$B$54,0))),0),F1347))</f>
        <v/>
      </c>
      <c r="H1347" s="24" t="str">
        <f aca="false">IF(G1347="","",E1347*IFERROR(N(INDEX(Produtos!$F$5:$F$54,MATCH(D1347,Produtos!$B$5:$B$54,0))),0))</f>
        <v/>
      </c>
      <c r="I1347" s="24" t="str">
        <f aca="false">IF(G1347="","",G1347-H1347)</f>
        <v/>
      </c>
      <c r="J1347" s="37"/>
    </row>
    <row r="1348" customFormat="false" ht="21" hidden="false" customHeight="true" outlineLevel="0" collapsed="false">
      <c r="B1348" s="36"/>
      <c r="C1348" s="7"/>
      <c r="D1348" s="7"/>
      <c r="E1348" s="37"/>
      <c r="F1348" s="38"/>
      <c r="G1348" s="24" t="str">
        <f aca="false">IF(OR(C1348="",D1348="",N(E1348)=0),"",E1348*IF(F1348="",IFERROR(N(INDEX(Produtos!$K$5:$K$54,MATCH(D1348,Produtos!$B$5:$B$54,0))),0),F1348))</f>
        <v/>
      </c>
      <c r="H1348" s="24" t="str">
        <f aca="false">IF(G1348="","",E1348*IFERROR(N(INDEX(Produtos!$F$5:$F$54,MATCH(D1348,Produtos!$B$5:$B$54,0))),0))</f>
        <v/>
      </c>
      <c r="I1348" s="24" t="str">
        <f aca="false">IF(G1348="","",G1348-H1348)</f>
        <v/>
      </c>
      <c r="J1348" s="37"/>
    </row>
    <row r="1349" customFormat="false" ht="21" hidden="false" customHeight="true" outlineLevel="0" collapsed="false">
      <c r="B1349" s="36"/>
      <c r="C1349" s="7"/>
      <c r="D1349" s="7"/>
      <c r="E1349" s="37"/>
      <c r="F1349" s="38"/>
      <c r="G1349" s="24" t="str">
        <f aca="false">IF(OR(C1349="",D1349="",N(E1349)=0),"",E1349*IF(F1349="",IFERROR(N(INDEX(Produtos!$K$5:$K$54,MATCH(D1349,Produtos!$B$5:$B$54,0))),0),F1349))</f>
        <v/>
      </c>
      <c r="H1349" s="24" t="str">
        <f aca="false">IF(G1349="","",E1349*IFERROR(N(INDEX(Produtos!$F$5:$F$54,MATCH(D1349,Produtos!$B$5:$B$54,0))),0))</f>
        <v/>
      </c>
      <c r="I1349" s="24" t="str">
        <f aca="false">IF(G1349="","",G1349-H1349)</f>
        <v/>
      </c>
      <c r="J1349" s="37"/>
    </row>
    <row r="1350" customFormat="false" ht="21" hidden="false" customHeight="true" outlineLevel="0" collapsed="false">
      <c r="B1350" s="36"/>
      <c r="C1350" s="7"/>
      <c r="D1350" s="7"/>
      <c r="E1350" s="37"/>
      <c r="F1350" s="38"/>
      <c r="G1350" s="24" t="str">
        <f aca="false">IF(OR(C1350="",D1350="",N(E1350)=0),"",E1350*IF(F1350="",IFERROR(N(INDEX(Produtos!$K$5:$K$54,MATCH(D1350,Produtos!$B$5:$B$54,0))),0),F1350))</f>
        <v/>
      </c>
      <c r="H1350" s="24" t="str">
        <f aca="false">IF(G1350="","",E1350*IFERROR(N(INDEX(Produtos!$F$5:$F$54,MATCH(D1350,Produtos!$B$5:$B$54,0))),0))</f>
        <v/>
      </c>
      <c r="I1350" s="24" t="str">
        <f aca="false">IF(G1350="","",G1350-H1350)</f>
        <v/>
      </c>
      <c r="J1350" s="37"/>
    </row>
    <row r="1351" customFormat="false" ht="21" hidden="false" customHeight="true" outlineLevel="0" collapsed="false">
      <c r="B1351" s="36"/>
      <c r="C1351" s="7"/>
      <c r="D1351" s="7"/>
      <c r="E1351" s="37"/>
      <c r="F1351" s="38"/>
      <c r="G1351" s="24" t="str">
        <f aca="false">IF(OR(C1351="",D1351="",N(E1351)=0),"",E1351*IF(F1351="",IFERROR(N(INDEX(Produtos!$K$5:$K$54,MATCH(D1351,Produtos!$B$5:$B$54,0))),0),F1351))</f>
        <v/>
      </c>
      <c r="H1351" s="24" t="str">
        <f aca="false">IF(G1351="","",E1351*IFERROR(N(INDEX(Produtos!$F$5:$F$54,MATCH(D1351,Produtos!$B$5:$B$54,0))),0))</f>
        <v/>
      </c>
      <c r="I1351" s="24" t="str">
        <f aca="false">IF(G1351="","",G1351-H1351)</f>
        <v/>
      </c>
      <c r="J1351" s="37"/>
    </row>
    <row r="1352" customFormat="false" ht="21" hidden="false" customHeight="true" outlineLevel="0" collapsed="false">
      <c r="B1352" s="36"/>
      <c r="C1352" s="7"/>
      <c r="D1352" s="7"/>
      <c r="E1352" s="37"/>
      <c r="F1352" s="38"/>
      <c r="G1352" s="24" t="str">
        <f aca="false">IF(OR(C1352="",D1352="",N(E1352)=0),"",E1352*IF(F1352="",IFERROR(N(INDEX(Produtos!$K$5:$K$54,MATCH(D1352,Produtos!$B$5:$B$54,0))),0),F1352))</f>
        <v/>
      </c>
      <c r="H1352" s="24" t="str">
        <f aca="false">IF(G1352="","",E1352*IFERROR(N(INDEX(Produtos!$F$5:$F$54,MATCH(D1352,Produtos!$B$5:$B$54,0))),0))</f>
        <v/>
      </c>
      <c r="I1352" s="24" t="str">
        <f aca="false">IF(G1352="","",G1352-H1352)</f>
        <v/>
      </c>
      <c r="J1352" s="37"/>
    </row>
    <row r="1353" customFormat="false" ht="21" hidden="false" customHeight="true" outlineLevel="0" collapsed="false">
      <c r="B1353" s="36"/>
      <c r="C1353" s="7"/>
      <c r="D1353" s="7"/>
      <c r="E1353" s="37"/>
      <c r="F1353" s="38"/>
      <c r="G1353" s="24" t="str">
        <f aca="false">IF(OR(C1353="",D1353="",N(E1353)=0),"",E1353*IF(F1353="",IFERROR(N(INDEX(Produtos!$K$5:$K$54,MATCH(D1353,Produtos!$B$5:$B$54,0))),0),F1353))</f>
        <v/>
      </c>
      <c r="H1353" s="24" t="str">
        <f aca="false">IF(G1353="","",E1353*IFERROR(N(INDEX(Produtos!$F$5:$F$54,MATCH(D1353,Produtos!$B$5:$B$54,0))),0))</f>
        <v/>
      </c>
      <c r="I1353" s="24" t="str">
        <f aca="false">IF(G1353="","",G1353-H1353)</f>
        <v/>
      </c>
      <c r="J1353" s="37"/>
    </row>
    <row r="1354" customFormat="false" ht="21" hidden="false" customHeight="true" outlineLevel="0" collapsed="false">
      <c r="B1354" s="36"/>
      <c r="C1354" s="7"/>
      <c r="D1354" s="7"/>
      <c r="E1354" s="37"/>
      <c r="F1354" s="38"/>
      <c r="G1354" s="24" t="str">
        <f aca="false">IF(OR(C1354="",D1354="",N(E1354)=0),"",E1354*IF(F1354="",IFERROR(N(INDEX(Produtos!$K$5:$K$54,MATCH(D1354,Produtos!$B$5:$B$54,0))),0),F1354))</f>
        <v/>
      </c>
      <c r="H1354" s="24" t="str">
        <f aca="false">IF(G1354="","",E1354*IFERROR(N(INDEX(Produtos!$F$5:$F$54,MATCH(D1354,Produtos!$B$5:$B$54,0))),0))</f>
        <v/>
      </c>
      <c r="I1354" s="24" t="str">
        <f aca="false">IF(G1354="","",G1354-H1354)</f>
        <v/>
      </c>
      <c r="J1354" s="37"/>
    </row>
    <row r="1355" customFormat="false" ht="21" hidden="false" customHeight="true" outlineLevel="0" collapsed="false">
      <c r="B1355" s="36"/>
      <c r="C1355" s="7"/>
      <c r="D1355" s="7"/>
      <c r="E1355" s="37"/>
      <c r="F1355" s="38"/>
      <c r="G1355" s="24" t="str">
        <f aca="false">IF(OR(C1355="",D1355="",N(E1355)=0),"",E1355*IF(F1355="",IFERROR(N(INDEX(Produtos!$K$5:$K$54,MATCH(D1355,Produtos!$B$5:$B$54,0))),0),F1355))</f>
        <v/>
      </c>
      <c r="H1355" s="24" t="str">
        <f aca="false">IF(G1355="","",E1355*IFERROR(N(INDEX(Produtos!$F$5:$F$54,MATCH(D1355,Produtos!$B$5:$B$54,0))),0))</f>
        <v/>
      </c>
      <c r="I1355" s="24" t="str">
        <f aca="false">IF(G1355="","",G1355-H1355)</f>
        <v/>
      </c>
      <c r="J1355" s="37"/>
    </row>
    <row r="1356" customFormat="false" ht="21" hidden="false" customHeight="true" outlineLevel="0" collapsed="false">
      <c r="B1356" s="36"/>
      <c r="C1356" s="7"/>
      <c r="D1356" s="7"/>
      <c r="E1356" s="37"/>
      <c r="F1356" s="38"/>
      <c r="G1356" s="24" t="str">
        <f aca="false">IF(OR(C1356="",D1356="",N(E1356)=0),"",E1356*IF(F1356="",IFERROR(N(INDEX(Produtos!$K$5:$K$54,MATCH(D1356,Produtos!$B$5:$B$54,0))),0),F1356))</f>
        <v/>
      </c>
      <c r="H1356" s="24" t="str">
        <f aca="false">IF(G1356="","",E1356*IFERROR(N(INDEX(Produtos!$F$5:$F$54,MATCH(D1356,Produtos!$B$5:$B$54,0))),0))</f>
        <v/>
      </c>
      <c r="I1356" s="24" t="str">
        <f aca="false">IF(G1356="","",G1356-H1356)</f>
        <v/>
      </c>
      <c r="J1356" s="37"/>
    </row>
    <row r="1357" customFormat="false" ht="21" hidden="false" customHeight="true" outlineLevel="0" collapsed="false">
      <c r="B1357" s="36"/>
      <c r="C1357" s="7"/>
      <c r="D1357" s="7"/>
      <c r="E1357" s="37"/>
      <c r="F1357" s="38"/>
      <c r="G1357" s="24" t="str">
        <f aca="false">IF(OR(C1357="",D1357="",N(E1357)=0),"",E1357*IF(F1357="",IFERROR(N(INDEX(Produtos!$K$5:$K$54,MATCH(D1357,Produtos!$B$5:$B$54,0))),0),F1357))</f>
        <v/>
      </c>
      <c r="H1357" s="24" t="str">
        <f aca="false">IF(G1357="","",E1357*IFERROR(N(INDEX(Produtos!$F$5:$F$54,MATCH(D1357,Produtos!$B$5:$B$54,0))),0))</f>
        <v/>
      </c>
      <c r="I1357" s="24" t="str">
        <f aca="false">IF(G1357="","",G1357-H1357)</f>
        <v/>
      </c>
      <c r="J1357" s="37"/>
    </row>
    <row r="1358" customFormat="false" ht="21" hidden="false" customHeight="true" outlineLevel="0" collapsed="false">
      <c r="B1358" s="36"/>
      <c r="C1358" s="7"/>
      <c r="D1358" s="7"/>
      <c r="E1358" s="37"/>
      <c r="F1358" s="38"/>
      <c r="G1358" s="24" t="str">
        <f aca="false">IF(OR(C1358="",D1358="",N(E1358)=0),"",E1358*IF(F1358="",IFERROR(N(INDEX(Produtos!$K$5:$K$54,MATCH(D1358,Produtos!$B$5:$B$54,0))),0),F1358))</f>
        <v/>
      </c>
      <c r="H1358" s="24" t="str">
        <f aca="false">IF(G1358="","",E1358*IFERROR(N(INDEX(Produtos!$F$5:$F$54,MATCH(D1358,Produtos!$B$5:$B$54,0))),0))</f>
        <v/>
      </c>
      <c r="I1358" s="24" t="str">
        <f aca="false">IF(G1358="","",G1358-H1358)</f>
        <v/>
      </c>
      <c r="J1358" s="37"/>
    </row>
    <row r="1359" customFormat="false" ht="21" hidden="false" customHeight="true" outlineLevel="0" collapsed="false">
      <c r="B1359" s="36"/>
      <c r="C1359" s="7"/>
      <c r="D1359" s="7"/>
      <c r="E1359" s="37"/>
      <c r="F1359" s="38"/>
      <c r="G1359" s="24" t="str">
        <f aca="false">IF(OR(C1359="",D1359="",N(E1359)=0),"",E1359*IF(F1359="",IFERROR(N(INDEX(Produtos!$K$5:$K$54,MATCH(D1359,Produtos!$B$5:$B$54,0))),0),F1359))</f>
        <v/>
      </c>
      <c r="H1359" s="24" t="str">
        <f aca="false">IF(G1359="","",E1359*IFERROR(N(INDEX(Produtos!$F$5:$F$54,MATCH(D1359,Produtos!$B$5:$B$54,0))),0))</f>
        <v/>
      </c>
      <c r="I1359" s="24" t="str">
        <f aca="false">IF(G1359="","",G1359-H1359)</f>
        <v/>
      </c>
      <c r="J1359" s="37"/>
    </row>
    <row r="1360" customFormat="false" ht="21" hidden="false" customHeight="true" outlineLevel="0" collapsed="false">
      <c r="B1360" s="36"/>
      <c r="C1360" s="7"/>
      <c r="D1360" s="7"/>
      <c r="E1360" s="37"/>
      <c r="F1360" s="38"/>
      <c r="G1360" s="24" t="str">
        <f aca="false">IF(OR(C1360="",D1360="",N(E1360)=0),"",E1360*IF(F1360="",IFERROR(N(INDEX(Produtos!$K$5:$K$54,MATCH(D1360,Produtos!$B$5:$B$54,0))),0),F1360))</f>
        <v/>
      </c>
      <c r="H1360" s="24" t="str">
        <f aca="false">IF(G1360="","",E1360*IFERROR(N(INDEX(Produtos!$F$5:$F$54,MATCH(D1360,Produtos!$B$5:$B$54,0))),0))</f>
        <v/>
      </c>
      <c r="I1360" s="24" t="str">
        <f aca="false">IF(G1360="","",G1360-H1360)</f>
        <v/>
      </c>
      <c r="J1360" s="37"/>
    </row>
    <row r="1361" customFormat="false" ht="21" hidden="false" customHeight="true" outlineLevel="0" collapsed="false">
      <c r="B1361" s="36"/>
      <c r="C1361" s="7"/>
      <c r="D1361" s="7"/>
      <c r="E1361" s="37"/>
      <c r="F1361" s="38"/>
      <c r="G1361" s="24" t="str">
        <f aca="false">IF(OR(C1361="",D1361="",N(E1361)=0),"",E1361*IF(F1361="",IFERROR(N(INDEX(Produtos!$K$5:$K$54,MATCH(D1361,Produtos!$B$5:$B$54,0))),0),F1361))</f>
        <v/>
      </c>
      <c r="H1361" s="24" t="str">
        <f aca="false">IF(G1361="","",E1361*IFERROR(N(INDEX(Produtos!$F$5:$F$54,MATCH(D1361,Produtos!$B$5:$B$54,0))),0))</f>
        <v/>
      </c>
      <c r="I1361" s="24" t="str">
        <f aca="false">IF(G1361="","",G1361-H1361)</f>
        <v/>
      </c>
      <c r="J1361" s="37"/>
    </row>
    <row r="1362" customFormat="false" ht="21" hidden="false" customHeight="true" outlineLevel="0" collapsed="false">
      <c r="B1362" s="36"/>
      <c r="C1362" s="7"/>
      <c r="D1362" s="7"/>
      <c r="E1362" s="37"/>
      <c r="F1362" s="38"/>
      <c r="G1362" s="24" t="str">
        <f aca="false">IF(OR(C1362="",D1362="",N(E1362)=0),"",E1362*IF(F1362="",IFERROR(N(INDEX(Produtos!$K$5:$K$54,MATCH(D1362,Produtos!$B$5:$B$54,0))),0),F1362))</f>
        <v/>
      </c>
      <c r="H1362" s="24" t="str">
        <f aca="false">IF(G1362="","",E1362*IFERROR(N(INDEX(Produtos!$F$5:$F$54,MATCH(D1362,Produtos!$B$5:$B$54,0))),0))</f>
        <v/>
      </c>
      <c r="I1362" s="24" t="str">
        <f aca="false">IF(G1362="","",G1362-H1362)</f>
        <v/>
      </c>
      <c r="J1362" s="37"/>
    </row>
    <row r="1363" customFormat="false" ht="21" hidden="false" customHeight="true" outlineLevel="0" collapsed="false">
      <c r="B1363" s="36"/>
      <c r="C1363" s="7"/>
      <c r="D1363" s="7"/>
      <c r="E1363" s="37"/>
      <c r="F1363" s="38"/>
      <c r="G1363" s="24" t="str">
        <f aca="false">IF(OR(C1363="",D1363="",N(E1363)=0),"",E1363*IF(F1363="",IFERROR(N(INDEX(Produtos!$K$5:$K$54,MATCH(D1363,Produtos!$B$5:$B$54,0))),0),F1363))</f>
        <v/>
      </c>
      <c r="H1363" s="24" t="str">
        <f aca="false">IF(G1363="","",E1363*IFERROR(N(INDEX(Produtos!$F$5:$F$54,MATCH(D1363,Produtos!$B$5:$B$54,0))),0))</f>
        <v/>
      </c>
      <c r="I1363" s="24" t="str">
        <f aca="false">IF(G1363="","",G1363-H1363)</f>
        <v/>
      </c>
      <c r="J1363" s="37"/>
    </row>
    <row r="1364" customFormat="false" ht="21" hidden="false" customHeight="true" outlineLevel="0" collapsed="false">
      <c r="B1364" s="36"/>
      <c r="C1364" s="7"/>
      <c r="D1364" s="7"/>
      <c r="E1364" s="37"/>
      <c r="F1364" s="38"/>
      <c r="G1364" s="24" t="str">
        <f aca="false">IF(OR(C1364="",D1364="",N(E1364)=0),"",E1364*IF(F1364="",IFERROR(N(INDEX(Produtos!$K$5:$K$54,MATCH(D1364,Produtos!$B$5:$B$54,0))),0),F1364))</f>
        <v/>
      </c>
      <c r="H1364" s="24" t="str">
        <f aca="false">IF(G1364="","",E1364*IFERROR(N(INDEX(Produtos!$F$5:$F$54,MATCH(D1364,Produtos!$B$5:$B$54,0))),0))</f>
        <v/>
      </c>
      <c r="I1364" s="24" t="str">
        <f aca="false">IF(G1364="","",G1364-H1364)</f>
        <v/>
      </c>
      <c r="J1364" s="37"/>
    </row>
    <row r="1365" customFormat="false" ht="21" hidden="false" customHeight="true" outlineLevel="0" collapsed="false">
      <c r="B1365" s="36"/>
      <c r="C1365" s="7"/>
      <c r="D1365" s="7"/>
      <c r="E1365" s="37"/>
      <c r="F1365" s="38"/>
      <c r="G1365" s="24" t="str">
        <f aca="false">IF(OR(C1365="",D1365="",N(E1365)=0),"",E1365*IF(F1365="",IFERROR(N(INDEX(Produtos!$K$5:$K$54,MATCH(D1365,Produtos!$B$5:$B$54,0))),0),F1365))</f>
        <v/>
      </c>
      <c r="H1365" s="24" t="str">
        <f aca="false">IF(G1365="","",E1365*IFERROR(N(INDEX(Produtos!$F$5:$F$54,MATCH(D1365,Produtos!$B$5:$B$54,0))),0))</f>
        <v/>
      </c>
      <c r="I1365" s="24" t="str">
        <f aca="false">IF(G1365="","",G1365-H1365)</f>
        <v/>
      </c>
      <c r="J1365" s="37"/>
    </row>
    <row r="1366" customFormat="false" ht="21" hidden="false" customHeight="true" outlineLevel="0" collapsed="false">
      <c r="B1366" s="36"/>
      <c r="C1366" s="7"/>
      <c r="D1366" s="7"/>
      <c r="E1366" s="37"/>
      <c r="F1366" s="38"/>
      <c r="G1366" s="24" t="str">
        <f aca="false">IF(OR(C1366="",D1366="",N(E1366)=0),"",E1366*IF(F1366="",IFERROR(N(INDEX(Produtos!$K$5:$K$54,MATCH(D1366,Produtos!$B$5:$B$54,0))),0),F1366))</f>
        <v/>
      </c>
      <c r="H1366" s="24" t="str">
        <f aca="false">IF(G1366="","",E1366*IFERROR(N(INDEX(Produtos!$F$5:$F$54,MATCH(D1366,Produtos!$B$5:$B$54,0))),0))</f>
        <v/>
      </c>
      <c r="I1366" s="24" t="str">
        <f aca="false">IF(G1366="","",G1366-H1366)</f>
        <v/>
      </c>
      <c r="J1366" s="37"/>
    </row>
    <row r="1367" customFormat="false" ht="21" hidden="false" customHeight="true" outlineLevel="0" collapsed="false">
      <c r="B1367" s="36"/>
      <c r="C1367" s="7"/>
      <c r="D1367" s="7"/>
      <c r="E1367" s="37"/>
      <c r="F1367" s="38"/>
      <c r="G1367" s="24" t="str">
        <f aca="false">IF(OR(C1367="",D1367="",N(E1367)=0),"",E1367*IF(F1367="",IFERROR(N(INDEX(Produtos!$K$5:$K$54,MATCH(D1367,Produtos!$B$5:$B$54,0))),0),F1367))</f>
        <v/>
      </c>
      <c r="H1367" s="24" t="str">
        <f aca="false">IF(G1367="","",E1367*IFERROR(N(INDEX(Produtos!$F$5:$F$54,MATCH(D1367,Produtos!$B$5:$B$54,0))),0))</f>
        <v/>
      </c>
      <c r="I1367" s="24" t="str">
        <f aca="false">IF(G1367="","",G1367-H1367)</f>
        <v/>
      </c>
      <c r="J1367" s="37"/>
    </row>
    <row r="1368" customFormat="false" ht="21" hidden="false" customHeight="true" outlineLevel="0" collapsed="false">
      <c r="B1368" s="36"/>
      <c r="C1368" s="7"/>
      <c r="D1368" s="7"/>
      <c r="E1368" s="37"/>
      <c r="F1368" s="38"/>
      <c r="G1368" s="24" t="str">
        <f aca="false">IF(OR(C1368="",D1368="",N(E1368)=0),"",E1368*IF(F1368="",IFERROR(N(INDEX(Produtos!$K$5:$K$54,MATCH(D1368,Produtos!$B$5:$B$54,0))),0),F1368))</f>
        <v/>
      </c>
      <c r="H1368" s="24" t="str">
        <f aca="false">IF(G1368="","",E1368*IFERROR(N(INDEX(Produtos!$F$5:$F$54,MATCH(D1368,Produtos!$B$5:$B$54,0))),0))</f>
        <v/>
      </c>
      <c r="I1368" s="24" t="str">
        <f aca="false">IF(G1368="","",G1368-H1368)</f>
        <v/>
      </c>
      <c r="J1368" s="37"/>
    </row>
    <row r="1369" customFormat="false" ht="21" hidden="false" customHeight="true" outlineLevel="0" collapsed="false">
      <c r="B1369" s="36"/>
      <c r="C1369" s="7"/>
      <c r="D1369" s="7"/>
      <c r="E1369" s="37"/>
      <c r="F1369" s="38"/>
      <c r="G1369" s="24" t="str">
        <f aca="false">IF(OR(C1369="",D1369="",N(E1369)=0),"",E1369*IF(F1369="",IFERROR(N(INDEX(Produtos!$K$5:$K$54,MATCH(D1369,Produtos!$B$5:$B$54,0))),0),F1369))</f>
        <v/>
      </c>
      <c r="H1369" s="24" t="str">
        <f aca="false">IF(G1369="","",E1369*IFERROR(N(INDEX(Produtos!$F$5:$F$54,MATCH(D1369,Produtos!$B$5:$B$54,0))),0))</f>
        <v/>
      </c>
      <c r="I1369" s="24" t="str">
        <f aca="false">IF(G1369="","",G1369-H1369)</f>
        <v/>
      </c>
      <c r="J1369" s="37"/>
    </row>
    <row r="1370" customFormat="false" ht="21" hidden="false" customHeight="true" outlineLevel="0" collapsed="false">
      <c r="B1370" s="36"/>
      <c r="C1370" s="7"/>
      <c r="D1370" s="7"/>
      <c r="E1370" s="37"/>
      <c r="F1370" s="38"/>
      <c r="G1370" s="24" t="str">
        <f aca="false">IF(OR(C1370="",D1370="",N(E1370)=0),"",E1370*IF(F1370="",IFERROR(N(INDEX(Produtos!$K$5:$K$54,MATCH(D1370,Produtos!$B$5:$B$54,0))),0),F1370))</f>
        <v/>
      </c>
      <c r="H1370" s="24" t="str">
        <f aca="false">IF(G1370="","",E1370*IFERROR(N(INDEX(Produtos!$F$5:$F$54,MATCH(D1370,Produtos!$B$5:$B$54,0))),0))</f>
        <v/>
      </c>
      <c r="I1370" s="24" t="str">
        <f aca="false">IF(G1370="","",G1370-H1370)</f>
        <v/>
      </c>
      <c r="J1370" s="37"/>
    </row>
    <row r="1371" customFormat="false" ht="21" hidden="false" customHeight="true" outlineLevel="0" collapsed="false">
      <c r="B1371" s="36"/>
      <c r="C1371" s="7"/>
      <c r="D1371" s="7"/>
      <c r="E1371" s="37"/>
      <c r="F1371" s="38"/>
      <c r="G1371" s="24" t="str">
        <f aca="false">IF(OR(C1371="",D1371="",N(E1371)=0),"",E1371*IF(F1371="",IFERROR(N(INDEX(Produtos!$K$5:$K$54,MATCH(D1371,Produtos!$B$5:$B$54,0))),0),F1371))</f>
        <v/>
      </c>
      <c r="H1371" s="24" t="str">
        <f aca="false">IF(G1371="","",E1371*IFERROR(N(INDEX(Produtos!$F$5:$F$54,MATCH(D1371,Produtos!$B$5:$B$54,0))),0))</f>
        <v/>
      </c>
      <c r="I1371" s="24" t="str">
        <f aca="false">IF(G1371="","",G1371-H1371)</f>
        <v/>
      </c>
      <c r="J1371" s="37"/>
    </row>
    <row r="1372" customFormat="false" ht="21" hidden="false" customHeight="true" outlineLevel="0" collapsed="false">
      <c r="B1372" s="36"/>
      <c r="C1372" s="7"/>
      <c r="D1372" s="7"/>
      <c r="E1372" s="37"/>
      <c r="F1372" s="38"/>
      <c r="G1372" s="24" t="str">
        <f aca="false">IF(OR(C1372="",D1372="",N(E1372)=0),"",E1372*IF(F1372="",IFERROR(N(INDEX(Produtos!$K$5:$K$54,MATCH(D1372,Produtos!$B$5:$B$54,0))),0),F1372))</f>
        <v/>
      </c>
      <c r="H1372" s="24" t="str">
        <f aca="false">IF(G1372="","",E1372*IFERROR(N(INDEX(Produtos!$F$5:$F$54,MATCH(D1372,Produtos!$B$5:$B$54,0))),0))</f>
        <v/>
      </c>
      <c r="I1372" s="24" t="str">
        <f aca="false">IF(G1372="","",G1372-H1372)</f>
        <v/>
      </c>
      <c r="J1372" s="37"/>
    </row>
    <row r="1373" customFormat="false" ht="21" hidden="false" customHeight="true" outlineLevel="0" collapsed="false">
      <c r="B1373" s="36"/>
      <c r="C1373" s="7"/>
      <c r="D1373" s="7"/>
      <c r="E1373" s="37"/>
      <c r="F1373" s="38"/>
      <c r="G1373" s="24" t="str">
        <f aca="false">IF(OR(C1373="",D1373="",N(E1373)=0),"",E1373*IF(F1373="",IFERROR(N(INDEX(Produtos!$K$5:$K$54,MATCH(D1373,Produtos!$B$5:$B$54,0))),0),F1373))</f>
        <v/>
      </c>
      <c r="H1373" s="24" t="str">
        <f aca="false">IF(G1373="","",E1373*IFERROR(N(INDEX(Produtos!$F$5:$F$54,MATCH(D1373,Produtos!$B$5:$B$54,0))),0))</f>
        <v/>
      </c>
      <c r="I1373" s="24" t="str">
        <f aca="false">IF(G1373="","",G1373-H1373)</f>
        <v/>
      </c>
      <c r="J1373" s="37"/>
    </row>
    <row r="1374" customFormat="false" ht="21" hidden="false" customHeight="true" outlineLevel="0" collapsed="false">
      <c r="B1374" s="36"/>
      <c r="C1374" s="7"/>
      <c r="D1374" s="7"/>
      <c r="E1374" s="37"/>
      <c r="F1374" s="38"/>
      <c r="G1374" s="24" t="str">
        <f aca="false">IF(OR(C1374="",D1374="",N(E1374)=0),"",E1374*IF(F1374="",IFERROR(N(INDEX(Produtos!$K$5:$K$54,MATCH(D1374,Produtos!$B$5:$B$54,0))),0),F1374))</f>
        <v/>
      </c>
      <c r="H1374" s="24" t="str">
        <f aca="false">IF(G1374="","",E1374*IFERROR(N(INDEX(Produtos!$F$5:$F$54,MATCH(D1374,Produtos!$B$5:$B$54,0))),0))</f>
        <v/>
      </c>
      <c r="I1374" s="24" t="str">
        <f aca="false">IF(G1374="","",G1374-H1374)</f>
        <v/>
      </c>
      <c r="J1374" s="37"/>
    </row>
    <row r="1375" customFormat="false" ht="21" hidden="false" customHeight="true" outlineLevel="0" collapsed="false">
      <c r="B1375" s="36"/>
      <c r="C1375" s="7"/>
      <c r="D1375" s="7"/>
      <c r="E1375" s="37"/>
      <c r="F1375" s="38"/>
      <c r="G1375" s="24" t="str">
        <f aca="false">IF(OR(C1375="",D1375="",N(E1375)=0),"",E1375*IF(F1375="",IFERROR(N(INDEX(Produtos!$K$5:$K$54,MATCH(D1375,Produtos!$B$5:$B$54,0))),0),F1375))</f>
        <v/>
      </c>
      <c r="H1375" s="24" t="str">
        <f aca="false">IF(G1375="","",E1375*IFERROR(N(INDEX(Produtos!$F$5:$F$54,MATCH(D1375,Produtos!$B$5:$B$54,0))),0))</f>
        <v/>
      </c>
      <c r="I1375" s="24" t="str">
        <f aca="false">IF(G1375="","",G1375-H1375)</f>
        <v/>
      </c>
      <c r="J1375" s="37"/>
    </row>
    <row r="1376" customFormat="false" ht="21" hidden="false" customHeight="true" outlineLevel="0" collapsed="false">
      <c r="B1376" s="36"/>
      <c r="C1376" s="7"/>
      <c r="D1376" s="7"/>
      <c r="E1376" s="37"/>
      <c r="F1376" s="38"/>
      <c r="G1376" s="24" t="str">
        <f aca="false">IF(OR(C1376="",D1376="",N(E1376)=0),"",E1376*IF(F1376="",IFERROR(N(INDEX(Produtos!$K$5:$K$54,MATCH(D1376,Produtos!$B$5:$B$54,0))),0),F1376))</f>
        <v/>
      </c>
      <c r="H1376" s="24" t="str">
        <f aca="false">IF(G1376="","",E1376*IFERROR(N(INDEX(Produtos!$F$5:$F$54,MATCH(D1376,Produtos!$B$5:$B$54,0))),0))</f>
        <v/>
      </c>
      <c r="I1376" s="24" t="str">
        <f aca="false">IF(G1376="","",G1376-H1376)</f>
        <v/>
      </c>
      <c r="J1376" s="37"/>
    </row>
    <row r="1377" customFormat="false" ht="21" hidden="false" customHeight="true" outlineLevel="0" collapsed="false">
      <c r="B1377" s="36"/>
      <c r="C1377" s="7"/>
      <c r="D1377" s="7"/>
      <c r="E1377" s="37"/>
      <c r="F1377" s="38"/>
      <c r="G1377" s="24" t="str">
        <f aca="false">IF(OR(C1377="",D1377="",N(E1377)=0),"",E1377*IF(F1377="",IFERROR(N(INDEX(Produtos!$K$5:$K$54,MATCH(D1377,Produtos!$B$5:$B$54,0))),0),F1377))</f>
        <v/>
      </c>
      <c r="H1377" s="24" t="str">
        <f aca="false">IF(G1377="","",E1377*IFERROR(N(INDEX(Produtos!$F$5:$F$54,MATCH(D1377,Produtos!$B$5:$B$54,0))),0))</f>
        <v/>
      </c>
      <c r="I1377" s="24" t="str">
        <f aca="false">IF(G1377="","",G1377-H1377)</f>
        <v/>
      </c>
      <c r="J1377" s="37"/>
    </row>
    <row r="1378" customFormat="false" ht="21" hidden="false" customHeight="true" outlineLevel="0" collapsed="false">
      <c r="B1378" s="36"/>
      <c r="C1378" s="7"/>
      <c r="D1378" s="7"/>
      <c r="E1378" s="37"/>
      <c r="F1378" s="38"/>
      <c r="G1378" s="24" t="str">
        <f aca="false">IF(OR(C1378="",D1378="",N(E1378)=0),"",E1378*IF(F1378="",IFERROR(N(INDEX(Produtos!$K$5:$K$54,MATCH(D1378,Produtos!$B$5:$B$54,0))),0),F1378))</f>
        <v/>
      </c>
      <c r="H1378" s="24" t="str">
        <f aca="false">IF(G1378="","",E1378*IFERROR(N(INDEX(Produtos!$F$5:$F$54,MATCH(D1378,Produtos!$B$5:$B$54,0))),0))</f>
        <v/>
      </c>
      <c r="I1378" s="24" t="str">
        <f aca="false">IF(G1378="","",G1378-H1378)</f>
        <v/>
      </c>
      <c r="J1378" s="37"/>
    </row>
    <row r="1379" customFormat="false" ht="21" hidden="false" customHeight="true" outlineLevel="0" collapsed="false">
      <c r="B1379" s="36"/>
      <c r="C1379" s="7"/>
      <c r="D1379" s="7"/>
      <c r="E1379" s="37"/>
      <c r="F1379" s="38"/>
      <c r="G1379" s="24" t="str">
        <f aca="false">IF(OR(C1379="",D1379="",N(E1379)=0),"",E1379*IF(F1379="",IFERROR(N(INDEX(Produtos!$K$5:$K$54,MATCH(D1379,Produtos!$B$5:$B$54,0))),0),F1379))</f>
        <v/>
      </c>
      <c r="H1379" s="24" t="str">
        <f aca="false">IF(G1379="","",E1379*IFERROR(N(INDEX(Produtos!$F$5:$F$54,MATCH(D1379,Produtos!$B$5:$B$54,0))),0))</f>
        <v/>
      </c>
      <c r="I1379" s="24" t="str">
        <f aca="false">IF(G1379="","",G1379-H1379)</f>
        <v/>
      </c>
      <c r="J1379" s="37"/>
    </row>
    <row r="1380" customFormat="false" ht="21" hidden="false" customHeight="true" outlineLevel="0" collapsed="false">
      <c r="B1380" s="36"/>
      <c r="C1380" s="7"/>
      <c r="D1380" s="7"/>
      <c r="E1380" s="37"/>
      <c r="F1380" s="38"/>
      <c r="G1380" s="24" t="str">
        <f aca="false">IF(OR(C1380="",D1380="",N(E1380)=0),"",E1380*IF(F1380="",IFERROR(N(INDEX(Produtos!$K$5:$K$54,MATCH(D1380,Produtos!$B$5:$B$54,0))),0),F1380))</f>
        <v/>
      </c>
      <c r="H1380" s="24" t="str">
        <f aca="false">IF(G1380="","",E1380*IFERROR(N(INDEX(Produtos!$F$5:$F$54,MATCH(D1380,Produtos!$B$5:$B$54,0))),0))</f>
        <v/>
      </c>
      <c r="I1380" s="24" t="str">
        <f aca="false">IF(G1380="","",G1380-H1380)</f>
        <v/>
      </c>
      <c r="J1380" s="37"/>
    </row>
    <row r="1381" customFormat="false" ht="21" hidden="false" customHeight="true" outlineLevel="0" collapsed="false">
      <c r="B1381" s="36"/>
      <c r="C1381" s="7"/>
      <c r="D1381" s="7"/>
      <c r="E1381" s="37"/>
      <c r="F1381" s="38"/>
      <c r="G1381" s="24" t="str">
        <f aca="false">IF(OR(C1381="",D1381="",N(E1381)=0),"",E1381*IF(F1381="",IFERROR(N(INDEX(Produtos!$K$5:$K$54,MATCH(D1381,Produtos!$B$5:$B$54,0))),0),F1381))</f>
        <v/>
      </c>
      <c r="H1381" s="24" t="str">
        <f aca="false">IF(G1381="","",E1381*IFERROR(N(INDEX(Produtos!$F$5:$F$54,MATCH(D1381,Produtos!$B$5:$B$54,0))),0))</f>
        <v/>
      </c>
      <c r="I1381" s="24" t="str">
        <f aca="false">IF(G1381="","",G1381-H1381)</f>
        <v/>
      </c>
      <c r="J1381" s="37"/>
    </row>
    <row r="1382" customFormat="false" ht="21" hidden="false" customHeight="true" outlineLevel="0" collapsed="false">
      <c r="B1382" s="36"/>
      <c r="C1382" s="7"/>
      <c r="D1382" s="7"/>
      <c r="E1382" s="37"/>
      <c r="F1382" s="38"/>
      <c r="G1382" s="24" t="str">
        <f aca="false">IF(OR(C1382="",D1382="",N(E1382)=0),"",E1382*IF(F1382="",IFERROR(N(INDEX(Produtos!$K$5:$K$54,MATCH(D1382,Produtos!$B$5:$B$54,0))),0),F1382))</f>
        <v/>
      </c>
      <c r="H1382" s="24" t="str">
        <f aca="false">IF(G1382="","",E1382*IFERROR(N(INDEX(Produtos!$F$5:$F$54,MATCH(D1382,Produtos!$B$5:$B$54,0))),0))</f>
        <v/>
      </c>
      <c r="I1382" s="24" t="str">
        <f aca="false">IF(G1382="","",G1382-H1382)</f>
        <v/>
      </c>
      <c r="J1382" s="37"/>
    </row>
    <row r="1383" customFormat="false" ht="21" hidden="false" customHeight="true" outlineLevel="0" collapsed="false">
      <c r="B1383" s="36"/>
      <c r="C1383" s="7"/>
      <c r="D1383" s="7"/>
      <c r="E1383" s="37"/>
      <c r="F1383" s="38"/>
      <c r="G1383" s="24" t="str">
        <f aca="false">IF(OR(C1383="",D1383="",N(E1383)=0),"",E1383*IF(F1383="",IFERROR(N(INDEX(Produtos!$K$5:$K$54,MATCH(D1383,Produtos!$B$5:$B$54,0))),0),F1383))</f>
        <v/>
      </c>
      <c r="H1383" s="24" t="str">
        <f aca="false">IF(G1383="","",E1383*IFERROR(N(INDEX(Produtos!$F$5:$F$54,MATCH(D1383,Produtos!$B$5:$B$54,0))),0))</f>
        <v/>
      </c>
      <c r="I1383" s="24" t="str">
        <f aca="false">IF(G1383="","",G1383-H1383)</f>
        <v/>
      </c>
      <c r="J1383" s="37"/>
    </row>
    <row r="1384" customFormat="false" ht="21" hidden="false" customHeight="true" outlineLevel="0" collapsed="false">
      <c r="B1384" s="36"/>
      <c r="C1384" s="7"/>
      <c r="D1384" s="7"/>
      <c r="E1384" s="37"/>
      <c r="F1384" s="38"/>
      <c r="G1384" s="24" t="str">
        <f aca="false">IF(OR(C1384="",D1384="",N(E1384)=0),"",E1384*IF(F1384="",IFERROR(N(INDEX(Produtos!$K$5:$K$54,MATCH(D1384,Produtos!$B$5:$B$54,0))),0),F1384))</f>
        <v/>
      </c>
      <c r="H1384" s="24" t="str">
        <f aca="false">IF(G1384="","",E1384*IFERROR(N(INDEX(Produtos!$F$5:$F$54,MATCH(D1384,Produtos!$B$5:$B$54,0))),0))</f>
        <v/>
      </c>
      <c r="I1384" s="24" t="str">
        <f aca="false">IF(G1384="","",G1384-H1384)</f>
        <v/>
      </c>
      <c r="J1384" s="37"/>
    </row>
    <row r="1385" customFormat="false" ht="21" hidden="false" customHeight="true" outlineLevel="0" collapsed="false">
      <c r="B1385" s="36"/>
      <c r="C1385" s="7"/>
      <c r="D1385" s="7"/>
      <c r="E1385" s="37"/>
      <c r="F1385" s="38"/>
      <c r="G1385" s="24" t="str">
        <f aca="false">IF(OR(C1385="",D1385="",N(E1385)=0),"",E1385*IF(F1385="",IFERROR(N(INDEX(Produtos!$K$5:$K$54,MATCH(D1385,Produtos!$B$5:$B$54,0))),0),F1385))</f>
        <v/>
      </c>
      <c r="H1385" s="24" t="str">
        <f aca="false">IF(G1385="","",E1385*IFERROR(N(INDEX(Produtos!$F$5:$F$54,MATCH(D1385,Produtos!$B$5:$B$54,0))),0))</f>
        <v/>
      </c>
      <c r="I1385" s="24" t="str">
        <f aca="false">IF(G1385="","",G1385-H1385)</f>
        <v/>
      </c>
      <c r="J1385" s="37"/>
    </row>
    <row r="1386" customFormat="false" ht="21" hidden="false" customHeight="true" outlineLevel="0" collapsed="false">
      <c r="B1386" s="36"/>
      <c r="C1386" s="7"/>
      <c r="D1386" s="7"/>
      <c r="E1386" s="37"/>
      <c r="F1386" s="38"/>
      <c r="G1386" s="24" t="str">
        <f aca="false">IF(OR(C1386="",D1386="",N(E1386)=0),"",E1386*IF(F1386="",IFERROR(N(INDEX(Produtos!$K$5:$K$54,MATCH(D1386,Produtos!$B$5:$B$54,0))),0),F1386))</f>
        <v/>
      </c>
      <c r="H1386" s="24" t="str">
        <f aca="false">IF(G1386="","",E1386*IFERROR(N(INDEX(Produtos!$F$5:$F$54,MATCH(D1386,Produtos!$B$5:$B$54,0))),0))</f>
        <v/>
      </c>
      <c r="I1386" s="24" t="str">
        <f aca="false">IF(G1386="","",G1386-H1386)</f>
        <v/>
      </c>
      <c r="J1386" s="37"/>
    </row>
    <row r="1387" customFormat="false" ht="21" hidden="false" customHeight="true" outlineLevel="0" collapsed="false">
      <c r="B1387" s="36"/>
      <c r="C1387" s="7"/>
      <c r="D1387" s="7"/>
      <c r="E1387" s="37"/>
      <c r="F1387" s="38"/>
      <c r="G1387" s="24" t="str">
        <f aca="false">IF(OR(C1387="",D1387="",N(E1387)=0),"",E1387*IF(F1387="",IFERROR(N(INDEX(Produtos!$K$5:$K$54,MATCH(D1387,Produtos!$B$5:$B$54,0))),0),F1387))</f>
        <v/>
      </c>
      <c r="H1387" s="24" t="str">
        <f aca="false">IF(G1387="","",E1387*IFERROR(N(INDEX(Produtos!$F$5:$F$54,MATCH(D1387,Produtos!$B$5:$B$54,0))),0))</f>
        <v/>
      </c>
      <c r="I1387" s="24" t="str">
        <f aca="false">IF(G1387="","",G1387-H1387)</f>
        <v/>
      </c>
      <c r="J1387" s="37"/>
    </row>
    <row r="1388" customFormat="false" ht="21" hidden="false" customHeight="true" outlineLevel="0" collapsed="false">
      <c r="B1388" s="36"/>
      <c r="C1388" s="7"/>
      <c r="D1388" s="7"/>
      <c r="E1388" s="37"/>
      <c r="F1388" s="38"/>
      <c r="G1388" s="24" t="str">
        <f aca="false">IF(OR(C1388="",D1388="",N(E1388)=0),"",E1388*IF(F1388="",IFERROR(N(INDEX(Produtos!$K$5:$K$54,MATCH(D1388,Produtos!$B$5:$B$54,0))),0),F1388))</f>
        <v/>
      </c>
      <c r="H1388" s="24" t="str">
        <f aca="false">IF(G1388="","",E1388*IFERROR(N(INDEX(Produtos!$F$5:$F$54,MATCH(D1388,Produtos!$B$5:$B$54,0))),0))</f>
        <v/>
      </c>
      <c r="I1388" s="24" t="str">
        <f aca="false">IF(G1388="","",G1388-H1388)</f>
        <v/>
      </c>
      <c r="J1388" s="37"/>
    </row>
    <row r="1389" customFormat="false" ht="21" hidden="false" customHeight="true" outlineLevel="0" collapsed="false">
      <c r="B1389" s="36"/>
      <c r="C1389" s="7"/>
      <c r="D1389" s="7"/>
      <c r="E1389" s="37"/>
      <c r="F1389" s="38"/>
      <c r="G1389" s="24" t="str">
        <f aca="false">IF(OR(C1389="",D1389="",N(E1389)=0),"",E1389*IF(F1389="",IFERROR(N(INDEX(Produtos!$K$5:$K$54,MATCH(D1389,Produtos!$B$5:$B$54,0))),0),F1389))</f>
        <v/>
      </c>
      <c r="H1389" s="24" t="str">
        <f aca="false">IF(G1389="","",E1389*IFERROR(N(INDEX(Produtos!$F$5:$F$54,MATCH(D1389,Produtos!$B$5:$B$54,0))),0))</f>
        <v/>
      </c>
      <c r="I1389" s="24" t="str">
        <f aca="false">IF(G1389="","",G1389-H1389)</f>
        <v/>
      </c>
      <c r="J1389" s="37"/>
    </row>
    <row r="1390" customFormat="false" ht="21" hidden="false" customHeight="true" outlineLevel="0" collapsed="false">
      <c r="B1390" s="36"/>
      <c r="C1390" s="7"/>
      <c r="D1390" s="7"/>
      <c r="E1390" s="37"/>
      <c r="F1390" s="38"/>
      <c r="G1390" s="24" t="str">
        <f aca="false">IF(OR(C1390="",D1390="",N(E1390)=0),"",E1390*IF(F1390="",IFERROR(N(INDEX(Produtos!$K$5:$K$54,MATCH(D1390,Produtos!$B$5:$B$54,0))),0),F1390))</f>
        <v/>
      </c>
      <c r="H1390" s="24" t="str">
        <f aca="false">IF(G1390="","",E1390*IFERROR(N(INDEX(Produtos!$F$5:$F$54,MATCH(D1390,Produtos!$B$5:$B$54,0))),0))</f>
        <v/>
      </c>
      <c r="I1390" s="24" t="str">
        <f aca="false">IF(G1390="","",G1390-H1390)</f>
        <v/>
      </c>
      <c r="J1390" s="37"/>
    </row>
    <row r="1391" customFormat="false" ht="21" hidden="false" customHeight="true" outlineLevel="0" collapsed="false">
      <c r="B1391" s="36"/>
      <c r="C1391" s="7"/>
      <c r="D1391" s="7"/>
      <c r="E1391" s="37"/>
      <c r="F1391" s="38"/>
      <c r="G1391" s="24" t="str">
        <f aca="false">IF(OR(C1391="",D1391="",N(E1391)=0),"",E1391*IF(F1391="",IFERROR(N(INDEX(Produtos!$K$5:$K$54,MATCH(D1391,Produtos!$B$5:$B$54,0))),0),F1391))</f>
        <v/>
      </c>
      <c r="H1391" s="24" t="str">
        <f aca="false">IF(G1391="","",E1391*IFERROR(N(INDEX(Produtos!$F$5:$F$54,MATCH(D1391,Produtos!$B$5:$B$54,0))),0))</f>
        <v/>
      </c>
      <c r="I1391" s="24" t="str">
        <f aca="false">IF(G1391="","",G1391-H1391)</f>
        <v/>
      </c>
      <c r="J1391" s="37"/>
    </row>
    <row r="1392" customFormat="false" ht="21" hidden="false" customHeight="true" outlineLevel="0" collapsed="false">
      <c r="B1392" s="36"/>
      <c r="C1392" s="7"/>
      <c r="D1392" s="7"/>
      <c r="E1392" s="37"/>
      <c r="F1392" s="38"/>
      <c r="G1392" s="24" t="str">
        <f aca="false">IF(OR(C1392="",D1392="",N(E1392)=0),"",E1392*IF(F1392="",IFERROR(N(INDEX(Produtos!$K$5:$K$54,MATCH(D1392,Produtos!$B$5:$B$54,0))),0),F1392))</f>
        <v/>
      </c>
      <c r="H1392" s="24" t="str">
        <f aca="false">IF(G1392="","",E1392*IFERROR(N(INDEX(Produtos!$F$5:$F$54,MATCH(D1392,Produtos!$B$5:$B$54,0))),0))</f>
        <v/>
      </c>
      <c r="I1392" s="24" t="str">
        <f aca="false">IF(G1392="","",G1392-H1392)</f>
        <v/>
      </c>
      <c r="J1392" s="37"/>
    </row>
    <row r="1393" customFormat="false" ht="21" hidden="false" customHeight="true" outlineLevel="0" collapsed="false">
      <c r="B1393" s="36"/>
      <c r="C1393" s="7"/>
      <c r="D1393" s="7"/>
      <c r="E1393" s="37"/>
      <c r="F1393" s="38"/>
      <c r="G1393" s="24" t="str">
        <f aca="false">IF(OR(C1393="",D1393="",N(E1393)=0),"",E1393*IF(F1393="",IFERROR(N(INDEX(Produtos!$K$5:$K$54,MATCH(D1393,Produtos!$B$5:$B$54,0))),0),F1393))</f>
        <v/>
      </c>
      <c r="H1393" s="24" t="str">
        <f aca="false">IF(G1393="","",E1393*IFERROR(N(INDEX(Produtos!$F$5:$F$54,MATCH(D1393,Produtos!$B$5:$B$54,0))),0))</f>
        <v/>
      </c>
      <c r="I1393" s="24" t="str">
        <f aca="false">IF(G1393="","",G1393-H1393)</f>
        <v/>
      </c>
      <c r="J1393" s="37"/>
    </row>
    <row r="1394" customFormat="false" ht="21" hidden="false" customHeight="true" outlineLevel="0" collapsed="false">
      <c r="B1394" s="36"/>
      <c r="C1394" s="7"/>
      <c r="D1394" s="7"/>
      <c r="E1394" s="37"/>
      <c r="F1394" s="38"/>
      <c r="G1394" s="24" t="str">
        <f aca="false">IF(OR(C1394="",D1394="",N(E1394)=0),"",E1394*IF(F1394="",IFERROR(N(INDEX(Produtos!$K$5:$K$54,MATCH(D1394,Produtos!$B$5:$B$54,0))),0),F1394))</f>
        <v/>
      </c>
      <c r="H1394" s="24" t="str">
        <f aca="false">IF(G1394="","",E1394*IFERROR(N(INDEX(Produtos!$F$5:$F$54,MATCH(D1394,Produtos!$B$5:$B$54,0))),0))</f>
        <v/>
      </c>
      <c r="I1394" s="24" t="str">
        <f aca="false">IF(G1394="","",G1394-H1394)</f>
        <v/>
      </c>
      <c r="J1394" s="37"/>
    </row>
    <row r="1395" customFormat="false" ht="21" hidden="false" customHeight="true" outlineLevel="0" collapsed="false">
      <c r="B1395" s="36"/>
      <c r="C1395" s="7"/>
      <c r="D1395" s="7"/>
      <c r="E1395" s="37"/>
      <c r="F1395" s="38"/>
      <c r="G1395" s="24" t="str">
        <f aca="false">IF(OR(C1395="",D1395="",N(E1395)=0),"",E1395*IF(F1395="",IFERROR(N(INDEX(Produtos!$K$5:$K$54,MATCH(D1395,Produtos!$B$5:$B$54,0))),0),F1395))</f>
        <v/>
      </c>
      <c r="H1395" s="24" t="str">
        <f aca="false">IF(G1395="","",E1395*IFERROR(N(INDEX(Produtos!$F$5:$F$54,MATCH(D1395,Produtos!$B$5:$B$54,0))),0))</f>
        <v/>
      </c>
      <c r="I1395" s="24" t="str">
        <f aca="false">IF(G1395="","",G1395-H1395)</f>
        <v/>
      </c>
      <c r="J1395" s="37"/>
    </row>
    <row r="1396" customFormat="false" ht="21" hidden="false" customHeight="true" outlineLevel="0" collapsed="false">
      <c r="B1396" s="36"/>
      <c r="C1396" s="7"/>
      <c r="D1396" s="7"/>
      <c r="E1396" s="37"/>
      <c r="F1396" s="38"/>
      <c r="G1396" s="24" t="str">
        <f aca="false">IF(OR(C1396="",D1396="",N(E1396)=0),"",E1396*IF(F1396="",IFERROR(N(INDEX(Produtos!$K$5:$K$54,MATCH(D1396,Produtos!$B$5:$B$54,0))),0),F1396))</f>
        <v/>
      </c>
      <c r="H1396" s="24" t="str">
        <f aca="false">IF(G1396="","",E1396*IFERROR(N(INDEX(Produtos!$F$5:$F$54,MATCH(D1396,Produtos!$B$5:$B$54,0))),0))</f>
        <v/>
      </c>
      <c r="I1396" s="24" t="str">
        <f aca="false">IF(G1396="","",G1396-H1396)</f>
        <v/>
      </c>
      <c r="J1396" s="37"/>
    </row>
    <row r="1397" customFormat="false" ht="21" hidden="false" customHeight="true" outlineLevel="0" collapsed="false">
      <c r="B1397" s="36"/>
      <c r="C1397" s="7"/>
      <c r="D1397" s="7"/>
      <c r="E1397" s="37"/>
      <c r="F1397" s="38"/>
      <c r="G1397" s="24" t="str">
        <f aca="false">IF(OR(C1397="",D1397="",N(E1397)=0),"",E1397*IF(F1397="",IFERROR(N(INDEX(Produtos!$K$5:$K$54,MATCH(D1397,Produtos!$B$5:$B$54,0))),0),F1397))</f>
        <v/>
      </c>
      <c r="H1397" s="24" t="str">
        <f aca="false">IF(G1397="","",E1397*IFERROR(N(INDEX(Produtos!$F$5:$F$54,MATCH(D1397,Produtos!$B$5:$B$54,0))),0))</f>
        <v/>
      </c>
      <c r="I1397" s="24" t="str">
        <f aca="false">IF(G1397="","",G1397-H1397)</f>
        <v/>
      </c>
      <c r="J1397" s="37"/>
    </row>
    <row r="1398" customFormat="false" ht="21" hidden="false" customHeight="true" outlineLevel="0" collapsed="false">
      <c r="B1398" s="36"/>
      <c r="C1398" s="7"/>
      <c r="D1398" s="7"/>
      <c r="E1398" s="37"/>
      <c r="F1398" s="38"/>
      <c r="G1398" s="24" t="str">
        <f aca="false">IF(OR(C1398="",D1398="",N(E1398)=0),"",E1398*IF(F1398="",IFERROR(N(INDEX(Produtos!$K$5:$K$54,MATCH(D1398,Produtos!$B$5:$B$54,0))),0),F1398))</f>
        <v/>
      </c>
      <c r="H1398" s="24" t="str">
        <f aca="false">IF(G1398="","",E1398*IFERROR(N(INDEX(Produtos!$F$5:$F$54,MATCH(D1398,Produtos!$B$5:$B$54,0))),0))</f>
        <v/>
      </c>
      <c r="I1398" s="24" t="str">
        <f aca="false">IF(G1398="","",G1398-H1398)</f>
        <v/>
      </c>
      <c r="J1398" s="37"/>
    </row>
    <row r="1399" customFormat="false" ht="21" hidden="false" customHeight="true" outlineLevel="0" collapsed="false">
      <c r="B1399" s="36"/>
      <c r="C1399" s="7"/>
      <c r="D1399" s="7"/>
      <c r="E1399" s="37"/>
      <c r="F1399" s="38"/>
      <c r="G1399" s="24" t="str">
        <f aca="false">IF(OR(C1399="",D1399="",N(E1399)=0),"",E1399*IF(F1399="",IFERROR(N(INDEX(Produtos!$K$5:$K$54,MATCH(D1399,Produtos!$B$5:$B$54,0))),0),F1399))</f>
        <v/>
      </c>
      <c r="H1399" s="24" t="str">
        <f aca="false">IF(G1399="","",E1399*IFERROR(N(INDEX(Produtos!$F$5:$F$54,MATCH(D1399,Produtos!$B$5:$B$54,0))),0))</f>
        <v/>
      </c>
      <c r="I1399" s="24" t="str">
        <f aca="false">IF(G1399="","",G1399-H1399)</f>
        <v/>
      </c>
      <c r="J1399" s="37"/>
    </row>
    <row r="1400" customFormat="false" ht="21" hidden="false" customHeight="true" outlineLevel="0" collapsed="false">
      <c r="B1400" s="36"/>
      <c r="C1400" s="7"/>
      <c r="D1400" s="7"/>
      <c r="E1400" s="37"/>
      <c r="F1400" s="38"/>
      <c r="G1400" s="24" t="str">
        <f aca="false">IF(OR(C1400="",D1400="",N(E1400)=0),"",E1400*IF(F1400="",IFERROR(N(INDEX(Produtos!$K$5:$K$54,MATCH(D1400,Produtos!$B$5:$B$54,0))),0),F1400))</f>
        <v/>
      </c>
      <c r="H1400" s="24" t="str">
        <f aca="false">IF(G1400="","",E1400*IFERROR(N(INDEX(Produtos!$F$5:$F$54,MATCH(D1400,Produtos!$B$5:$B$54,0))),0))</f>
        <v/>
      </c>
      <c r="I1400" s="24" t="str">
        <f aca="false">IF(G1400="","",G1400-H1400)</f>
        <v/>
      </c>
      <c r="J1400" s="37"/>
    </row>
    <row r="1401" customFormat="false" ht="21" hidden="false" customHeight="true" outlineLevel="0" collapsed="false">
      <c r="B1401" s="36"/>
      <c r="C1401" s="7"/>
      <c r="D1401" s="7"/>
      <c r="E1401" s="37"/>
      <c r="F1401" s="38"/>
      <c r="G1401" s="24" t="str">
        <f aca="false">IF(OR(C1401="",D1401="",N(E1401)=0),"",E1401*IF(F1401="",IFERROR(N(INDEX(Produtos!$K$5:$K$54,MATCH(D1401,Produtos!$B$5:$B$54,0))),0),F1401))</f>
        <v/>
      </c>
      <c r="H1401" s="24" t="str">
        <f aca="false">IF(G1401="","",E1401*IFERROR(N(INDEX(Produtos!$F$5:$F$54,MATCH(D1401,Produtos!$B$5:$B$54,0))),0))</f>
        <v/>
      </c>
      <c r="I1401" s="24" t="str">
        <f aca="false">IF(G1401="","",G1401-H1401)</f>
        <v/>
      </c>
      <c r="J1401" s="37"/>
    </row>
    <row r="1402" customFormat="false" ht="21" hidden="false" customHeight="true" outlineLevel="0" collapsed="false">
      <c r="B1402" s="36"/>
      <c r="C1402" s="7"/>
      <c r="D1402" s="7"/>
      <c r="E1402" s="37"/>
      <c r="F1402" s="38"/>
      <c r="G1402" s="24" t="str">
        <f aca="false">IF(OR(C1402="",D1402="",N(E1402)=0),"",E1402*IF(F1402="",IFERROR(N(INDEX(Produtos!$K$5:$K$54,MATCH(D1402,Produtos!$B$5:$B$54,0))),0),F1402))</f>
        <v/>
      </c>
      <c r="H1402" s="24" t="str">
        <f aca="false">IF(G1402="","",E1402*IFERROR(N(INDEX(Produtos!$F$5:$F$54,MATCH(D1402,Produtos!$B$5:$B$54,0))),0))</f>
        <v/>
      </c>
      <c r="I1402" s="24" t="str">
        <f aca="false">IF(G1402="","",G1402-H1402)</f>
        <v/>
      </c>
      <c r="J1402" s="37"/>
    </row>
    <row r="1403" customFormat="false" ht="21" hidden="false" customHeight="true" outlineLevel="0" collapsed="false">
      <c r="B1403" s="36"/>
      <c r="C1403" s="7"/>
      <c r="D1403" s="7"/>
      <c r="E1403" s="37"/>
      <c r="F1403" s="38"/>
      <c r="G1403" s="24" t="str">
        <f aca="false">IF(OR(C1403="",D1403="",N(E1403)=0),"",E1403*IF(F1403="",IFERROR(N(INDEX(Produtos!$K$5:$K$54,MATCH(D1403,Produtos!$B$5:$B$54,0))),0),F1403))</f>
        <v/>
      </c>
      <c r="H1403" s="24" t="str">
        <f aca="false">IF(G1403="","",E1403*IFERROR(N(INDEX(Produtos!$F$5:$F$54,MATCH(D1403,Produtos!$B$5:$B$54,0))),0))</f>
        <v/>
      </c>
      <c r="I1403" s="24" t="str">
        <f aca="false">IF(G1403="","",G1403-H1403)</f>
        <v/>
      </c>
      <c r="J1403" s="37"/>
    </row>
    <row r="1404" customFormat="false" ht="21" hidden="false" customHeight="true" outlineLevel="0" collapsed="false">
      <c r="B1404" s="36"/>
      <c r="C1404" s="7"/>
      <c r="D1404" s="7"/>
      <c r="E1404" s="37"/>
      <c r="F1404" s="38"/>
      <c r="G1404" s="24" t="str">
        <f aca="false">IF(OR(C1404="",D1404="",N(E1404)=0),"",E1404*IF(F1404="",IFERROR(N(INDEX(Produtos!$K$5:$K$54,MATCH(D1404,Produtos!$B$5:$B$54,0))),0),F1404))</f>
        <v/>
      </c>
      <c r="H1404" s="24" t="str">
        <f aca="false">IF(G1404="","",E1404*IFERROR(N(INDEX(Produtos!$F$5:$F$54,MATCH(D1404,Produtos!$B$5:$B$54,0))),0))</f>
        <v/>
      </c>
      <c r="I1404" s="24" t="str">
        <f aca="false">IF(G1404="","",G1404-H1404)</f>
        <v/>
      </c>
      <c r="J1404" s="37"/>
    </row>
    <row r="1405" customFormat="false" ht="21" hidden="false" customHeight="true" outlineLevel="0" collapsed="false">
      <c r="B1405" s="36"/>
      <c r="C1405" s="7"/>
      <c r="D1405" s="7"/>
      <c r="E1405" s="37"/>
      <c r="F1405" s="38"/>
      <c r="G1405" s="24" t="str">
        <f aca="false">IF(OR(C1405="",D1405="",N(E1405)=0),"",E1405*IF(F1405="",IFERROR(N(INDEX(Produtos!$K$5:$K$54,MATCH(D1405,Produtos!$B$5:$B$54,0))),0),F1405))</f>
        <v/>
      </c>
      <c r="H1405" s="24" t="str">
        <f aca="false">IF(G1405="","",E1405*IFERROR(N(INDEX(Produtos!$F$5:$F$54,MATCH(D1405,Produtos!$B$5:$B$54,0))),0))</f>
        <v/>
      </c>
      <c r="I1405" s="24" t="str">
        <f aca="false">IF(G1405="","",G1405-H1405)</f>
        <v/>
      </c>
      <c r="J1405" s="37"/>
    </row>
    <row r="1406" customFormat="false" ht="21" hidden="false" customHeight="true" outlineLevel="0" collapsed="false">
      <c r="B1406" s="36"/>
      <c r="C1406" s="7"/>
      <c r="D1406" s="7"/>
      <c r="E1406" s="37"/>
      <c r="F1406" s="38"/>
      <c r="G1406" s="24" t="str">
        <f aca="false">IF(OR(C1406="",D1406="",N(E1406)=0),"",E1406*IF(F1406="",IFERROR(N(INDEX(Produtos!$K$5:$K$54,MATCH(D1406,Produtos!$B$5:$B$54,0))),0),F1406))</f>
        <v/>
      </c>
      <c r="H1406" s="24" t="str">
        <f aca="false">IF(G1406="","",E1406*IFERROR(N(INDEX(Produtos!$F$5:$F$54,MATCH(D1406,Produtos!$B$5:$B$54,0))),0))</f>
        <v/>
      </c>
      <c r="I1406" s="24" t="str">
        <f aca="false">IF(G1406="","",G1406-H1406)</f>
        <v/>
      </c>
      <c r="J1406" s="37"/>
    </row>
    <row r="1407" customFormat="false" ht="21" hidden="false" customHeight="true" outlineLevel="0" collapsed="false">
      <c r="B1407" s="36"/>
      <c r="C1407" s="7"/>
      <c r="D1407" s="7"/>
      <c r="E1407" s="37"/>
      <c r="F1407" s="38"/>
      <c r="G1407" s="24" t="str">
        <f aca="false">IF(OR(C1407="",D1407="",N(E1407)=0),"",E1407*IF(F1407="",IFERROR(N(INDEX(Produtos!$K$5:$K$54,MATCH(D1407,Produtos!$B$5:$B$54,0))),0),F1407))</f>
        <v/>
      </c>
      <c r="H1407" s="24" t="str">
        <f aca="false">IF(G1407="","",E1407*IFERROR(N(INDEX(Produtos!$F$5:$F$54,MATCH(D1407,Produtos!$B$5:$B$54,0))),0))</f>
        <v/>
      </c>
      <c r="I1407" s="24" t="str">
        <f aca="false">IF(G1407="","",G1407-H1407)</f>
        <v/>
      </c>
      <c r="J1407" s="37"/>
    </row>
    <row r="1408" customFormat="false" ht="21" hidden="false" customHeight="true" outlineLevel="0" collapsed="false">
      <c r="B1408" s="36"/>
      <c r="C1408" s="7"/>
      <c r="D1408" s="7"/>
      <c r="E1408" s="37"/>
      <c r="F1408" s="38"/>
      <c r="G1408" s="24" t="str">
        <f aca="false">IF(OR(C1408="",D1408="",N(E1408)=0),"",E1408*IF(F1408="",IFERROR(N(INDEX(Produtos!$K$5:$K$54,MATCH(D1408,Produtos!$B$5:$B$54,0))),0),F1408))</f>
        <v/>
      </c>
      <c r="H1408" s="24" t="str">
        <f aca="false">IF(G1408="","",E1408*IFERROR(N(INDEX(Produtos!$F$5:$F$54,MATCH(D1408,Produtos!$B$5:$B$54,0))),0))</f>
        <v/>
      </c>
      <c r="I1408" s="24" t="str">
        <f aca="false">IF(G1408="","",G1408-H1408)</f>
        <v/>
      </c>
      <c r="J1408" s="37"/>
    </row>
    <row r="1409" customFormat="false" ht="21" hidden="false" customHeight="true" outlineLevel="0" collapsed="false">
      <c r="B1409" s="36"/>
      <c r="C1409" s="7"/>
      <c r="D1409" s="7"/>
      <c r="E1409" s="37"/>
      <c r="F1409" s="38"/>
      <c r="G1409" s="24" t="str">
        <f aca="false">IF(OR(C1409="",D1409="",N(E1409)=0),"",E1409*IF(F1409="",IFERROR(N(INDEX(Produtos!$K$5:$K$54,MATCH(D1409,Produtos!$B$5:$B$54,0))),0),F1409))</f>
        <v/>
      </c>
      <c r="H1409" s="24" t="str">
        <f aca="false">IF(G1409="","",E1409*IFERROR(N(INDEX(Produtos!$F$5:$F$54,MATCH(D1409,Produtos!$B$5:$B$54,0))),0))</f>
        <v/>
      </c>
      <c r="I1409" s="24" t="str">
        <f aca="false">IF(G1409="","",G1409-H1409)</f>
        <v/>
      </c>
      <c r="J1409" s="37"/>
    </row>
    <row r="1410" customFormat="false" ht="21" hidden="false" customHeight="true" outlineLevel="0" collapsed="false">
      <c r="B1410" s="36"/>
      <c r="C1410" s="7"/>
      <c r="D1410" s="7"/>
      <c r="E1410" s="37"/>
      <c r="F1410" s="38"/>
      <c r="G1410" s="24" t="str">
        <f aca="false">IF(OR(C1410="",D1410="",N(E1410)=0),"",E1410*IF(F1410="",IFERROR(N(INDEX(Produtos!$K$5:$K$54,MATCH(D1410,Produtos!$B$5:$B$54,0))),0),F1410))</f>
        <v/>
      </c>
      <c r="H1410" s="24" t="str">
        <f aca="false">IF(G1410="","",E1410*IFERROR(N(INDEX(Produtos!$F$5:$F$54,MATCH(D1410,Produtos!$B$5:$B$54,0))),0))</f>
        <v/>
      </c>
      <c r="I1410" s="24" t="str">
        <f aca="false">IF(G1410="","",G1410-H1410)</f>
        <v/>
      </c>
      <c r="J1410" s="37"/>
    </row>
    <row r="1411" customFormat="false" ht="21" hidden="false" customHeight="true" outlineLevel="0" collapsed="false">
      <c r="B1411" s="36"/>
      <c r="C1411" s="7"/>
      <c r="D1411" s="7"/>
      <c r="E1411" s="37"/>
      <c r="F1411" s="38"/>
      <c r="G1411" s="24" t="str">
        <f aca="false">IF(OR(C1411="",D1411="",N(E1411)=0),"",E1411*IF(F1411="",IFERROR(N(INDEX(Produtos!$K$5:$K$54,MATCH(D1411,Produtos!$B$5:$B$54,0))),0),F1411))</f>
        <v/>
      </c>
      <c r="H1411" s="24" t="str">
        <f aca="false">IF(G1411="","",E1411*IFERROR(N(INDEX(Produtos!$F$5:$F$54,MATCH(D1411,Produtos!$B$5:$B$54,0))),0))</f>
        <v/>
      </c>
      <c r="I1411" s="24" t="str">
        <f aca="false">IF(G1411="","",G1411-H1411)</f>
        <v/>
      </c>
      <c r="J1411" s="37"/>
    </row>
    <row r="1412" customFormat="false" ht="21" hidden="false" customHeight="true" outlineLevel="0" collapsed="false">
      <c r="B1412" s="36"/>
      <c r="C1412" s="7"/>
      <c r="D1412" s="7"/>
      <c r="E1412" s="37"/>
      <c r="F1412" s="38"/>
      <c r="G1412" s="24" t="str">
        <f aca="false">IF(OR(C1412="",D1412="",N(E1412)=0),"",E1412*IF(F1412="",IFERROR(N(INDEX(Produtos!$K$5:$K$54,MATCH(D1412,Produtos!$B$5:$B$54,0))),0),F1412))</f>
        <v/>
      </c>
      <c r="H1412" s="24" t="str">
        <f aca="false">IF(G1412="","",E1412*IFERROR(N(INDEX(Produtos!$F$5:$F$54,MATCH(D1412,Produtos!$B$5:$B$54,0))),0))</f>
        <v/>
      </c>
      <c r="I1412" s="24" t="str">
        <f aca="false">IF(G1412="","",G1412-H1412)</f>
        <v/>
      </c>
      <c r="J1412" s="37"/>
    </row>
    <row r="1413" customFormat="false" ht="21" hidden="false" customHeight="true" outlineLevel="0" collapsed="false">
      <c r="B1413" s="36"/>
      <c r="C1413" s="7"/>
      <c r="D1413" s="7"/>
      <c r="E1413" s="37"/>
      <c r="F1413" s="38"/>
      <c r="G1413" s="24" t="str">
        <f aca="false">IF(OR(C1413="",D1413="",N(E1413)=0),"",E1413*IF(F1413="",IFERROR(N(INDEX(Produtos!$K$5:$K$54,MATCH(D1413,Produtos!$B$5:$B$54,0))),0),F1413))</f>
        <v/>
      </c>
      <c r="H1413" s="24" t="str">
        <f aca="false">IF(G1413="","",E1413*IFERROR(N(INDEX(Produtos!$F$5:$F$54,MATCH(D1413,Produtos!$B$5:$B$54,0))),0))</f>
        <v/>
      </c>
      <c r="I1413" s="24" t="str">
        <f aca="false">IF(G1413="","",G1413-H1413)</f>
        <v/>
      </c>
      <c r="J1413" s="37"/>
    </row>
    <row r="1414" customFormat="false" ht="21" hidden="false" customHeight="true" outlineLevel="0" collapsed="false">
      <c r="B1414" s="36"/>
      <c r="C1414" s="7"/>
      <c r="D1414" s="7"/>
      <c r="E1414" s="37"/>
      <c r="F1414" s="38"/>
      <c r="G1414" s="24" t="str">
        <f aca="false">IF(OR(C1414="",D1414="",N(E1414)=0),"",E1414*IF(F1414="",IFERROR(N(INDEX(Produtos!$K$5:$K$54,MATCH(D1414,Produtos!$B$5:$B$54,0))),0),F1414))</f>
        <v/>
      </c>
      <c r="H1414" s="24" t="str">
        <f aca="false">IF(G1414="","",E1414*IFERROR(N(INDEX(Produtos!$F$5:$F$54,MATCH(D1414,Produtos!$B$5:$B$54,0))),0))</f>
        <v/>
      </c>
      <c r="I1414" s="24" t="str">
        <f aca="false">IF(G1414="","",G1414-H1414)</f>
        <v/>
      </c>
      <c r="J1414" s="37"/>
    </row>
    <row r="1415" customFormat="false" ht="21" hidden="false" customHeight="true" outlineLevel="0" collapsed="false">
      <c r="B1415" s="36"/>
      <c r="C1415" s="7"/>
      <c r="D1415" s="7"/>
      <c r="E1415" s="37"/>
      <c r="F1415" s="38"/>
      <c r="G1415" s="24" t="str">
        <f aca="false">IF(OR(C1415="",D1415="",N(E1415)=0),"",E1415*IF(F1415="",IFERROR(N(INDEX(Produtos!$K$5:$K$54,MATCH(D1415,Produtos!$B$5:$B$54,0))),0),F1415))</f>
        <v/>
      </c>
      <c r="H1415" s="24" t="str">
        <f aca="false">IF(G1415="","",E1415*IFERROR(N(INDEX(Produtos!$F$5:$F$54,MATCH(D1415,Produtos!$B$5:$B$54,0))),0))</f>
        <v/>
      </c>
      <c r="I1415" s="24" t="str">
        <f aca="false">IF(G1415="","",G1415-H1415)</f>
        <v/>
      </c>
      <c r="J1415" s="37"/>
    </row>
    <row r="1416" customFormat="false" ht="21" hidden="false" customHeight="true" outlineLevel="0" collapsed="false">
      <c r="B1416" s="36"/>
      <c r="C1416" s="7"/>
      <c r="D1416" s="7"/>
      <c r="E1416" s="37"/>
      <c r="F1416" s="38"/>
      <c r="G1416" s="24" t="str">
        <f aca="false">IF(OR(C1416="",D1416="",N(E1416)=0),"",E1416*IF(F1416="",IFERROR(N(INDEX(Produtos!$K$5:$K$54,MATCH(D1416,Produtos!$B$5:$B$54,0))),0),F1416))</f>
        <v/>
      </c>
      <c r="H1416" s="24" t="str">
        <f aca="false">IF(G1416="","",E1416*IFERROR(N(INDEX(Produtos!$F$5:$F$54,MATCH(D1416,Produtos!$B$5:$B$54,0))),0))</f>
        <v/>
      </c>
      <c r="I1416" s="24" t="str">
        <f aca="false">IF(G1416="","",G1416-H1416)</f>
        <v/>
      </c>
      <c r="J1416" s="37"/>
    </row>
    <row r="1417" customFormat="false" ht="21" hidden="false" customHeight="true" outlineLevel="0" collapsed="false">
      <c r="B1417" s="36"/>
      <c r="C1417" s="7"/>
      <c r="D1417" s="7"/>
      <c r="E1417" s="37"/>
      <c r="F1417" s="38"/>
      <c r="G1417" s="24" t="str">
        <f aca="false">IF(OR(C1417="",D1417="",N(E1417)=0),"",E1417*IF(F1417="",IFERROR(N(INDEX(Produtos!$K$5:$K$54,MATCH(D1417,Produtos!$B$5:$B$54,0))),0),F1417))</f>
        <v/>
      </c>
      <c r="H1417" s="24" t="str">
        <f aca="false">IF(G1417="","",E1417*IFERROR(N(INDEX(Produtos!$F$5:$F$54,MATCH(D1417,Produtos!$B$5:$B$54,0))),0))</f>
        <v/>
      </c>
      <c r="I1417" s="24" t="str">
        <f aca="false">IF(G1417="","",G1417-H1417)</f>
        <v/>
      </c>
      <c r="J1417" s="37"/>
    </row>
    <row r="1418" customFormat="false" ht="21" hidden="false" customHeight="true" outlineLevel="0" collapsed="false">
      <c r="B1418" s="36"/>
      <c r="C1418" s="7"/>
      <c r="D1418" s="7"/>
      <c r="E1418" s="37"/>
      <c r="F1418" s="38"/>
      <c r="G1418" s="24" t="str">
        <f aca="false">IF(OR(C1418="",D1418="",N(E1418)=0),"",E1418*IF(F1418="",IFERROR(N(INDEX(Produtos!$K$5:$K$54,MATCH(D1418,Produtos!$B$5:$B$54,0))),0),F1418))</f>
        <v/>
      </c>
      <c r="H1418" s="24" t="str">
        <f aca="false">IF(G1418="","",E1418*IFERROR(N(INDEX(Produtos!$F$5:$F$54,MATCH(D1418,Produtos!$B$5:$B$54,0))),0))</f>
        <v/>
      </c>
      <c r="I1418" s="24" t="str">
        <f aca="false">IF(G1418="","",G1418-H1418)</f>
        <v/>
      </c>
      <c r="J1418" s="37"/>
    </row>
    <row r="1419" customFormat="false" ht="21" hidden="false" customHeight="true" outlineLevel="0" collapsed="false">
      <c r="B1419" s="36"/>
      <c r="C1419" s="7"/>
      <c r="D1419" s="7"/>
      <c r="E1419" s="37"/>
      <c r="F1419" s="38"/>
      <c r="G1419" s="24" t="str">
        <f aca="false">IF(OR(C1419="",D1419="",N(E1419)=0),"",E1419*IF(F1419="",IFERROR(N(INDEX(Produtos!$K$5:$K$54,MATCH(D1419,Produtos!$B$5:$B$54,0))),0),F1419))</f>
        <v/>
      </c>
      <c r="H1419" s="24" t="str">
        <f aca="false">IF(G1419="","",E1419*IFERROR(N(INDEX(Produtos!$F$5:$F$54,MATCH(D1419,Produtos!$B$5:$B$54,0))),0))</f>
        <v/>
      </c>
      <c r="I1419" s="24" t="str">
        <f aca="false">IF(G1419="","",G1419-H1419)</f>
        <v/>
      </c>
      <c r="J1419" s="37"/>
    </row>
    <row r="1420" customFormat="false" ht="21" hidden="false" customHeight="true" outlineLevel="0" collapsed="false">
      <c r="B1420" s="36"/>
      <c r="C1420" s="7"/>
      <c r="D1420" s="7"/>
      <c r="E1420" s="37"/>
      <c r="F1420" s="38"/>
      <c r="G1420" s="24" t="str">
        <f aca="false">IF(OR(C1420="",D1420="",N(E1420)=0),"",E1420*IF(F1420="",IFERROR(N(INDEX(Produtos!$K$5:$K$54,MATCH(D1420,Produtos!$B$5:$B$54,0))),0),F1420))</f>
        <v/>
      </c>
      <c r="H1420" s="24" t="str">
        <f aca="false">IF(G1420="","",E1420*IFERROR(N(INDEX(Produtos!$F$5:$F$54,MATCH(D1420,Produtos!$B$5:$B$54,0))),0))</f>
        <v/>
      </c>
      <c r="I1420" s="24" t="str">
        <f aca="false">IF(G1420="","",G1420-H1420)</f>
        <v/>
      </c>
      <c r="J1420" s="37"/>
    </row>
    <row r="1421" customFormat="false" ht="21" hidden="false" customHeight="true" outlineLevel="0" collapsed="false">
      <c r="B1421" s="36"/>
      <c r="C1421" s="7"/>
      <c r="D1421" s="7"/>
      <c r="E1421" s="37"/>
      <c r="F1421" s="38"/>
      <c r="G1421" s="24" t="str">
        <f aca="false">IF(OR(C1421="",D1421="",N(E1421)=0),"",E1421*IF(F1421="",IFERROR(N(INDEX(Produtos!$K$5:$K$54,MATCH(D1421,Produtos!$B$5:$B$54,0))),0),F1421))</f>
        <v/>
      </c>
      <c r="H1421" s="24" t="str">
        <f aca="false">IF(G1421="","",E1421*IFERROR(N(INDEX(Produtos!$F$5:$F$54,MATCH(D1421,Produtos!$B$5:$B$54,0))),0))</f>
        <v/>
      </c>
      <c r="I1421" s="24" t="str">
        <f aca="false">IF(G1421="","",G1421-H1421)</f>
        <v/>
      </c>
      <c r="J1421" s="37"/>
    </row>
    <row r="1422" customFormat="false" ht="21" hidden="false" customHeight="true" outlineLevel="0" collapsed="false">
      <c r="B1422" s="36"/>
      <c r="C1422" s="7"/>
      <c r="D1422" s="7"/>
      <c r="E1422" s="37"/>
      <c r="F1422" s="38"/>
      <c r="G1422" s="24" t="str">
        <f aca="false">IF(OR(C1422="",D1422="",N(E1422)=0),"",E1422*IF(F1422="",IFERROR(N(INDEX(Produtos!$K$5:$K$54,MATCH(D1422,Produtos!$B$5:$B$54,0))),0),F1422))</f>
        <v/>
      </c>
      <c r="H1422" s="24" t="str">
        <f aca="false">IF(G1422="","",E1422*IFERROR(N(INDEX(Produtos!$F$5:$F$54,MATCH(D1422,Produtos!$B$5:$B$54,0))),0))</f>
        <v/>
      </c>
      <c r="I1422" s="24" t="str">
        <f aca="false">IF(G1422="","",G1422-H1422)</f>
        <v/>
      </c>
      <c r="J1422" s="37"/>
    </row>
    <row r="1423" customFormat="false" ht="21" hidden="false" customHeight="true" outlineLevel="0" collapsed="false">
      <c r="B1423" s="36"/>
      <c r="C1423" s="7"/>
      <c r="D1423" s="7"/>
      <c r="E1423" s="37"/>
      <c r="F1423" s="38"/>
      <c r="G1423" s="24" t="str">
        <f aca="false">IF(OR(C1423="",D1423="",N(E1423)=0),"",E1423*IF(F1423="",IFERROR(N(INDEX(Produtos!$K$5:$K$54,MATCH(D1423,Produtos!$B$5:$B$54,0))),0),F1423))</f>
        <v/>
      </c>
      <c r="H1423" s="24" t="str">
        <f aca="false">IF(G1423="","",E1423*IFERROR(N(INDEX(Produtos!$F$5:$F$54,MATCH(D1423,Produtos!$B$5:$B$54,0))),0))</f>
        <v/>
      </c>
      <c r="I1423" s="24" t="str">
        <f aca="false">IF(G1423="","",G1423-H1423)</f>
        <v/>
      </c>
      <c r="J1423" s="37"/>
    </row>
    <row r="1424" customFormat="false" ht="21" hidden="false" customHeight="true" outlineLevel="0" collapsed="false">
      <c r="B1424" s="36"/>
      <c r="C1424" s="7"/>
      <c r="D1424" s="7"/>
      <c r="E1424" s="37"/>
      <c r="F1424" s="38"/>
      <c r="G1424" s="24" t="str">
        <f aca="false">IF(OR(C1424="",D1424="",N(E1424)=0),"",E1424*IF(F1424="",IFERROR(N(INDEX(Produtos!$K$5:$K$54,MATCH(D1424,Produtos!$B$5:$B$54,0))),0),F1424))</f>
        <v/>
      </c>
      <c r="H1424" s="24" t="str">
        <f aca="false">IF(G1424="","",E1424*IFERROR(N(INDEX(Produtos!$F$5:$F$54,MATCH(D1424,Produtos!$B$5:$B$54,0))),0))</f>
        <v/>
      </c>
      <c r="I1424" s="24" t="str">
        <f aca="false">IF(G1424="","",G1424-H1424)</f>
        <v/>
      </c>
      <c r="J1424" s="37"/>
    </row>
    <row r="1425" customFormat="false" ht="21" hidden="false" customHeight="true" outlineLevel="0" collapsed="false">
      <c r="B1425" s="36"/>
      <c r="C1425" s="7"/>
      <c r="D1425" s="7"/>
      <c r="E1425" s="37"/>
      <c r="F1425" s="38"/>
      <c r="G1425" s="24" t="str">
        <f aca="false">IF(OR(C1425="",D1425="",N(E1425)=0),"",E1425*IF(F1425="",IFERROR(N(INDEX(Produtos!$K$5:$K$54,MATCH(D1425,Produtos!$B$5:$B$54,0))),0),F1425))</f>
        <v/>
      </c>
      <c r="H1425" s="24" t="str">
        <f aca="false">IF(G1425="","",E1425*IFERROR(N(INDEX(Produtos!$F$5:$F$54,MATCH(D1425,Produtos!$B$5:$B$54,0))),0))</f>
        <v/>
      </c>
      <c r="I1425" s="24" t="str">
        <f aca="false">IF(G1425="","",G1425-H1425)</f>
        <v/>
      </c>
      <c r="J1425" s="37"/>
    </row>
    <row r="1426" customFormat="false" ht="21" hidden="false" customHeight="true" outlineLevel="0" collapsed="false">
      <c r="B1426" s="36"/>
      <c r="C1426" s="7"/>
      <c r="D1426" s="7"/>
      <c r="E1426" s="37"/>
      <c r="F1426" s="38"/>
      <c r="G1426" s="24" t="str">
        <f aca="false">IF(OR(C1426="",D1426="",N(E1426)=0),"",E1426*IF(F1426="",IFERROR(N(INDEX(Produtos!$K$5:$K$54,MATCH(D1426,Produtos!$B$5:$B$54,0))),0),F1426))</f>
        <v/>
      </c>
      <c r="H1426" s="24" t="str">
        <f aca="false">IF(G1426="","",E1426*IFERROR(N(INDEX(Produtos!$F$5:$F$54,MATCH(D1426,Produtos!$B$5:$B$54,0))),0))</f>
        <v/>
      </c>
      <c r="I1426" s="24" t="str">
        <f aca="false">IF(G1426="","",G1426-H1426)</f>
        <v/>
      </c>
      <c r="J1426" s="37"/>
    </row>
    <row r="1427" customFormat="false" ht="21" hidden="false" customHeight="true" outlineLevel="0" collapsed="false">
      <c r="B1427" s="36"/>
      <c r="C1427" s="7"/>
      <c r="D1427" s="7"/>
      <c r="E1427" s="37"/>
      <c r="F1427" s="38"/>
      <c r="G1427" s="24" t="str">
        <f aca="false">IF(OR(C1427="",D1427="",N(E1427)=0),"",E1427*IF(F1427="",IFERROR(N(INDEX(Produtos!$K$5:$K$54,MATCH(D1427,Produtos!$B$5:$B$54,0))),0),F1427))</f>
        <v/>
      </c>
      <c r="H1427" s="24" t="str">
        <f aca="false">IF(G1427="","",E1427*IFERROR(N(INDEX(Produtos!$F$5:$F$54,MATCH(D1427,Produtos!$B$5:$B$54,0))),0))</f>
        <v/>
      </c>
      <c r="I1427" s="24" t="str">
        <f aca="false">IF(G1427="","",G1427-H1427)</f>
        <v/>
      </c>
      <c r="J1427" s="37"/>
    </row>
    <row r="1428" customFormat="false" ht="21" hidden="false" customHeight="true" outlineLevel="0" collapsed="false">
      <c r="B1428" s="36"/>
      <c r="C1428" s="7"/>
      <c r="D1428" s="7"/>
      <c r="E1428" s="37"/>
      <c r="F1428" s="38"/>
      <c r="G1428" s="24" t="str">
        <f aca="false">IF(OR(C1428="",D1428="",N(E1428)=0),"",E1428*IF(F1428="",IFERROR(N(INDEX(Produtos!$K$5:$K$54,MATCH(D1428,Produtos!$B$5:$B$54,0))),0),F1428))</f>
        <v/>
      </c>
      <c r="H1428" s="24" t="str">
        <f aca="false">IF(G1428="","",E1428*IFERROR(N(INDEX(Produtos!$F$5:$F$54,MATCH(D1428,Produtos!$B$5:$B$54,0))),0))</f>
        <v/>
      </c>
      <c r="I1428" s="24" t="str">
        <f aca="false">IF(G1428="","",G1428-H1428)</f>
        <v/>
      </c>
      <c r="J1428" s="37"/>
    </row>
    <row r="1429" customFormat="false" ht="21" hidden="false" customHeight="true" outlineLevel="0" collapsed="false">
      <c r="B1429" s="36"/>
      <c r="C1429" s="7"/>
      <c r="D1429" s="7"/>
      <c r="E1429" s="37"/>
      <c r="F1429" s="38"/>
      <c r="G1429" s="24" t="str">
        <f aca="false">IF(OR(C1429="",D1429="",N(E1429)=0),"",E1429*IF(F1429="",IFERROR(N(INDEX(Produtos!$K$5:$K$54,MATCH(D1429,Produtos!$B$5:$B$54,0))),0),F1429))</f>
        <v/>
      </c>
      <c r="H1429" s="24" t="str">
        <f aca="false">IF(G1429="","",E1429*IFERROR(N(INDEX(Produtos!$F$5:$F$54,MATCH(D1429,Produtos!$B$5:$B$54,0))),0))</f>
        <v/>
      </c>
      <c r="I1429" s="24" t="str">
        <f aca="false">IF(G1429="","",G1429-H1429)</f>
        <v/>
      </c>
      <c r="J1429" s="37"/>
    </row>
    <row r="1430" customFormat="false" ht="21" hidden="false" customHeight="true" outlineLevel="0" collapsed="false">
      <c r="B1430" s="36"/>
      <c r="C1430" s="7"/>
      <c r="D1430" s="7"/>
      <c r="E1430" s="37"/>
      <c r="F1430" s="38"/>
      <c r="G1430" s="24" t="str">
        <f aca="false">IF(OR(C1430="",D1430="",N(E1430)=0),"",E1430*IF(F1430="",IFERROR(N(INDEX(Produtos!$K$5:$K$54,MATCH(D1430,Produtos!$B$5:$B$54,0))),0),F1430))</f>
        <v/>
      </c>
      <c r="H1430" s="24" t="str">
        <f aca="false">IF(G1430="","",E1430*IFERROR(N(INDEX(Produtos!$F$5:$F$54,MATCH(D1430,Produtos!$B$5:$B$54,0))),0))</f>
        <v/>
      </c>
      <c r="I1430" s="24" t="str">
        <f aca="false">IF(G1430="","",G1430-H1430)</f>
        <v/>
      </c>
      <c r="J1430" s="37"/>
    </row>
    <row r="1431" customFormat="false" ht="21" hidden="false" customHeight="true" outlineLevel="0" collapsed="false">
      <c r="B1431" s="36"/>
      <c r="C1431" s="7"/>
      <c r="D1431" s="7"/>
      <c r="E1431" s="37"/>
      <c r="F1431" s="38"/>
      <c r="G1431" s="24" t="str">
        <f aca="false">IF(OR(C1431="",D1431="",N(E1431)=0),"",E1431*IF(F1431="",IFERROR(N(INDEX(Produtos!$K$5:$K$54,MATCH(D1431,Produtos!$B$5:$B$54,0))),0),F1431))</f>
        <v/>
      </c>
      <c r="H1431" s="24" t="str">
        <f aca="false">IF(G1431="","",E1431*IFERROR(N(INDEX(Produtos!$F$5:$F$54,MATCH(D1431,Produtos!$B$5:$B$54,0))),0))</f>
        <v/>
      </c>
      <c r="I1431" s="24" t="str">
        <f aca="false">IF(G1431="","",G1431-H1431)</f>
        <v/>
      </c>
      <c r="J1431" s="37"/>
    </row>
    <row r="1432" customFormat="false" ht="21" hidden="false" customHeight="true" outlineLevel="0" collapsed="false">
      <c r="B1432" s="36"/>
      <c r="C1432" s="7"/>
      <c r="D1432" s="7"/>
      <c r="E1432" s="37"/>
      <c r="F1432" s="38"/>
      <c r="G1432" s="24" t="str">
        <f aca="false">IF(OR(C1432="",D1432="",N(E1432)=0),"",E1432*IF(F1432="",IFERROR(N(INDEX(Produtos!$K$5:$K$54,MATCH(D1432,Produtos!$B$5:$B$54,0))),0),F1432))</f>
        <v/>
      </c>
      <c r="H1432" s="24" t="str">
        <f aca="false">IF(G1432="","",E1432*IFERROR(N(INDEX(Produtos!$F$5:$F$54,MATCH(D1432,Produtos!$B$5:$B$54,0))),0))</f>
        <v/>
      </c>
      <c r="I1432" s="24" t="str">
        <f aca="false">IF(G1432="","",G1432-H1432)</f>
        <v/>
      </c>
      <c r="J1432" s="37"/>
    </row>
    <row r="1433" customFormat="false" ht="21" hidden="false" customHeight="true" outlineLevel="0" collapsed="false">
      <c r="B1433" s="36"/>
      <c r="C1433" s="7"/>
      <c r="D1433" s="7"/>
      <c r="E1433" s="37"/>
      <c r="F1433" s="38"/>
      <c r="G1433" s="24" t="str">
        <f aca="false">IF(OR(C1433="",D1433="",N(E1433)=0),"",E1433*IF(F1433="",IFERROR(N(INDEX(Produtos!$K$5:$K$54,MATCH(D1433,Produtos!$B$5:$B$54,0))),0),F1433))</f>
        <v/>
      </c>
      <c r="H1433" s="24" t="str">
        <f aca="false">IF(G1433="","",E1433*IFERROR(N(INDEX(Produtos!$F$5:$F$54,MATCH(D1433,Produtos!$B$5:$B$54,0))),0))</f>
        <v/>
      </c>
      <c r="I1433" s="24" t="str">
        <f aca="false">IF(G1433="","",G1433-H1433)</f>
        <v/>
      </c>
      <c r="J1433" s="37"/>
    </row>
    <row r="1434" customFormat="false" ht="21" hidden="false" customHeight="true" outlineLevel="0" collapsed="false">
      <c r="B1434" s="36"/>
      <c r="C1434" s="7"/>
      <c r="D1434" s="7"/>
      <c r="E1434" s="37"/>
      <c r="F1434" s="38"/>
      <c r="G1434" s="24" t="str">
        <f aca="false">IF(OR(C1434="",D1434="",N(E1434)=0),"",E1434*IF(F1434="",IFERROR(N(INDEX(Produtos!$K$5:$K$54,MATCH(D1434,Produtos!$B$5:$B$54,0))),0),F1434))</f>
        <v/>
      </c>
      <c r="H1434" s="24" t="str">
        <f aca="false">IF(G1434="","",E1434*IFERROR(N(INDEX(Produtos!$F$5:$F$54,MATCH(D1434,Produtos!$B$5:$B$54,0))),0))</f>
        <v/>
      </c>
      <c r="I1434" s="24" t="str">
        <f aca="false">IF(G1434="","",G1434-H1434)</f>
        <v/>
      </c>
      <c r="J1434" s="37"/>
    </row>
    <row r="1435" customFormat="false" ht="21" hidden="false" customHeight="true" outlineLevel="0" collapsed="false">
      <c r="B1435" s="36"/>
      <c r="C1435" s="7"/>
      <c r="D1435" s="7"/>
      <c r="E1435" s="37"/>
      <c r="F1435" s="38"/>
      <c r="G1435" s="24" t="str">
        <f aca="false">IF(OR(C1435="",D1435="",N(E1435)=0),"",E1435*IF(F1435="",IFERROR(N(INDEX(Produtos!$K$5:$K$54,MATCH(D1435,Produtos!$B$5:$B$54,0))),0),F1435))</f>
        <v/>
      </c>
      <c r="H1435" s="24" t="str">
        <f aca="false">IF(G1435="","",E1435*IFERROR(N(INDEX(Produtos!$F$5:$F$54,MATCH(D1435,Produtos!$B$5:$B$54,0))),0))</f>
        <v/>
      </c>
      <c r="I1435" s="24" t="str">
        <f aca="false">IF(G1435="","",G1435-H1435)</f>
        <v/>
      </c>
      <c r="J1435" s="37"/>
    </row>
    <row r="1436" customFormat="false" ht="21" hidden="false" customHeight="true" outlineLevel="0" collapsed="false">
      <c r="B1436" s="36"/>
      <c r="C1436" s="7"/>
      <c r="D1436" s="7"/>
      <c r="E1436" s="37"/>
      <c r="F1436" s="38"/>
      <c r="G1436" s="24" t="str">
        <f aca="false">IF(OR(C1436="",D1436="",N(E1436)=0),"",E1436*IF(F1436="",IFERROR(N(INDEX(Produtos!$K$5:$K$54,MATCH(D1436,Produtos!$B$5:$B$54,0))),0),F1436))</f>
        <v/>
      </c>
      <c r="H1436" s="24" t="str">
        <f aca="false">IF(G1436="","",E1436*IFERROR(N(INDEX(Produtos!$F$5:$F$54,MATCH(D1436,Produtos!$B$5:$B$54,0))),0))</f>
        <v/>
      </c>
      <c r="I1436" s="24" t="str">
        <f aca="false">IF(G1436="","",G1436-H1436)</f>
        <v/>
      </c>
      <c r="J1436" s="37"/>
    </row>
    <row r="1437" customFormat="false" ht="21" hidden="false" customHeight="true" outlineLevel="0" collapsed="false">
      <c r="B1437" s="36"/>
      <c r="C1437" s="7"/>
      <c r="D1437" s="7"/>
      <c r="E1437" s="37"/>
      <c r="F1437" s="38"/>
      <c r="G1437" s="24" t="str">
        <f aca="false">IF(OR(C1437="",D1437="",N(E1437)=0),"",E1437*IF(F1437="",IFERROR(N(INDEX(Produtos!$K$5:$K$54,MATCH(D1437,Produtos!$B$5:$B$54,0))),0),F1437))</f>
        <v/>
      </c>
      <c r="H1437" s="24" t="str">
        <f aca="false">IF(G1437="","",E1437*IFERROR(N(INDEX(Produtos!$F$5:$F$54,MATCH(D1437,Produtos!$B$5:$B$54,0))),0))</f>
        <v/>
      </c>
      <c r="I1437" s="24" t="str">
        <f aca="false">IF(G1437="","",G1437-H1437)</f>
        <v/>
      </c>
      <c r="J1437" s="37"/>
    </row>
    <row r="1438" customFormat="false" ht="21" hidden="false" customHeight="true" outlineLevel="0" collapsed="false">
      <c r="B1438" s="36"/>
      <c r="C1438" s="7"/>
      <c r="D1438" s="7"/>
      <c r="E1438" s="37"/>
      <c r="F1438" s="38"/>
      <c r="G1438" s="24" t="str">
        <f aca="false">IF(OR(C1438="",D1438="",N(E1438)=0),"",E1438*IF(F1438="",IFERROR(N(INDEX(Produtos!$K$5:$K$54,MATCH(D1438,Produtos!$B$5:$B$54,0))),0),F1438))</f>
        <v/>
      </c>
      <c r="H1438" s="24" t="str">
        <f aca="false">IF(G1438="","",E1438*IFERROR(N(INDEX(Produtos!$F$5:$F$54,MATCH(D1438,Produtos!$B$5:$B$54,0))),0))</f>
        <v/>
      </c>
      <c r="I1438" s="24" t="str">
        <f aca="false">IF(G1438="","",G1438-H1438)</f>
        <v/>
      </c>
      <c r="J1438" s="37"/>
    </row>
    <row r="1439" customFormat="false" ht="21" hidden="false" customHeight="true" outlineLevel="0" collapsed="false">
      <c r="B1439" s="36"/>
      <c r="C1439" s="7"/>
      <c r="D1439" s="7"/>
      <c r="E1439" s="37"/>
      <c r="F1439" s="38"/>
      <c r="G1439" s="24" t="str">
        <f aca="false">IF(OR(C1439="",D1439="",N(E1439)=0),"",E1439*IF(F1439="",IFERROR(N(INDEX(Produtos!$K$5:$K$54,MATCH(D1439,Produtos!$B$5:$B$54,0))),0),F1439))</f>
        <v/>
      </c>
      <c r="H1439" s="24" t="str">
        <f aca="false">IF(G1439="","",E1439*IFERROR(N(INDEX(Produtos!$F$5:$F$54,MATCH(D1439,Produtos!$B$5:$B$54,0))),0))</f>
        <v/>
      </c>
      <c r="I1439" s="24" t="str">
        <f aca="false">IF(G1439="","",G1439-H1439)</f>
        <v/>
      </c>
      <c r="J1439" s="37"/>
    </row>
    <row r="1440" customFormat="false" ht="21" hidden="false" customHeight="true" outlineLevel="0" collapsed="false">
      <c r="B1440" s="36"/>
      <c r="C1440" s="7"/>
      <c r="D1440" s="7"/>
      <c r="E1440" s="37"/>
      <c r="F1440" s="38"/>
      <c r="G1440" s="24" t="str">
        <f aca="false">IF(OR(C1440="",D1440="",N(E1440)=0),"",E1440*IF(F1440="",IFERROR(N(INDEX(Produtos!$K$5:$K$54,MATCH(D1440,Produtos!$B$5:$B$54,0))),0),F1440))</f>
        <v/>
      </c>
      <c r="H1440" s="24" t="str">
        <f aca="false">IF(G1440="","",E1440*IFERROR(N(INDEX(Produtos!$F$5:$F$54,MATCH(D1440,Produtos!$B$5:$B$54,0))),0))</f>
        <v/>
      </c>
      <c r="I1440" s="24" t="str">
        <f aca="false">IF(G1440="","",G1440-H1440)</f>
        <v/>
      </c>
      <c r="J1440" s="37"/>
    </row>
    <row r="1441" customFormat="false" ht="21" hidden="false" customHeight="true" outlineLevel="0" collapsed="false">
      <c r="B1441" s="36"/>
      <c r="C1441" s="7"/>
      <c r="D1441" s="7"/>
      <c r="E1441" s="37"/>
      <c r="F1441" s="38"/>
      <c r="G1441" s="24" t="str">
        <f aca="false">IF(OR(C1441="",D1441="",N(E1441)=0),"",E1441*IF(F1441="",IFERROR(N(INDEX(Produtos!$K$5:$K$54,MATCH(D1441,Produtos!$B$5:$B$54,0))),0),F1441))</f>
        <v/>
      </c>
      <c r="H1441" s="24" t="str">
        <f aca="false">IF(G1441="","",E1441*IFERROR(N(INDEX(Produtos!$F$5:$F$54,MATCH(D1441,Produtos!$B$5:$B$54,0))),0))</f>
        <v/>
      </c>
      <c r="I1441" s="24" t="str">
        <f aca="false">IF(G1441="","",G1441-H1441)</f>
        <v/>
      </c>
      <c r="J1441" s="37"/>
    </row>
    <row r="1442" customFormat="false" ht="21" hidden="false" customHeight="true" outlineLevel="0" collapsed="false">
      <c r="B1442" s="36"/>
      <c r="C1442" s="7"/>
      <c r="D1442" s="7"/>
      <c r="E1442" s="37"/>
      <c r="F1442" s="38"/>
      <c r="G1442" s="24" t="str">
        <f aca="false">IF(OR(C1442="",D1442="",N(E1442)=0),"",E1442*IF(F1442="",IFERROR(N(INDEX(Produtos!$K$5:$K$54,MATCH(D1442,Produtos!$B$5:$B$54,0))),0),F1442))</f>
        <v/>
      </c>
      <c r="H1442" s="24" t="str">
        <f aca="false">IF(G1442="","",E1442*IFERROR(N(INDEX(Produtos!$F$5:$F$54,MATCH(D1442,Produtos!$B$5:$B$54,0))),0))</f>
        <v/>
      </c>
      <c r="I1442" s="24" t="str">
        <f aca="false">IF(G1442="","",G1442-H1442)</f>
        <v/>
      </c>
      <c r="J1442" s="37"/>
    </row>
    <row r="1443" customFormat="false" ht="21" hidden="false" customHeight="true" outlineLevel="0" collapsed="false">
      <c r="B1443" s="36"/>
      <c r="C1443" s="7"/>
      <c r="D1443" s="7"/>
      <c r="E1443" s="37"/>
      <c r="F1443" s="38"/>
      <c r="G1443" s="24" t="str">
        <f aca="false">IF(OR(C1443="",D1443="",N(E1443)=0),"",E1443*IF(F1443="",IFERROR(N(INDEX(Produtos!$K$5:$K$54,MATCH(D1443,Produtos!$B$5:$B$54,0))),0),F1443))</f>
        <v/>
      </c>
      <c r="H1443" s="24" t="str">
        <f aca="false">IF(G1443="","",E1443*IFERROR(N(INDEX(Produtos!$F$5:$F$54,MATCH(D1443,Produtos!$B$5:$B$54,0))),0))</f>
        <v/>
      </c>
      <c r="I1443" s="24" t="str">
        <f aca="false">IF(G1443="","",G1443-H1443)</f>
        <v/>
      </c>
      <c r="J1443" s="37"/>
    </row>
    <row r="1444" customFormat="false" ht="21" hidden="false" customHeight="true" outlineLevel="0" collapsed="false">
      <c r="B1444" s="36"/>
      <c r="C1444" s="7"/>
      <c r="D1444" s="7"/>
      <c r="E1444" s="37"/>
      <c r="F1444" s="38"/>
      <c r="G1444" s="24" t="str">
        <f aca="false">IF(OR(C1444="",D1444="",N(E1444)=0),"",E1444*IF(F1444="",IFERROR(N(INDEX(Produtos!$K$5:$K$54,MATCH(D1444,Produtos!$B$5:$B$54,0))),0),F1444))</f>
        <v/>
      </c>
      <c r="H1444" s="24" t="str">
        <f aca="false">IF(G1444="","",E1444*IFERROR(N(INDEX(Produtos!$F$5:$F$54,MATCH(D1444,Produtos!$B$5:$B$54,0))),0))</f>
        <v/>
      </c>
      <c r="I1444" s="24" t="str">
        <f aca="false">IF(G1444="","",G1444-H1444)</f>
        <v/>
      </c>
      <c r="J1444" s="37"/>
    </row>
    <row r="1445" customFormat="false" ht="21" hidden="false" customHeight="true" outlineLevel="0" collapsed="false">
      <c r="B1445" s="36"/>
      <c r="C1445" s="7"/>
      <c r="D1445" s="7"/>
      <c r="E1445" s="37"/>
      <c r="F1445" s="38"/>
      <c r="G1445" s="24" t="str">
        <f aca="false">IF(OR(C1445="",D1445="",N(E1445)=0),"",E1445*IF(F1445="",IFERROR(N(INDEX(Produtos!$K$5:$K$54,MATCH(D1445,Produtos!$B$5:$B$54,0))),0),F1445))</f>
        <v/>
      </c>
      <c r="H1445" s="24" t="str">
        <f aca="false">IF(G1445="","",E1445*IFERROR(N(INDEX(Produtos!$F$5:$F$54,MATCH(D1445,Produtos!$B$5:$B$54,0))),0))</f>
        <v/>
      </c>
      <c r="I1445" s="24" t="str">
        <f aca="false">IF(G1445="","",G1445-H1445)</f>
        <v/>
      </c>
      <c r="J1445" s="37"/>
    </row>
    <row r="1446" customFormat="false" ht="21" hidden="false" customHeight="true" outlineLevel="0" collapsed="false">
      <c r="B1446" s="36"/>
      <c r="C1446" s="7"/>
      <c r="D1446" s="7"/>
      <c r="E1446" s="37"/>
      <c r="F1446" s="38"/>
      <c r="G1446" s="24" t="str">
        <f aca="false">IF(OR(C1446="",D1446="",N(E1446)=0),"",E1446*IF(F1446="",IFERROR(N(INDEX(Produtos!$K$5:$K$54,MATCH(D1446,Produtos!$B$5:$B$54,0))),0),F1446))</f>
        <v/>
      </c>
      <c r="H1446" s="24" t="str">
        <f aca="false">IF(G1446="","",E1446*IFERROR(N(INDEX(Produtos!$F$5:$F$54,MATCH(D1446,Produtos!$B$5:$B$54,0))),0))</f>
        <v/>
      </c>
      <c r="I1446" s="24" t="str">
        <f aca="false">IF(G1446="","",G1446-H1446)</f>
        <v/>
      </c>
      <c r="J1446" s="37"/>
    </row>
    <row r="1447" customFormat="false" ht="21" hidden="false" customHeight="true" outlineLevel="0" collapsed="false">
      <c r="B1447" s="36"/>
      <c r="C1447" s="7"/>
      <c r="D1447" s="7"/>
      <c r="E1447" s="37"/>
      <c r="F1447" s="38"/>
      <c r="G1447" s="24" t="str">
        <f aca="false">IF(OR(C1447="",D1447="",N(E1447)=0),"",E1447*IF(F1447="",IFERROR(N(INDEX(Produtos!$K$5:$K$54,MATCH(D1447,Produtos!$B$5:$B$54,0))),0),F1447))</f>
        <v/>
      </c>
      <c r="H1447" s="24" t="str">
        <f aca="false">IF(G1447="","",E1447*IFERROR(N(INDEX(Produtos!$F$5:$F$54,MATCH(D1447,Produtos!$B$5:$B$54,0))),0))</f>
        <v/>
      </c>
      <c r="I1447" s="24" t="str">
        <f aca="false">IF(G1447="","",G1447-H1447)</f>
        <v/>
      </c>
      <c r="J1447" s="37"/>
    </row>
    <row r="1448" customFormat="false" ht="21" hidden="false" customHeight="true" outlineLevel="0" collapsed="false">
      <c r="B1448" s="36"/>
      <c r="C1448" s="7"/>
      <c r="D1448" s="7"/>
      <c r="E1448" s="37"/>
      <c r="F1448" s="38"/>
      <c r="G1448" s="24" t="str">
        <f aca="false">IF(OR(C1448="",D1448="",N(E1448)=0),"",E1448*IF(F1448="",IFERROR(N(INDEX(Produtos!$K$5:$K$54,MATCH(D1448,Produtos!$B$5:$B$54,0))),0),F1448))</f>
        <v/>
      </c>
      <c r="H1448" s="24" t="str">
        <f aca="false">IF(G1448="","",E1448*IFERROR(N(INDEX(Produtos!$F$5:$F$54,MATCH(D1448,Produtos!$B$5:$B$54,0))),0))</f>
        <v/>
      </c>
      <c r="I1448" s="24" t="str">
        <f aca="false">IF(G1448="","",G1448-H1448)</f>
        <v/>
      </c>
      <c r="J1448" s="37"/>
    </row>
    <row r="1449" customFormat="false" ht="21" hidden="false" customHeight="true" outlineLevel="0" collapsed="false">
      <c r="B1449" s="36"/>
      <c r="C1449" s="7"/>
      <c r="D1449" s="7"/>
      <c r="E1449" s="37"/>
      <c r="F1449" s="38"/>
      <c r="G1449" s="24" t="str">
        <f aca="false">IF(OR(C1449="",D1449="",N(E1449)=0),"",E1449*IF(F1449="",IFERROR(N(INDEX(Produtos!$K$5:$K$54,MATCH(D1449,Produtos!$B$5:$B$54,0))),0),F1449))</f>
        <v/>
      </c>
      <c r="H1449" s="24" t="str">
        <f aca="false">IF(G1449="","",E1449*IFERROR(N(INDEX(Produtos!$F$5:$F$54,MATCH(D1449,Produtos!$B$5:$B$54,0))),0))</f>
        <v/>
      </c>
      <c r="I1449" s="24" t="str">
        <f aca="false">IF(G1449="","",G1449-H1449)</f>
        <v/>
      </c>
      <c r="J1449" s="37"/>
    </row>
    <row r="1450" customFormat="false" ht="21" hidden="false" customHeight="true" outlineLevel="0" collapsed="false">
      <c r="B1450" s="36"/>
      <c r="C1450" s="7"/>
      <c r="D1450" s="7"/>
      <c r="E1450" s="37"/>
      <c r="F1450" s="38"/>
      <c r="G1450" s="24" t="str">
        <f aca="false">IF(OR(C1450="",D1450="",N(E1450)=0),"",E1450*IF(F1450="",IFERROR(N(INDEX(Produtos!$K$5:$K$54,MATCH(D1450,Produtos!$B$5:$B$54,0))),0),F1450))</f>
        <v/>
      </c>
      <c r="H1450" s="24" t="str">
        <f aca="false">IF(G1450="","",E1450*IFERROR(N(INDEX(Produtos!$F$5:$F$54,MATCH(D1450,Produtos!$B$5:$B$54,0))),0))</f>
        <v/>
      </c>
      <c r="I1450" s="24" t="str">
        <f aca="false">IF(G1450="","",G1450-H1450)</f>
        <v/>
      </c>
      <c r="J1450" s="37"/>
    </row>
    <row r="1451" customFormat="false" ht="21" hidden="false" customHeight="true" outlineLevel="0" collapsed="false">
      <c r="B1451" s="36"/>
      <c r="C1451" s="7"/>
      <c r="D1451" s="7"/>
      <c r="E1451" s="37"/>
      <c r="F1451" s="38"/>
      <c r="G1451" s="24" t="str">
        <f aca="false">IF(OR(C1451="",D1451="",N(E1451)=0),"",E1451*IF(F1451="",IFERROR(N(INDEX(Produtos!$K$5:$K$54,MATCH(D1451,Produtos!$B$5:$B$54,0))),0),F1451))</f>
        <v/>
      </c>
      <c r="H1451" s="24" t="str">
        <f aca="false">IF(G1451="","",E1451*IFERROR(N(INDEX(Produtos!$F$5:$F$54,MATCH(D1451,Produtos!$B$5:$B$54,0))),0))</f>
        <v/>
      </c>
      <c r="I1451" s="24" t="str">
        <f aca="false">IF(G1451="","",G1451-H1451)</f>
        <v/>
      </c>
      <c r="J1451" s="37"/>
    </row>
    <row r="1452" customFormat="false" ht="21" hidden="false" customHeight="true" outlineLevel="0" collapsed="false">
      <c r="B1452" s="36"/>
      <c r="C1452" s="7"/>
      <c r="D1452" s="7"/>
      <c r="E1452" s="37"/>
      <c r="F1452" s="38"/>
      <c r="G1452" s="24" t="str">
        <f aca="false">IF(OR(C1452="",D1452="",N(E1452)=0),"",E1452*IF(F1452="",IFERROR(N(INDEX(Produtos!$K$5:$K$54,MATCH(D1452,Produtos!$B$5:$B$54,0))),0),F1452))</f>
        <v/>
      </c>
      <c r="H1452" s="24" t="str">
        <f aca="false">IF(G1452="","",E1452*IFERROR(N(INDEX(Produtos!$F$5:$F$54,MATCH(D1452,Produtos!$B$5:$B$54,0))),0))</f>
        <v/>
      </c>
      <c r="I1452" s="24" t="str">
        <f aca="false">IF(G1452="","",G1452-H1452)</f>
        <v/>
      </c>
      <c r="J1452" s="37"/>
    </row>
    <row r="1453" customFormat="false" ht="21" hidden="false" customHeight="true" outlineLevel="0" collapsed="false">
      <c r="B1453" s="36"/>
      <c r="C1453" s="7"/>
      <c r="D1453" s="7"/>
      <c r="E1453" s="37"/>
      <c r="F1453" s="38"/>
      <c r="G1453" s="24" t="str">
        <f aca="false">IF(OR(C1453="",D1453="",N(E1453)=0),"",E1453*IF(F1453="",IFERROR(N(INDEX(Produtos!$K$5:$K$54,MATCH(D1453,Produtos!$B$5:$B$54,0))),0),F1453))</f>
        <v/>
      </c>
      <c r="H1453" s="24" t="str">
        <f aca="false">IF(G1453="","",E1453*IFERROR(N(INDEX(Produtos!$F$5:$F$54,MATCH(D1453,Produtos!$B$5:$B$54,0))),0))</f>
        <v/>
      </c>
      <c r="I1453" s="24" t="str">
        <f aca="false">IF(G1453="","",G1453-H1453)</f>
        <v/>
      </c>
      <c r="J1453" s="37"/>
    </row>
    <row r="1454" customFormat="false" ht="21" hidden="false" customHeight="true" outlineLevel="0" collapsed="false">
      <c r="B1454" s="36"/>
      <c r="C1454" s="7"/>
      <c r="D1454" s="7"/>
      <c r="E1454" s="37"/>
      <c r="F1454" s="38"/>
      <c r="G1454" s="24" t="str">
        <f aca="false">IF(OR(C1454="",D1454="",N(E1454)=0),"",E1454*IF(F1454="",IFERROR(N(INDEX(Produtos!$K$5:$K$54,MATCH(D1454,Produtos!$B$5:$B$54,0))),0),F1454))</f>
        <v/>
      </c>
      <c r="H1454" s="24" t="str">
        <f aca="false">IF(G1454="","",E1454*IFERROR(N(INDEX(Produtos!$F$5:$F$54,MATCH(D1454,Produtos!$B$5:$B$54,0))),0))</f>
        <v/>
      </c>
      <c r="I1454" s="24" t="str">
        <f aca="false">IF(G1454="","",G1454-H1454)</f>
        <v/>
      </c>
      <c r="J1454" s="37"/>
    </row>
    <row r="1455" customFormat="false" ht="21" hidden="false" customHeight="true" outlineLevel="0" collapsed="false">
      <c r="B1455" s="36"/>
      <c r="C1455" s="7"/>
      <c r="D1455" s="7"/>
      <c r="E1455" s="37"/>
      <c r="F1455" s="38"/>
      <c r="G1455" s="24" t="str">
        <f aca="false">IF(OR(C1455="",D1455="",N(E1455)=0),"",E1455*IF(F1455="",IFERROR(N(INDEX(Produtos!$K$5:$K$54,MATCH(D1455,Produtos!$B$5:$B$54,0))),0),F1455))</f>
        <v/>
      </c>
      <c r="H1455" s="24" t="str">
        <f aca="false">IF(G1455="","",E1455*IFERROR(N(INDEX(Produtos!$F$5:$F$54,MATCH(D1455,Produtos!$B$5:$B$54,0))),0))</f>
        <v/>
      </c>
      <c r="I1455" s="24" t="str">
        <f aca="false">IF(G1455="","",G1455-H1455)</f>
        <v/>
      </c>
      <c r="J1455" s="37"/>
    </row>
    <row r="1456" customFormat="false" ht="21" hidden="false" customHeight="true" outlineLevel="0" collapsed="false">
      <c r="B1456" s="36"/>
      <c r="C1456" s="7"/>
      <c r="D1456" s="7"/>
      <c r="E1456" s="37"/>
      <c r="F1456" s="38"/>
      <c r="G1456" s="24" t="str">
        <f aca="false">IF(OR(C1456="",D1456="",N(E1456)=0),"",E1456*IF(F1456="",IFERROR(N(INDEX(Produtos!$K$5:$K$54,MATCH(D1456,Produtos!$B$5:$B$54,0))),0),F1456))</f>
        <v/>
      </c>
      <c r="H1456" s="24" t="str">
        <f aca="false">IF(G1456="","",E1456*IFERROR(N(INDEX(Produtos!$F$5:$F$54,MATCH(D1456,Produtos!$B$5:$B$54,0))),0))</f>
        <v/>
      </c>
      <c r="I1456" s="24" t="str">
        <f aca="false">IF(G1456="","",G1456-H1456)</f>
        <v/>
      </c>
      <c r="J1456" s="37"/>
    </row>
    <row r="1457" customFormat="false" ht="21" hidden="false" customHeight="true" outlineLevel="0" collapsed="false">
      <c r="B1457" s="36"/>
      <c r="C1457" s="7"/>
      <c r="D1457" s="7"/>
      <c r="E1457" s="37"/>
      <c r="F1457" s="38"/>
      <c r="G1457" s="24" t="str">
        <f aca="false">IF(OR(C1457="",D1457="",N(E1457)=0),"",E1457*IF(F1457="",IFERROR(N(INDEX(Produtos!$K$5:$K$54,MATCH(D1457,Produtos!$B$5:$B$54,0))),0),F1457))</f>
        <v/>
      </c>
      <c r="H1457" s="24" t="str">
        <f aca="false">IF(G1457="","",E1457*IFERROR(N(INDEX(Produtos!$F$5:$F$54,MATCH(D1457,Produtos!$B$5:$B$54,0))),0))</f>
        <v/>
      </c>
      <c r="I1457" s="24" t="str">
        <f aca="false">IF(G1457="","",G1457-H1457)</f>
        <v/>
      </c>
      <c r="J1457" s="37"/>
    </row>
    <row r="1458" customFormat="false" ht="21" hidden="false" customHeight="true" outlineLevel="0" collapsed="false">
      <c r="B1458" s="36"/>
      <c r="C1458" s="7"/>
      <c r="D1458" s="7"/>
      <c r="E1458" s="37"/>
      <c r="F1458" s="38"/>
      <c r="G1458" s="24" t="str">
        <f aca="false">IF(OR(C1458="",D1458="",N(E1458)=0),"",E1458*IF(F1458="",IFERROR(N(INDEX(Produtos!$K$5:$K$54,MATCH(D1458,Produtos!$B$5:$B$54,0))),0),F1458))</f>
        <v/>
      </c>
      <c r="H1458" s="24" t="str">
        <f aca="false">IF(G1458="","",E1458*IFERROR(N(INDEX(Produtos!$F$5:$F$54,MATCH(D1458,Produtos!$B$5:$B$54,0))),0))</f>
        <v/>
      </c>
      <c r="I1458" s="24" t="str">
        <f aca="false">IF(G1458="","",G1458-H1458)</f>
        <v/>
      </c>
      <c r="J1458" s="37"/>
    </row>
    <row r="1459" customFormat="false" ht="21" hidden="false" customHeight="true" outlineLevel="0" collapsed="false">
      <c r="B1459" s="36"/>
      <c r="C1459" s="7"/>
      <c r="D1459" s="7"/>
      <c r="E1459" s="37"/>
      <c r="F1459" s="38"/>
      <c r="G1459" s="24" t="str">
        <f aca="false">IF(OR(C1459="",D1459="",N(E1459)=0),"",E1459*IF(F1459="",IFERROR(N(INDEX(Produtos!$K$5:$K$54,MATCH(D1459,Produtos!$B$5:$B$54,0))),0),F1459))</f>
        <v/>
      </c>
      <c r="H1459" s="24" t="str">
        <f aca="false">IF(G1459="","",E1459*IFERROR(N(INDEX(Produtos!$F$5:$F$54,MATCH(D1459,Produtos!$B$5:$B$54,0))),0))</f>
        <v/>
      </c>
      <c r="I1459" s="24" t="str">
        <f aca="false">IF(G1459="","",G1459-H1459)</f>
        <v/>
      </c>
      <c r="J1459" s="37"/>
    </row>
    <row r="1460" customFormat="false" ht="21" hidden="false" customHeight="true" outlineLevel="0" collapsed="false">
      <c r="B1460" s="36"/>
      <c r="C1460" s="7"/>
      <c r="D1460" s="7"/>
      <c r="E1460" s="37"/>
      <c r="F1460" s="38"/>
      <c r="G1460" s="24" t="str">
        <f aca="false">IF(OR(C1460="",D1460="",N(E1460)=0),"",E1460*IF(F1460="",IFERROR(N(INDEX(Produtos!$K$5:$K$54,MATCH(D1460,Produtos!$B$5:$B$54,0))),0),F1460))</f>
        <v/>
      </c>
      <c r="H1460" s="24" t="str">
        <f aca="false">IF(G1460="","",E1460*IFERROR(N(INDEX(Produtos!$F$5:$F$54,MATCH(D1460,Produtos!$B$5:$B$54,0))),0))</f>
        <v/>
      </c>
      <c r="I1460" s="24" t="str">
        <f aca="false">IF(G1460="","",G1460-H1460)</f>
        <v/>
      </c>
      <c r="J1460" s="37"/>
    </row>
    <row r="1461" customFormat="false" ht="21" hidden="false" customHeight="true" outlineLevel="0" collapsed="false">
      <c r="B1461" s="36"/>
      <c r="C1461" s="7"/>
      <c r="D1461" s="7"/>
      <c r="E1461" s="37"/>
      <c r="F1461" s="38"/>
      <c r="G1461" s="24" t="str">
        <f aca="false">IF(OR(C1461="",D1461="",N(E1461)=0),"",E1461*IF(F1461="",IFERROR(N(INDEX(Produtos!$K$5:$K$54,MATCH(D1461,Produtos!$B$5:$B$54,0))),0),F1461))</f>
        <v/>
      </c>
      <c r="H1461" s="24" t="str">
        <f aca="false">IF(G1461="","",E1461*IFERROR(N(INDEX(Produtos!$F$5:$F$54,MATCH(D1461,Produtos!$B$5:$B$54,0))),0))</f>
        <v/>
      </c>
      <c r="I1461" s="24" t="str">
        <f aca="false">IF(G1461="","",G1461-H1461)</f>
        <v/>
      </c>
      <c r="J1461" s="37"/>
    </row>
    <row r="1462" customFormat="false" ht="21" hidden="false" customHeight="true" outlineLevel="0" collapsed="false">
      <c r="B1462" s="36"/>
      <c r="C1462" s="7"/>
      <c r="D1462" s="7"/>
      <c r="E1462" s="37"/>
      <c r="F1462" s="38"/>
      <c r="G1462" s="24" t="str">
        <f aca="false">IF(OR(C1462="",D1462="",N(E1462)=0),"",E1462*IF(F1462="",IFERROR(N(INDEX(Produtos!$K$5:$K$54,MATCH(D1462,Produtos!$B$5:$B$54,0))),0),F1462))</f>
        <v/>
      </c>
      <c r="H1462" s="24" t="str">
        <f aca="false">IF(G1462="","",E1462*IFERROR(N(INDEX(Produtos!$F$5:$F$54,MATCH(D1462,Produtos!$B$5:$B$54,0))),0))</f>
        <v/>
      </c>
      <c r="I1462" s="24" t="str">
        <f aca="false">IF(G1462="","",G1462-H1462)</f>
        <v/>
      </c>
      <c r="J1462" s="37"/>
    </row>
    <row r="1463" customFormat="false" ht="21" hidden="false" customHeight="true" outlineLevel="0" collapsed="false">
      <c r="B1463" s="36"/>
      <c r="C1463" s="7"/>
      <c r="D1463" s="7"/>
      <c r="E1463" s="37"/>
      <c r="F1463" s="38"/>
      <c r="G1463" s="24" t="str">
        <f aca="false">IF(OR(C1463="",D1463="",N(E1463)=0),"",E1463*IF(F1463="",IFERROR(N(INDEX(Produtos!$K$5:$K$54,MATCH(D1463,Produtos!$B$5:$B$54,0))),0),F1463))</f>
        <v/>
      </c>
      <c r="H1463" s="24" t="str">
        <f aca="false">IF(G1463="","",E1463*IFERROR(N(INDEX(Produtos!$F$5:$F$54,MATCH(D1463,Produtos!$B$5:$B$54,0))),0))</f>
        <v/>
      </c>
      <c r="I1463" s="24" t="str">
        <f aca="false">IF(G1463="","",G1463-H1463)</f>
        <v/>
      </c>
      <c r="J1463" s="37"/>
    </row>
    <row r="1464" customFormat="false" ht="21" hidden="false" customHeight="true" outlineLevel="0" collapsed="false">
      <c r="B1464" s="36"/>
      <c r="C1464" s="7"/>
      <c r="D1464" s="7"/>
      <c r="E1464" s="37"/>
      <c r="F1464" s="38"/>
      <c r="G1464" s="24" t="str">
        <f aca="false">IF(OR(C1464="",D1464="",N(E1464)=0),"",E1464*IF(F1464="",IFERROR(N(INDEX(Produtos!$K$5:$K$54,MATCH(D1464,Produtos!$B$5:$B$54,0))),0),F1464))</f>
        <v/>
      </c>
      <c r="H1464" s="24" t="str">
        <f aca="false">IF(G1464="","",E1464*IFERROR(N(INDEX(Produtos!$F$5:$F$54,MATCH(D1464,Produtos!$B$5:$B$54,0))),0))</f>
        <v/>
      </c>
      <c r="I1464" s="24" t="str">
        <f aca="false">IF(G1464="","",G1464-H1464)</f>
        <v/>
      </c>
      <c r="J1464" s="37"/>
    </row>
    <row r="1465" customFormat="false" ht="21" hidden="false" customHeight="true" outlineLevel="0" collapsed="false">
      <c r="B1465" s="36"/>
      <c r="C1465" s="7"/>
      <c r="D1465" s="7"/>
      <c r="E1465" s="37"/>
      <c r="F1465" s="38"/>
      <c r="G1465" s="24" t="str">
        <f aca="false">IF(OR(C1465="",D1465="",N(E1465)=0),"",E1465*IF(F1465="",IFERROR(N(INDEX(Produtos!$K$5:$K$54,MATCH(D1465,Produtos!$B$5:$B$54,0))),0),F1465))</f>
        <v/>
      </c>
      <c r="H1465" s="24" t="str">
        <f aca="false">IF(G1465="","",E1465*IFERROR(N(INDEX(Produtos!$F$5:$F$54,MATCH(D1465,Produtos!$B$5:$B$54,0))),0))</f>
        <v/>
      </c>
      <c r="I1465" s="24" t="str">
        <f aca="false">IF(G1465="","",G1465-H1465)</f>
        <v/>
      </c>
      <c r="J1465" s="37"/>
    </row>
    <row r="1466" customFormat="false" ht="21" hidden="false" customHeight="true" outlineLevel="0" collapsed="false">
      <c r="B1466" s="36"/>
      <c r="C1466" s="7"/>
      <c r="D1466" s="7"/>
      <c r="E1466" s="37"/>
      <c r="F1466" s="38"/>
      <c r="G1466" s="24" t="str">
        <f aca="false">IF(OR(C1466="",D1466="",N(E1466)=0),"",E1466*IF(F1466="",IFERROR(N(INDEX(Produtos!$K$5:$K$54,MATCH(D1466,Produtos!$B$5:$B$54,0))),0),F1466))</f>
        <v/>
      </c>
      <c r="H1466" s="24" t="str">
        <f aca="false">IF(G1466="","",E1466*IFERROR(N(INDEX(Produtos!$F$5:$F$54,MATCH(D1466,Produtos!$B$5:$B$54,0))),0))</f>
        <v/>
      </c>
      <c r="I1466" s="24" t="str">
        <f aca="false">IF(G1466="","",G1466-H1466)</f>
        <v/>
      </c>
      <c r="J1466" s="37"/>
    </row>
    <row r="1467" customFormat="false" ht="21" hidden="false" customHeight="true" outlineLevel="0" collapsed="false">
      <c r="B1467" s="36"/>
      <c r="C1467" s="7"/>
      <c r="D1467" s="7"/>
      <c r="E1467" s="37"/>
      <c r="F1467" s="38"/>
      <c r="G1467" s="24" t="str">
        <f aca="false">IF(OR(C1467="",D1467="",N(E1467)=0),"",E1467*IF(F1467="",IFERROR(N(INDEX(Produtos!$K$5:$K$54,MATCH(D1467,Produtos!$B$5:$B$54,0))),0),F1467))</f>
        <v/>
      </c>
      <c r="H1467" s="24" t="str">
        <f aca="false">IF(G1467="","",E1467*IFERROR(N(INDEX(Produtos!$F$5:$F$54,MATCH(D1467,Produtos!$B$5:$B$54,0))),0))</f>
        <v/>
      </c>
      <c r="I1467" s="24" t="str">
        <f aca="false">IF(G1467="","",G1467-H1467)</f>
        <v/>
      </c>
      <c r="J1467" s="37"/>
    </row>
    <row r="1468" customFormat="false" ht="21" hidden="false" customHeight="true" outlineLevel="0" collapsed="false">
      <c r="B1468" s="36"/>
      <c r="C1468" s="7"/>
      <c r="D1468" s="7"/>
      <c r="E1468" s="37"/>
      <c r="F1468" s="38"/>
      <c r="G1468" s="24" t="str">
        <f aca="false">IF(OR(C1468="",D1468="",N(E1468)=0),"",E1468*IF(F1468="",IFERROR(N(INDEX(Produtos!$K$5:$K$54,MATCH(D1468,Produtos!$B$5:$B$54,0))),0),F1468))</f>
        <v/>
      </c>
      <c r="H1468" s="24" t="str">
        <f aca="false">IF(G1468="","",E1468*IFERROR(N(INDEX(Produtos!$F$5:$F$54,MATCH(D1468,Produtos!$B$5:$B$54,0))),0))</f>
        <v/>
      </c>
      <c r="I1468" s="24" t="str">
        <f aca="false">IF(G1468="","",G1468-H1468)</f>
        <v/>
      </c>
      <c r="J1468" s="37"/>
    </row>
    <row r="1469" customFormat="false" ht="21" hidden="false" customHeight="true" outlineLevel="0" collapsed="false">
      <c r="B1469" s="36"/>
      <c r="C1469" s="7"/>
      <c r="D1469" s="7"/>
      <c r="E1469" s="37"/>
      <c r="F1469" s="38"/>
      <c r="G1469" s="24" t="str">
        <f aca="false">IF(OR(C1469="",D1469="",N(E1469)=0),"",E1469*IF(F1469="",IFERROR(N(INDEX(Produtos!$K$5:$K$54,MATCH(D1469,Produtos!$B$5:$B$54,0))),0),F1469))</f>
        <v/>
      </c>
      <c r="H1469" s="24" t="str">
        <f aca="false">IF(G1469="","",E1469*IFERROR(N(INDEX(Produtos!$F$5:$F$54,MATCH(D1469,Produtos!$B$5:$B$54,0))),0))</f>
        <v/>
      </c>
      <c r="I1469" s="24" t="str">
        <f aca="false">IF(G1469="","",G1469-H1469)</f>
        <v/>
      </c>
      <c r="J1469" s="37"/>
    </row>
    <row r="1470" customFormat="false" ht="21" hidden="false" customHeight="true" outlineLevel="0" collapsed="false">
      <c r="B1470" s="36"/>
      <c r="C1470" s="7"/>
      <c r="D1470" s="7"/>
      <c r="E1470" s="37"/>
      <c r="F1470" s="38"/>
      <c r="G1470" s="24" t="str">
        <f aca="false">IF(OR(C1470="",D1470="",N(E1470)=0),"",E1470*IF(F1470="",IFERROR(N(INDEX(Produtos!$K$5:$K$54,MATCH(D1470,Produtos!$B$5:$B$54,0))),0),F1470))</f>
        <v/>
      </c>
      <c r="H1470" s="24" t="str">
        <f aca="false">IF(G1470="","",E1470*IFERROR(N(INDEX(Produtos!$F$5:$F$54,MATCH(D1470,Produtos!$B$5:$B$54,0))),0))</f>
        <v/>
      </c>
      <c r="I1470" s="24" t="str">
        <f aca="false">IF(G1470="","",G1470-H1470)</f>
        <v/>
      </c>
      <c r="J1470" s="37"/>
    </row>
    <row r="1471" customFormat="false" ht="21" hidden="false" customHeight="true" outlineLevel="0" collapsed="false">
      <c r="B1471" s="36"/>
      <c r="C1471" s="7"/>
      <c r="D1471" s="7"/>
      <c r="E1471" s="37"/>
      <c r="F1471" s="38"/>
      <c r="G1471" s="24" t="str">
        <f aca="false">IF(OR(C1471="",D1471="",N(E1471)=0),"",E1471*IF(F1471="",IFERROR(N(INDEX(Produtos!$K$5:$K$54,MATCH(D1471,Produtos!$B$5:$B$54,0))),0),F1471))</f>
        <v/>
      </c>
      <c r="H1471" s="24" t="str">
        <f aca="false">IF(G1471="","",E1471*IFERROR(N(INDEX(Produtos!$F$5:$F$54,MATCH(D1471,Produtos!$B$5:$B$54,0))),0))</f>
        <v/>
      </c>
      <c r="I1471" s="24" t="str">
        <f aca="false">IF(G1471="","",G1471-H1471)</f>
        <v/>
      </c>
      <c r="J1471" s="37"/>
    </row>
    <row r="1472" customFormat="false" ht="21" hidden="false" customHeight="true" outlineLevel="0" collapsed="false">
      <c r="B1472" s="36"/>
      <c r="C1472" s="7"/>
      <c r="D1472" s="7"/>
      <c r="E1472" s="37"/>
      <c r="F1472" s="38"/>
      <c r="G1472" s="24" t="str">
        <f aca="false">IF(OR(C1472="",D1472="",N(E1472)=0),"",E1472*IF(F1472="",IFERROR(N(INDEX(Produtos!$K$5:$K$54,MATCH(D1472,Produtos!$B$5:$B$54,0))),0),F1472))</f>
        <v/>
      </c>
      <c r="H1472" s="24" t="str">
        <f aca="false">IF(G1472="","",E1472*IFERROR(N(INDEX(Produtos!$F$5:$F$54,MATCH(D1472,Produtos!$B$5:$B$54,0))),0))</f>
        <v/>
      </c>
      <c r="I1472" s="24" t="str">
        <f aca="false">IF(G1472="","",G1472-H1472)</f>
        <v/>
      </c>
      <c r="J1472" s="37"/>
    </row>
    <row r="1473" customFormat="false" ht="21" hidden="false" customHeight="true" outlineLevel="0" collapsed="false">
      <c r="B1473" s="36"/>
      <c r="C1473" s="7"/>
      <c r="D1473" s="7"/>
      <c r="E1473" s="37"/>
      <c r="F1473" s="38"/>
      <c r="G1473" s="24" t="str">
        <f aca="false">IF(OR(C1473="",D1473="",N(E1473)=0),"",E1473*IF(F1473="",IFERROR(N(INDEX(Produtos!$K$5:$K$54,MATCH(D1473,Produtos!$B$5:$B$54,0))),0),F1473))</f>
        <v/>
      </c>
      <c r="H1473" s="24" t="str">
        <f aca="false">IF(G1473="","",E1473*IFERROR(N(INDEX(Produtos!$F$5:$F$54,MATCH(D1473,Produtos!$B$5:$B$54,0))),0))</f>
        <v/>
      </c>
      <c r="I1473" s="24" t="str">
        <f aca="false">IF(G1473="","",G1473-H1473)</f>
        <v/>
      </c>
      <c r="J1473" s="37"/>
    </row>
    <row r="1474" customFormat="false" ht="21" hidden="false" customHeight="true" outlineLevel="0" collapsed="false">
      <c r="B1474" s="36"/>
      <c r="C1474" s="7"/>
      <c r="D1474" s="7"/>
      <c r="E1474" s="37"/>
      <c r="F1474" s="38"/>
      <c r="G1474" s="24" t="str">
        <f aca="false">IF(OR(C1474="",D1474="",N(E1474)=0),"",E1474*IF(F1474="",IFERROR(N(INDEX(Produtos!$K$5:$K$54,MATCH(D1474,Produtos!$B$5:$B$54,0))),0),F1474))</f>
        <v/>
      </c>
      <c r="H1474" s="24" t="str">
        <f aca="false">IF(G1474="","",E1474*IFERROR(N(INDEX(Produtos!$F$5:$F$54,MATCH(D1474,Produtos!$B$5:$B$54,0))),0))</f>
        <v/>
      </c>
      <c r="I1474" s="24" t="str">
        <f aca="false">IF(G1474="","",G1474-H1474)</f>
        <v/>
      </c>
      <c r="J1474" s="37"/>
    </row>
    <row r="1475" customFormat="false" ht="21" hidden="false" customHeight="true" outlineLevel="0" collapsed="false">
      <c r="B1475" s="36"/>
      <c r="C1475" s="7"/>
      <c r="D1475" s="7"/>
      <c r="E1475" s="37"/>
      <c r="F1475" s="38"/>
      <c r="G1475" s="24" t="str">
        <f aca="false">IF(OR(C1475="",D1475="",N(E1475)=0),"",E1475*IF(F1475="",IFERROR(N(INDEX(Produtos!$K$5:$K$54,MATCH(D1475,Produtos!$B$5:$B$54,0))),0),F1475))</f>
        <v/>
      </c>
      <c r="H1475" s="24" t="str">
        <f aca="false">IF(G1475="","",E1475*IFERROR(N(INDEX(Produtos!$F$5:$F$54,MATCH(D1475,Produtos!$B$5:$B$54,0))),0))</f>
        <v/>
      </c>
      <c r="I1475" s="24" t="str">
        <f aca="false">IF(G1475="","",G1475-H1475)</f>
        <v/>
      </c>
      <c r="J1475" s="37"/>
    </row>
    <row r="1476" customFormat="false" ht="21" hidden="false" customHeight="true" outlineLevel="0" collapsed="false">
      <c r="B1476" s="36"/>
      <c r="C1476" s="7"/>
      <c r="D1476" s="7"/>
      <c r="E1476" s="37"/>
      <c r="F1476" s="38"/>
      <c r="G1476" s="24" t="str">
        <f aca="false">IF(OR(C1476="",D1476="",N(E1476)=0),"",E1476*IF(F1476="",IFERROR(N(INDEX(Produtos!$K$5:$K$54,MATCH(D1476,Produtos!$B$5:$B$54,0))),0),F1476))</f>
        <v/>
      </c>
      <c r="H1476" s="24" t="str">
        <f aca="false">IF(G1476="","",E1476*IFERROR(N(INDEX(Produtos!$F$5:$F$54,MATCH(D1476,Produtos!$B$5:$B$54,0))),0))</f>
        <v/>
      </c>
      <c r="I1476" s="24" t="str">
        <f aca="false">IF(G1476="","",G1476-H1476)</f>
        <v/>
      </c>
      <c r="J1476" s="37"/>
    </row>
    <row r="1477" customFormat="false" ht="21" hidden="false" customHeight="true" outlineLevel="0" collapsed="false">
      <c r="B1477" s="36"/>
      <c r="C1477" s="7"/>
      <c r="D1477" s="7"/>
      <c r="E1477" s="37"/>
      <c r="F1477" s="38"/>
      <c r="G1477" s="24" t="str">
        <f aca="false">IF(OR(C1477="",D1477="",N(E1477)=0),"",E1477*IF(F1477="",IFERROR(N(INDEX(Produtos!$K$5:$K$54,MATCH(D1477,Produtos!$B$5:$B$54,0))),0),F1477))</f>
        <v/>
      </c>
      <c r="H1477" s="24" t="str">
        <f aca="false">IF(G1477="","",E1477*IFERROR(N(INDEX(Produtos!$F$5:$F$54,MATCH(D1477,Produtos!$B$5:$B$54,0))),0))</f>
        <v/>
      </c>
      <c r="I1477" s="24" t="str">
        <f aca="false">IF(G1477="","",G1477-H1477)</f>
        <v/>
      </c>
      <c r="J1477" s="37"/>
    </row>
    <row r="1478" customFormat="false" ht="21" hidden="false" customHeight="true" outlineLevel="0" collapsed="false">
      <c r="B1478" s="36"/>
      <c r="C1478" s="7"/>
      <c r="D1478" s="7"/>
      <c r="E1478" s="37"/>
      <c r="F1478" s="38"/>
      <c r="G1478" s="24" t="str">
        <f aca="false">IF(OR(C1478="",D1478="",N(E1478)=0),"",E1478*IF(F1478="",IFERROR(N(INDEX(Produtos!$K$5:$K$54,MATCH(D1478,Produtos!$B$5:$B$54,0))),0),F1478))</f>
        <v/>
      </c>
      <c r="H1478" s="24" t="str">
        <f aca="false">IF(G1478="","",E1478*IFERROR(N(INDEX(Produtos!$F$5:$F$54,MATCH(D1478,Produtos!$B$5:$B$54,0))),0))</f>
        <v/>
      </c>
      <c r="I1478" s="24" t="str">
        <f aca="false">IF(G1478="","",G1478-H1478)</f>
        <v/>
      </c>
      <c r="J1478" s="37"/>
    </row>
    <row r="1479" customFormat="false" ht="21" hidden="false" customHeight="true" outlineLevel="0" collapsed="false">
      <c r="B1479" s="36"/>
      <c r="C1479" s="7"/>
      <c r="D1479" s="7"/>
      <c r="E1479" s="37"/>
      <c r="F1479" s="38"/>
      <c r="G1479" s="24" t="str">
        <f aca="false">IF(OR(C1479="",D1479="",N(E1479)=0),"",E1479*IF(F1479="",IFERROR(N(INDEX(Produtos!$K$5:$K$54,MATCH(D1479,Produtos!$B$5:$B$54,0))),0),F1479))</f>
        <v/>
      </c>
      <c r="H1479" s="24" t="str">
        <f aca="false">IF(G1479="","",E1479*IFERROR(N(INDEX(Produtos!$F$5:$F$54,MATCH(D1479,Produtos!$B$5:$B$54,0))),0))</f>
        <v/>
      </c>
      <c r="I1479" s="24" t="str">
        <f aca="false">IF(G1479="","",G1479-H1479)</f>
        <v/>
      </c>
      <c r="J1479" s="37"/>
    </row>
    <row r="1480" customFormat="false" ht="21" hidden="false" customHeight="true" outlineLevel="0" collapsed="false">
      <c r="B1480" s="36"/>
      <c r="C1480" s="7"/>
      <c r="D1480" s="7"/>
      <c r="E1480" s="37"/>
      <c r="F1480" s="38"/>
      <c r="G1480" s="24" t="str">
        <f aca="false">IF(OR(C1480="",D1480="",N(E1480)=0),"",E1480*IF(F1480="",IFERROR(N(INDEX(Produtos!$K$5:$K$54,MATCH(D1480,Produtos!$B$5:$B$54,0))),0),F1480))</f>
        <v/>
      </c>
      <c r="H1480" s="24" t="str">
        <f aca="false">IF(G1480="","",E1480*IFERROR(N(INDEX(Produtos!$F$5:$F$54,MATCH(D1480,Produtos!$B$5:$B$54,0))),0))</f>
        <v/>
      </c>
      <c r="I1480" s="24" t="str">
        <f aca="false">IF(G1480="","",G1480-H1480)</f>
        <v/>
      </c>
      <c r="J1480" s="37"/>
    </row>
    <row r="1481" customFormat="false" ht="21" hidden="false" customHeight="true" outlineLevel="0" collapsed="false">
      <c r="B1481" s="36"/>
      <c r="C1481" s="7"/>
      <c r="D1481" s="7"/>
      <c r="E1481" s="37"/>
      <c r="F1481" s="38"/>
      <c r="G1481" s="24" t="str">
        <f aca="false">IF(OR(C1481="",D1481="",N(E1481)=0),"",E1481*IF(F1481="",IFERROR(N(INDEX(Produtos!$K$5:$K$54,MATCH(D1481,Produtos!$B$5:$B$54,0))),0),F1481))</f>
        <v/>
      </c>
      <c r="H1481" s="24" t="str">
        <f aca="false">IF(G1481="","",E1481*IFERROR(N(INDEX(Produtos!$F$5:$F$54,MATCH(D1481,Produtos!$B$5:$B$54,0))),0))</f>
        <v/>
      </c>
      <c r="I1481" s="24" t="str">
        <f aca="false">IF(G1481="","",G1481-H1481)</f>
        <v/>
      </c>
      <c r="J1481" s="37"/>
    </row>
    <row r="1482" customFormat="false" ht="21" hidden="false" customHeight="true" outlineLevel="0" collapsed="false">
      <c r="B1482" s="36"/>
      <c r="C1482" s="7"/>
      <c r="D1482" s="7"/>
      <c r="E1482" s="37"/>
      <c r="F1482" s="38"/>
      <c r="G1482" s="24" t="str">
        <f aca="false">IF(OR(C1482="",D1482="",N(E1482)=0),"",E1482*IF(F1482="",IFERROR(N(INDEX(Produtos!$K$5:$K$54,MATCH(D1482,Produtos!$B$5:$B$54,0))),0),F1482))</f>
        <v/>
      </c>
      <c r="H1482" s="24" t="str">
        <f aca="false">IF(G1482="","",E1482*IFERROR(N(INDEX(Produtos!$F$5:$F$54,MATCH(D1482,Produtos!$B$5:$B$54,0))),0))</f>
        <v/>
      </c>
      <c r="I1482" s="24" t="str">
        <f aca="false">IF(G1482="","",G1482-H1482)</f>
        <v/>
      </c>
      <c r="J1482" s="37"/>
    </row>
    <row r="1483" customFormat="false" ht="21" hidden="false" customHeight="true" outlineLevel="0" collapsed="false">
      <c r="B1483" s="36"/>
      <c r="C1483" s="7"/>
      <c r="D1483" s="7"/>
      <c r="E1483" s="37"/>
      <c r="F1483" s="38"/>
      <c r="G1483" s="24" t="str">
        <f aca="false">IF(OR(C1483="",D1483="",N(E1483)=0),"",E1483*IF(F1483="",IFERROR(N(INDEX(Produtos!$K$5:$K$54,MATCH(D1483,Produtos!$B$5:$B$54,0))),0),F1483))</f>
        <v/>
      </c>
      <c r="H1483" s="24" t="str">
        <f aca="false">IF(G1483="","",E1483*IFERROR(N(INDEX(Produtos!$F$5:$F$54,MATCH(D1483,Produtos!$B$5:$B$54,0))),0))</f>
        <v/>
      </c>
      <c r="I1483" s="24" t="str">
        <f aca="false">IF(G1483="","",G1483-H1483)</f>
        <v/>
      </c>
      <c r="J1483" s="37"/>
    </row>
    <row r="1484" customFormat="false" ht="21" hidden="false" customHeight="true" outlineLevel="0" collapsed="false">
      <c r="B1484" s="36"/>
      <c r="C1484" s="7"/>
      <c r="D1484" s="7"/>
      <c r="E1484" s="37"/>
      <c r="F1484" s="38"/>
      <c r="G1484" s="24" t="str">
        <f aca="false">IF(OR(C1484="",D1484="",N(E1484)=0),"",E1484*IF(F1484="",IFERROR(N(INDEX(Produtos!$K$5:$K$54,MATCH(D1484,Produtos!$B$5:$B$54,0))),0),F1484))</f>
        <v/>
      </c>
      <c r="H1484" s="24" t="str">
        <f aca="false">IF(G1484="","",E1484*IFERROR(N(INDEX(Produtos!$F$5:$F$54,MATCH(D1484,Produtos!$B$5:$B$54,0))),0))</f>
        <v/>
      </c>
      <c r="I1484" s="24" t="str">
        <f aca="false">IF(G1484="","",G1484-H1484)</f>
        <v/>
      </c>
      <c r="J1484" s="37"/>
    </row>
    <row r="1485" customFormat="false" ht="21" hidden="false" customHeight="true" outlineLevel="0" collapsed="false">
      <c r="B1485" s="36"/>
      <c r="C1485" s="7"/>
      <c r="D1485" s="7"/>
      <c r="E1485" s="37"/>
      <c r="F1485" s="38"/>
      <c r="G1485" s="24" t="str">
        <f aca="false">IF(OR(C1485="",D1485="",N(E1485)=0),"",E1485*IF(F1485="",IFERROR(N(INDEX(Produtos!$K$5:$K$54,MATCH(D1485,Produtos!$B$5:$B$54,0))),0),F1485))</f>
        <v/>
      </c>
      <c r="H1485" s="24" t="str">
        <f aca="false">IF(G1485="","",E1485*IFERROR(N(INDEX(Produtos!$F$5:$F$54,MATCH(D1485,Produtos!$B$5:$B$54,0))),0))</f>
        <v/>
      </c>
      <c r="I1485" s="24" t="str">
        <f aca="false">IF(G1485="","",G1485-H1485)</f>
        <v/>
      </c>
      <c r="J1485" s="37"/>
    </row>
    <row r="1486" customFormat="false" ht="21" hidden="false" customHeight="true" outlineLevel="0" collapsed="false">
      <c r="B1486" s="36"/>
      <c r="C1486" s="7"/>
      <c r="D1486" s="7"/>
      <c r="E1486" s="37"/>
      <c r="F1486" s="38"/>
      <c r="G1486" s="24" t="str">
        <f aca="false">IF(OR(C1486="",D1486="",N(E1486)=0),"",E1486*IF(F1486="",IFERROR(N(INDEX(Produtos!$K$5:$K$54,MATCH(D1486,Produtos!$B$5:$B$54,0))),0),F1486))</f>
        <v/>
      </c>
      <c r="H1486" s="24" t="str">
        <f aca="false">IF(G1486="","",E1486*IFERROR(N(INDEX(Produtos!$F$5:$F$54,MATCH(D1486,Produtos!$B$5:$B$54,0))),0))</f>
        <v/>
      </c>
      <c r="I1486" s="24" t="str">
        <f aca="false">IF(G1486="","",G1486-H1486)</f>
        <v/>
      </c>
      <c r="J1486" s="37"/>
    </row>
    <row r="1487" customFormat="false" ht="21" hidden="false" customHeight="true" outlineLevel="0" collapsed="false">
      <c r="B1487" s="36"/>
      <c r="C1487" s="7"/>
      <c r="D1487" s="7"/>
      <c r="E1487" s="37"/>
      <c r="F1487" s="38"/>
      <c r="G1487" s="24" t="str">
        <f aca="false">IF(OR(C1487="",D1487="",N(E1487)=0),"",E1487*IF(F1487="",IFERROR(N(INDEX(Produtos!$K$5:$K$54,MATCH(D1487,Produtos!$B$5:$B$54,0))),0),F1487))</f>
        <v/>
      </c>
      <c r="H1487" s="24" t="str">
        <f aca="false">IF(G1487="","",E1487*IFERROR(N(INDEX(Produtos!$F$5:$F$54,MATCH(D1487,Produtos!$B$5:$B$54,0))),0))</f>
        <v/>
      </c>
      <c r="I1487" s="24" t="str">
        <f aca="false">IF(G1487="","",G1487-H1487)</f>
        <v/>
      </c>
      <c r="J1487" s="37"/>
    </row>
    <row r="1488" customFormat="false" ht="21" hidden="false" customHeight="true" outlineLevel="0" collapsed="false">
      <c r="B1488" s="36"/>
      <c r="C1488" s="7"/>
      <c r="D1488" s="7"/>
      <c r="E1488" s="37"/>
      <c r="F1488" s="38"/>
      <c r="G1488" s="24" t="str">
        <f aca="false">IF(OR(C1488="",D1488="",N(E1488)=0),"",E1488*IF(F1488="",IFERROR(N(INDEX(Produtos!$K$5:$K$54,MATCH(D1488,Produtos!$B$5:$B$54,0))),0),F1488))</f>
        <v/>
      </c>
      <c r="H1488" s="24" t="str">
        <f aca="false">IF(G1488="","",E1488*IFERROR(N(INDEX(Produtos!$F$5:$F$54,MATCH(D1488,Produtos!$B$5:$B$54,0))),0))</f>
        <v/>
      </c>
      <c r="I1488" s="24" t="str">
        <f aca="false">IF(G1488="","",G1488-H1488)</f>
        <v/>
      </c>
      <c r="J1488" s="37"/>
    </row>
    <row r="1489" customFormat="false" ht="21" hidden="false" customHeight="true" outlineLevel="0" collapsed="false">
      <c r="B1489" s="36"/>
      <c r="C1489" s="7"/>
      <c r="D1489" s="7"/>
      <c r="E1489" s="37"/>
      <c r="F1489" s="38"/>
      <c r="G1489" s="24" t="str">
        <f aca="false">IF(OR(C1489="",D1489="",N(E1489)=0),"",E1489*IF(F1489="",IFERROR(N(INDEX(Produtos!$K$5:$K$54,MATCH(D1489,Produtos!$B$5:$B$54,0))),0),F1489))</f>
        <v/>
      </c>
      <c r="H1489" s="24" t="str">
        <f aca="false">IF(G1489="","",E1489*IFERROR(N(INDEX(Produtos!$F$5:$F$54,MATCH(D1489,Produtos!$B$5:$B$54,0))),0))</f>
        <v/>
      </c>
      <c r="I1489" s="24" t="str">
        <f aca="false">IF(G1489="","",G1489-H1489)</f>
        <v/>
      </c>
      <c r="J1489" s="37"/>
    </row>
    <row r="1490" customFormat="false" ht="21" hidden="false" customHeight="true" outlineLevel="0" collapsed="false">
      <c r="B1490" s="36"/>
      <c r="C1490" s="7"/>
      <c r="D1490" s="7"/>
      <c r="E1490" s="37"/>
      <c r="F1490" s="38"/>
      <c r="G1490" s="24" t="str">
        <f aca="false">IF(OR(C1490="",D1490="",N(E1490)=0),"",E1490*IF(F1490="",IFERROR(N(INDEX(Produtos!$K$5:$K$54,MATCH(D1490,Produtos!$B$5:$B$54,0))),0),F1490))</f>
        <v/>
      </c>
      <c r="H1490" s="24" t="str">
        <f aca="false">IF(G1490="","",E1490*IFERROR(N(INDEX(Produtos!$F$5:$F$54,MATCH(D1490,Produtos!$B$5:$B$54,0))),0))</f>
        <v/>
      </c>
      <c r="I1490" s="24" t="str">
        <f aca="false">IF(G1490="","",G1490-H1490)</f>
        <v/>
      </c>
      <c r="J1490" s="37"/>
    </row>
    <row r="1491" customFormat="false" ht="21" hidden="false" customHeight="true" outlineLevel="0" collapsed="false">
      <c r="B1491" s="36"/>
      <c r="C1491" s="7"/>
      <c r="D1491" s="7"/>
      <c r="E1491" s="37"/>
      <c r="F1491" s="38"/>
      <c r="G1491" s="24" t="str">
        <f aca="false">IF(OR(C1491="",D1491="",N(E1491)=0),"",E1491*IF(F1491="",IFERROR(N(INDEX(Produtos!$K$5:$K$54,MATCH(D1491,Produtos!$B$5:$B$54,0))),0),F1491))</f>
        <v/>
      </c>
      <c r="H1491" s="24" t="str">
        <f aca="false">IF(G1491="","",E1491*IFERROR(N(INDEX(Produtos!$F$5:$F$54,MATCH(D1491,Produtos!$B$5:$B$54,0))),0))</f>
        <v/>
      </c>
      <c r="I1491" s="24" t="str">
        <f aca="false">IF(G1491="","",G1491-H1491)</f>
        <v/>
      </c>
      <c r="J1491" s="37"/>
    </row>
    <row r="1492" customFormat="false" ht="21" hidden="false" customHeight="true" outlineLevel="0" collapsed="false">
      <c r="B1492" s="36"/>
      <c r="C1492" s="7"/>
      <c r="D1492" s="7"/>
      <c r="E1492" s="37"/>
      <c r="F1492" s="38"/>
      <c r="G1492" s="24" t="str">
        <f aca="false">IF(OR(C1492="",D1492="",N(E1492)=0),"",E1492*IF(F1492="",IFERROR(N(INDEX(Produtos!$K$5:$K$54,MATCH(D1492,Produtos!$B$5:$B$54,0))),0),F1492))</f>
        <v/>
      </c>
      <c r="H1492" s="24" t="str">
        <f aca="false">IF(G1492="","",E1492*IFERROR(N(INDEX(Produtos!$F$5:$F$54,MATCH(D1492,Produtos!$B$5:$B$54,0))),0))</f>
        <v/>
      </c>
      <c r="I1492" s="24" t="str">
        <f aca="false">IF(G1492="","",G1492-H1492)</f>
        <v/>
      </c>
      <c r="J1492" s="37"/>
    </row>
    <row r="1493" customFormat="false" ht="21" hidden="false" customHeight="true" outlineLevel="0" collapsed="false">
      <c r="B1493" s="36"/>
      <c r="C1493" s="7"/>
      <c r="D1493" s="7"/>
      <c r="E1493" s="37"/>
      <c r="F1493" s="38"/>
      <c r="G1493" s="24" t="str">
        <f aca="false">IF(OR(C1493="",D1493="",N(E1493)=0),"",E1493*IF(F1493="",IFERROR(N(INDEX(Produtos!$K$5:$K$54,MATCH(D1493,Produtos!$B$5:$B$54,0))),0),F1493))</f>
        <v/>
      </c>
      <c r="H1493" s="24" t="str">
        <f aca="false">IF(G1493="","",E1493*IFERROR(N(INDEX(Produtos!$F$5:$F$54,MATCH(D1493,Produtos!$B$5:$B$54,0))),0))</f>
        <v/>
      </c>
      <c r="I1493" s="24" t="str">
        <f aca="false">IF(G1493="","",G1493-H1493)</f>
        <v/>
      </c>
      <c r="J1493" s="37"/>
    </row>
    <row r="1494" customFormat="false" ht="21" hidden="false" customHeight="true" outlineLevel="0" collapsed="false">
      <c r="B1494" s="36"/>
      <c r="C1494" s="7"/>
      <c r="D1494" s="7"/>
      <c r="E1494" s="37"/>
      <c r="F1494" s="38"/>
      <c r="G1494" s="24" t="str">
        <f aca="false">IF(OR(C1494="",D1494="",N(E1494)=0),"",E1494*IF(F1494="",IFERROR(N(INDEX(Produtos!$K$5:$K$54,MATCH(D1494,Produtos!$B$5:$B$54,0))),0),F1494))</f>
        <v/>
      </c>
      <c r="H1494" s="24" t="str">
        <f aca="false">IF(G1494="","",E1494*IFERROR(N(INDEX(Produtos!$F$5:$F$54,MATCH(D1494,Produtos!$B$5:$B$54,0))),0))</f>
        <v/>
      </c>
      <c r="I1494" s="24" t="str">
        <f aca="false">IF(G1494="","",G1494-H1494)</f>
        <v/>
      </c>
      <c r="J1494" s="37"/>
    </row>
    <row r="1495" customFormat="false" ht="21" hidden="false" customHeight="true" outlineLevel="0" collapsed="false">
      <c r="B1495" s="36"/>
      <c r="C1495" s="7"/>
      <c r="D1495" s="7"/>
      <c r="E1495" s="37"/>
      <c r="F1495" s="38"/>
      <c r="G1495" s="24" t="str">
        <f aca="false">IF(OR(C1495="",D1495="",N(E1495)=0),"",E1495*IF(F1495="",IFERROR(N(INDEX(Produtos!$K$5:$K$54,MATCH(D1495,Produtos!$B$5:$B$54,0))),0),F1495))</f>
        <v/>
      </c>
      <c r="H1495" s="24" t="str">
        <f aca="false">IF(G1495="","",E1495*IFERROR(N(INDEX(Produtos!$F$5:$F$54,MATCH(D1495,Produtos!$B$5:$B$54,0))),0))</f>
        <v/>
      </c>
      <c r="I1495" s="24" t="str">
        <f aca="false">IF(G1495="","",G1495-H1495)</f>
        <v/>
      </c>
      <c r="J1495" s="37"/>
    </row>
    <row r="1496" customFormat="false" ht="21" hidden="false" customHeight="true" outlineLevel="0" collapsed="false">
      <c r="B1496" s="36"/>
      <c r="C1496" s="7"/>
      <c r="D1496" s="7"/>
      <c r="E1496" s="37"/>
      <c r="F1496" s="38"/>
      <c r="G1496" s="24" t="str">
        <f aca="false">IF(OR(C1496="",D1496="",N(E1496)=0),"",E1496*IF(F1496="",IFERROR(N(INDEX(Produtos!$K$5:$K$54,MATCH(D1496,Produtos!$B$5:$B$54,0))),0),F1496))</f>
        <v/>
      </c>
      <c r="H1496" s="24" t="str">
        <f aca="false">IF(G1496="","",E1496*IFERROR(N(INDEX(Produtos!$F$5:$F$54,MATCH(D1496,Produtos!$B$5:$B$54,0))),0))</f>
        <v/>
      </c>
      <c r="I1496" s="24" t="str">
        <f aca="false">IF(G1496="","",G1496-H1496)</f>
        <v/>
      </c>
      <c r="J1496" s="37"/>
    </row>
    <row r="1497" customFormat="false" ht="21" hidden="false" customHeight="true" outlineLevel="0" collapsed="false">
      <c r="B1497" s="36"/>
      <c r="C1497" s="7"/>
      <c r="D1497" s="7"/>
      <c r="E1497" s="37"/>
      <c r="F1497" s="38"/>
      <c r="G1497" s="24" t="str">
        <f aca="false">IF(OR(C1497="",D1497="",N(E1497)=0),"",E1497*IF(F1497="",IFERROR(N(INDEX(Produtos!$K$5:$K$54,MATCH(D1497,Produtos!$B$5:$B$54,0))),0),F1497))</f>
        <v/>
      </c>
      <c r="H1497" s="24" t="str">
        <f aca="false">IF(G1497="","",E1497*IFERROR(N(INDEX(Produtos!$F$5:$F$54,MATCH(D1497,Produtos!$B$5:$B$54,0))),0))</f>
        <v/>
      </c>
      <c r="I1497" s="24" t="str">
        <f aca="false">IF(G1497="","",G1497-H1497)</f>
        <v/>
      </c>
      <c r="J1497" s="37"/>
    </row>
    <row r="1498" customFormat="false" ht="21" hidden="false" customHeight="true" outlineLevel="0" collapsed="false">
      <c r="B1498" s="36"/>
      <c r="C1498" s="7"/>
      <c r="D1498" s="7"/>
      <c r="E1498" s="37"/>
      <c r="F1498" s="38"/>
      <c r="G1498" s="24" t="str">
        <f aca="false">IF(OR(C1498="",D1498="",N(E1498)=0),"",E1498*IF(F1498="",IFERROR(N(INDEX(Produtos!$K$5:$K$54,MATCH(D1498,Produtos!$B$5:$B$54,0))),0),F1498))</f>
        <v/>
      </c>
      <c r="H1498" s="24" t="str">
        <f aca="false">IF(G1498="","",E1498*IFERROR(N(INDEX(Produtos!$F$5:$F$54,MATCH(D1498,Produtos!$B$5:$B$54,0))),0))</f>
        <v/>
      </c>
      <c r="I1498" s="24" t="str">
        <f aca="false">IF(G1498="","",G1498-H1498)</f>
        <v/>
      </c>
      <c r="J1498" s="37"/>
    </row>
    <row r="1499" customFormat="false" ht="21" hidden="false" customHeight="true" outlineLevel="0" collapsed="false">
      <c r="B1499" s="36"/>
      <c r="C1499" s="7"/>
      <c r="D1499" s="7"/>
      <c r="E1499" s="37"/>
      <c r="F1499" s="38"/>
      <c r="G1499" s="24" t="str">
        <f aca="false">IF(OR(C1499="",D1499="",N(E1499)=0),"",E1499*IF(F1499="",IFERROR(N(INDEX(Produtos!$K$5:$K$54,MATCH(D1499,Produtos!$B$5:$B$54,0))),0),F1499))</f>
        <v/>
      </c>
      <c r="H1499" s="24" t="str">
        <f aca="false">IF(G1499="","",E1499*IFERROR(N(INDEX(Produtos!$F$5:$F$54,MATCH(D1499,Produtos!$B$5:$B$54,0))),0))</f>
        <v/>
      </c>
      <c r="I1499" s="24" t="str">
        <f aca="false">IF(G1499="","",G1499-H1499)</f>
        <v/>
      </c>
      <c r="J1499" s="37"/>
    </row>
    <row r="1500" customFormat="false" ht="21" hidden="false" customHeight="true" outlineLevel="0" collapsed="false">
      <c r="B1500" s="36"/>
      <c r="C1500" s="7"/>
      <c r="D1500" s="7"/>
      <c r="E1500" s="37"/>
      <c r="F1500" s="38"/>
      <c r="G1500" s="24" t="str">
        <f aca="false">IF(OR(C1500="",D1500="",N(E1500)=0),"",E1500*IF(F1500="",IFERROR(N(INDEX(Produtos!$K$5:$K$54,MATCH(D1500,Produtos!$B$5:$B$54,0))),0),F1500))</f>
        <v/>
      </c>
      <c r="H1500" s="24" t="str">
        <f aca="false">IF(G1500="","",E1500*IFERROR(N(INDEX(Produtos!$F$5:$F$54,MATCH(D1500,Produtos!$B$5:$B$54,0))),0))</f>
        <v/>
      </c>
      <c r="I1500" s="24" t="str">
        <f aca="false">IF(G1500="","",G1500-H1500)</f>
        <v/>
      </c>
      <c r="J1500" s="37"/>
    </row>
    <row r="1501" customFormat="false" ht="21" hidden="false" customHeight="true" outlineLevel="0" collapsed="false">
      <c r="B1501" s="36"/>
      <c r="C1501" s="7"/>
      <c r="D1501" s="7"/>
      <c r="E1501" s="37"/>
      <c r="F1501" s="38"/>
      <c r="G1501" s="24" t="str">
        <f aca="false">IF(OR(C1501="",D1501="",N(E1501)=0),"",E1501*IF(F1501="",IFERROR(N(INDEX(Produtos!$K$5:$K$54,MATCH(D1501,Produtos!$B$5:$B$54,0))),0),F1501))</f>
        <v/>
      </c>
      <c r="H1501" s="24" t="str">
        <f aca="false">IF(G1501="","",E1501*IFERROR(N(INDEX(Produtos!$F$5:$F$54,MATCH(D1501,Produtos!$B$5:$B$54,0))),0))</f>
        <v/>
      </c>
      <c r="I1501" s="24" t="str">
        <f aca="false">IF(G1501="","",G1501-H1501)</f>
        <v/>
      </c>
      <c r="J1501" s="37"/>
    </row>
    <row r="1502" customFormat="false" ht="21" hidden="false" customHeight="true" outlineLevel="0" collapsed="false">
      <c r="B1502" s="36"/>
      <c r="C1502" s="7"/>
      <c r="D1502" s="7"/>
      <c r="E1502" s="37"/>
      <c r="F1502" s="38"/>
      <c r="G1502" s="24" t="str">
        <f aca="false">IF(OR(C1502="",D1502="",N(E1502)=0),"",E1502*IF(F1502="",IFERROR(N(INDEX(Produtos!$K$5:$K$54,MATCH(D1502,Produtos!$B$5:$B$54,0))),0),F1502))</f>
        <v/>
      </c>
      <c r="H1502" s="24" t="str">
        <f aca="false">IF(G1502="","",E1502*IFERROR(N(INDEX(Produtos!$F$5:$F$54,MATCH(D1502,Produtos!$B$5:$B$54,0))),0))</f>
        <v/>
      </c>
      <c r="I1502" s="24" t="str">
        <f aca="false">IF(G1502="","",G1502-H1502)</f>
        <v/>
      </c>
      <c r="J1502" s="37"/>
    </row>
    <row r="1503" customFormat="false" ht="21" hidden="false" customHeight="true" outlineLevel="0" collapsed="false">
      <c r="B1503" s="36"/>
      <c r="C1503" s="7"/>
      <c r="D1503" s="7"/>
      <c r="E1503" s="37"/>
      <c r="F1503" s="38"/>
      <c r="G1503" s="24" t="str">
        <f aca="false">IF(OR(C1503="",D1503="",N(E1503)=0),"",E1503*IF(F1503="",IFERROR(N(INDEX(Produtos!$K$5:$K$54,MATCH(D1503,Produtos!$B$5:$B$54,0))),0),F1503))</f>
        <v/>
      </c>
      <c r="H1503" s="24" t="str">
        <f aca="false">IF(G1503="","",E1503*IFERROR(N(INDEX(Produtos!$F$5:$F$54,MATCH(D1503,Produtos!$B$5:$B$54,0))),0))</f>
        <v/>
      </c>
      <c r="I1503" s="24" t="str">
        <f aca="false">IF(G1503="","",G1503-H1503)</f>
        <v/>
      </c>
      <c r="J1503" s="37"/>
    </row>
    <row r="1504" customFormat="false" ht="21" hidden="false" customHeight="true" outlineLevel="0" collapsed="false">
      <c r="B1504" s="36"/>
      <c r="C1504" s="7"/>
      <c r="D1504" s="7"/>
      <c r="E1504" s="37"/>
      <c r="F1504" s="38"/>
      <c r="G1504" s="24" t="str">
        <f aca="false">IF(OR(C1504="",D1504="",N(E1504)=0),"",E1504*IF(F1504="",IFERROR(N(INDEX(Produtos!$K$5:$K$54,MATCH(D1504,Produtos!$B$5:$B$54,0))),0),F1504))</f>
        <v/>
      </c>
      <c r="H1504" s="24" t="str">
        <f aca="false">IF(G1504="","",E1504*IFERROR(N(INDEX(Produtos!$F$5:$F$54,MATCH(D1504,Produtos!$B$5:$B$54,0))),0))</f>
        <v/>
      </c>
      <c r="I1504" s="24" t="str">
        <f aca="false">IF(G1504="","",G1504-H1504)</f>
        <v/>
      </c>
      <c r="J1504" s="37"/>
    </row>
    <row r="1505" customFormat="false" ht="21" hidden="false" customHeight="true" outlineLevel="0" collapsed="false">
      <c r="B1505" s="36"/>
      <c r="C1505" s="7"/>
      <c r="D1505" s="7"/>
      <c r="E1505" s="37"/>
      <c r="F1505" s="38"/>
      <c r="G1505" s="24" t="str">
        <f aca="false">IF(OR(C1505="",D1505="",N(E1505)=0),"",E1505*IF(F1505="",IFERROR(N(INDEX(Produtos!$K$5:$K$54,MATCH(D1505,Produtos!$B$5:$B$54,0))),0),F1505))</f>
        <v/>
      </c>
      <c r="H1505" s="24" t="str">
        <f aca="false">IF(G1505="","",E1505*IFERROR(N(INDEX(Produtos!$F$5:$F$54,MATCH(D1505,Produtos!$B$5:$B$54,0))),0))</f>
        <v/>
      </c>
      <c r="I1505" s="24" t="str">
        <f aca="false">IF(G1505="","",G1505-H1505)</f>
        <v/>
      </c>
      <c r="J1505" s="37"/>
    </row>
    <row r="1506" customFormat="false" ht="21" hidden="false" customHeight="true" outlineLevel="0" collapsed="false">
      <c r="B1506" s="36"/>
      <c r="C1506" s="7"/>
      <c r="D1506" s="7"/>
      <c r="E1506" s="37"/>
      <c r="F1506" s="38"/>
      <c r="G1506" s="24" t="str">
        <f aca="false">IF(OR(C1506="",D1506="",N(E1506)=0),"",E1506*IF(F1506="",IFERROR(N(INDEX(Produtos!$K$5:$K$54,MATCH(D1506,Produtos!$B$5:$B$54,0))),0),F1506))</f>
        <v/>
      </c>
      <c r="H1506" s="24" t="str">
        <f aca="false">IF(G1506="","",E1506*IFERROR(N(INDEX(Produtos!$F$5:$F$54,MATCH(D1506,Produtos!$B$5:$B$54,0))),0))</f>
        <v/>
      </c>
      <c r="I1506" s="24" t="str">
        <f aca="false">IF(G1506="","",G1506-H1506)</f>
        <v/>
      </c>
      <c r="J1506" s="37"/>
    </row>
    <row r="1507" customFormat="false" ht="21" hidden="false" customHeight="true" outlineLevel="0" collapsed="false">
      <c r="B1507" s="36"/>
      <c r="C1507" s="7"/>
      <c r="D1507" s="7"/>
      <c r="E1507" s="37"/>
      <c r="F1507" s="38"/>
      <c r="G1507" s="24" t="str">
        <f aca="false">IF(OR(C1507="",D1507="",N(E1507)=0),"",E1507*IF(F1507="",IFERROR(N(INDEX(Produtos!$K$5:$K$54,MATCH(D1507,Produtos!$B$5:$B$54,0))),0),F1507))</f>
        <v/>
      </c>
      <c r="H1507" s="24" t="str">
        <f aca="false">IF(G1507="","",E1507*IFERROR(N(INDEX(Produtos!$F$5:$F$54,MATCH(D1507,Produtos!$B$5:$B$54,0))),0))</f>
        <v/>
      </c>
      <c r="I1507" s="24" t="str">
        <f aca="false">IF(G1507="","",G1507-H1507)</f>
        <v/>
      </c>
      <c r="J1507" s="37"/>
    </row>
    <row r="1508" customFormat="false" ht="21" hidden="false" customHeight="true" outlineLevel="0" collapsed="false">
      <c r="B1508" s="36"/>
      <c r="C1508" s="7"/>
      <c r="D1508" s="7"/>
      <c r="E1508" s="37"/>
      <c r="F1508" s="38"/>
      <c r="G1508" s="24" t="str">
        <f aca="false">IF(OR(C1508="",D1508="",N(E1508)=0),"",E1508*IF(F1508="",IFERROR(N(INDEX(Produtos!$K$5:$K$54,MATCH(D1508,Produtos!$B$5:$B$54,0))),0),F1508))</f>
        <v/>
      </c>
      <c r="H1508" s="24" t="str">
        <f aca="false">IF(G1508="","",E1508*IFERROR(N(INDEX(Produtos!$F$5:$F$54,MATCH(D1508,Produtos!$B$5:$B$54,0))),0))</f>
        <v/>
      </c>
      <c r="I1508" s="24" t="str">
        <f aca="false">IF(G1508="","",G1508-H1508)</f>
        <v/>
      </c>
      <c r="J1508" s="37"/>
    </row>
    <row r="1509" customFormat="false" ht="21" hidden="false" customHeight="true" outlineLevel="0" collapsed="false">
      <c r="B1509" s="36"/>
      <c r="C1509" s="7"/>
      <c r="D1509" s="7"/>
      <c r="E1509" s="37"/>
      <c r="F1509" s="38"/>
      <c r="G1509" s="24" t="str">
        <f aca="false">IF(OR(C1509="",D1509="",N(E1509)=0),"",E1509*IF(F1509="",IFERROR(N(INDEX(Produtos!$K$5:$K$54,MATCH(D1509,Produtos!$B$5:$B$54,0))),0),F1509))</f>
        <v/>
      </c>
      <c r="H1509" s="24" t="str">
        <f aca="false">IF(G1509="","",E1509*IFERROR(N(INDEX(Produtos!$F$5:$F$54,MATCH(D1509,Produtos!$B$5:$B$54,0))),0))</f>
        <v/>
      </c>
      <c r="I1509" s="24" t="str">
        <f aca="false">IF(G1509="","",G1509-H1509)</f>
        <v/>
      </c>
      <c r="J1509" s="37"/>
    </row>
    <row r="1510" customFormat="false" ht="21" hidden="false" customHeight="true" outlineLevel="0" collapsed="false">
      <c r="B1510" s="36"/>
      <c r="C1510" s="7"/>
      <c r="D1510" s="7"/>
      <c r="E1510" s="37"/>
      <c r="F1510" s="38"/>
      <c r="G1510" s="24" t="str">
        <f aca="false">IF(OR(C1510="",D1510="",N(E1510)=0),"",E1510*IF(F1510="",IFERROR(N(INDEX(Produtos!$K$5:$K$54,MATCH(D1510,Produtos!$B$5:$B$54,0))),0),F1510))</f>
        <v/>
      </c>
      <c r="H1510" s="24" t="str">
        <f aca="false">IF(G1510="","",E1510*IFERROR(N(INDEX(Produtos!$F$5:$F$54,MATCH(D1510,Produtos!$B$5:$B$54,0))),0))</f>
        <v/>
      </c>
      <c r="I1510" s="24" t="str">
        <f aca="false">IF(G1510="","",G1510-H1510)</f>
        <v/>
      </c>
      <c r="J1510" s="37"/>
    </row>
    <row r="1511" customFormat="false" ht="21" hidden="false" customHeight="true" outlineLevel="0" collapsed="false">
      <c r="B1511" s="36"/>
      <c r="C1511" s="7"/>
      <c r="D1511" s="7"/>
      <c r="E1511" s="37"/>
      <c r="F1511" s="38"/>
      <c r="G1511" s="24" t="str">
        <f aca="false">IF(OR(C1511="",D1511="",N(E1511)=0),"",E1511*IF(F1511="",IFERROR(N(INDEX(Produtos!$K$5:$K$54,MATCH(D1511,Produtos!$B$5:$B$54,0))),0),F1511))</f>
        <v/>
      </c>
      <c r="H1511" s="24" t="str">
        <f aca="false">IF(G1511="","",E1511*IFERROR(N(INDEX(Produtos!$F$5:$F$54,MATCH(D1511,Produtos!$B$5:$B$54,0))),0))</f>
        <v/>
      </c>
      <c r="I1511" s="24" t="str">
        <f aca="false">IF(G1511="","",G1511-H1511)</f>
        <v/>
      </c>
      <c r="J1511" s="37"/>
    </row>
    <row r="1512" customFormat="false" ht="21" hidden="false" customHeight="true" outlineLevel="0" collapsed="false">
      <c r="B1512" s="36"/>
      <c r="C1512" s="7"/>
      <c r="D1512" s="7"/>
      <c r="E1512" s="37"/>
      <c r="F1512" s="38"/>
      <c r="G1512" s="24" t="str">
        <f aca="false">IF(OR(C1512="",D1512="",N(E1512)=0),"",E1512*IF(F1512="",IFERROR(N(INDEX(Produtos!$K$5:$K$54,MATCH(D1512,Produtos!$B$5:$B$54,0))),0),F1512))</f>
        <v/>
      </c>
      <c r="H1512" s="24" t="str">
        <f aca="false">IF(G1512="","",E1512*IFERROR(N(INDEX(Produtos!$F$5:$F$54,MATCH(D1512,Produtos!$B$5:$B$54,0))),0))</f>
        <v/>
      </c>
      <c r="I1512" s="24" t="str">
        <f aca="false">IF(G1512="","",G1512-H1512)</f>
        <v/>
      </c>
      <c r="J1512" s="37"/>
    </row>
    <row r="1513" customFormat="false" ht="21" hidden="false" customHeight="true" outlineLevel="0" collapsed="false">
      <c r="B1513" s="36"/>
      <c r="C1513" s="7"/>
      <c r="D1513" s="7"/>
      <c r="E1513" s="37"/>
      <c r="F1513" s="38"/>
      <c r="G1513" s="24" t="str">
        <f aca="false">IF(OR(C1513="",D1513="",N(E1513)=0),"",E1513*IF(F1513="",IFERROR(N(INDEX(Produtos!$K$5:$K$54,MATCH(D1513,Produtos!$B$5:$B$54,0))),0),F1513))</f>
        <v/>
      </c>
      <c r="H1513" s="24" t="str">
        <f aca="false">IF(G1513="","",E1513*IFERROR(N(INDEX(Produtos!$F$5:$F$54,MATCH(D1513,Produtos!$B$5:$B$54,0))),0))</f>
        <v/>
      </c>
      <c r="I1513" s="24" t="str">
        <f aca="false">IF(G1513="","",G1513-H1513)</f>
        <v/>
      </c>
      <c r="J1513" s="37"/>
    </row>
    <row r="1514" customFormat="false" ht="21" hidden="false" customHeight="true" outlineLevel="0" collapsed="false">
      <c r="B1514" s="36"/>
      <c r="C1514" s="7"/>
      <c r="D1514" s="7"/>
      <c r="E1514" s="37"/>
      <c r="F1514" s="38"/>
      <c r="G1514" s="24" t="str">
        <f aca="false">IF(OR(C1514="",D1514="",N(E1514)=0),"",E1514*IF(F1514="",IFERROR(N(INDEX(Produtos!$K$5:$K$54,MATCH(D1514,Produtos!$B$5:$B$54,0))),0),F1514))</f>
        <v/>
      </c>
      <c r="H1514" s="24" t="str">
        <f aca="false">IF(G1514="","",E1514*IFERROR(N(INDEX(Produtos!$F$5:$F$54,MATCH(D1514,Produtos!$B$5:$B$54,0))),0))</f>
        <v/>
      </c>
      <c r="I1514" s="24" t="str">
        <f aca="false">IF(G1514="","",G1514-H1514)</f>
        <v/>
      </c>
      <c r="J1514" s="37"/>
    </row>
    <row r="1515" customFormat="false" ht="21" hidden="false" customHeight="true" outlineLevel="0" collapsed="false">
      <c r="B1515" s="36"/>
      <c r="C1515" s="7"/>
      <c r="D1515" s="7"/>
      <c r="E1515" s="37"/>
      <c r="F1515" s="38"/>
      <c r="G1515" s="24" t="str">
        <f aca="false">IF(OR(C1515="",D1515="",N(E1515)=0),"",E1515*IF(F1515="",IFERROR(N(INDEX(Produtos!$K$5:$K$54,MATCH(D1515,Produtos!$B$5:$B$54,0))),0),F1515))</f>
        <v/>
      </c>
      <c r="H1515" s="24" t="str">
        <f aca="false">IF(G1515="","",E1515*IFERROR(N(INDEX(Produtos!$F$5:$F$54,MATCH(D1515,Produtos!$B$5:$B$54,0))),0))</f>
        <v/>
      </c>
      <c r="I1515" s="24" t="str">
        <f aca="false">IF(G1515="","",G1515-H1515)</f>
        <v/>
      </c>
      <c r="J1515" s="37"/>
    </row>
    <row r="1516" customFormat="false" ht="21" hidden="false" customHeight="true" outlineLevel="0" collapsed="false">
      <c r="B1516" s="36"/>
      <c r="C1516" s="7"/>
      <c r="D1516" s="7"/>
      <c r="E1516" s="37"/>
      <c r="F1516" s="38"/>
      <c r="G1516" s="24" t="str">
        <f aca="false">IF(OR(C1516="",D1516="",N(E1516)=0),"",E1516*IF(F1516="",IFERROR(N(INDEX(Produtos!$K$5:$K$54,MATCH(D1516,Produtos!$B$5:$B$54,0))),0),F1516))</f>
        <v/>
      </c>
      <c r="H1516" s="24" t="str">
        <f aca="false">IF(G1516="","",E1516*IFERROR(N(INDEX(Produtos!$F$5:$F$54,MATCH(D1516,Produtos!$B$5:$B$54,0))),0))</f>
        <v/>
      </c>
      <c r="I1516" s="24" t="str">
        <f aca="false">IF(G1516="","",G1516-H1516)</f>
        <v/>
      </c>
      <c r="J1516" s="37"/>
    </row>
    <row r="1517" customFormat="false" ht="21" hidden="false" customHeight="true" outlineLevel="0" collapsed="false">
      <c r="B1517" s="36"/>
      <c r="C1517" s="7"/>
      <c r="D1517" s="7"/>
      <c r="E1517" s="37"/>
      <c r="F1517" s="38"/>
      <c r="G1517" s="24" t="str">
        <f aca="false">IF(OR(C1517="",D1517="",N(E1517)=0),"",E1517*IF(F1517="",IFERROR(N(INDEX(Produtos!$K$5:$K$54,MATCH(D1517,Produtos!$B$5:$B$54,0))),0),F1517))</f>
        <v/>
      </c>
      <c r="H1517" s="24" t="str">
        <f aca="false">IF(G1517="","",E1517*IFERROR(N(INDEX(Produtos!$F$5:$F$54,MATCH(D1517,Produtos!$B$5:$B$54,0))),0))</f>
        <v/>
      </c>
      <c r="I1517" s="24" t="str">
        <f aca="false">IF(G1517="","",G1517-H1517)</f>
        <v/>
      </c>
      <c r="J1517" s="37"/>
    </row>
    <row r="1518" customFormat="false" ht="21" hidden="false" customHeight="true" outlineLevel="0" collapsed="false">
      <c r="B1518" s="36"/>
      <c r="C1518" s="7"/>
      <c r="D1518" s="7"/>
      <c r="E1518" s="37"/>
      <c r="F1518" s="38"/>
      <c r="G1518" s="24" t="str">
        <f aca="false">IF(OR(C1518="",D1518="",N(E1518)=0),"",E1518*IF(F1518="",IFERROR(N(INDEX(Produtos!$K$5:$K$54,MATCH(D1518,Produtos!$B$5:$B$54,0))),0),F1518))</f>
        <v/>
      </c>
      <c r="H1518" s="24" t="str">
        <f aca="false">IF(G1518="","",E1518*IFERROR(N(INDEX(Produtos!$F$5:$F$54,MATCH(D1518,Produtos!$B$5:$B$54,0))),0))</f>
        <v/>
      </c>
      <c r="I1518" s="24" t="str">
        <f aca="false">IF(G1518="","",G1518-H1518)</f>
        <v/>
      </c>
      <c r="J1518" s="37"/>
    </row>
    <row r="1519" customFormat="false" ht="21" hidden="false" customHeight="true" outlineLevel="0" collapsed="false">
      <c r="B1519" s="36"/>
      <c r="C1519" s="7"/>
      <c r="D1519" s="7"/>
      <c r="E1519" s="37"/>
      <c r="F1519" s="38"/>
      <c r="G1519" s="24" t="str">
        <f aca="false">IF(OR(C1519="",D1519="",N(E1519)=0),"",E1519*IF(F1519="",IFERROR(N(INDEX(Produtos!$K$5:$K$54,MATCH(D1519,Produtos!$B$5:$B$54,0))),0),F1519))</f>
        <v/>
      </c>
      <c r="H1519" s="24" t="str">
        <f aca="false">IF(G1519="","",E1519*IFERROR(N(INDEX(Produtos!$F$5:$F$54,MATCH(D1519,Produtos!$B$5:$B$54,0))),0))</f>
        <v/>
      </c>
      <c r="I1519" s="24" t="str">
        <f aca="false">IF(G1519="","",G1519-H1519)</f>
        <v/>
      </c>
      <c r="J1519" s="37"/>
    </row>
    <row r="1520" customFormat="false" ht="21" hidden="false" customHeight="true" outlineLevel="0" collapsed="false">
      <c r="B1520" s="36"/>
      <c r="C1520" s="7"/>
      <c r="D1520" s="7"/>
      <c r="E1520" s="37"/>
      <c r="F1520" s="38"/>
      <c r="G1520" s="24" t="str">
        <f aca="false">IF(OR(C1520="",D1520="",N(E1520)=0),"",E1520*IF(F1520="",IFERROR(N(INDEX(Produtos!$K$5:$K$54,MATCH(D1520,Produtos!$B$5:$B$54,0))),0),F1520))</f>
        <v/>
      </c>
      <c r="H1520" s="24" t="str">
        <f aca="false">IF(G1520="","",E1520*IFERROR(N(INDEX(Produtos!$F$5:$F$54,MATCH(D1520,Produtos!$B$5:$B$54,0))),0))</f>
        <v/>
      </c>
      <c r="I1520" s="24" t="str">
        <f aca="false">IF(G1520="","",G1520-H1520)</f>
        <v/>
      </c>
      <c r="J1520" s="37"/>
    </row>
    <row r="1521" customFormat="false" ht="21" hidden="false" customHeight="true" outlineLevel="0" collapsed="false">
      <c r="B1521" s="36"/>
      <c r="C1521" s="7"/>
      <c r="D1521" s="7"/>
      <c r="E1521" s="37"/>
      <c r="F1521" s="38"/>
      <c r="G1521" s="24" t="str">
        <f aca="false">IF(OR(C1521="",D1521="",N(E1521)=0),"",E1521*IF(F1521="",IFERROR(N(INDEX(Produtos!$K$5:$K$54,MATCH(D1521,Produtos!$B$5:$B$54,0))),0),F1521))</f>
        <v/>
      </c>
      <c r="H1521" s="24" t="str">
        <f aca="false">IF(G1521="","",E1521*IFERROR(N(INDEX(Produtos!$F$5:$F$54,MATCH(D1521,Produtos!$B$5:$B$54,0))),0))</f>
        <v/>
      </c>
      <c r="I1521" s="24" t="str">
        <f aca="false">IF(G1521="","",G1521-H1521)</f>
        <v/>
      </c>
      <c r="J1521" s="37"/>
    </row>
    <row r="1522" customFormat="false" ht="21" hidden="false" customHeight="true" outlineLevel="0" collapsed="false">
      <c r="B1522" s="36"/>
      <c r="C1522" s="7"/>
      <c r="D1522" s="7"/>
      <c r="E1522" s="37"/>
      <c r="F1522" s="38"/>
      <c r="G1522" s="24" t="str">
        <f aca="false">IF(OR(C1522="",D1522="",N(E1522)=0),"",E1522*IF(F1522="",IFERROR(N(INDEX(Produtos!$K$5:$K$54,MATCH(D1522,Produtos!$B$5:$B$54,0))),0),F1522))</f>
        <v/>
      </c>
      <c r="H1522" s="24" t="str">
        <f aca="false">IF(G1522="","",E1522*IFERROR(N(INDEX(Produtos!$F$5:$F$54,MATCH(D1522,Produtos!$B$5:$B$54,0))),0))</f>
        <v/>
      </c>
      <c r="I1522" s="24" t="str">
        <f aca="false">IF(G1522="","",G1522-H1522)</f>
        <v/>
      </c>
      <c r="J1522" s="37"/>
    </row>
    <row r="1523" customFormat="false" ht="21" hidden="false" customHeight="true" outlineLevel="0" collapsed="false">
      <c r="B1523" s="36"/>
      <c r="C1523" s="7"/>
      <c r="D1523" s="7"/>
      <c r="E1523" s="37"/>
      <c r="F1523" s="38"/>
      <c r="G1523" s="24" t="str">
        <f aca="false">IF(OR(C1523="",D1523="",N(E1523)=0),"",E1523*IF(F1523="",IFERROR(N(INDEX(Produtos!$K$5:$K$54,MATCH(D1523,Produtos!$B$5:$B$54,0))),0),F1523))</f>
        <v/>
      </c>
      <c r="H1523" s="24" t="str">
        <f aca="false">IF(G1523="","",E1523*IFERROR(N(INDEX(Produtos!$F$5:$F$54,MATCH(D1523,Produtos!$B$5:$B$54,0))),0))</f>
        <v/>
      </c>
      <c r="I1523" s="24" t="str">
        <f aca="false">IF(G1523="","",G1523-H1523)</f>
        <v/>
      </c>
      <c r="J1523" s="37"/>
    </row>
    <row r="1524" customFormat="false" ht="21" hidden="false" customHeight="true" outlineLevel="0" collapsed="false">
      <c r="B1524" s="36"/>
      <c r="C1524" s="7"/>
      <c r="D1524" s="7"/>
      <c r="E1524" s="37"/>
      <c r="F1524" s="38"/>
      <c r="G1524" s="24" t="str">
        <f aca="false">IF(OR(C1524="",D1524="",N(E1524)=0),"",E1524*IF(F1524="",IFERROR(N(INDEX(Produtos!$K$5:$K$54,MATCH(D1524,Produtos!$B$5:$B$54,0))),0),F1524))</f>
        <v/>
      </c>
      <c r="H1524" s="24" t="str">
        <f aca="false">IF(G1524="","",E1524*IFERROR(N(INDEX(Produtos!$F$5:$F$54,MATCH(D1524,Produtos!$B$5:$B$54,0))),0))</f>
        <v/>
      </c>
      <c r="I1524" s="24" t="str">
        <f aca="false">IF(G1524="","",G1524-H1524)</f>
        <v/>
      </c>
      <c r="J1524" s="37"/>
    </row>
    <row r="1525" customFormat="false" ht="21" hidden="false" customHeight="true" outlineLevel="0" collapsed="false">
      <c r="B1525" s="36"/>
      <c r="C1525" s="7"/>
      <c r="D1525" s="7"/>
      <c r="E1525" s="37"/>
      <c r="F1525" s="38"/>
      <c r="G1525" s="24" t="str">
        <f aca="false">IF(OR(C1525="",D1525="",N(E1525)=0),"",E1525*IF(F1525="",IFERROR(N(INDEX(Produtos!$K$5:$K$54,MATCH(D1525,Produtos!$B$5:$B$54,0))),0),F1525))</f>
        <v/>
      </c>
      <c r="H1525" s="24" t="str">
        <f aca="false">IF(G1525="","",E1525*IFERROR(N(INDEX(Produtos!$F$5:$F$54,MATCH(D1525,Produtos!$B$5:$B$54,0))),0))</f>
        <v/>
      </c>
      <c r="I1525" s="24" t="str">
        <f aca="false">IF(G1525="","",G1525-H1525)</f>
        <v/>
      </c>
      <c r="J1525" s="37"/>
    </row>
    <row r="1526" customFormat="false" ht="21" hidden="false" customHeight="true" outlineLevel="0" collapsed="false">
      <c r="B1526" s="36"/>
      <c r="C1526" s="7"/>
      <c r="D1526" s="7"/>
      <c r="E1526" s="37"/>
      <c r="F1526" s="38"/>
      <c r="G1526" s="24" t="str">
        <f aca="false">IF(OR(C1526="",D1526="",N(E1526)=0),"",E1526*IF(F1526="",IFERROR(N(INDEX(Produtos!$K$5:$K$54,MATCH(D1526,Produtos!$B$5:$B$54,0))),0),F1526))</f>
        <v/>
      </c>
      <c r="H1526" s="24" t="str">
        <f aca="false">IF(G1526="","",E1526*IFERROR(N(INDEX(Produtos!$F$5:$F$54,MATCH(D1526,Produtos!$B$5:$B$54,0))),0))</f>
        <v/>
      </c>
      <c r="I1526" s="24" t="str">
        <f aca="false">IF(G1526="","",G1526-H1526)</f>
        <v/>
      </c>
      <c r="J1526" s="37"/>
    </row>
    <row r="1527" customFormat="false" ht="21" hidden="false" customHeight="true" outlineLevel="0" collapsed="false">
      <c r="B1527" s="36"/>
      <c r="C1527" s="7"/>
      <c r="D1527" s="7"/>
      <c r="E1527" s="37"/>
      <c r="F1527" s="38"/>
      <c r="G1527" s="24" t="str">
        <f aca="false">IF(OR(C1527="",D1527="",N(E1527)=0),"",E1527*IF(F1527="",IFERROR(N(INDEX(Produtos!$K$5:$K$54,MATCH(D1527,Produtos!$B$5:$B$54,0))),0),F1527))</f>
        <v/>
      </c>
      <c r="H1527" s="24" t="str">
        <f aca="false">IF(G1527="","",E1527*IFERROR(N(INDEX(Produtos!$F$5:$F$54,MATCH(D1527,Produtos!$B$5:$B$54,0))),0))</f>
        <v/>
      </c>
      <c r="I1527" s="24" t="str">
        <f aca="false">IF(G1527="","",G1527-H1527)</f>
        <v/>
      </c>
      <c r="J1527" s="37"/>
    </row>
    <row r="1528" customFormat="false" ht="21" hidden="false" customHeight="true" outlineLevel="0" collapsed="false">
      <c r="B1528" s="36"/>
      <c r="C1528" s="7"/>
      <c r="D1528" s="7"/>
      <c r="E1528" s="37"/>
      <c r="F1528" s="38"/>
      <c r="G1528" s="24" t="str">
        <f aca="false">IF(OR(C1528="",D1528="",N(E1528)=0),"",E1528*IF(F1528="",IFERROR(N(INDEX(Produtos!$K$5:$K$54,MATCH(D1528,Produtos!$B$5:$B$54,0))),0),F1528))</f>
        <v/>
      </c>
      <c r="H1528" s="24" t="str">
        <f aca="false">IF(G1528="","",E1528*IFERROR(N(INDEX(Produtos!$F$5:$F$54,MATCH(D1528,Produtos!$B$5:$B$54,0))),0))</f>
        <v/>
      </c>
      <c r="I1528" s="24" t="str">
        <f aca="false">IF(G1528="","",G1528-H1528)</f>
        <v/>
      </c>
      <c r="J1528" s="37"/>
    </row>
    <row r="1529" customFormat="false" ht="21" hidden="false" customHeight="true" outlineLevel="0" collapsed="false">
      <c r="B1529" s="36"/>
      <c r="C1529" s="7"/>
      <c r="D1529" s="7"/>
      <c r="E1529" s="37"/>
      <c r="F1529" s="38"/>
      <c r="G1529" s="24" t="str">
        <f aca="false">IF(OR(C1529="",D1529="",N(E1529)=0),"",E1529*IF(F1529="",IFERROR(N(INDEX(Produtos!$K$5:$K$54,MATCH(D1529,Produtos!$B$5:$B$54,0))),0),F1529))</f>
        <v/>
      </c>
      <c r="H1529" s="24" t="str">
        <f aca="false">IF(G1529="","",E1529*IFERROR(N(INDEX(Produtos!$F$5:$F$54,MATCH(D1529,Produtos!$B$5:$B$54,0))),0))</f>
        <v/>
      </c>
      <c r="I1529" s="24" t="str">
        <f aca="false">IF(G1529="","",G1529-H1529)</f>
        <v/>
      </c>
      <c r="J1529" s="37"/>
    </row>
    <row r="1530" customFormat="false" ht="21" hidden="false" customHeight="true" outlineLevel="0" collapsed="false">
      <c r="B1530" s="36"/>
      <c r="C1530" s="7"/>
      <c r="D1530" s="7"/>
      <c r="E1530" s="37"/>
      <c r="F1530" s="38"/>
      <c r="G1530" s="24" t="str">
        <f aca="false">IF(OR(C1530="",D1530="",N(E1530)=0),"",E1530*IF(F1530="",IFERROR(N(INDEX(Produtos!$K$5:$K$54,MATCH(D1530,Produtos!$B$5:$B$54,0))),0),F1530))</f>
        <v/>
      </c>
      <c r="H1530" s="24" t="str">
        <f aca="false">IF(G1530="","",E1530*IFERROR(N(INDEX(Produtos!$F$5:$F$54,MATCH(D1530,Produtos!$B$5:$B$54,0))),0))</f>
        <v/>
      </c>
      <c r="I1530" s="24" t="str">
        <f aca="false">IF(G1530="","",G1530-H1530)</f>
        <v/>
      </c>
      <c r="J1530" s="37"/>
    </row>
    <row r="1531" customFormat="false" ht="21" hidden="false" customHeight="true" outlineLevel="0" collapsed="false">
      <c r="B1531" s="36"/>
      <c r="C1531" s="7"/>
      <c r="D1531" s="7"/>
      <c r="E1531" s="37"/>
      <c r="F1531" s="38"/>
      <c r="G1531" s="24" t="str">
        <f aca="false">IF(OR(C1531="",D1531="",N(E1531)=0),"",E1531*IF(F1531="",IFERROR(N(INDEX(Produtos!$K$5:$K$54,MATCH(D1531,Produtos!$B$5:$B$54,0))),0),F1531))</f>
        <v/>
      </c>
      <c r="H1531" s="24" t="str">
        <f aca="false">IF(G1531="","",E1531*IFERROR(N(INDEX(Produtos!$F$5:$F$54,MATCH(D1531,Produtos!$B$5:$B$54,0))),0))</f>
        <v/>
      </c>
      <c r="I1531" s="24" t="str">
        <f aca="false">IF(G1531="","",G1531-H1531)</f>
        <v/>
      </c>
      <c r="J1531" s="37"/>
    </row>
    <row r="1532" customFormat="false" ht="21" hidden="false" customHeight="true" outlineLevel="0" collapsed="false">
      <c r="B1532" s="36"/>
      <c r="C1532" s="7"/>
      <c r="D1532" s="7"/>
      <c r="E1532" s="37"/>
      <c r="F1532" s="38"/>
      <c r="G1532" s="24" t="str">
        <f aca="false">IF(OR(C1532="",D1532="",N(E1532)=0),"",E1532*IF(F1532="",IFERROR(N(INDEX(Produtos!$K$5:$K$54,MATCH(D1532,Produtos!$B$5:$B$54,0))),0),F1532))</f>
        <v/>
      </c>
      <c r="H1532" s="24" t="str">
        <f aca="false">IF(G1532="","",E1532*IFERROR(N(INDEX(Produtos!$F$5:$F$54,MATCH(D1532,Produtos!$B$5:$B$54,0))),0))</f>
        <v/>
      </c>
      <c r="I1532" s="24" t="str">
        <f aca="false">IF(G1532="","",G1532-H1532)</f>
        <v/>
      </c>
      <c r="J1532" s="37"/>
    </row>
    <row r="1533" customFormat="false" ht="21" hidden="false" customHeight="true" outlineLevel="0" collapsed="false">
      <c r="B1533" s="36"/>
      <c r="C1533" s="7"/>
      <c r="D1533" s="7"/>
      <c r="E1533" s="37"/>
      <c r="F1533" s="38"/>
      <c r="G1533" s="24" t="str">
        <f aca="false">IF(OR(C1533="",D1533="",N(E1533)=0),"",E1533*IF(F1533="",IFERROR(N(INDEX(Produtos!$K$5:$K$54,MATCH(D1533,Produtos!$B$5:$B$54,0))),0),F1533))</f>
        <v/>
      </c>
      <c r="H1533" s="24" t="str">
        <f aca="false">IF(G1533="","",E1533*IFERROR(N(INDEX(Produtos!$F$5:$F$54,MATCH(D1533,Produtos!$B$5:$B$54,0))),0))</f>
        <v/>
      </c>
      <c r="I1533" s="24" t="str">
        <f aca="false">IF(G1533="","",G1533-H1533)</f>
        <v/>
      </c>
      <c r="J1533" s="37"/>
    </row>
    <row r="1534" customFormat="false" ht="21" hidden="false" customHeight="true" outlineLevel="0" collapsed="false">
      <c r="B1534" s="36"/>
      <c r="C1534" s="7"/>
      <c r="D1534" s="7"/>
      <c r="E1534" s="37"/>
      <c r="F1534" s="38"/>
      <c r="G1534" s="24" t="str">
        <f aca="false">IF(OR(C1534="",D1534="",N(E1534)=0),"",E1534*IF(F1534="",IFERROR(N(INDEX(Produtos!$K$5:$K$54,MATCH(D1534,Produtos!$B$5:$B$54,0))),0),F1534))</f>
        <v/>
      </c>
      <c r="H1534" s="24" t="str">
        <f aca="false">IF(G1534="","",E1534*IFERROR(N(INDEX(Produtos!$F$5:$F$54,MATCH(D1534,Produtos!$B$5:$B$54,0))),0))</f>
        <v/>
      </c>
      <c r="I1534" s="24" t="str">
        <f aca="false">IF(G1534="","",G1534-H1534)</f>
        <v/>
      </c>
      <c r="J1534" s="37"/>
    </row>
    <row r="1535" customFormat="false" ht="21" hidden="false" customHeight="true" outlineLevel="0" collapsed="false">
      <c r="B1535" s="36"/>
      <c r="C1535" s="7"/>
      <c r="D1535" s="7"/>
      <c r="E1535" s="37"/>
      <c r="F1535" s="38"/>
      <c r="G1535" s="24" t="str">
        <f aca="false">IF(OR(C1535="",D1535="",N(E1535)=0),"",E1535*IF(F1535="",IFERROR(N(INDEX(Produtos!$K$5:$K$54,MATCH(D1535,Produtos!$B$5:$B$54,0))),0),F1535))</f>
        <v/>
      </c>
      <c r="H1535" s="24" t="str">
        <f aca="false">IF(G1535="","",E1535*IFERROR(N(INDEX(Produtos!$F$5:$F$54,MATCH(D1535,Produtos!$B$5:$B$54,0))),0))</f>
        <v/>
      </c>
      <c r="I1535" s="24" t="str">
        <f aca="false">IF(G1535="","",G1535-H1535)</f>
        <v/>
      </c>
      <c r="J1535" s="37"/>
    </row>
    <row r="1536" customFormat="false" ht="21" hidden="false" customHeight="true" outlineLevel="0" collapsed="false">
      <c r="B1536" s="36"/>
      <c r="C1536" s="7"/>
      <c r="D1536" s="7"/>
      <c r="E1536" s="37"/>
      <c r="F1536" s="38"/>
      <c r="G1536" s="24" t="str">
        <f aca="false">IF(OR(C1536="",D1536="",N(E1536)=0),"",E1536*IF(F1536="",IFERROR(N(INDEX(Produtos!$K$5:$K$54,MATCH(D1536,Produtos!$B$5:$B$54,0))),0),F1536))</f>
        <v/>
      </c>
      <c r="H1536" s="24" t="str">
        <f aca="false">IF(G1536="","",E1536*IFERROR(N(INDEX(Produtos!$F$5:$F$54,MATCH(D1536,Produtos!$B$5:$B$54,0))),0))</f>
        <v/>
      </c>
      <c r="I1536" s="24" t="str">
        <f aca="false">IF(G1536="","",G1536-H1536)</f>
        <v/>
      </c>
      <c r="J1536" s="37"/>
    </row>
    <row r="1537" customFormat="false" ht="21" hidden="false" customHeight="true" outlineLevel="0" collapsed="false">
      <c r="B1537" s="36"/>
      <c r="C1537" s="7"/>
      <c r="D1537" s="7"/>
      <c r="E1537" s="37"/>
      <c r="F1537" s="38"/>
      <c r="G1537" s="24" t="str">
        <f aca="false">IF(OR(C1537="",D1537="",N(E1537)=0),"",E1537*IF(F1537="",IFERROR(N(INDEX(Produtos!$K$5:$K$54,MATCH(D1537,Produtos!$B$5:$B$54,0))),0),F1537))</f>
        <v/>
      </c>
      <c r="H1537" s="24" t="str">
        <f aca="false">IF(G1537="","",E1537*IFERROR(N(INDEX(Produtos!$F$5:$F$54,MATCH(D1537,Produtos!$B$5:$B$54,0))),0))</f>
        <v/>
      </c>
      <c r="I1537" s="24" t="str">
        <f aca="false">IF(G1537="","",G1537-H1537)</f>
        <v/>
      </c>
      <c r="J1537" s="37"/>
    </row>
    <row r="1538" customFormat="false" ht="21" hidden="false" customHeight="true" outlineLevel="0" collapsed="false">
      <c r="B1538" s="36"/>
      <c r="C1538" s="7"/>
      <c r="D1538" s="7"/>
      <c r="E1538" s="37"/>
      <c r="F1538" s="38"/>
      <c r="G1538" s="24" t="str">
        <f aca="false">IF(OR(C1538="",D1538="",N(E1538)=0),"",E1538*IF(F1538="",IFERROR(N(INDEX(Produtos!$K$5:$K$54,MATCH(D1538,Produtos!$B$5:$B$54,0))),0),F1538))</f>
        <v/>
      </c>
      <c r="H1538" s="24" t="str">
        <f aca="false">IF(G1538="","",E1538*IFERROR(N(INDEX(Produtos!$F$5:$F$54,MATCH(D1538,Produtos!$B$5:$B$54,0))),0))</f>
        <v/>
      </c>
      <c r="I1538" s="24" t="str">
        <f aca="false">IF(G1538="","",G1538-H1538)</f>
        <v/>
      </c>
      <c r="J1538" s="37"/>
    </row>
    <row r="1539" customFormat="false" ht="21" hidden="false" customHeight="true" outlineLevel="0" collapsed="false">
      <c r="B1539" s="36"/>
      <c r="C1539" s="7"/>
      <c r="D1539" s="7"/>
      <c r="E1539" s="37"/>
      <c r="F1539" s="38"/>
      <c r="G1539" s="24" t="str">
        <f aca="false">IF(OR(C1539="",D1539="",N(E1539)=0),"",E1539*IF(F1539="",IFERROR(N(INDEX(Produtos!$K$5:$K$54,MATCH(D1539,Produtos!$B$5:$B$54,0))),0),F1539))</f>
        <v/>
      </c>
      <c r="H1539" s="24" t="str">
        <f aca="false">IF(G1539="","",E1539*IFERROR(N(INDEX(Produtos!$F$5:$F$54,MATCH(D1539,Produtos!$B$5:$B$54,0))),0))</f>
        <v/>
      </c>
      <c r="I1539" s="24" t="str">
        <f aca="false">IF(G1539="","",G1539-H1539)</f>
        <v/>
      </c>
      <c r="J1539" s="37"/>
    </row>
    <row r="1540" customFormat="false" ht="21" hidden="false" customHeight="true" outlineLevel="0" collapsed="false">
      <c r="B1540" s="36"/>
      <c r="C1540" s="7"/>
      <c r="D1540" s="7"/>
      <c r="E1540" s="37"/>
      <c r="F1540" s="38"/>
      <c r="G1540" s="24" t="str">
        <f aca="false">IF(OR(C1540="",D1540="",N(E1540)=0),"",E1540*IF(F1540="",IFERROR(N(INDEX(Produtos!$K$5:$K$54,MATCH(D1540,Produtos!$B$5:$B$54,0))),0),F1540))</f>
        <v/>
      </c>
      <c r="H1540" s="24" t="str">
        <f aca="false">IF(G1540="","",E1540*IFERROR(N(INDEX(Produtos!$F$5:$F$54,MATCH(D1540,Produtos!$B$5:$B$54,0))),0))</f>
        <v/>
      </c>
      <c r="I1540" s="24" t="str">
        <f aca="false">IF(G1540="","",G1540-H1540)</f>
        <v/>
      </c>
      <c r="J1540" s="37"/>
    </row>
    <row r="1541" customFormat="false" ht="21" hidden="false" customHeight="true" outlineLevel="0" collapsed="false">
      <c r="B1541" s="36"/>
      <c r="C1541" s="7"/>
      <c r="D1541" s="7"/>
      <c r="E1541" s="37"/>
      <c r="F1541" s="38"/>
      <c r="G1541" s="24" t="str">
        <f aca="false">IF(OR(C1541="",D1541="",N(E1541)=0),"",E1541*IF(F1541="",IFERROR(N(INDEX(Produtos!$K$5:$K$54,MATCH(D1541,Produtos!$B$5:$B$54,0))),0),F1541))</f>
        <v/>
      </c>
      <c r="H1541" s="24" t="str">
        <f aca="false">IF(G1541="","",E1541*IFERROR(N(INDEX(Produtos!$F$5:$F$54,MATCH(D1541,Produtos!$B$5:$B$54,0))),0))</f>
        <v/>
      </c>
      <c r="I1541" s="24" t="str">
        <f aca="false">IF(G1541="","",G1541-H1541)</f>
        <v/>
      </c>
      <c r="J1541" s="37"/>
    </row>
    <row r="1542" customFormat="false" ht="21" hidden="false" customHeight="true" outlineLevel="0" collapsed="false">
      <c r="B1542" s="36"/>
      <c r="C1542" s="7"/>
      <c r="D1542" s="7"/>
      <c r="E1542" s="37"/>
      <c r="F1542" s="38"/>
      <c r="G1542" s="24" t="str">
        <f aca="false">IF(OR(C1542="",D1542="",N(E1542)=0),"",E1542*IF(F1542="",IFERROR(N(INDEX(Produtos!$K$5:$K$54,MATCH(D1542,Produtos!$B$5:$B$54,0))),0),F1542))</f>
        <v/>
      </c>
      <c r="H1542" s="24" t="str">
        <f aca="false">IF(G1542="","",E1542*IFERROR(N(INDEX(Produtos!$F$5:$F$54,MATCH(D1542,Produtos!$B$5:$B$54,0))),0))</f>
        <v/>
      </c>
      <c r="I1542" s="24" t="str">
        <f aca="false">IF(G1542="","",G1542-H1542)</f>
        <v/>
      </c>
      <c r="J1542" s="37"/>
    </row>
    <row r="1543" customFormat="false" ht="21" hidden="false" customHeight="true" outlineLevel="0" collapsed="false">
      <c r="B1543" s="36"/>
      <c r="C1543" s="7"/>
      <c r="D1543" s="7"/>
      <c r="E1543" s="37"/>
      <c r="F1543" s="38"/>
      <c r="G1543" s="24" t="str">
        <f aca="false">IF(OR(C1543="",D1543="",N(E1543)=0),"",E1543*IF(F1543="",IFERROR(N(INDEX(Produtos!$K$5:$K$54,MATCH(D1543,Produtos!$B$5:$B$54,0))),0),F1543))</f>
        <v/>
      </c>
      <c r="H1543" s="24" t="str">
        <f aca="false">IF(G1543="","",E1543*IFERROR(N(INDEX(Produtos!$F$5:$F$54,MATCH(D1543,Produtos!$B$5:$B$54,0))),0))</f>
        <v/>
      </c>
      <c r="I1543" s="24" t="str">
        <f aca="false">IF(G1543="","",G1543-H1543)</f>
        <v/>
      </c>
      <c r="J1543" s="37"/>
    </row>
    <row r="1544" customFormat="false" ht="21" hidden="false" customHeight="true" outlineLevel="0" collapsed="false">
      <c r="B1544" s="36"/>
      <c r="C1544" s="7"/>
      <c r="D1544" s="7"/>
      <c r="E1544" s="37"/>
      <c r="F1544" s="38"/>
      <c r="G1544" s="24" t="str">
        <f aca="false">IF(OR(C1544="",D1544="",N(E1544)=0),"",E1544*IF(F1544="",IFERROR(N(INDEX(Produtos!$K$5:$K$54,MATCH(D1544,Produtos!$B$5:$B$54,0))),0),F1544))</f>
        <v/>
      </c>
      <c r="H1544" s="24" t="str">
        <f aca="false">IF(G1544="","",E1544*IFERROR(N(INDEX(Produtos!$F$5:$F$54,MATCH(D1544,Produtos!$B$5:$B$54,0))),0))</f>
        <v/>
      </c>
      <c r="I1544" s="24" t="str">
        <f aca="false">IF(G1544="","",G1544-H1544)</f>
        <v/>
      </c>
      <c r="J1544" s="37"/>
    </row>
    <row r="1545" customFormat="false" ht="21" hidden="false" customHeight="true" outlineLevel="0" collapsed="false">
      <c r="B1545" s="36"/>
      <c r="C1545" s="7"/>
      <c r="D1545" s="7"/>
      <c r="E1545" s="37"/>
      <c r="F1545" s="38"/>
      <c r="G1545" s="24" t="str">
        <f aca="false">IF(OR(C1545="",D1545="",N(E1545)=0),"",E1545*IF(F1545="",IFERROR(N(INDEX(Produtos!$K$5:$K$54,MATCH(D1545,Produtos!$B$5:$B$54,0))),0),F1545))</f>
        <v/>
      </c>
      <c r="H1545" s="24" t="str">
        <f aca="false">IF(G1545="","",E1545*IFERROR(N(INDEX(Produtos!$F$5:$F$54,MATCH(D1545,Produtos!$B$5:$B$54,0))),0))</f>
        <v/>
      </c>
      <c r="I1545" s="24" t="str">
        <f aca="false">IF(G1545="","",G1545-H1545)</f>
        <v/>
      </c>
      <c r="J1545" s="37"/>
    </row>
    <row r="1546" customFormat="false" ht="21" hidden="false" customHeight="true" outlineLevel="0" collapsed="false">
      <c r="B1546" s="36"/>
      <c r="C1546" s="7"/>
      <c r="D1546" s="7"/>
      <c r="E1546" s="37"/>
      <c r="F1546" s="38"/>
      <c r="G1546" s="24" t="str">
        <f aca="false">IF(OR(C1546="",D1546="",N(E1546)=0),"",E1546*IF(F1546="",IFERROR(N(INDEX(Produtos!$K$5:$K$54,MATCH(D1546,Produtos!$B$5:$B$54,0))),0),F1546))</f>
        <v/>
      </c>
      <c r="H1546" s="24" t="str">
        <f aca="false">IF(G1546="","",E1546*IFERROR(N(INDEX(Produtos!$F$5:$F$54,MATCH(D1546,Produtos!$B$5:$B$54,0))),0))</f>
        <v/>
      </c>
      <c r="I1546" s="24" t="str">
        <f aca="false">IF(G1546="","",G1546-H1546)</f>
        <v/>
      </c>
      <c r="J1546" s="37"/>
    </row>
    <row r="1547" customFormat="false" ht="21" hidden="false" customHeight="true" outlineLevel="0" collapsed="false">
      <c r="B1547" s="36"/>
      <c r="C1547" s="7"/>
      <c r="D1547" s="7"/>
      <c r="E1547" s="37"/>
      <c r="F1547" s="38"/>
      <c r="G1547" s="24" t="str">
        <f aca="false">IF(OR(C1547="",D1547="",N(E1547)=0),"",E1547*IF(F1547="",IFERROR(N(INDEX(Produtos!$K$5:$K$54,MATCH(D1547,Produtos!$B$5:$B$54,0))),0),F1547))</f>
        <v/>
      </c>
      <c r="H1547" s="24" t="str">
        <f aca="false">IF(G1547="","",E1547*IFERROR(N(INDEX(Produtos!$F$5:$F$54,MATCH(D1547,Produtos!$B$5:$B$54,0))),0))</f>
        <v/>
      </c>
      <c r="I1547" s="24" t="str">
        <f aca="false">IF(G1547="","",G1547-H1547)</f>
        <v/>
      </c>
      <c r="J1547" s="37"/>
    </row>
    <row r="1548" customFormat="false" ht="21" hidden="false" customHeight="true" outlineLevel="0" collapsed="false">
      <c r="B1548" s="36"/>
      <c r="C1548" s="7"/>
      <c r="D1548" s="7"/>
      <c r="E1548" s="37"/>
      <c r="F1548" s="38"/>
      <c r="G1548" s="24" t="str">
        <f aca="false">IF(OR(C1548="",D1548="",N(E1548)=0),"",E1548*IF(F1548="",IFERROR(N(INDEX(Produtos!$K$5:$K$54,MATCH(D1548,Produtos!$B$5:$B$54,0))),0),F1548))</f>
        <v/>
      </c>
      <c r="H1548" s="24" t="str">
        <f aca="false">IF(G1548="","",E1548*IFERROR(N(INDEX(Produtos!$F$5:$F$54,MATCH(D1548,Produtos!$B$5:$B$54,0))),0))</f>
        <v/>
      </c>
      <c r="I1548" s="24" t="str">
        <f aca="false">IF(G1548="","",G1548-H1548)</f>
        <v/>
      </c>
      <c r="J1548" s="37"/>
    </row>
    <row r="1549" customFormat="false" ht="21" hidden="false" customHeight="true" outlineLevel="0" collapsed="false">
      <c r="B1549" s="36"/>
      <c r="C1549" s="7"/>
      <c r="D1549" s="7"/>
      <c r="E1549" s="37"/>
      <c r="F1549" s="38"/>
      <c r="G1549" s="24" t="str">
        <f aca="false">IF(OR(C1549="",D1549="",N(E1549)=0),"",E1549*IF(F1549="",IFERROR(N(INDEX(Produtos!$K$5:$K$54,MATCH(D1549,Produtos!$B$5:$B$54,0))),0),F1549))</f>
        <v/>
      </c>
      <c r="H1549" s="24" t="str">
        <f aca="false">IF(G1549="","",E1549*IFERROR(N(INDEX(Produtos!$F$5:$F$54,MATCH(D1549,Produtos!$B$5:$B$54,0))),0))</f>
        <v/>
      </c>
      <c r="I1549" s="24" t="str">
        <f aca="false">IF(G1549="","",G1549-H1549)</f>
        <v/>
      </c>
      <c r="J1549" s="37"/>
    </row>
    <row r="1550" customFormat="false" ht="21" hidden="false" customHeight="true" outlineLevel="0" collapsed="false">
      <c r="B1550" s="36"/>
      <c r="C1550" s="7"/>
      <c r="D1550" s="7"/>
      <c r="E1550" s="37"/>
      <c r="F1550" s="38"/>
      <c r="G1550" s="24" t="str">
        <f aca="false">IF(OR(C1550="",D1550="",N(E1550)=0),"",E1550*IF(F1550="",IFERROR(N(INDEX(Produtos!$K$5:$K$54,MATCH(D1550,Produtos!$B$5:$B$54,0))),0),F1550))</f>
        <v/>
      </c>
      <c r="H1550" s="24" t="str">
        <f aca="false">IF(G1550="","",E1550*IFERROR(N(INDEX(Produtos!$F$5:$F$54,MATCH(D1550,Produtos!$B$5:$B$54,0))),0))</f>
        <v/>
      </c>
      <c r="I1550" s="24" t="str">
        <f aca="false">IF(G1550="","",G1550-H1550)</f>
        <v/>
      </c>
      <c r="J1550" s="37"/>
    </row>
    <row r="1551" customFormat="false" ht="21" hidden="false" customHeight="true" outlineLevel="0" collapsed="false">
      <c r="B1551" s="36"/>
      <c r="C1551" s="7"/>
      <c r="D1551" s="7"/>
      <c r="E1551" s="37"/>
      <c r="F1551" s="38"/>
      <c r="G1551" s="24" t="str">
        <f aca="false">IF(OR(C1551="",D1551="",N(E1551)=0),"",E1551*IF(F1551="",IFERROR(N(INDEX(Produtos!$K$5:$K$54,MATCH(D1551,Produtos!$B$5:$B$54,0))),0),F1551))</f>
        <v/>
      </c>
      <c r="H1551" s="24" t="str">
        <f aca="false">IF(G1551="","",E1551*IFERROR(N(INDEX(Produtos!$F$5:$F$54,MATCH(D1551,Produtos!$B$5:$B$54,0))),0))</f>
        <v/>
      </c>
      <c r="I1551" s="24" t="str">
        <f aca="false">IF(G1551="","",G1551-H1551)</f>
        <v/>
      </c>
      <c r="J1551" s="37"/>
    </row>
    <row r="1552" customFormat="false" ht="21" hidden="false" customHeight="true" outlineLevel="0" collapsed="false">
      <c r="B1552" s="36"/>
      <c r="C1552" s="7"/>
      <c r="D1552" s="7"/>
      <c r="E1552" s="37"/>
      <c r="F1552" s="38"/>
      <c r="G1552" s="24" t="str">
        <f aca="false">IF(OR(C1552="",D1552="",N(E1552)=0),"",E1552*IF(F1552="",IFERROR(N(INDEX(Produtos!$K$5:$K$54,MATCH(D1552,Produtos!$B$5:$B$54,0))),0),F1552))</f>
        <v/>
      </c>
      <c r="H1552" s="24" t="str">
        <f aca="false">IF(G1552="","",E1552*IFERROR(N(INDEX(Produtos!$F$5:$F$54,MATCH(D1552,Produtos!$B$5:$B$54,0))),0))</f>
        <v/>
      </c>
      <c r="I1552" s="24" t="str">
        <f aca="false">IF(G1552="","",G1552-H1552)</f>
        <v/>
      </c>
      <c r="J1552" s="37"/>
    </row>
    <row r="1553" customFormat="false" ht="21" hidden="false" customHeight="true" outlineLevel="0" collapsed="false">
      <c r="B1553" s="36"/>
      <c r="C1553" s="7"/>
      <c r="D1553" s="7"/>
      <c r="E1553" s="37"/>
      <c r="F1553" s="38"/>
      <c r="G1553" s="24" t="str">
        <f aca="false">IF(OR(C1553="",D1553="",N(E1553)=0),"",E1553*IF(F1553="",IFERROR(N(INDEX(Produtos!$K$5:$K$54,MATCH(D1553,Produtos!$B$5:$B$54,0))),0),F1553))</f>
        <v/>
      </c>
      <c r="H1553" s="24" t="str">
        <f aca="false">IF(G1553="","",E1553*IFERROR(N(INDEX(Produtos!$F$5:$F$54,MATCH(D1553,Produtos!$B$5:$B$54,0))),0))</f>
        <v/>
      </c>
      <c r="I1553" s="24" t="str">
        <f aca="false">IF(G1553="","",G1553-H1553)</f>
        <v/>
      </c>
      <c r="J1553" s="37"/>
    </row>
    <row r="1554" customFormat="false" ht="21" hidden="false" customHeight="true" outlineLevel="0" collapsed="false">
      <c r="B1554" s="36"/>
      <c r="C1554" s="7"/>
      <c r="D1554" s="7"/>
      <c r="E1554" s="37"/>
      <c r="F1554" s="38"/>
      <c r="G1554" s="24" t="str">
        <f aca="false">IF(OR(C1554="",D1554="",N(E1554)=0),"",E1554*IF(F1554="",IFERROR(N(INDEX(Produtos!$K$5:$K$54,MATCH(D1554,Produtos!$B$5:$B$54,0))),0),F1554))</f>
        <v/>
      </c>
      <c r="H1554" s="24" t="str">
        <f aca="false">IF(G1554="","",E1554*IFERROR(N(INDEX(Produtos!$F$5:$F$54,MATCH(D1554,Produtos!$B$5:$B$54,0))),0))</f>
        <v/>
      </c>
      <c r="I1554" s="24" t="str">
        <f aca="false">IF(G1554="","",G1554-H1554)</f>
        <v/>
      </c>
      <c r="J1554" s="37"/>
    </row>
    <row r="1555" customFormat="false" ht="21" hidden="false" customHeight="true" outlineLevel="0" collapsed="false">
      <c r="B1555" s="36"/>
      <c r="C1555" s="7"/>
      <c r="D1555" s="7"/>
      <c r="E1555" s="37"/>
      <c r="F1555" s="38"/>
      <c r="G1555" s="24" t="str">
        <f aca="false">IF(OR(C1555="",D1555="",N(E1555)=0),"",E1555*IF(F1555="",IFERROR(N(INDEX(Produtos!$K$5:$K$54,MATCH(D1555,Produtos!$B$5:$B$54,0))),0),F1555))</f>
        <v/>
      </c>
      <c r="H1555" s="24" t="str">
        <f aca="false">IF(G1555="","",E1555*IFERROR(N(INDEX(Produtos!$F$5:$F$54,MATCH(D1555,Produtos!$B$5:$B$54,0))),0))</f>
        <v/>
      </c>
      <c r="I1555" s="24" t="str">
        <f aca="false">IF(G1555="","",G1555-H1555)</f>
        <v/>
      </c>
      <c r="J1555" s="37"/>
    </row>
    <row r="1556" customFormat="false" ht="21" hidden="false" customHeight="true" outlineLevel="0" collapsed="false">
      <c r="B1556" s="36"/>
      <c r="C1556" s="7"/>
      <c r="D1556" s="7"/>
      <c r="E1556" s="37"/>
      <c r="F1556" s="38"/>
      <c r="G1556" s="24" t="str">
        <f aca="false">IF(OR(C1556="",D1556="",N(E1556)=0),"",E1556*IF(F1556="",IFERROR(N(INDEX(Produtos!$K$5:$K$54,MATCH(D1556,Produtos!$B$5:$B$54,0))),0),F1556))</f>
        <v/>
      </c>
      <c r="H1556" s="24" t="str">
        <f aca="false">IF(G1556="","",E1556*IFERROR(N(INDEX(Produtos!$F$5:$F$54,MATCH(D1556,Produtos!$B$5:$B$54,0))),0))</f>
        <v/>
      </c>
      <c r="I1556" s="24" t="str">
        <f aca="false">IF(G1556="","",G1556-H1556)</f>
        <v/>
      </c>
      <c r="J1556" s="37"/>
    </row>
    <row r="1557" customFormat="false" ht="21" hidden="false" customHeight="true" outlineLevel="0" collapsed="false">
      <c r="B1557" s="36"/>
      <c r="C1557" s="7"/>
      <c r="D1557" s="7"/>
      <c r="E1557" s="37"/>
      <c r="F1557" s="38"/>
      <c r="G1557" s="24" t="str">
        <f aca="false">IF(OR(C1557="",D1557="",N(E1557)=0),"",E1557*IF(F1557="",IFERROR(N(INDEX(Produtos!$K$5:$K$54,MATCH(D1557,Produtos!$B$5:$B$54,0))),0),F1557))</f>
        <v/>
      </c>
      <c r="H1557" s="24" t="str">
        <f aca="false">IF(G1557="","",E1557*IFERROR(N(INDEX(Produtos!$F$5:$F$54,MATCH(D1557,Produtos!$B$5:$B$54,0))),0))</f>
        <v/>
      </c>
      <c r="I1557" s="24" t="str">
        <f aca="false">IF(G1557="","",G1557-H1557)</f>
        <v/>
      </c>
      <c r="J1557" s="37"/>
    </row>
    <row r="1558" customFormat="false" ht="21" hidden="false" customHeight="true" outlineLevel="0" collapsed="false">
      <c r="B1558" s="36"/>
      <c r="C1558" s="7"/>
      <c r="D1558" s="7"/>
      <c r="E1558" s="37"/>
      <c r="F1558" s="38"/>
      <c r="G1558" s="24" t="str">
        <f aca="false">IF(OR(C1558="",D1558="",N(E1558)=0),"",E1558*IF(F1558="",IFERROR(N(INDEX(Produtos!$K$5:$K$54,MATCH(D1558,Produtos!$B$5:$B$54,0))),0),F1558))</f>
        <v/>
      </c>
      <c r="H1558" s="24" t="str">
        <f aca="false">IF(G1558="","",E1558*IFERROR(N(INDEX(Produtos!$F$5:$F$54,MATCH(D1558,Produtos!$B$5:$B$54,0))),0))</f>
        <v/>
      </c>
      <c r="I1558" s="24" t="str">
        <f aca="false">IF(G1558="","",G1558-H1558)</f>
        <v/>
      </c>
      <c r="J1558" s="37"/>
    </row>
    <row r="1559" customFormat="false" ht="21" hidden="false" customHeight="true" outlineLevel="0" collapsed="false">
      <c r="B1559" s="36"/>
      <c r="C1559" s="7"/>
      <c r="D1559" s="7"/>
      <c r="E1559" s="37"/>
      <c r="F1559" s="38"/>
      <c r="G1559" s="24" t="str">
        <f aca="false">IF(OR(C1559="",D1559="",N(E1559)=0),"",E1559*IF(F1559="",IFERROR(N(INDEX(Produtos!$K$5:$K$54,MATCH(D1559,Produtos!$B$5:$B$54,0))),0),F1559))</f>
        <v/>
      </c>
      <c r="H1559" s="24" t="str">
        <f aca="false">IF(G1559="","",E1559*IFERROR(N(INDEX(Produtos!$F$5:$F$54,MATCH(D1559,Produtos!$B$5:$B$54,0))),0))</f>
        <v/>
      </c>
      <c r="I1559" s="24" t="str">
        <f aca="false">IF(G1559="","",G1559-H1559)</f>
        <v/>
      </c>
      <c r="J1559" s="37"/>
    </row>
    <row r="1560" customFormat="false" ht="21" hidden="false" customHeight="true" outlineLevel="0" collapsed="false">
      <c r="B1560" s="36"/>
      <c r="C1560" s="7"/>
      <c r="D1560" s="7"/>
      <c r="E1560" s="37"/>
      <c r="F1560" s="38"/>
      <c r="G1560" s="24" t="str">
        <f aca="false">IF(OR(C1560="",D1560="",N(E1560)=0),"",E1560*IF(F1560="",IFERROR(N(INDEX(Produtos!$K$5:$K$54,MATCH(D1560,Produtos!$B$5:$B$54,0))),0),F1560))</f>
        <v/>
      </c>
      <c r="H1560" s="24" t="str">
        <f aca="false">IF(G1560="","",E1560*IFERROR(N(INDEX(Produtos!$F$5:$F$54,MATCH(D1560,Produtos!$B$5:$B$54,0))),0))</f>
        <v/>
      </c>
      <c r="I1560" s="24" t="str">
        <f aca="false">IF(G1560="","",G1560-H1560)</f>
        <v/>
      </c>
      <c r="J1560" s="37"/>
    </row>
    <row r="1561" customFormat="false" ht="21" hidden="false" customHeight="true" outlineLevel="0" collapsed="false">
      <c r="B1561" s="36"/>
      <c r="C1561" s="7"/>
      <c r="D1561" s="7"/>
      <c r="E1561" s="37"/>
      <c r="F1561" s="38"/>
      <c r="G1561" s="24" t="str">
        <f aca="false">IF(OR(C1561="",D1561="",N(E1561)=0),"",E1561*IF(F1561="",IFERROR(N(INDEX(Produtos!$K$5:$K$54,MATCH(D1561,Produtos!$B$5:$B$54,0))),0),F1561))</f>
        <v/>
      </c>
      <c r="H1561" s="24" t="str">
        <f aca="false">IF(G1561="","",E1561*IFERROR(N(INDEX(Produtos!$F$5:$F$54,MATCH(D1561,Produtos!$B$5:$B$54,0))),0))</f>
        <v/>
      </c>
      <c r="I1561" s="24" t="str">
        <f aca="false">IF(G1561="","",G1561-H1561)</f>
        <v/>
      </c>
      <c r="J1561" s="37"/>
    </row>
    <row r="1562" customFormat="false" ht="21" hidden="false" customHeight="true" outlineLevel="0" collapsed="false">
      <c r="B1562" s="36"/>
      <c r="C1562" s="7"/>
      <c r="D1562" s="7"/>
      <c r="E1562" s="37"/>
      <c r="F1562" s="38"/>
      <c r="G1562" s="24" t="str">
        <f aca="false">IF(OR(C1562="",D1562="",N(E1562)=0),"",E1562*IF(F1562="",IFERROR(N(INDEX(Produtos!$K$5:$K$54,MATCH(D1562,Produtos!$B$5:$B$54,0))),0),F1562))</f>
        <v/>
      </c>
      <c r="H1562" s="24" t="str">
        <f aca="false">IF(G1562="","",E1562*IFERROR(N(INDEX(Produtos!$F$5:$F$54,MATCH(D1562,Produtos!$B$5:$B$54,0))),0))</f>
        <v/>
      </c>
      <c r="I1562" s="24" t="str">
        <f aca="false">IF(G1562="","",G1562-H1562)</f>
        <v/>
      </c>
      <c r="J1562" s="37"/>
    </row>
    <row r="1563" customFormat="false" ht="21" hidden="false" customHeight="true" outlineLevel="0" collapsed="false">
      <c r="B1563" s="36"/>
      <c r="C1563" s="7"/>
      <c r="D1563" s="7"/>
      <c r="E1563" s="37"/>
      <c r="F1563" s="38"/>
      <c r="G1563" s="24" t="str">
        <f aca="false">IF(OR(C1563="",D1563="",N(E1563)=0),"",E1563*IF(F1563="",IFERROR(N(INDEX(Produtos!$K$5:$K$54,MATCH(D1563,Produtos!$B$5:$B$54,0))),0),F1563))</f>
        <v/>
      </c>
      <c r="H1563" s="24" t="str">
        <f aca="false">IF(G1563="","",E1563*IFERROR(N(INDEX(Produtos!$F$5:$F$54,MATCH(D1563,Produtos!$B$5:$B$54,0))),0))</f>
        <v/>
      </c>
      <c r="I1563" s="24" t="str">
        <f aca="false">IF(G1563="","",G1563-H1563)</f>
        <v/>
      </c>
      <c r="J1563" s="37"/>
    </row>
    <row r="1564" customFormat="false" ht="21" hidden="false" customHeight="true" outlineLevel="0" collapsed="false">
      <c r="B1564" s="36"/>
      <c r="C1564" s="7"/>
      <c r="D1564" s="7"/>
      <c r="E1564" s="37"/>
      <c r="F1564" s="38"/>
      <c r="G1564" s="24" t="str">
        <f aca="false">IF(OR(C1564="",D1564="",N(E1564)=0),"",E1564*IF(F1564="",IFERROR(N(INDEX(Produtos!$K$5:$K$54,MATCH(D1564,Produtos!$B$5:$B$54,0))),0),F1564))</f>
        <v/>
      </c>
      <c r="H1564" s="24" t="str">
        <f aca="false">IF(G1564="","",E1564*IFERROR(N(INDEX(Produtos!$F$5:$F$54,MATCH(D1564,Produtos!$B$5:$B$54,0))),0))</f>
        <v/>
      </c>
      <c r="I1564" s="24" t="str">
        <f aca="false">IF(G1564="","",G1564-H1564)</f>
        <v/>
      </c>
      <c r="J1564" s="37"/>
    </row>
    <row r="1565" customFormat="false" ht="21" hidden="false" customHeight="true" outlineLevel="0" collapsed="false">
      <c r="B1565" s="36"/>
      <c r="C1565" s="7"/>
      <c r="D1565" s="7"/>
      <c r="E1565" s="37"/>
      <c r="F1565" s="38"/>
      <c r="G1565" s="24" t="str">
        <f aca="false">IF(OR(C1565="",D1565="",N(E1565)=0),"",E1565*IF(F1565="",IFERROR(N(INDEX(Produtos!$K$5:$K$54,MATCH(D1565,Produtos!$B$5:$B$54,0))),0),F1565))</f>
        <v/>
      </c>
      <c r="H1565" s="24" t="str">
        <f aca="false">IF(G1565="","",E1565*IFERROR(N(INDEX(Produtos!$F$5:$F$54,MATCH(D1565,Produtos!$B$5:$B$54,0))),0))</f>
        <v/>
      </c>
      <c r="I1565" s="24" t="str">
        <f aca="false">IF(G1565="","",G1565-H1565)</f>
        <v/>
      </c>
      <c r="J1565" s="37"/>
    </row>
    <row r="1566" customFormat="false" ht="21" hidden="false" customHeight="true" outlineLevel="0" collapsed="false">
      <c r="B1566" s="36"/>
      <c r="C1566" s="7"/>
      <c r="D1566" s="7"/>
      <c r="E1566" s="37"/>
      <c r="F1566" s="38"/>
      <c r="G1566" s="24" t="str">
        <f aca="false">IF(OR(C1566="",D1566="",N(E1566)=0),"",E1566*IF(F1566="",IFERROR(N(INDEX(Produtos!$K$5:$K$54,MATCH(D1566,Produtos!$B$5:$B$54,0))),0),F1566))</f>
        <v/>
      </c>
      <c r="H1566" s="24" t="str">
        <f aca="false">IF(G1566="","",E1566*IFERROR(N(INDEX(Produtos!$F$5:$F$54,MATCH(D1566,Produtos!$B$5:$B$54,0))),0))</f>
        <v/>
      </c>
      <c r="I1566" s="24" t="str">
        <f aca="false">IF(G1566="","",G1566-H1566)</f>
        <v/>
      </c>
      <c r="J1566" s="37"/>
    </row>
    <row r="1567" customFormat="false" ht="21" hidden="false" customHeight="true" outlineLevel="0" collapsed="false">
      <c r="B1567" s="36"/>
      <c r="C1567" s="7"/>
      <c r="D1567" s="7"/>
      <c r="E1567" s="37"/>
      <c r="F1567" s="38"/>
      <c r="G1567" s="24" t="str">
        <f aca="false">IF(OR(C1567="",D1567="",N(E1567)=0),"",E1567*IF(F1567="",IFERROR(N(INDEX(Produtos!$K$5:$K$54,MATCH(D1567,Produtos!$B$5:$B$54,0))),0),F1567))</f>
        <v/>
      </c>
      <c r="H1567" s="24" t="str">
        <f aca="false">IF(G1567="","",E1567*IFERROR(N(INDEX(Produtos!$F$5:$F$54,MATCH(D1567,Produtos!$B$5:$B$54,0))),0))</f>
        <v/>
      </c>
      <c r="I1567" s="24" t="str">
        <f aca="false">IF(G1567="","",G1567-H1567)</f>
        <v/>
      </c>
      <c r="J1567" s="37"/>
    </row>
    <row r="1568" customFormat="false" ht="21" hidden="false" customHeight="true" outlineLevel="0" collapsed="false">
      <c r="B1568" s="36"/>
      <c r="C1568" s="7"/>
      <c r="D1568" s="7"/>
      <c r="E1568" s="37"/>
      <c r="F1568" s="38"/>
      <c r="G1568" s="24" t="str">
        <f aca="false">IF(OR(C1568="",D1568="",N(E1568)=0),"",E1568*IF(F1568="",IFERROR(N(INDEX(Produtos!$K$5:$K$54,MATCH(D1568,Produtos!$B$5:$B$54,0))),0),F1568))</f>
        <v/>
      </c>
      <c r="H1568" s="24" t="str">
        <f aca="false">IF(G1568="","",E1568*IFERROR(N(INDEX(Produtos!$F$5:$F$54,MATCH(D1568,Produtos!$B$5:$B$54,0))),0))</f>
        <v/>
      </c>
      <c r="I1568" s="24" t="str">
        <f aca="false">IF(G1568="","",G1568-H1568)</f>
        <v/>
      </c>
      <c r="J1568" s="37"/>
    </row>
    <row r="1569" customFormat="false" ht="21" hidden="false" customHeight="true" outlineLevel="0" collapsed="false">
      <c r="B1569" s="36"/>
      <c r="C1569" s="7"/>
      <c r="D1569" s="7"/>
      <c r="E1569" s="37"/>
      <c r="F1569" s="38"/>
      <c r="G1569" s="24" t="str">
        <f aca="false">IF(OR(C1569="",D1569="",N(E1569)=0),"",E1569*IF(F1569="",IFERROR(N(INDEX(Produtos!$K$5:$K$54,MATCH(D1569,Produtos!$B$5:$B$54,0))),0),F1569))</f>
        <v/>
      </c>
      <c r="H1569" s="24" t="str">
        <f aca="false">IF(G1569="","",E1569*IFERROR(N(INDEX(Produtos!$F$5:$F$54,MATCH(D1569,Produtos!$B$5:$B$54,0))),0))</f>
        <v/>
      </c>
      <c r="I1569" s="24" t="str">
        <f aca="false">IF(G1569="","",G1569-H1569)</f>
        <v/>
      </c>
      <c r="J1569" s="37"/>
    </row>
    <row r="1570" customFormat="false" ht="21" hidden="false" customHeight="true" outlineLevel="0" collapsed="false">
      <c r="B1570" s="36"/>
      <c r="C1570" s="7"/>
      <c r="D1570" s="7"/>
      <c r="E1570" s="37"/>
      <c r="F1570" s="38"/>
      <c r="G1570" s="24" t="str">
        <f aca="false">IF(OR(C1570="",D1570="",N(E1570)=0),"",E1570*IF(F1570="",IFERROR(N(INDEX(Produtos!$K$5:$K$54,MATCH(D1570,Produtos!$B$5:$B$54,0))),0),F1570))</f>
        <v/>
      </c>
      <c r="H1570" s="24" t="str">
        <f aca="false">IF(G1570="","",E1570*IFERROR(N(INDEX(Produtos!$F$5:$F$54,MATCH(D1570,Produtos!$B$5:$B$54,0))),0))</f>
        <v/>
      </c>
      <c r="I1570" s="24" t="str">
        <f aca="false">IF(G1570="","",G1570-H1570)</f>
        <v/>
      </c>
      <c r="J1570" s="37"/>
    </row>
    <row r="1571" customFormat="false" ht="21" hidden="false" customHeight="true" outlineLevel="0" collapsed="false">
      <c r="B1571" s="36"/>
      <c r="C1571" s="7"/>
      <c r="D1571" s="7"/>
      <c r="E1571" s="37"/>
      <c r="F1571" s="38"/>
      <c r="G1571" s="24" t="str">
        <f aca="false">IF(OR(C1571="",D1571="",N(E1571)=0),"",E1571*IF(F1571="",IFERROR(N(INDEX(Produtos!$K$5:$K$54,MATCH(D1571,Produtos!$B$5:$B$54,0))),0),F1571))</f>
        <v/>
      </c>
      <c r="H1571" s="24" t="str">
        <f aca="false">IF(G1571="","",E1571*IFERROR(N(INDEX(Produtos!$F$5:$F$54,MATCH(D1571,Produtos!$B$5:$B$54,0))),0))</f>
        <v/>
      </c>
      <c r="I1571" s="24" t="str">
        <f aca="false">IF(G1571="","",G1571-H1571)</f>
        <v/>
      </c>
      <c r="J1571" s="37"/>
    </row>
    <row r="1572" customFormat="false" ht="21" hidden="false" customHeight="true" outlineLevel="0" collapsed="false">
      <c r="B1572" s="36"/>
      <c r="C1572" s="7"/>
      <c r="D1572" s="7"/>
      <c r="E1572" s="37"/>
      <c r="F1572" s="38"/>
      <c r="G1572" s="24" t="str">
        <f aca="false">IF(OR(C1572="",D1572="",N(E1572)=0),"",E1572*IF(F1572="",IFERROR(N(INDEX(Produtos!$K$5:$K$54,MATCH(D1572,Produtos!$B$5:$B$54,0))),0),F1572))</f>
        <v/>
      </c>
      <c r="H1572" s="24" t="str">
        <f aca="false">IF(G1572="","",E1572*IFERROR(N(INDEX(Produtos!$F$5:$F$54,MATCH(D1572,Produtos!$B$5:$B$54,0))),0))</f>
        <v/>
      </c>
      <c r="I1572" s="24" t="str">
        <f aca="false">IF(G1572="","",G1572-H1572)</f>
        <v/>
      </c>
      <c r="J1572" s="37"/>
    </row>
    <row r="1573" customFormat="false" ht="21" hidden="false" customHeight="true" outlineLevel="0" collapsed="false">
      <c r="B1573" s="36"/>
      <c r="C1573" s="7"/>
      <c r="D1573" s="7"/>
      <c r="E1573" s="37"/>
      <c r="F1573" s="38"/>
      <c r="G1573" s="24" t="str">
        <f aca="false">IF(OR(C1573="",D1573="",N(E1573)=0),"",E1573*IF(F1573="",IFERROR(N(INDEX(Produtos!$K$5:$K$54,MATCH(D1573,Produtos!$B$5:$B$54,0))),0),F1573))</f>
        <v/>
      </c>
      <c r="H1573" s="24" t="str">
        <f aca="false">IF(G1573="","",E1573*IFERROR(N(INDEX(Produtos!$F$5:$F$54,MATCH(D1573,Produtos!$B$5:$B$54,0))),0))</f>
        <v/>
      </c>
      <c r="I1573" s="24" t="str">
        <f aca="false">IF(G1573="","",G1573-H1573)</f>
        <v/>
      </c>
      <c r="J1573" s="37"/>
    </row>
    <row r="1574" customFormat="false" ht="21" hidden="false" customHeight="true" outlineLevel="0" collapsed="false">
      <c r="B1574" s="36"/>
      <c r="C1574" s="7"/>
      <c r="D1574" s="7"/>
      <c r="E1574" s="37"/>
      <c r="F1574" s="38"/>
      <c r="G1574" s="24" t="str">
        <f aca="false">IF(OR(C1574="",D1574="",N(E1574)=0),"",E1574*IF(F1574="",IFERROR(N(INDEX(Produtos!$K$5:$K$54,MATCH(D1574,Produtos!$B$5:$B$54,0))),0),F1574))</f>
        <v/>
      </c>
      <c r="H1574" s="24" t="str">
        <f aca="false">IF(G1574="","",E1574*IFERROR(N(INDEX(Produtos!$F$5:$F$54,MATCH(D1574,Produtos!$B$5:$B$54,0))),0))</f>
        <v/>
      </c>
      <c r="I1574" s="24" t="str">
        <f aca="false">IF(G1574="","",G1574-H1574)</f>
        <v/>
      </c>
      <c r="J1574" s="37"/>
    </row>
    <row r="1575" customFormat="false" ht="21" hidden="false" customHeight="true" outlineLevel="0" collapsed="false">
      <c r="B1575" s="36"/>
      <c r="C1575" s="7"/>
      <c r="D1575" s="7"/>
      <c r="E1575" s="37"/>
      <c r="F1575" s="38"/>
      <c r="G1575" s="24" t="str">
        <f aca="false">IF(OR(C1575="",D1575="",N(E1575)=0),"",E1575*IF(F1575="",IFERROR(N(INDEX(Produtos!$K$5:$K$54,MATCH(D1575,Produtos!$B$5:$B$54,0))),0),F1575))</f>
        <v/>
      </c>
      <c r="H1575" s="24" t="str">
        <f aca="false">IF(G1575="","",E1575*IFERROR(N(INDEX(Produtos!$F$5:$F$54,MATCH(D1575,Produtos!$B$5:$B$54,0))),0))</f>
        <v/>
      </c>
      <c r="I1575" s="24" t="str">
        <f aca="false">IF(G1575="","",G1575-H1575)</f>
        <v/>
      </c>
      <c r="J1575" s="37"/>
    </row>
    <row r="1576" customFormat="false" ht="21" hidden="false" customHeight="true" outlineLevel="0" collapsed="false">
      <c r="B1576" s="36"/>
      <c r="C1576" s="7"/>
      <c r="D1576" s="7"/>
      <c r="E1576" s="37"/>
      <c r="F1576" s="38"/>
      <c r="G1576" s="24" t="str">
        <f aca="false">IF(OR(C1576="",D1576="",N(E1576)=0),"",E1576*IF(F1576="",IFERROR(N(INDEX(Produtos!$K$5:$K$54,MATCH(D1576,Produtos!$B$5:$B$54,0))),0),F1576))</f>
        <v/>
      </c>
      <c r="H1576" s="24" t="str">
        <f aca="false">IF(G1576="","",E1576*IFERROR(N(INDEX(Produtos!$F$5:$F$54,MATCH(D1576,Produtos!$B$5:$B$54,0))),0))</f>
        <v/>
      </c>
      <c r="I1576" s="24" t="str">
        <f aca="false">IF(G1576="","",G1576-H1576)</f>
        <v/>
      </c>
      <c r="J1576" s="37"/>
    </row>
    <row r="1577" customFormat="false" ht="21" hidden="false" customHeight="true" outlineLevel="0" collapsed="false">
      <c r="B1577" s="36"/>
      <c r="C1577" s="7"/>
      <c r="D1577" s="7"/>
      <c r="E1577" s="37"/>
      <c r="F1577" s="38"/>
      <c r="G1577" s="24" t="str">
        <f aca="false">IF(OR(C1577="",D1577="",N(E1577)=0),"",E1577*IF(F1577="",IFERROR(N(INDEX(Produtos!$K$5:$K$54,MATCH(D1577,Produtos!$B$5:$B$54,0))),0),F1577))</f>
        <v/>
      </c>
      <c r="H1577" s="24" t="str">
        <f aca="false">IF(G1577="","",E1577*IFERROR(N(INDEX(Produtos!$F$5:$F$54,MATCH(D1577,Produtos!$B$5:$B$54,0))),0))</f>
        <v/>
      </c>
      <c r="I1577" s="24" t="str">
        <f aca="false">IF(G1577="","",G1577-H1577)</f>
        <v/>
      </c>
      <c r="J1577" s="37"/>
    </row>
    <row r="1578" customFormat="false" ht="21" hidden="false" customHeight="true" outlineLevel="0" collapsed="false">
      <c r="B1578" s="36"/>
      <c r="C1578" s="7"/>
      <c r="D1578" s="7"/>
      <c r="E1578" s="37"/>
      <c r="F1578" s="38"/>
      <c r="G1578" s="24" t="str">
        <f aca="false">IF(OR(C1578="",D1578="",N(E1578)=0),"",E1578*IF(F1578="",IFERROR(N(INDEX(Produtos!$K$5:$K$54,MATCH(D1578,Produtos!$B$5:$B$54,0))),0),F1578))</f>
        <v/>
      </c>
      <c r="H1578" s="24" t="str">
        <f aca="false">IF(G1578="","",E1578*IFERROR(N(INDEX(Produtos!$F$5:$F$54,MATCH(D1578,Produtos!$B$5:$B$54,0))),0))</f>
        <v/>
      </c>
      <c r="I1578" s="24" t="str">
        <f aca="false">IF(G1578="","",G1578-H1578)</f>
        <v/>
      </c>
      <c r="J1578" s="37"/>
    </row>
    <row r="1579" customFormat="false" ht="21" hidden="false" customHeight="true" outlineLevel="0" collapsed="false">
      <c r="B1579" s="36"/>
      <c r="C1579" s="7"/>
      <c r="D1579" s="7"/>
      <c r="E1579" s="37"/>
      <c r="F1579" s="38"/>
      <c r="G1579" s="24" t="str">
        <f aca="false">IF(OR(C1579="",D1579="",N(E1579)=0),"",E1579*IF(F1579="",IFERROR(N(INDEX(Produtos!$K$5:$K$54,MATCH(D1579,Produtos!$B$5:$B$54,0))),0),F1579))</f>
        <v/>
      </c>
      <c r="H1579" s="24" t="str">
        <f aca="false">IF(G1579="","",E1579*IFERROR(N(INDEX(Produtos!$F$5:$F$54,MATCH(D1579,Produtos!$B$5:$B$54,0))),0))</f>
        <v/>
      </c>
      <c r="I1579" s="24" t="str">
        <f aca="false">IF(G1579="","",G1579-H1579)</f>
        <v/>
      </c>
      <c r="J1579" s="37"/>
    </row>
    <row r="1580" customFormat="false" ht="21" hidden="false" customHeight="true" outlineLevel="0" collapsed="false">
      <c r="B1580" s="36"/>
      <c r="C1580" s="7"/>
      <c r="D1580" s="7"/>
      <c r="E1580" s="37"/>
      <c r="F1580" s="38"/>
      <c r="G1580" s="24" t="str">
        <f aca="false">IF(OR(C1580="",D1580="",N(E1580)=0),"",E1580*IF(F1580="",IFERROR(N(INDEX(Produtos!$K$5:$K$54,MATCH(D1580,Produtos!$B$5:$B$54,0))),0),F1580))</f>
        <v/>
      </c>
      <c r="H1580" s="24" t="str">
        <f aca="false">IF(G1580="","",E1580*IFERROR(N(INDEX(Produtos!$F$5:$F$54,MATCH(D1580,Produtos!$B$5:$B$54,0))),0))</f>
        <v/>
      </c>
      <c r="I1580" s="24" t="str">
        <f aca="false">IF(G1580="","",G1580-H1580)</f>
        <v/>
      </c>
      <c r="J1580" s="37"/>
    </row>
    <row r="1581" customFormat="false" ht="21" hidden="false" customHeight="true" outlineLevel="0" collapsed="false">
      <c r="B1581" s="36"/>
      <c r="C1581" s="7"/>
      <c r="D1581" s="7"/>
      <c r="E1581" s="37"/>
      <c r="F1581" s="38"/>
      <c r="G1581" s="24" t="str">
        <f aca="false">IF(OR(C1581="",D1581="",N(E1581)=0),"",E1581*IF(F1581="",IFERROR(N(INDEX(Produtos!$K$5:$K$54,MATCH(D1581,Produtos!$B$5:$B$54,0))),0),F1581))</f>
        <v/>
      </c>
      <c r="H1581" s="24" t="str">
        <f aca="false">IF(G1581="","",E1581*IFERROR(N(INDEX(Produtos!$F$5:$F$54,MATCH(D1581,Produtos!$B$5:$B$54,0))),0))</f>
        <v/>
      </c>
      <c r="I1581" s="24" t="str">
        <f aca="false">IF(G1581="","",G1581-H1581)</f>
        <v/>
      </c>
      <c r="J1581" s="37"/>
    </row>
    <row r="1582" customFormat="false" ht="21" hidden="false" customHeight="true" outlineLevel="0" collapsed="false">
      <c r="B1582" s="36"/>
      <c r="C1582" s="7"/>
      <c r="D1582" s="7"/>
      <c r="E1582" s="37"/>
      <c r="F1582" s="38"/>
      <c r="G1582" s="24" t="str">
        <f aca="false">IF(OR(C1582="",D1582="",N(E1582)=0),"",E1582*IF(F1582="",IFERROR(N(INDEX(Produtos!$K$5:$K$54,MATCH(D1582,Produtos!$B$5:$B$54,0))),0),F1582))</f>
        <v/>
      </c>
      <c r="H1582" s="24" t="str">
        <f aca="false">IF(G1582="","",E1582*IFERROR(N(INDEX(Produtos!$F$5:$F$54,MATCH(D1582,Produtos!$B$5:$B$54,0))),0))</f>
        <v/>
      </c>
      <c r="I1582" s="24" t="str">
        <f aca="false">IF(G1582="","",G1582-H1582)</f>
        <v/>
      </c>
      <c r="J1582" s="37"/>
    </row>
    <row r="1583" customFormat="false" ht="21" hidden="false" customHeight="true" outlineLevel="0" collapsed="false">
      <c r="B1583" s="36"/>
      <c r="C1583" s="7"/>
      <c r="D1583" s="7"/>
      <c r="E1583" s="37"/>
      <c r="F1583" s="38"/>
      <c r="G1583" s="24" t="str">
        <f aca="false">IF(OR(C1583="",D1583="",N(E1583)=0),"",E1583*IF(F1583="",IFERROR(N(INDEX(Produtos!$K$5:$K$54,MATCH(D1583,Produtos!$B$5:$B$54,0))),0),F1583))</f>
        <v/>
      </c>
      <c r="H1583" s="24" t="str">
        <f aca="false">IF(G1583="","",E1583*IFERROR(N(INDEX(Produtos!$F$5:$F$54,MATCH(D1583,Produtos!$B$5:$B$54,0))),0))</f>
        <v/>
      </c>
      <c r="I1583" s="24" t="str">
        <f aca="false">IF(G1583="","",G1583-H1583)</f>
        <v/>
      </c>
      <c r="J1583" s="37"/>
    </row>
    <row r="1584" customFormat="false" ht="21" hidden="false" customHeight="true" outlineLevel="0" collapsed="false">
      <c r="B1584" s="36"/>
      <c r="C1584" s="7"/>
      <c r="D1584" s="7"/>
      <c r="E1584" s="37"/>
      <c r="F1584" s="38"/>
      <c r="G1584" s="24" t="str">
        <f aca="false">IF(OR(C1584="",D1584="",N(E1584)=0),"",E1584*IF(F1584="",IFERROR(N(INDEX(Produtos!$K$5:$K$54,MATCH(D1584,Produtos!$B$5:$B$54,0))),0),F1584))</f>
        <v/>
      </c>
      <c r="H1584" s="24" t="str">
        <f aca="false">IF(G1584="","",E1584*IFERROR(N(INDEX(Produtos!$F$5:$F$54,MATCH(D1584,Produtos!$B$5:$B$54,0))),0))</f>
        <v/>
      </c>
      <c r="I1584" s="24" t="str">
        <f aca="false">IF(G1584="","",G1584-H1584)</f>
        <v/>
      </c>
      <c r="J1584" s="37"/>
    </row>
    <row r="1585" customFormat="false" ht="21" hidden="false" customHeight="true" outlineLevel="0" collapsed="false">
      <c r="B1585" s="36"/>
      <c r="C1585" s="7"/>
      <c r="D1585" s="7"/>
      <c r="E1585" s="37"/>
      <c r="F1585" s="38"/>
      <c r="G1585" s="24" t="str">
        <f aca="false">IF(OR(C1585="",D1585="",N(E1585)=0),"",E1585*IF(F1585="",IFERROR(N(INDEX(Produtos!$K$5:$K$54,MATCH(D1585,Produtos!$B$5:$B$54,0))),0),F1585))</f>
        <v/>
      </c>
      <c r="H1585" s="24" t="str">
        <f aca="false">IF(G1585="","",E1585*IFERROR(N(INDEX(Produtos!$F$5:$F$54,MATCH(D1585,Produtos!$B$5:$B$54,0))),0))</f>
        <v/>
      </c>
      <c r="I1585" s="24" t="str">
        <f aca="false">IF(G1585="","",G1585-H1585)</f>
        <v/>
      </c>
      <c r="J1585" s="37"/>
    </row>
    <row r="1586" customFormat="false" ht="21" hidden="false" customHeight="true" outlineLevel="0" collapsed="false">
      <c r="B1586" s="36"/>
      <c r="C1586" s="7"/>
      <c r="D1586" s="7"/>
      <c r="E1586" s="37"/>
      <c r="F1586" s="38"/>
      <c r="G1586" s="24" t="str">
        <f aca="false">IF(OR(C1586="",D1586="",N(E1586)=0),"",E1586*IF(F1586="",IFERROR(N(INDEX(Produtos!$K$5:$K$54,MATCH(D1586,Produtos!$B$5:$B$54,0))),0),F1586))</f>
        <v/>
      </c>
      <c r="H1586" s="24" t="str">
        <f aca="false">IF(G1586="","",E1586*IFERROR(N(INDEX(Produtos!$F$5:$F$54,MATCH(D1586,Produtos!$B$5:$B$54,0))),0))</f>
        <v/>
      </c>
      <c r="I1586" s="24" t="str">
        <f aca="false">IF(G1586="","",G1586-H1586)</f>
        <v/>
      </c>
      <c r="J1586" s="37"/>
    </row>
    <row r="1587" customFormat="false" ht="21" hidden="false" customHeight="true" outlineLevel="0" collapsed="false">
      <c r="B1587" s="36"/>
      <c r="C1587" s="7"/>
      <c r="D1587" s="7"/>
      <c r="E1587" s="37"/>
      <c r="F1587" s="38"/>
      <c r="G1587" s="24" t="str">
        <f aca="false">IF(OR(C1587="",D1587="",N(E1587)=0),"",E1587*IF(F1587="",IFERROR(N(INDEX(Produtos!$K$5:$K$54,MATCH(D1587,Produtos!$B$5:$B$54,0))),0),F1587))</f>
        <v/>
      </c>
      <c r="H1587" s="24" t="str">
        <f aca="false">IF(G1587="","",E1587*IFERROR(N(INDEX(Produtos!$F$5:$F$54,MATCH(D1587,Produtos!$B$5:$B$54,0))),0))</f>
        <v/>
      </c>
      <c r="I1587" s="24" t="str">
        <f aca="false">IF(G1587="","",G1587-H1587)</f>
        <v/>
      </c>
      <c r="J1587" s="37"/>
    </row>
    <row r="1588" customFormat="false" ht="21" hidden="false" customHeight="true" outlineLevel="0" collapsed="false">
      <c r="B1588" s="36"/>
      <c r="C1588" s="7"/>
      <c r="D1588" s="7"/>
      <c r="E1588" s="37"/>
      <c r="F1588" s="38"/>
      <c r="G1588" s="24" t="str">
        <f aca="false">IF(OR(C1588="",D1588="",N(E1588)=0),"",E1588*IF(F1588="",IFERROR(N(INDEX(Produtos!$K$5:$K$54,MATCH(D1588,Produtos!$B$5:$B$54,0))),0),F1588))</f>
        <v/>
      </c>
      <c r="H1588" s="24" t="str">
        <f aca="false">IF(G1588="","",E1588*IFERROR(N(INDEX(Produtos!$F$5:$F$54,MATCH(D1588,Produtos!$B$5:$B$54,0))),0))</f>
        <v/>
      </c>
      <c r="I1588" s="24" t="str">
        <f aca="false">IF(G1588="","",G1588-H1588)</f>
        <v/>
      </c>
      <c r="J1588" s="37"/>
    </row>
    <row r="1589" customFormat="false" ht="21" hidden="false" customHeight="true" outlineLevel="0" collapsed="false">
      <c r="B1589" s="36"/>
      <c r="C1589" s="7"/>
      <c r="D1589" s="7"/>
      <c r="E1589" s="37"/>
      <c r="F1589" s="38"/>
      <c r="G1589" s="24" t="str">
        <f aca="false">IF(OR(C1589="",D1589="",N(E1589)=0),"",E1589*IF(F1589="",IFERROR(N(INDEX(Produtos!$K$5:$K$54,MATCH(D1589,Produtos!$B$5:$B$54,0))),0),F1589))</f>
        <v/>
      </c>
      <c r="H1589" s="24" t="str">
        <f aca="false">IF(G1589="","",E1589*IFERROR(N(INDEX(Produtos!$F$5:$F$54,MATCH(D1589,Produtos!$B$5:$B$54,0))),0))</f>
        <v/>
      </c>
      <c r="I1589" s="24" t="str">
        <f aca="false">IF(G1589="","",G1589-H1589)</f>
        <v/>
      </c>
      <c r="J1589" s="37"/>
    </row>
    <row r="1590" customFormat="false" ht="21" hidden="false" customHeight="true" outlineLevel="0" collapsed="false">
      <c r="B1590" s="36"/>
      <c r="C1590" s="7"/>
      <c r="D1590" s="7"/>
      <c r="E1590" s="37"/>
      <c r="F1590" s="38"/>
      <c r="G1590" s="24" t="str">
        <f aca="false">IF(OR(C1590="",D1590="",N(E1590)=0),"",E1590*IF(F1590="",IFERROR(N(INDEX(Produtos!$K$5:$K$54,MATCH(D1590,Produtos!$B$5:$B$54,0))),0),F1590))</f>
        <v/>
      </c>
      <c r="H1590" s="24" t="str">
        <f aca="false">IF(G1590="","",E1590*IFERROR(N(INDEX(Produtos!$F$5:$F$54,MATCH(D1590,Produtos!$B$5:$B$54,0))),0))</f>
        <v/>
      </c>
      <c r="I1590" s="24" t="str">
        <f aca="false">IF(G1590="","",G1590-H1590)</f>
        <v/>
      </c>
      <c r="J1590" s="37"/>
    </row>
    <row r="1591" customFormat="false" ht="21" hidden="false" customHeight="true" outlineLevel="0" collapsed="false">
      <c r="B1591" s="36"/>
      <c r="C1591" s="7"/>
      <c r="D1591" s="7"/>
      <c r="E1591" s="37"/>
      <c r="F1591" s="38"/>
      <c r="G1591" s="24" t="str">
        <f aca="false">IF(OR(C1591="",D1591="",N(E1591)=0),"",E1591*IF(F1591="",IFERROR(N(INDEX(Produtos!$K$5:$K$54,MATCH(D1591,Produtos!$B$5:$B$54,0))),0),F1591))</f>
        <v/>
      </c>
      <c r="H1591" s="24" t="str">
        <f aca="false">IF(G1591="","",E1591*IFERROR(N(INDEX(Produtos!$F$5:$F$54,MATCH(D1591,Produtos!$B$5:$B$54,0))),0))</f>
        <v/>
      </c>
      <c r="I1591" s="24" t="str">
        <f aca="false">IF(G1591="","",G1591-H1591)</f>
        <v/>
      </c>
      <c r="J1591" s="37"/>
    </row>
    <row r="1592" customFormat="false" ht="21" hidden="false" customHeight="true" outlineLevel="0" collapsed="false">
      <c r="B1592" s="36"/>
      <c r="C1592" s="7"/>
      <c r="D1592" s="7"/>
      <c r="E1592" s="37"/>
      <c r="F1592" s="38"/>
      <c r="G1592" s="24" t="str">
        <f aca="false">IF(OR(C1592="",D1592="",N(E1592)=0),"",E1592*IF(F1592="",IFERROR(N(INDEX(Produtos!$K$5:$K$54,MATCH(D1592,Produtos!$B$5:$B$54,0))),0),F1592))</f>
        <v/>
      </c>
      <c r="H1592" s="24" t="str">
        <f aca="false">IF(G1592="","",E1592*IFERROR(N(INDEX(Produtos!$F$5:$F$54,MATCH(D1592,Produtos!$B$5:$B$54,0))),0))</f>
        <v/>
      </c>
      <c r="I1592" s="24" t="str">
        <f aca="false">IF(G1592="","",G1592-H1592)</f>
        <v/>
      </c>
      <c r="J1592" s="37"/>
    </row>
    <row r="1593" customFormat="false" ht="21" hidden="false" customHeight="true" outlineLevel="0" collapsed="false">
      <c r="B1593" s="36"/>
      <c r="C1593" s="7"/>
      <c r="D1593" s="7"/>
      <c r="E1593" s="37"/>
      <c r="F1593" s="38"/>
      <c r="G1593" s="24" t="str">
        <f aca="false">IF(OR(C1593="",D1593="",N(E1593)=0),"",E1593*IF(F1593="",IFERROR(N(INDEX(Produtos!$K$5:$K$54,MATCH(D1593,Produtos!$B$5:$B$54,0))),0),F1593))</f>
        <v/>
      </c>
      <c r="H1593" s="24" t="str">
        <f aca="false">IF(G1593="","",E1593*IFERROR(N(INDEX(Produtos!$F$5:$F$54,MATCH(D1593,Produtos!$B$5:$B$54,0))),0))</f>
        <v/>
      </c>
      <c r="I1593" s="24" t="str">
        <f aca="false">IF(G1593="","",G1593-H1593)</f>
        <v/>
      </c>
      <c r="J1593" s="37"/>
    </row>
    <row r="1594" customFormat="false" ht="21" hidden="false" customHeight="true" outlineLevel="0" collapsed="false">
      <c r="B1594" s="36"/>
      <c r="C1594" s="7"/>
      <c r="D1594" s="7"/>
      <c r="E1594" s="37"/>
      <c r="F1594" s="38"/>
      <c r="G1594" s="24" t="str">
        <f aca="false">IF(OR(C1594="",D1594="",N(E1594)=0),"",E1594*IF(F1594="",IFERROR(N(INDEX(Produtos!$K$5:$K$54,MATCH(D1594,Produtos!$B$5:$B$54,0))),0),F1594))</f>
        <v/>
      </c>
      <c r="H1594" s="24" t="str">
        <f aca="false">IF(G1594="","",E1594*IFERROR(N(INDEX(Produtos!$F$5:$F$54,MATCH(D1594,Produtos!$B$5:$B$54,0))),0))</f>
        <v/>
      </c>
      <c r="I1594" s="24" t="str">
        <f aca="false">IF(G1594="","",G1594-H1594)</f>
        <v/>
      </c>
      <c r="J1594" s="37"/>
    </row>
    <row r="1595" customFormat="false" ht="21" hidden="false" customHeight="true" outlineLevel="0" collapsed="false">
      <c r="B1595" s="36"/>
      <c r="C1595" s="7"/>
      <c r="D1595" s="7"/>
      <c r="E1595" s="37"/>
      <c r="F1595" s="38"/>
      <c r="G1595" s="24" t="str">
        <f aca="false">IF(OR(C1595="",D1595="",N(E1595)=0),"",E1595*IF(F1595="",IFERROR(N(INDEX(Produtos!$K$5:$K$54,MATCH(D1595,Produtos!$B$5:$B$54,0))),0),F1595))</f>
        <v/>
      </c>
      <c r="H1595" s="24" t="str">
        <f aca="false">IF(G1595="","",E1595*IFERROR(N(INDEX(Produtos!$F$5:$F$54,MATCH(D1595,Produtos!$B$5:$B$54,0))),0))</f>
        <v/>
      </c>
      <c r="I1595" s="24" t="str">
        <f aca="false">IF(G1595="","",G1595-H1595)</f>
        <v/>
      </c>
      <c r="J1595" s="37"/>
    </row>
    <row r="1596" customFormat="false" ht="21" hidden="false" customHeight="true" outlineLevel="0" collapsed="false">
      <c r="B1596" s="36"/>
      <c r="C1596" s="7"/>
      <c r="D1596" s="7"/>
      <c r="E1596" s="37"/>
      <c r="F1596" s="38"/>
      <c r="G1596" s="24" t="str">
        <f aca="false">IF(OR(C1596="",D1596="",N(E1596)=0),"",E1596*IF(F1596="",IFERROR(N(INDEX(Produtos!$K$5:$K$54,MATCH(D1596,Produtos!$B$5:$B$54,0))),0),F1596))</f>
        <v/>
      </c>
      <c r="H1596" s="24" t="str">
        <f aca="false">IF(G1596="","",E1596*IFERROR(N(INDEX(Produtos!$F$5:$F$54,MATCH(D1596,Produtos!$B$5:$B$54,0))),0))</f>
        <v/>
      </c>
      <c r="I1596" s="24" t="str">
        <f aca="false">IF(G1596="","",G1596-H1596)</f>
        <v/>
      </c>
      <c r="J1596" s="37"/>
    </row>
    <row r="1597" customFormat="false" ht="21" hidden="false" customHeight="true" outlineLevel="0" collapsed="false">
      <c r="B1597" s="36"/>
      <c r="C1597" s="7"/>
      <c r="D1597" s="7"/>
      <c r="E1597" s="37"/>
      <c r="F1597" s="38"/>
      <c r="G1597" s="24" t="str">
        <f aca="false">IF(OR(C1597="",D1597="",N(E1597)=0),"",E1597*IF(F1597="",IFERROR(N(INDEX(Produtos!$K$5:$K$54,MATCH(D1597,Produtos!$B$5:$B$54,0))),0),F1597))</f>
        <v/>
      </c>
      <c r="H1597" s="24" t="str">
        <f aca="false">IF(G1597="","",E1597*IFERROR(N(INDEX(Produtos!$F$5:$F$54,MATCH(D1597,Produtos!$B$5:$B$54,0))),0))</f>
        <v/>
      </c>
      <c r="I1597" s="24" t="str">
        <f aca="false">IF(G1597="","",G1597-H1597)</f>
        <v/>
      </c>
      <c r="J1597" s="37"/>
    </row>
    <row r="1598" customFormat="false" ht="21" hidden="false" customHeight="true" outlineLevel="0" collapsed="false">
      <c r="B1598" s="36"/>
      <c r="C1598" s="7"/>
      <c r="D1598" s="7"/>
      <c r="E1598" s="37"/>
      <c r="F1598" s="38"/>
      <c r="G1598" s="24" t="str">
        <f aca="false">IF(OR(C1598="",D1598="",N(E1598)=0),"",E1598*IF(F1598="",IFERROR(N(INDEX(Produtos!$K$5:$K$54,MATCH(D1598,Produtos!$B$5:$B$54,0))),0),F1598))</f>
        <v/>
      </c>
      <c r="H1598" s="24" t="str">
        <f aca="false">IF(G1598="","",E1598*IFERROR(N(INDEX(Produtos!$F$5:$F$54,MATCH(D1598,Produtos!$B$5:$B$54,0))),0))</f>
        <v/>
      </c>
      <c r="I1598" s="24" t="str">
        <f aca="false">IF(G1598="","",G1598-H1598)</f>
        <v/>
      </c>
      <c r="J1598" s="37"/>
    </row>
    <row r="1599" customFormat="false" ht="21" hidden="false" customHeight="true" outlineLevel="0" collapsed="false">
      <c r="B1599" s="36"/>
      <c r="C1599" s="7"/>
      <c r="D1599" s="7"/>
      <c r="E1599" s="37"/>
      <c r="F1599" s="38"/>
      <c r="G1599" s="24" t="str">
        <f aca="false">IF(OR(C1599="",D1599="",N(E1599)=0),"",E1599*IF(F1599="",IFERROR(N(INDEX(Produtos!$K$5:$K$54,MATCH(D1599,Produtos!$B$5:$B$54,0))),0),F1599))</f>
        <v/>
      </c>
      <c r="H1599" s="24" t="str">
        <f aca="false">IF(G1599="","",E1599*IFERROR(N(INDEX(Produtos!$F$5:$F$54,MATCH(D1599,Produtos!$B$5:$B$54,0))),0))</f>
        <v/>
      </c>
      <c r="I1599" s="24" t="str">
        <f aca="false">IF(G1599="","",G1599-H1599)</f>
        <v/>
      </c>
      <c r="J1599" s="37"/>
    </row>
    <row r="1600" customFormat="false" ht="21" hidden="false" customHeight="true" outlineLevel="0" collapsed="false">
      <c r="B1600" s="36"/>
      <c r="C1600" s="7"/>
      <c r="D1600" s="7"/>
      <c r="E1600" s="37"/>
      <c r="F1600" s="38"/>
      <c r="G1600" s="24" t="str">
        <f aca="false">IF(OR(C1600="",D1600="",N(E1600)=0),"",E1600*IF(F1600="",IFERROR(N(INDEX(Produtos!$K$5:$K$54,MATCH(D1600,Produtos!$B$5:$B$54,0))),0),F1600))</f>
        <v/>
      </c>
      <c r="H1600" s="24" t="str">
        <f aca="false">IF(G1600="","",E1600*IFERROR(N(INDEX(Produtos!$F$5:$F$54,MATCH(D1600,Produtos!$B$5:$B$54,0))),0))</f>
        <v/>
      </c>
      <c r="I1600" s="24" t="str">
        <f aca="false">IF(G1600="","",G1600-H1600)</f>
        <v/>
      </c>
      <c r="J1600" s="37"/>
    </row>
    <row r="1601" customFormat="false" ht="21" hidden="false" customHeight="true" outlineLevel="0" collapsed="false">
      <c r="B1601" s="36"/>
      <c r="C1601" s="7"/>
      <c r="D1601" s="7"/>
      <c r="E1601" s="37"/>
      <c r="F1601" s="38"/>
      <c r="G1601" s="24" t="str">
        <f aca="false">IF(OR(C1601="",D1601="",N(E1601)=0),"",E1601*IF(F1601="",IFERROR(N(INDEX(Produtos!$K$5:$K$54,MATCH(D1601,Produtos!$B$5:$B$54,0))),0),F1601))</f>
        <v/>
      </c>
      <c r="H1601" s="24" t="str">
        <f aca="false">IF(G1601="","",E1601*IFERROR(N(INDEX(Produtos!$F$5:$F$54,MATCH(D1601,Produtos!$B$5:$B$54,0))),0))</f>
        <v/>
      </c>
      <c r="I1601" s="24" t="str">
        <f aca="false">IF(G1601="","",G1601-H1601)</f>
        <v/>
      </c>
      <c r="J1601" s="37"/>
    </row>
    <row r="1602" customFormat="false" ht="21" hidden="false" customHeight="true" outlineLevel="0" collapsed="false">
      <c r="B1602" s="36"/>
      <c r="C1602" s="7"/>
      <c r="D1602" s="7"/>
      <c r="E1602" s="37"/>
      <c r="F1602" s="38"/>
      <c r="G1602" s="24" t="str">
        <f aca="false">IF(OR(C1602="",D1602="",N(E1602)=0),"",E1602*IF(F1602="",IFERROR(N(INDEX(Produtos!$K$5:$K$54,MATCH(D1602,Produtos!$B$5:$B$54,0))),0),F1602))</f>
        <v/>
      </c>
      <c r="H1602" s="24" t="str">
        <f aca="false">IF(G1602="","",E1602*IFERROR(N(INDEX(Produtos!$F$5:$F$54,MATCH(D1602,Produtos!$B$5:$B$54,0))),0))</f>
        <v/>
      </c>
      <c r="I1602" s="24" t="str">
        <f aca="false">IF(G1602="","",G1602-H1602)</f>
        <v/>
      </c>
      <c r="J1602" s="37"/>
    </row>
    <row r="1603" customFormat="false" ht="21" hidden="false" customHeight="true" outlineLevel="0" collapsed="false">
      <c r="B1603" s="36"/>
      <c r="C1603" s="7"/>
      <c r="D1603" s="7"/>
      <c r="E1603" s="37"/>
      <c r="F1603" s="38"/>
      <c r="G1603" s="24" t="str">
        <f aca="false">IF(OR(C1603="",D1603="",N(E1603)=0),"",E1603*IF(F1603="",IFERROR(N(INDEX(Produtos!$K$5:$K$54,MATCH(D1603,Produtos!$B$5:$B$54,0))),0),F1603))</f>
        <v/>
      </c>
      <c r="H1603" s="24" t="str">
        <f aca="false">IF(G1603="","",E1603*IFERROR(N(INDEX(Produtos!$F$5:$F$54,MATCH(D1603,Produtos!$B$5:$B$54,0))),0))</f>
        <v/>
      </c>
      <c r="I1603" s="24" t="str">
        <f aca="false">IF(G1603="","",G1603-H1603)</f>
        <v/>
      </c>
      <c r="J1603" s="37"/>
    </row>
    <row r="1604" customFormat="false" ht="21" hidden="false" customHeight="true" outlineLevel="0" collapsed="false">
      <c r="B1604" s="36"/>
      <c r="C1604" s="7"/>
      <c r="D1604" s="7"/>
      <c r="E1604" s="37"/>
      <c r="F1604" s="38"/>
      <c r="G1604" s="24" t="str">
        <f aca="false">IF(OR(C1604="",D1604="",N(E1604)=0),"",E1604*IF(F1604="",IFERROR(N(INDEX(Produtos!$K$5:$K$54,MATCH(D1604,Produtos!$B$5:$B$54,0))),0),F1604))</f>
        <v/>
      </c>
      <c r="H1604" s="24" t="str">
        <f aca="false">IF(G1604="","",E1604*IFERROR(N(INDEX(Produtos!$F$5:$F$54,MATCH(D1604,Produtos!$B$5:$B$54,0))),0))</f>
        <v/>
      </c>
      <c r="I1604" s="24" t="str">
        <f aca="false">IF(G1604="","",G1604-H1604)</f>
        <v/>
      </c>
      <c r="J1604" s="37"/>
    </row>
    <row r="1605" customFormat="false" ht="21" hidden="false" customHeight="true" outlineLevel="0" collapsed="false">
      <c r="B1605" s="36"/>
      <c r="C1605" s="7"/>
      <c r="D1605" s="7"/>
      <c r="E1605" s="37"/>
      <c r="F1605" s="38"/>
      <c r="G1605" s="24" t="str">
        <f aca="false">IF(OR(C1605="",D1605="",N(E1605)=0),"",E1605*IF(F1605="",IFERROR(N(INDEX(Produtos!$K$5:$K$54,MATCH(D1605,Produtos!$B$5:$B$54,0))),0),F1605))</f>
        <v/>
      </c>
      <c r="H1605" s="24" t="str">
        <f aca="false">IF(G1605="","",E1605*IFERROR(N(INDEX(Produtos!$F$5:$F$54,MATCH(D1605,Produtos!$B$5:$B$54,0))),0))</f>
        <v/>
      </c>
      <c r="I1605" s="24" t="str">
        <f aca="false">IF(G1605="","",G1605-H1605)</f>
        <v/>
      </c>
      <c r="J1605" s="37"/>
    </row>
    <row r="1606" customFormat="false" ht="21" hidden="false" customHeight="true" outlineLevel="0" collapsed="false">
      <c r="B1606" s="36"/>
      <c r="C1606" s="7"/>
      <c r="D1606" s="7"/>
      <c r="E1606" s="37"/>
      <c r="F1606" s="38"/>
      <c r="G1606" s="24" t="str">
        <f aca="false">IF(OR(C1606="",D1606="",N(E1606)=0),"",E1606*IF(F1606="",IFERROR(N(INDEX(Produtos!$K$5:$K$54,MATCH(D1606,Produtos!$B$5:$B$54,0))),0),F1606))</f>
        <v/>
      </c>
      <c r="H1606" s="24" t="str">
        <f aca="false">IF(G1606="","",E1606*IFERROR(N(INDEX(Produtos!$F$5:$F$54,MATCH(D1606,Produtos!$B$5:$B$54,0))),0))</f>
        <v/>
      </c>
      <c r="I1606" s="24" t="str">
        <f aca="false">IF(G1606="","",G1606-H1606)</f>
        <v/>
      </c>
      <c r="J1606" s="37"/>
    </row>
    <row r="1607" customFormat="false" ht="21" hidden="false" customHeight="true" outlineLevel="0" collapsed="false">
      <c r="B1607" s="36"/>
      <c r="C1607" s="7"/>
      <c r="D1607" s="7"/>
      <c r="E1607" s="37"/>
      <c r="F1607" s="38"/>
      <c r="G1607" s="24" t="str">
        <f aca="false">IF(OR(C1607="",D1607="",N(E1607)=0),"",E1607*IF(F1607="",IFERROR(N(INDEX(Produtos!$K$5:$K$54,MATCH(D1607,Produtos!$B$5:$B$54,0))),0),F1607))</f>
        <v/>
      </c>
      <c r="H1607" s="24" t="str">
        <f aca="false">IF(G1607="","",E1607*IFERROR(N(INDEX(Produtos!$F$5:$F$54,MATCH(D1607,Produtos!$B$5:$B$54,0))),0))</f>
        <v/>
      </c>
      <c r="I1607" s="24" t="str">
        <f aca="false">IF(G1607="","",G1607-H1607)</f>
        <v/>
      </c>
      <c r="J1607" s="37"/>
    </row>
    <row r="1608" customFormat="false" ht="21" hidden="false" customHeight="true" outlineLevel="0" collapsed="false">
      <c r="B1608" s="36"/>
      <c r="C1608" s="7"/>
      <c r="D1608" s="7"/>
      <c r="E1608" s="37"/>
      <c r="F1608" s="38"/>
      <c r="G1608" s="24" t="str">
        <f aca="false">IF(OR(C1608="",D1608="",N(E1608)=0),"",E1608*IF(F1608="",IFERROR(N(INDEX(Produtos!$K$5:$K$54,MATCH(D1608,Produtos!$B$5:$B$54,0))),0),F1608))</f>
        <v/>
      </c>
      <c r="H1608" s="24" t="str">
        <f aca="false">IF(G1608="","",E1608*IFERROR(N(INDEX(Produtos!$F$5:$F$54,MATCH(D1608,Produtos!$B$5:$B$54,0))),0))</f>
        <v/>
      </c>
      <c r="I1608" s="24" t="str">
        <f aca="false">IF(G1608="","",G1608-H1608)</f>
        <v/>
      </c>
      <c r="J1608" s="37"/>
    </row>
    <row r="1609" customFormat="false" ht="21" hidden="false" customHeight="true" outlineLevel="0" collapsed="false">
      <c r="B1609" s="36"/>
      <c r="C1609" s="7"/>
      <c r="D1609" s="7"/>
      <c r="E1609" s="37"/>
      <c r="F1609" s="38"/>
      <c r="G1609" s="24" t="str">
        <f aca="false">IF(OR(C1609="",D1609="",N(E1609)=0),"",E1609*IF(F1609="",IFERROR(N(INDEX(Produtos!$K$5:$K$54,MATCH(D1609,Produtos!$B$5:$B$54,0))),0),F1609))</f>
        <v/>
      </c>
      <c r="H1609" s="24" t="str">
        <f aca="false">IF(G1609="","",E1609*IFERROR(N(INDEX(Produtos!$F$5:$F$54,MATCH(D1609,Produtos!$B$5:$B$54,0))),0))</f>
        <v/>
      </c>
      <c r="I1609" s="24" t="str">
        <f aca="false">IF(G1609="","",G1609-H1609)</f>
        <v/>
      </c>
      <c r="J1609" s="37"/>
    </row>
    <row r="1610" customFormat="false" ht="21" hidden="false" customHeight="true" outlineLevel="0" collapsed="false">
      <c r="B1610" s="36"/>
      <c r="C1610" s="7"/>
      <c r="D1610" s="7"/>
      <c r="E1610" s="37"/>
      <c r="F1610" s="38"/>
      <c r="G1610" s="24" t="str">
        <f aca="false">IF(OR(C1610="",D1610="",N(E1610)=0),"",E1610*IF(F1610="",IFERROR(N(INDEX(Produtos!$K$5:$K$54,MATCH(D1610,Produtos!$B$5:$B$54,0))),0),F1610))</f>
        <v/>
      </c>
      <c r="H1610" s="24" t="str">
        <f aca="false">IF(G1610="","",E1610*IFERROR(N(INDEX(Produtos!$F$5:$F$54,MATCH(D1610,Produtos!$B$5:$B$54,0))),0))</f>
        <v/>
      </c>
      <c r="I1610" s="24" t="str">
        <f aca="false">IF(G1610="","",G1610-H1610)</f>
        <v/>
      </c>
      <c r="J1610" s="37"/>
    </row>
    <row r="1611" customFormat="false" ht="21" hidden="false" customHeight="true" outlineLevel="0" collapsed="false">
      <c r="B1611" s="36"/>
      <c r="C1611" s="7"/>
      <c r="D1611" s="7"/>
      <c r="E1611" s="37"/>
      <c r="F1611" s="38"/>
      <c r="G1611" s="24" t="str">
        <f aca="false">IF(OR(C1611="",D1611="",N(E1611)=0),"",E1611*IF(F1611="",IFERROR(N(INDEX(Produtos!$K$5:$K$54,MATCH(D1611,Produtos!$B$5:$B$54,0))),0),F1611))</f>
        <v/>
      </c>
      <c r="H1611" s="24" t="str">
        <f aca="false">IF(G1611="","",E1611*IFERROR(N(INDEX(Produtos!$F$5:$F$54,MATCH(D1611,Produtos!$B$5:$B$54,0))),0))</f>
        <v/>
      </c>
      <c r="I1611" s="24" t="str">
        <f aca="false">IF(G1611="","",G1611-H1611)</f>
        <v/>
      </c>
      <c r="J1611" s="37"/>
    </row>
    <row r="1612" customFormat="false" ht="21" hidden="false" customHeight="true" outlineLevel="0" collapsed="false">
      <c r="B1612" s="36"/>
      <c r="C1612" s="7"/>
      <c r="D1612" s="7"/>
      <c r="E1612" s="37"/>
      <c r="F1612" s="38"/>
      <c r="G1612" s="24" t="str">
        <f aca="false">IF(OR(C1612="",D1612="",N(E1612)=0),"",E1612*IF(F1612="",IFERROR(N(INDEX(Produtos!$K$5:$K$54,MATCH(D1612,Produtos!$B$5:$B$54,0))),0),F1612))</f>
        <v/>
      </c>
      <c r="H1612" s="24" t="str">
        <f aca="false">IF(G1612="","",E1612*IFERROR(N(INDEX(Produtos!$F$5:$F$54,MATCH(D1612,Produtos!$B$5:$B$54,0))),0))</f>
        <v/>
      </c>
      <c r="I1612" s="24" t="str">
        <f aca="false">IF(G1612="","",G1612-H1612)</f>
        <v/>
      </c>
      <c r="J1612" s="37"/>
    </row>
    <row r="1613" customFormat="false" ht="21" hidden="false" customHeight="true" outlineLevel="0" collapsed="false">
      <c r="B1613" s="36"/>
      <c r="C1613" s="7"/>
      <c r="D1613" s="7"/>
      <c r="E1613" s="37"/>
      <c r="F1613" s="38"/>
      <c r="G1613" s="24" t="str">
        <f aca="false">IF(OR(C1613="",D1613="",N(E1613)=0),"",E1613*IF(F1613="",IFERROR(N(INDEX(Produtos!$K$5:$K$54,MATCH(D1613,Produtos!$B$5:$B$54,0))),0),F1613))</f>
        <v/>
      </c>
      <c r="H1613" s="24" t="str">
        <f aca="false">IF(G1613="","",E1613*IFERROR(N(INDEX(Produtos!$F$5:$F$54,MATCH(D1613,Produtos!$B$5:$B$54,0))),0))</f>
        <v/>
      </c>
      <c r="I1613" s="24" t="str">
        <f aca="false">IF(G1613="","",G1613-H1613)</f>
        <v/>
      </c>
      <c r="J1613" s="37"/>
    </row>
    <row r="1614" customFormat="false" ht="21" hidden="false" customHeight="true" outlineLevel="0" collapsed="false">
      <c r="B1614" s="36"/>
      <c r="C1614" s="7"/>
      <c r="D1614" s="7"/>
      <c r="E1614" s="37"/>
      <c r="F1614" s="38"/>
      <c r="G1614" s="24" t="str">
        <f aca="false">IF(OR(C1614="",D1614="",N(E1614)=0),"",E1614*IF(F1614="",IFERROR(N(INDEX(Produtos!$K$5:$K$54,MATCH(D1614,Produtos!$B$5:$B$54,0))),0),F1614))</f>
        <v/>
      </c>
      <c r="H1614" s="24" t="str">
        <f aca="false">IF(G1614="","",E1614*IFERROR(N(INDEX(Produtos!$F$5:$F$54,MATCH(D1614,Produtos!$B$5:$B$54,0))),0))</f>
        <v/>
      </c>
      <c r="I1614" s="24" t="str">
        <f aca="false">IF(G1614="","",G1614-H1614)</f>
        <v/>
      </c>
      <c r="J1614" s="37"/>
    </row>
    <row r="1615" customFormat="false" ht="21" hidden="false" customHeight="true" outlineLevel="0" collapsed="false">
      <c r="B1615" s="36"/>
      <c r="C1615" s="7"/>
      <c r="D1615" s="7"/>
      <c r="E1615" s="37"/>
      <c r="F1615" s="38"/>
      <c r="G1615" s="24" t="str">
        <f aca="false">IF(OR(C1615="",D1615="",N(E1615)=0),"",E1615*IF(F1615="",IFERROR(N(INDEX(Produtos!$K$5:$K$54,MATCH(D1615,Produtos!$B$5:$B$54,0))),0),F1615))</f>
        <v/>
      </c>
      <c r="H1615" s="24" t="str">
        <f aca="false">IF(G1615="","",E1615*IFERROR(N(INDEX(Produtos!$F$5:$F$54,MATCH(D1615,Produtos!$B$5:$B$54,0))),0))</f>
        <v/>
      </c>
      <c r="I1615" s="24" t="str">
        <f aca="false">IF(G1615="","",G1615-H1615)</f>
        <v/>
      </c>
      <c r="J1615" s="37"/>
    </row>
    <row r="1616" customFormat="false" ht="21" hidden="false" customHeight="true" outlineLevel="0" collapsed="false">
      <c r="B1616" s="36"/>
      <c r="C1616" s="7"/>
      <c r="D1616" s="7"/>
      <c r="E1616" s="37"/>
      <c r="F1616" s="38"/>
      <c r="G1616" s="24" t="str">
        <f aca="false">IF(OR(C1616="",D1616="",N(E1616)=0),"",E1616*IF(F1616="",IFERROR(N(INDEX(Produtos!$K$5:$K$54,MATCH(D1616,Produtos!$B$5:$B$54,0))),0),F1616))</f>
        <v/>
      </c>
      <c r="H1616" s="24" t="str">
        <f aca="false">IF(G1616="","",E1616*IFERROR(N(INDEX(Produtos!$F$5:$F$54,MATCH(D1616,Produtos!$B$5:$B$54,0))),0))</f>
        <v/>
      </c>
      <c r="I1616" s="24" t="str">
        <f aca="false">IF(G1616="","",G1616-H1616)</f>
        <v/>
      </c>
      <c r="J1616" s="37"/>
    </row>
    <row r="1617" customFormat="false" ht="21" hidden="false" customHeight="true" outlineLevel="0" collapsed="false">
      <c r="B1617" s="36"/>
      <c r="C1617" s="7"/>
      <c r="D1617" s="7"/>
      <c r="E1617" s="37"/>
      <c r="F1617" s="38"/>
      <c r="G1617" s="24" t="str">
        <f aca="false">IF(OR(C1617="",D1617="",N(E1617)=0),"",E1617*IF(F1617="",IFERROR(N(INDEX(Produtos!$K$5:$K$54,MATCH(D1617,Produtos!$B$5:$B$54,0))),0),F1617))</f>
        <v/>
      </c>
      <c r="H1617" s="24" t="str">
        <f aca="false">IF(G1617="","",E1617*IFERROR(N(INDEX(Produtos!$F$5:$F$54,MATCH(D1617,Produtos!$B$5:$B$54,0))),0))</f>
        <v/>
      </c>
      <c r="I1617" s="24" t="str">
        <f aca="false">IF(G1617="","",G1617-H1617)</f>
        <v/>
      </c>
      <c r="J1617" s="37"/>
    </row>
    <row r="1618" customFormat="false" ht="21" hidden="false" customHeight="true" outlineLevel="0" collapsed="false">
      <c r="B1618" s="36"/>
      <c r="C1618" s="7"/>
      <c r="D1618" s="7"/>
      <c r="E1618" s="37"/>
      <c r="F1618" s="38"/>
      <c r="G1618" s="24" t="str">
        <f aca="false">IF(OR(C1618="",D1618="",N(E1618)=0),"",E1618*IF(F1618="",IFERROR(N(INDEX(Produtos!$K$5:$K$54,MATCH(D1618,Produtos!$B$5:$B$54,0))),0),F1618))</f>
        <v/>
      </c>
      <c r="H1618" s="24" t="str">
        <f aca="false">IF(G1618="","",E1618*IFERROR(N(INDEX(Produtos!$F$5:$F$54,MATCH(D1618,Produtos!$B$5:$B$54,0))),0))</f>
        <v/>
      </c>
      <c r="I1618" s="24" t="str">
        <f aca="false">IF(G1618="","",G1618-H1618)</f>
        <v/>
      </c>
      <c r="J1618" s="37"/>
    </row>
    <row r="1619" customFormat="false" ht="21" hidden="false" customHeight="true" outlineLevel="0" collapsed="false">
      <c r="B1619" s="36"/>
      <c r="C1619" s="7"/>
      <c r="D1619" s="7"/>
      <c r="E1619" s="37"/>
      <c r="F1619" s="38"/>
      <c r="G1619" s="24" t="str">
        <f aca="false">IF(OR(C1619="",D1619="",N(E1619)=0),"",E1619*IF(F1619="",IFERROR(N(INDEX(Produtos!$K$5:$K$54,MATCH(D1619,Produtos!$B$5:$B$54,0))),0),F1619))</f>
        <v/>
      </c>
      <c r="H1619" s="24" t="str">
        <f aca="false">IF(G1619="","",E1619*IFERROR(N(INDEX(Produtos!$F$5:$F$54,MATCH(D1619,Produtos!$B$5:$B$54,0))),0))</f>
        <v/>
      </c>
      <c r="I1619" s="24" t="str">
        <f aca="false">IF(G1619="","",G1619-H1619)</f>
        <v/>
      </c>
      <c r="J1619" s="37"/>
    </row>
    <row r="1620" customFormat="false" ht="21" hidden="false" customHeight="true" outlineLevel="0" collapsed="false">
      <c r="B1620" s="36"/>
      <c r="C1620" s="7"/>
      <c r="D1620" s="7"/>
      <c r="E1620" s="37"/>
      <c r="F1620" s="38"/>
      <c r="G1620" s="24" t="str">
        <f aca="false">IF(OR(C1620="",D1620="",N(E1620)=0),"",E1620*IF(F1620="",IFERROR(N(INDEX(Produtos!$K$5:$K$54,MATCH(D1620,Produtos!$B$5:$B$54,0))),0),F1620))</f>
        <v/>
      </c>
      <c r="H1620" s="24" t="str">
        <f aca="false">IF(G1620="","",E1620*IFERROR(N(INDEX(Produtos!$F$5:$F$54,MATCH(D1620,Produtos!$B$5:$B$54,0))),0))</f>
        <v/>
      </c>
      <c r="I1620" s="24" t="str">
        <f aca="false">IF(G1620="","",G1620-H1620)</f>
        <v/>
      </c>
      <c r="J1620" s="37"/>
    </row>
    <row r="1621" customFormat="false" ht="21" hidden="false" customHeight="true" outlineLevel="0" collapsed="false">
      <c r="B1621" s="36"/>
      <c r="C1621" s="7"/>
      <c r="D1621" s="7"/>
      <c r="E1621" s="37"/>
      <c r="F1621" s="38"/>
      <c r="G1621" s="24" t="str">
        <f aca="false">IF(OR(C1621="",D1621="",N(E1621)=0),"",E1621*IF(F1621="",IFERROR(N(INDEX(Produtos!$K$5:$K$54,MATCH(D1621,Produtos!$B$5:$B$54,0))),0),F1621))</f>
        <v/>
      </c>
      <c r="H1621" s="24" t="str">
        <f aca="false">IF(G1621="","",E1621*IFERROR(N(INDEX(Produtos!$F$5:$F$54,MATCH(D1621,Produtos!$B$5:$B$54,0))),0))</f>
        <v/>
      </c>
      <c r="I1621" s="24" t="str">
        <f aca="false">IF(G1621="","",G1621-H1621)</f>
        <v/>
      </c>
      <c r="J1621" s="37"/>
    </row>
    <row r="1622" customFormat="false" ht="21" hidden="false" customHeight="true" outlineLevel="0" collapsed="false">
      <c r="B1622" s="36"/>
      <c r="C1622" s="7"/>
      <c r="D1622" s="7"/>
      <c r="E1622" s="37"/>
      <c r="F1622" s="38"/>
      <c r="G1622" s="24" t="str">
        <f aca="false">IF(OR(C1622="",D1622="",N(E1622)=0),"",E1622*IF(F1622="",IFERROR(N(INDEX(Produtos!$K$5:$K$54,MATCH(D1622,Produtos!$B$5:$B$54,0))),0),F1622))</f>
        <v/>
      </c>
      <c r="H1622" s="24" t="str">
        <f aca="false">IF(G1622="","",E1622*IFERROR(N(INDEX(Produtos!$F$5:$F$54,MATCH(D1622,Produtos!$B$5:$B$54,0))),0))</f>
        <v/>
      </c>
      <c r="I1622" s="24" t="str">
        <f aca="false">IF(G1622="","",G1622-H1622)</f>
        <v/>
      </c>
      <c r="J1622" s="37"/>
    </row>
    <row r="1623" customFormat="false" ht="21" hidden="false" customHeight="true" outlineLevel="0" collapsed="false">
      <c r="B1623" s="36"/>
      <c r="C1623" s="7"/>
      <c r="D1623" s="7"/>
      <c r="E1623" s="37"/>
      <c r="F1623" s="38"/>
      <c r="G1623" s="24" t="str">
        <f aca="false">IF(OR(C1623="",D1623="",N(E1623)=0),"",E1623*IF(F1623="",IFERROR(N(INDEX(Produtos!$K$5:$K$54,MATCH(D1623,Produtos!$B$5:$B$54,0))),0),F1623))</f>
        <v/>
      </c>
      <c r="H1623" s="24" t="str">
        <f aca="false">IF(G1623="","",E1623*IFERROR(N(INDEX(Produtos!$F$5:$F$54,MATCH(D1623,Produtos!$B$5:$B$54,0))),0))</f>
        <v/>
      </c>
      <c r="I1623" s="24" t="str">
        <f aca="false">IF(G1623="","",G1623-H1623)</f>
        <v/>
      </c>
      <c r="J1623" s="37"/>
    </row>
    <row r="1624" customFormat="false" ht="21" hidden="false" customHeight="true" outlineLevel="0" collapsed="false">
      <c r="B1624" s="36"/>
      <c r="C1624" s="7"/>
      <c r="D1624" s="7"/>
      <c r="E1624" s="37"/>
      <c r="F1624" s="38"/>
      <c r="G1624" s="24" t="str">
        <f aca="false">IF(OR(C1624="",D1624="",N(E1624)=0),"",E1624*IF(F1624="",IFERROR(N(INDEX(Produtos!$K$5:$K$54,MATCH(D1624,Produtos!$B$5:$B$54,0))),0),F1624))</f>
        <v/>
      </c>
      <c r="H1624" s="24" t="str">
        <f aca="false">IF(G1624="","",E1624*IFERROR(N(INDEX(Produtos!$F$5:$F$54,MATCH(D1624,Produtos!$B$5:$B$54,0))),0))</f>
        <v/>
      </c>
      <c r="I1624" s="24" t="str">
        <f aca="false">IF(G1624="","",G1624-H1624)</f>
        <v/>
      </c>
      <c r="J1624" s="37"/>
    </row>
    <row r="1625" customFormat="false" ht="21" hidden="false" customHeight="true" outlineLevel="0" collapsed="false">
      <c r="B1625" s="36"/>
      <c r="C1625" s="7"/>
      <c r="D1625" s="7"/>
      <c r="E1625" s="37"/>
      <c r="F1625" s="38"/>
      <c r="G1625" s="24" t="str">
        <f aca="false">IF(OR(C1625="",D1625="",N(E1625)=0),"",E1625*IF(F1625="",IFERROR(N(INDEX(Produtos!$K$5:$K$54,MATCH(D1625,Produtos!$B$5:$B$54,0))),0),F1625))</f>
        <v/>
      </c>
      <c r="H1625" s="24" t="str">
        <f aca="false">IF(G1625="","",E1625*IFERROR(N(INDEX(Produtos!$F$5:$F$54,MATCH(D1625,Produtos!$B$5:$B$54,0))),0))</f>
        <v/>
      </c>
      <c r="I1625" s="24" t="str">
        <f aca="false">IF(G1625="","",G1625-H1625)</f>
        <v/>
      </c>
      <c r="J1625" s="37"/>
    </row>
    <row r="1626" customFormat="false" ht="21" hidden="false" customHeight="true" outlineLevel="0" collapsed="false">
      <c r="B1626" s="36"/>
      <c r="C1626" s="7"/>
      <c r="D1626" s="7"/>
      <c r="E1626" s="37"/>
      <c r="F1626" s="38"/>
      <c r="G1626" s="24" t="str">
        <f aca="false">IF(OR(C1626="",D1626="",N(E1626)=0),"",E1626*IF(F1626="",IFERROR(N(INDEX(Produtos!$K$5:$K$54,MATCH(D1626,Produtos!$B$5:$B$54,0))),0),F1626))</f>
        <v/>
      </c>
      <c r="H1626" s="24" t="str">
        <f aca="false">IF(G1626="","",E1626*IFERROR(N(INDEX(Produtos!$F$5:$F$54,MATCH(D1626,Produtos!$B$5:$B$54,0))),0))</f>
        <v/>
      </c>
      <c r="I1626" s="24" t="str">
        <f aca="false">IF(G1626="","",G1626-H1626)</f>
        <v/>
      </c>
      <c r="J1626" s="37"/>
    </row>
    <row r="1627" customFormat="false" ht="21" hidden="false" customHeight="true" outlineLevel="0" collapsed="false">
      <c r="B1627" s="36"/>
      <c r="C1627" s="7"/>
      <c r="D1627" s="7"/>
      <c r="E1627" s="37"/>
      <c r="F1627" s="38"/>
      <c r="G1627" s="24" t="str">
        <f aca="false">IF(OR(C1627="",D1627="",N(E1627)=0),"",E1627*IF(F1627="",IFERROR(N(INDEX(Produtos!$K$5:$K$54,MATCH(D1627,Produtos!$B$5:$B$54,0))),0),F1627))</f>
        <v/>
      </c>
      <c r="H1627" s="24" t="str">
        <f aca="false">IF(G1627="","",E1627*IFERROR(N(INDEX(Produtos!$F$5:$F$54,MATCH(D1627,Produtos!$B$5:$B$54,0))),0))</f>
        <v/>
      </c>
      <c r="I1627" s="24" t="str">
        <f aca="false">IF(G1627="","",G1627-H1627)</f>
        <v/>
      </c>
      <c r="J1627" s="37"/>
    </row>
    <row r="1628" customFormat="false" ht="21" hidden="false" customHeight="true" outlineLevel="0" collapsed="false">
      <c r="B1628" s="36"/>
      <c r="C1628" s="7"/>
      <c r="D1628" s="7"/>
      <c r="E1628" s="37"/>
      <c r="F1628" s="38"/>
      <c r="G1628" s="24" t="str">
        <f aca="false">IF(OR(C1628="",D1628="",N(E1628)=0),"",E1628*IF(F1628="",IFERROR(N(INDEX(Produtos!$K$5:$K$54,MATCH(D1628,Produtos!$B$5:$B$54,0))),0),F1628))</f>
        <v/>
      </c>
      <c r="H1628" s="24" t="str">
        <f aca="false">IF(G1628="","",E1628*IFERROR(N(INDEX(Produtos!$F$5:$F$54,MATCH(D1628,Produtos!$B$5:$B$54,0))),0))</f>
        <v/>
      </c>
      <c r="I1628" s="24" t="str">
        <f aca="false">IF(G1628="","",G1628-H1628)</f>
        <v/>
      </c>
      <c r="J1628" s="37"/>
    </row>
    <row r="1629" customFormat="false" ht="21" hidden="false" customHeight="true" outlineLevel="0" collapsed="false">
      <c r="B1629" s="36"/>
      <c r="C1629" s="7"/>
      <c r="D1629" s="7"/>
      <c r="E1629" s="37"/>
      <c r="F1629" s="38"/>
      <c r="G1629" s="24" t="str">
        <f aca="false">IF(OR(C1629="",D1629="",N(E1629)=0),"",E1629*IF(F1629="",IFERROR(N(INDEX(Produtos!$K$5:$K$54,MATCH(D1629,Produtos!$B$5:$B$54,0))),0),F1629))</f>
        <v/>
      </c>
      <c r="H1629" s="24" t="str">
        <f aca="false">IF(G1629="","",E1629*IFERROR(N(INDEX(Produtos!$F$5:$F$54,MATCH(D1629,Produtos!$B$5:$B$54,0))),0))</f>
        <v/>
      </c>
      <c r="I1629" s="24" t="str">
        <f aca="false">IF(G1629="","",G1629-H1629)</f>
        <v/>
      </c>
      <c r="J1629" s="37"/>
    </row>
    <row r="1630" customFormat="false" ht="21" hidden="false" customHeight="true" outlineLevel="0" collapsed="false">
      <c r="B1630" s="36"/>
      <c r="C1630" s="7"/>
      <c r="D1630" s="7"/>
      <c r="E1630" s="37"/>
      <c r="F1630" s="38"/>
      <c r="G1630" s="24" t="str">
        <f aca="false">IF(OR(C1630="",D1630="",N(E1630)=0),"",E1630*IF(F1630="",IFERROR(N(INDEX(Produtos!$K$5:$K$54,MATCH(D1630,Produtos!$B$5:$B$54,0))),0),F1630))</f>
        <v/>
      </c>
      <c r="H1630" s="24" t="str">
        <f aca="false">IF(G1630="","",E1630*IFERROR(N(INDEX(Produtos!$F$5:$F$54,MATCH(D1630,Produtos!$B$5:$B$54,0))),0))</f>
        <v/>
      </c>
      <c r="I1630" s="24" t="str">
        <f aca="false">IF(G1630="","",G1630-H1630)</f>
        <v/>
      </c>
      <c r="J1630" s="37"/>
    </row>
    <row r="1631" customFormat="false" ht="21" hidden="false" customHeight="true" outlineLevel="0" collapsed="false">
      <c r="B1631" s="36"/>
      <c r="C1631" s="7"/>
      <c r="D1631" s="7"/>
      <c r="E1631" s="37"/>
      <c r="F1631" s="38"/>
      <c r="G1631" s="24" t="str">
        <f aca="false">IF(OR(C1631="",D1631="",N(E1631)=0),"",E1631*IF(F1631="",IFERROR(N(INDEX(Produtos!$K$5:$K$54,MATCH(D1631,Produtos!$B$5:$B$54,0))),0),F1631))</f>
        <v/>
      </c>
      <c r="H1631" s="24" t="str">
        <f aca="false">IF(G1631="","",E1631*IFERROR(N(INDEX(Produtos!$F$5:$F$54,MATCH(D1631,Produtos!$B$5:$B$54,0))),0))</f>
        <v/>
      </c>
      <c r="I1631" s="24" t="str">
        <f aca="false">IF(G1631="","",G1631-H1631)</f>
        <v/>
      </c>
      <c r="J1631" s="37"/>
    </row>
    <row r="1632" customFormat="false" ht="21" hidden="false" customHeight="true" outlineLevel="0" collapsed="false">
      <c r="B1632" s="36"/>
      <c r="C1632" s="7"/>
      <c r="D1632" s="7"/>
      <c r="E1632" s="37"/>
      <c r="F1632" s="38"/>
      <c r="G1632" s="24" t="str">
        <f aca="false">IF(OR(C1632="",D1632="",N(E1632)=0),"",E1632*IF(F1632="",IFERROR(N(INDEX(Produtos!$K$5:$K$54,MATCH(D1632,Produtos!$B$5:$B$54,0))),0),F1632))</f>
        <v/>
      </c>
      <c r="H1632" s="24" t="str">
        <f aca="false">IF(G1632="","",E1632*IFERROR(N(INDEX(Produtos!$F$5:$F$54,MATCH(D1632,Produtos!$B$5:$B$54,0))),0))</f>
        <v/>
      </c>
      <c r="I1632" s="24" t="str">
        <f aca="false">IF(G1632="","",G1632-H1632)</f>
        <v/>
      </c>
      <c r="J1632" s="37"/>
    </row>
    <row r="1633" customFormat="false" ht="21" hidden="false" customHeight="true" outlineLevel="0" collapsed="false">
      <c r="B1633" s="36"/>
      <c r="C1633" s="7"/>
      <c r="D1633" s="7"/>
      <c r="E1633" s="37"/>
      <c r="F1633" s="38"/>
      <c r="G1633" s="24" t="str">
        <f aca="false">IF(OR(C1633="",D1633="",N(E1633)=0),"",E1633*IF(F1633="",IFERROR(N(INDEX(Produtos!$K$5:$K$54,MATCH(D1633,Produtos!$B$5:$B$54,0))),0),F1633))</f>
        <v/>
      </c>
      <c r="H1633" s="24" t="str">
        <f aca="false">IF(G1633="","",E1633*IFERROR(N(INDEX(Produtos!$F$5:$F$54,MATCH(D1633,Produtos!$B$5:$B$54,0))),0))</f>
        <v/>
      </c>
      <c r="I1633" s="24" t="str">
        <f aca="false">IF(G1633="","",G1633-H1633)</f>
        <v/>
      </c>
      <c r="J1633" s="37"/>
    </row>
    <row r="1634" customFormat="false" ht="21" hidden="false" customHeight="true" outlineLevel="0" collapsed="false">
      <c r="B1634" s="36"/>
      <c r="C1634" s="7"/>
      <c r="D1634" s="7"/>
      <c r="E1634" s="37"/>
      <c r="F1634" s="38"/>
      <c r="G1634" s="24" t="str">
        <f aca="false">IF(OR(C1634="",D1634="",N(E1634)=0),"",E1634*IF(F1634="",IFERROR(N(INDEX(Produtos!$K$5:$K$54,MATCH(D1634,Produtos!$B$5:$B$54,0))),0),F1634))</f>
        <v/>
      </c>
      <c r="H1634" s="24" t="str">
        <f aca="false">IF(G1634="","",E1634*IFERROR(N(INDEX(Produtos!$F$5:$F$54,MATCH(D1634,Produtos!$B$5:$B$54,0))),0))</f>
        <v/>
      </c>
      <c r="I1634" s="24" t="str">
        <f aca="false">IF(G1634="","",G1634-H1634)</f>
        <v/>
      </c>
      <c r="J1634" s="37"/>
    </row>
    <row r="1635" customFormat="false" ht="21" hidden="false" customHeight="true" outlineLevel="0" collapsed="false">
      <c r="B1635" s="36"/>
      <c r="C1635" s="7"/>
      <c r="D1635" s="7"/>
      <c r="E1635" s="37"/>
      <c r="F1635" s="38"/>
      <c r="G1635" s="24" t="str">
        <f aca="false">IF(OR(C1635="",D1635="",N(E1635)=0),"",E1635*IF(F1635="",IFERROR(N(INDEX(Produtos!$K$5:$K$54,MATCH(D1635,Produtos!$B$5:$B$54,0))),0),F1635))</f>
        <v/>
      </c>
      <c r="H1635" s="24" t="str">
        <f aca="false">IF(G1635="","",E1635*IFERROR(N(INDEX(Produtos!$F$5:$F$54,MATCH(D1635,Produtos!$B$5:$B$54,0))),0))</f>
        <v/>
      </c>
      <c r="I1635" s="24" t="str">
        <f aca="false">IF(G1635="","",G1635-H1635)</f>
        <v/>
      </c>
      <c r="J1635" s="37"/>
    </row>
    <row r="1636" customFormat="false" ht="21" hidden="false" customHeight="true" outlineLevel="0" collapsed="false">
      <c r="B1636" s="36"/>
      <c r="C1636" s="7"/>
      <c r="D1636" s="7"/>
      <c r="E1636" s="37"/>
      <c r="F1636" s="38"/>
      <c r="G1636" s="24" t="str">
        <f aca="false">IF(OR(C1636="",D1636="",N(E1636)=0),"",E1636*IF(F1636="",IFERROR(N(INDEX(Produtos!$K$5:$K$54,MATCH(D1636,Produtos!$B$5:$B$54,0))),0),F1636))</f>
        <v/>
      </c>
      <c r="H1636" s="24" t="str">
        <f aca="false">IF(G1636="","",E1636*IFERROR(N(INDEX(Produtos!$F$5:$F$54,MATCH(D1636,Produtos!$B$5:$B$54,0))),0))</f>
        <v/>
      </c>
      <c r="I1636" s="24" t="str">
        <f aca="false">IF(G1636="","",G1636-H1636)</f>
        <v/>
      </c>
      <c r="J1636" s="37"/>
    </row>
    <row r="1637" customFormat="false" ht="21" hidden="false" customHeight="true" outlineLevel="0" collapsed="false">
      <c r="B1637" s="36"/>
      <c r="C1637" s="7"/>
      <c r="D1637" s="7"/>
      <c r="E1637" s="37"/>
      <c r="F1637" s="38"/>
      <c r="G1637" s="24" t="str">
        <f aca="false">IF(OR(C1637="",D1637="",N(E1637)=0),"",E1637*IF(F1637="",IFERROR(N(INDEX(Produtos!$K$5:$K$54,MATCH(D1637,Produtos!$B$5:$B$54,0))),0),F1637))</f>
        <v/>
      </c>
      <c r="H1637" s="24" t="str">
        <f aca="false">IF(G1637="","",E1637*IFERROR(N(INDEX(Produtos!$F$5:$F$54,MATCH(D1637,Produtos!$B$5:$B$54,0))),0))</f>
        <v/>
      </c>
      <c r="I1637" s="24" t="str">
        <f aca="false">IF(G1637="","",G1637-H1637)</f>
        <v/>
      </c>
      <c r="J1637" s="37"/>
    </row>
    <row r="1638" customFormat="false" ht="21" hidden="false" customHeight="true" outlineLevel="0" collapsed="false">
      <c r="B1638" s="36"/>
      <c r="C1638" s="7"/>
      <c r="D1638" s="7"/>
      <c r="E1638" s="37"/>
      <c r="F1638" s="38"/>
      <c r="G1638" s="24" t="str">
        <f aca="false">IF(OR(C1638="",D1638="",N(E1638)=0),"",E1638*IF(F1638="",IFERROR(N(INDEX(Produtos!$K$5:$K$54,MATCH(D1638,Produtos!$B$5:$B$54,0))),0),F1638))</f>
        <v/>
      </c>
      <c r="H1638" s="24" t="str">
        <f aca="false">IF(G1638="","",E1638*IFERROR(N(INDEX(Produtos!$F$5:$F$54,MATCH(D1638,Produtos!$B$5:$B$54,0))),0))</f>
        <v/>
      </c>
      <c r="I1638" s="24" t="str">
        <f aca="false">IF(G1638="","",G1638-H1638)</f>
        <v/>
      </c>
      <c r="J1638" s="37"/>
    </row>
    <row r="1639" customFormat="false" ht="21" hidden="false" customHeight="true" outlineLevel="0" collapsed="false">
      <c r="B1639" s="36"/>
      <c r="C1639" s="7"/>
      <c r="D1639" s="7"/>
      <c r="E1639" s="37"/>
      <c r="F1639" s="38"/>
      <c r="G1639" s="24" t="str">
        <f aca="false">IF(OR(C1639="",D1639="",N(E1639)=0),"",E1639*IF(F1639="",IFERROR(N(INDEX(Produtos!$K$5:$K$54,MATCH(D1639,Produtos!$B$5:$B$54,0))),0),F1639))</f>
        <v/>
      </c>
      <c r="H1639" s="24" t="str">
        <f aca="false">IF(G1639="","",E1639*IFERROR(N(INDEX(Produtos!$F$5:$F$54,MATCH(D1639,Produtos!$B$5:$B$54,0))),0))</f>
        <v/>
      </c>
      <c r="I1639" s="24" t="str">
        <f aca="false">IF(G1639="","",G1639-H1639)</f>
        <v/>
      </c>
      <c r="J1639" s="37"/>
    </row>
    <row r="1640" customFormat="false" ht="21" hidden="false" customHeight="true" outlineLevel="0" collapsed="false">
      <c r="B1640" s="36"/>
      <c r="C1640" s="7"/>
      <c r="D1640" s="7"/>
      <c r="E1640" s="37"/>
      <c r="F1640" s="38"/>
      <c r="G1640" s="24" t="str">
        <f aca="false">IF(OR(C1640="",D1640="",N(E1640)=0),"",E1640*IF(F1640="",IFERROR(N(INDEX(Produtos!$K$5:$K$54,MATCH(D1640,Produtos!$B$5:$B$54,0))),0),F1640))</f>
        <v/>
      </c>
      <c r="H1640" s="24" t="str">
        <f aca="false">IF(G1640="","",E1640*IFERROR(N(INDEX(Produtos!$F$5:$F$54,MATCH(D1640,Produtos!$B$5:$B$54,0))),0))</f>
        <v/>
      </c>
      <c r="I1640" s="24" t="str">
        <f aca="false">IF(G1640="","",G1640-H1640)</f>
        <v/>
      </c>
      <c r="J1640" s="37"/>
    </row>
    <row r="1641" customFormat="false" ht="21" hidden="false" customHeight="true" outlineLevel="0" collapsed="false">
      <c r="B1641" s="36"/>
      <c r="C1641" s="7"/>
      <c r="D1641" s="7"/>
      <c r="E1641" s="37"/>
      <c r="F1641" s="38"/>
      <c r="G1641" s="24" t="str">
        <f aca="false">IF(OR(C1641="",D1641="",N(E1641)=0),"",E1641*IF(F1641="",IFERROR(N(INDEX(Produtos!$K$5:$K$54,MATCH(D1641,Produtos!$B$5:$B$54,0))),0),F1641))</f>
        <v/>
      </c>
      <c r="H1641" s="24" t="str">
        <f aca="false">IF(G1641="","",E1641*IFERROR(N(INDEX(Produtos!$F$5:$F$54,MATCH(D1641,Produtos!$B$5:$B$54,0))),0))</f>
        <v/>
      </c>
      <c r="I1641" s="24" t="str">
        <f aca="false">IF(G1641="","",G1641-H1641)</f>
        <v/>
      </c>
      <c r="J1641" s="37"/>
    </row>
    <row r="1642" customFormat="false" ht="21" hidden="false" customHeight="true" outlineLevel="0" collapsed="false">
      <c r="B1642" s="36"/>
      <c r="C1642" s="7"/>
      <c r="D1642" s="7"/>
      <c r="E1642" s="37"/>
      <c r="F1642" s="38"/>
      <c r="G1642" s="24" t="str">
        <f aca="false">IF(OR(C1642="",D1642="",N(E1642)=0),"",E1642*IF(F1642="",IFERROR(N(INDEX(Produtos!$K$5:$K$54,MATCH(D1642,Produtos!$B$5:$B$54,0))),0),F1642))</f>
        <v/>
      </c>
      <c r="H1642" s="24" t="str">
        <f aca="false">IF(G1642="","",E1642*IFERROR(N(INDEX(Produtos!$F$5:$F$54,MATCH(D1642,Produtos!$B$5:$B$54,0))),0))</f>
        <v/>
      </c>
      <c r="I1642" s="24" t="str">
        <f aca="false">IF(G1642="","",G1642-H1642)</f>
        <v/>
      </c>
      <c r="J1642" s="37"/>
    </row>
    <row r="1643" customFormat="false" ht="21" hidden="false" customHeight="true" outlineLevel="0" collapsed="false">
      <c r="B1643" s="36"/>
      <c r="C1643" s="7"/>
      <c r="D1643" s="7"/>
      <c r="E1643" s="37"/>
      <c r="F1643" s="38"/>
      <c r="G1643" s="24" t="str">
        <f aca="false">IF(OR(C1643="",D1643="",N(E1643)=0),"",E1643*IF(F1643="",IFERROR(N(INDEX(Produtos!$K$5:$K$54,MATCH(D1643,Produtos!$B$5:$B$54,0))),0),F1643))</f>
        <v/>
      </c>
      <c r="H1643" s="24" t="str">
        <f aca="false">IF(G1643="","",E1643*IFERROR(N(INDEX(Produtos!$F$5:$F$54,MATCH(D1643,Produtos!$B$5:$B$54,0))),0))</f>
        <v/>
      </c>
      <c r="I1643" s="24" t="str">
        <f aca="false">IF(G1643="","",G1643-H1643)</f>
        <v/>
      </c>
      <c r="J1643" s="37"/>
    </row>
    <row r="1644" customFormat="false" ht="21" hidden="false" customHeight="true" outlineLevel="0" collapsed="false">
      <c r="B1644" s="36"/>
      <c r="C1644" s="7"/>
      <c r="D1644" s="7"/>
      <c r="E1644" s="37"/>
      <c r="F1644" s="38"/>
      <c r="G1644" s="24" t="str">
        <f aca="false">IF(OR(C1644="",D1644="",N(E1644)=0),"",E1644*IF(F1644="",IFERROR(N(INDEX(Produtos!$K$5:$K$54,MATCH(D1644,Produtos!$B$5:$B$54,0))),0),F1644))</f>
        <v/>
      </c>
      <c r="H1644" s="24" t="str">
        <f aca="false">IF(G1644="","",E1644*IFERROR(N(INDEX(Produtos!$F$5:$F$54,MATCH(D1644,Produtos!$B$5:$B$54,0))),0))</f>
        <v/>
      </c>
      <c r="I1644" s="24" t="str">
        <f aca="false">IF(G1644="","",G1644-H1644)</f>
        <v/>
      </c>
      <c r="J1644" s="37"/>
    </row>
    <row r="1645" customFormat="false" ht="21" hidden="false" customHeight="true" outlineLevel="0" collapsed="false">
      <c r="B1645" s="36"/>
      <c r="C1645" s="7"/>
      <c r="D1645" s="7"/>
      <c r="E1645" s="37"/>
      <c r="F1645" s="38"/>
      <c r="G1645" s="24" t="str">
        <f aca="false">IF(OR(C1645="",D1645="",N(E1645)=0),"",E1645*IF(F1645="",IFERROR(N(INDEX(Produtos!$K$5:$K$54,MATCH(D1645,Produtos!$B$5:$B$54,0))),0),F1645))</f>
        <v/>
      </c>
      <c r="H1645" s="24" t="str">
        <f aca="false">IF(G1645="","",E1645*IFERROR(N(INDEX(Produtos!$F$5:$F$54,MATCH(D1645,Produtos!$B$5:$B$54,0))),0))</f>
        <v/>
      </c>
      <c r="I1645" s="24" t="str">
        <f aca="false">IF(G1645="","",G1645-H1645)</f>
        <v/>
      </c>
      <c r="J1645" s="37"/>
    </row>
    <row r="1646" customFormat="false" ht="21" hidden="false" customHeight="true" outlineLevel="0" collapsed="false">
      <c r="B1646" s="36"/>
      <c r="C1646" s="7"/>
      <c r="D1646" s="7"/>
      <c r="E1646" s="37"/>
      <c r="F1646" s="38"/>
      <c r="G1646" s="24" t="str">
        <f aca="false">IF(OR(C1646="",D1646="",N(E1646)=0),"",E1646*IF(F1646="",IFERROR(N(INDEX(Produtos!$K$5:$K$54,MATCH(D1646,Produtos!$B$5:$B$54,0))),0),F1646))</f>
        <v/>
      </c>
      <c r="H1646" s="24" t="str">
        <f aca="false">IF(G1646="","",E1646*IFERROR(N(INDEX(Produtos!$F$5:$F$54,MATCH(D1646,Produtos!$B$5:$B$54,0))),0))</f>
        <v/>
      </c>
      <c r="I1646" s="24" t="str">
        <f aca="false">IF(G1646="","",G1646-H1646)</f>
        <v/>
      </c>
      <c r="J1646" s="37"/>
    </row>
    <row r="1647" customFormat="false" ht="21" hidden="false" customHeight="true" outlineLevel="0" collapsed="false">
      <c r="B1647" s="36"/>
      <c r="C1647" s="7"/>
      <c r="D1647" s="7"/>
      <c r="E1647" s="37"/>
      <c r="F1647" s="38"/>
      <c r="G1647" s="24" t="str">
        <f aca="false">IF(OR(C1647="",D1647="",N(E1647)=0),"",E1647*IF(F1647="",IFERROR(N(INDEX(Produtos!$K$5:$K$54,MATCH(D1647,Produtos!$B$5:$B$54,0))),0),F1647))</f>
        <v/>
      </c>
      <c r="H1647" s="24" t="str">
        <f aca="false">IF(G1647="","",E1647*IFERROR(N(INDEX(Produtos!$F$5:$F$54,MATCH(D1647,Produtos!$B$5:$B$54,0))),0))</f>
        <v/>
      </c>
      <c r="I1647" s="24" t="str">
        <f aca="false">IF(G1647="","",G1647-H1647)</f>
        <v/>
      </c>
      <c r="J1647" s="37"/>
    </row>
    <row r="1648" customFormat="false" ht="21" hidden="false" customHeight="true" outlineLevel="0" collapsed="false">
      <c r="B1648" s="36"/>
      <c r="C1648" s="7"/>
      <c r="D1648" s="7"/>
      <c r="E1648" s="37"/>
      <c r="F1648" s="38"/>
      <c r="G1648" s="24" t="str">
        <f aca="false">IF(OR(C1648="",D1648="",N(E1648)=0),"",E1648*IF(F1648="",IFERROR(N(INDEX(Produtos!$K$5:$K$54,MATCH(D1648,Produtos!$B$5:$B$54,0))),0),F1648))</f>
        <v/>
      </c>
      <c r="H1648" s="24" t="str">
        <f aca="false">IF(G1648="","",E1648*IFERROR(N(INDEX(Produtos!$F$5:$F$54,MATCH(D1648,Produtos!$B$5:$B$54,0))),0))</f>
        <v/>
      </c>
      <c r="I1648" s="24" t="str">
        <f aca="false">IF(G1648="","",G1648-H1648)</f>
        <v/>
      </c>
      <c r="J1648" s="37"/>
    </row>
    <row r="1649" customFormat="false" ht="21" hidden="false" customHeight="true" outlineLevel="0" collapsed="false">
      <c r="B1649" s="36"/>
      <c r="C1649" s="7"/>
      <c r="D1649" s="7"/>
      <c r="E1649" s="37"/>
      <c r="F1649" s="38"/>
      <c r="G1649" s="24" t="str">
        <f aca="false">IF(OR(C1649="",D1649="",N(E1649)=0),"",E1649*IF(F1649="",IFERROR(N(INDEX(Produtos!$K$5:$K$54,MATCH(D1649,Produtos!$B$5:$B$54,0))),0),F1649))</f>
        <v/>
      </c>
      <c r="H1649" s="24" t="str">
        <f aca="false">IF(G1649="","",E1649*IFERROR(N(INDEX(Produtos!$F$5:$F$54,MATCH(D1649,Produtos!$B$5:$B$54,0))),0))</f>
        <v/>
      </c>
      <c r="I1649" s="24" t="str">
        <f aca="false">IF(G1649="","",G1649-H1649)</f>
        <v/>
      </c>
      <c r="J1649" s="37"/>
    </row>
    <row r="1650" customFormat="false" ht="21" hidden="false" customHeight="true" outlineLevel="0" collapsed="false">
      <c r="B1650" s="36"/>
      <c r="C1650" s="7"/>
      <c r="D1650" s="7"/>
      <c r="E1650" s="37"/>
      <c r="F1650" s="38"/>
      <c r="G1650" s="24" t="str">
        <f aca="false">IF(OR(C1650="",D1650="",N(E1650)=0),"",E1650*IF(F1650="",IFERROR(N(INDEX(Produtos!$K$5:$K$54,MATCH(D1650,Produtos!$B$5:$B$54,0))),0),F1650))</f>
        <v/>
      </c>
      <c r="H1650" s="24" t="str">
        <f aca="false">IF(G1650="","",E1650*IFERROR(N(INDEX(Produtos!$F$5:$F$54,MATCH(D1650,Produtos!$B$5:$B$54,0))),0))</f>
        <v/>
      </c>
      <c r="I1650" s="24" t="str">
        <f aca="false">IF(G1650="","",G1650-H1650)</f>
        <v/>
      </c>
      <c r="J1650" s="37"/>
    </row>
    <row r="1651" customFormat="false" ht="21" hidden="false" customHeight="true" outlineLevel="0" collapsed="false">
      <c r="B1651" s="36"/>
      <c r="C1651" s="7"/>
      <c r="D1651" s="7"/>
      <c r="E1651" s="37"/>
      <c r="F1651" s="38"/>
      <c r="G1651" s="24" t="str">
        <f aca="false">IF(OR(C1651="",D1651="",N(E1651)=0),"",E1651*IF(F1651="",IFERROR(N(INDEX(Produtos!$K$5:$K$54,MATCH(D1651,Produtos!$B$5:$B$54,0))),0),F1651))</f>
        <v/>
      </c>
      <c r="H1651" s="24" t="str">
        <f aca="false">IF(G1651="","",E1651*IFERROR(N(INDEX(Produtos!$F$5:$F$54,MATCH(D1651,Produtos!$B$5:$B$54,0))),0))</f>
        <v/>
      </c>
      <c r="I1651" s="24" t="str">
        <f aca="false">IF(G1651="","",G1651-H1651)</f>
        <v/>
      </c>
      <c r="J1651" s="37"/>
    </row>
    <row r="1652" customFormat="false" ht="21" hidden="false" customHeight="true" outlineLevel="0" collapsed="false">
      <c r="B1652" s="36"/>
      <c r="C1652" s="7"/>
      <c r="D1652" s="7"/>
      <c r="E1652" s="37"/>
      <c r="F1652" s="38"/>
      <c r="G1652" s="24" t="str">
        <f aca="false">IF(OR(C1652="",D1652="",N(E1652)=0),"",E1652*IF(F1652="",IFERROR(N(INDEX(Produtos!$K$5:$K$54,MATCH(D1652,Produtos!$B$5:$B$54,0))),0),F1652))</f>
        <v/>
      </c>
      <c r="H1652" s="24" t="str">
        <f aca="false">IF(G1652="","",E1652*IFERROR(N(INDEX(Produtos!$F$5:$F$54,MATCH(D1652,Produtos!$B$5:$B$54,0))),0))</f>
        <v/>
      </c>
      <c r="I1652" s="24" t="str">
        <f aca="false">IF(G1652="","",G1652-H1652)</f>
        <v/>
      </c>
      <c r="J1652" s="37"/>
    </row>
    <row r="1653" customFormat="false" ht="21" hidden="false" customHeight="true" outlineLevel="0" collapsed="false">
      <c r="B1653" s="36"/>
      <c r="C1653" s="7"/>
      <c r="D1653" s="7"/>
      <c r="E1653" s="37"/>
      <c r="F1653" s="38"/>
      <c r="G1653" s="24" t="str">
        <f aca="false">IF(OR(C1653="",D1653="",N(E1653)=0),"",E1653*IF(F1653="",IFERROR(N(INDEX(Produtos!$K$5:$K$54,MATCH(D1653,Produtos!$B$5:$B$54,0))),0),F1653))</f>
        <v/>
      </c>
      <c r="H1653" s="24" t="str">
        <f aca="false">IF(G1653="","",E1653*IFERROR(N(INDEX(Produtos!$F$5:$F$54,MATCH(D1653,Produtos!$B$5:$B$54,0))),0))</f>
        <v/>
      </c>
      <c r="I1653" s="24" t="str">
        <f aca="false">IF(G1653="","",G1653-H1653)</f>
        <v/>
      </c>
      <c r="J1653" s="37"/>
    </row>
    <row r="1654" customFormat="false" ht="21" hidden="false" customHeight="true" outlineLevel="0" collapsed="false">
      <c r="B1654" s="36"/>
      <c r="C1654" s="7"/>
      <c r="D1654" s="7"/>
      <c r="E1654" s="37"/>
      <c r="F1654" s="38"/>
      <c r="G1654" s="24" t="str">
        <f aca="false">IF(OR(C1654="",D1654="",N(E1654)=0),"",E1654*IF(F1654="",IFERROR(N(INDEX(Produtos!$K$5:$K$54,MATCH(D1654,Produtos!$B$5:$B$54,0))),0),F1654))</f>
        <v/>
      </c>
      <c r="H1654" s="24" t="str">
        <f aca="false">IF(G1654="","",E1654*IFERROR(N(INDEX(Produtos!$F$5:$F$54,MATCH(D1654,Produtos!$B$5:$B$54,0))),0))</f>
        <v/>
      </c>
      <c r="I1654" s="24" t="str">
        <f aca="false">IF(G1654="","",G1654-H1654)</f>
        <v/>
      </c>
      <c r="J1654" s="37"/>
    </row>
    <row r="1655" customFormat="false" ht="21" hidden="false" customHeight="true" outlineLevel="0" collapsed="false">
      <c r="B1655" s="36"/>
      <c r="C1655" s="7"/>
      <c r="D1655" s="7"/>
      <c r="E1655" s="37"/>
      <c r="F1655" s="38"/>
      <c r="G1655" s="24" t="str">
        <f aca="false">IF(OR(C1655="",D1655="",N(E1655)=0),"",E1655*IF(F1655="",IFERROR(N(INDEX(Produtos!$K$5:$K$54,MATCH(D1655,Produtos!$B$5:$B$54,0))),0),F1655))</f>
        <v/>
      </c>
      <c r="H1655" s="24" t="str">
        <f aca="false">IF(G1655="","",E1655*IFERROR(N(INDEX(Produtos!$F$5:$F$54,MATCH(D1655,Produtos!$B$5:$B$54,0))),0))</f>
        <v/>
      </c>
      <c r="I1655" s="24" t="str">
        <f aca="false">IF(G1655="","",G1655-H1655)</f>
        <v/>
      </c>
      <c r="J1655" s="37"/>
    </row>
    <row r="1656" customFormat="false" ht="21" hidden="false" customHeight="true" outlineLevel="0" collapsed="false">
      <c r="B1656" s="36"/>
      <c r="C1656" s="7"/>
      <c r="D1656" s="7"/>
      <c r="E1656" s="37"/>
      <c r="F1656" s="38"/>
      <c r="G1656" s="24" t="str">
        <f aca="false">IF(OR(C1656="",D1656="",N(E1656)=0),"",E1656*IF(F1656="",IFERROR(N(INDEX(Produtos!$K$5:$K$54,MATCH(D1656,Produtos!$B$5:$B$54,0))),0),F1656))</f>
        <v/>
      </c>
      <c r="H1656" s="24" t="str">
        <f aca="false">IF(G1656="","",E1656*IFERROR(N(INDEX(Produtos!$F$5:$F$54,MATCH(D1656,Produtos!$B$5:$B$54,0))),0))</f>
        <v/>
      </c>
      <c r="I1656" s="24" t="str">
        <f aca="false">IF(G1656="","",G1656-H1656)</f>
        <v/>
      </c>
      <c r="J1656" s="37"/>
    </row>
    <row r="1657" customFormat="false" ht="21" hidden="false" customHeight="true" outlineLevel="0" collapsed="false">
      <c r="B1657" s="36"/>
      <c r="C1657" s="7"/>
      <c r="D1657" s="7"/>
      <c r="E1657" s="37"/>
      <c r="F1657" s="38"/>
      <c r="G1657" s="24" t="str">
        <f aca="false">IF(OR(C1657="",D1657="",N(E1657)=0),"",E1657*IF(F1657="",IFERROR(N(INDEX(Produtos!$K$5:$K$54,MATCH(D1657,Produtos!$B$5:$B$54,0))),0),F1657))</f>
        <v/>
      </c>
      <c r="H1657" s="24" t="str">
        <f aca="false">IF(G1657="","",E1657*IFERROR(N(INDEX(Produtos!$F$5:$F$54,MATCH(D1657,Produtos!$B$5:$B$54,0))),0))</f>
        <v/>
      </c>
      <c r="I1657" s="24" t="str">
        <f aca="false">IF(G1657="","",G1657-H1657)</f>
        <v/>
      </c>
      <c r="J1657" s="37"/>
    </row>
    <row r="1658" customFormat="false" ht="21" hidden="false" customHeight="true" outlineLevel="0" collapsed="false">
      <c r="B1658" s="36"/>
      <c r="C1658" s="7"/>
      <c r="D1658" s="7"/>
      <c r="E1658" s="37"/>
      <c r="F1658" s="38"/>
      <c r="G1658" s="24" t="str">
        <f aca="false">IF(OR(C1658="",D1658="",N(E1658)=0),"",E1658*IF(F1658="",IFERROR(N(INDEX(Produtos!$K$5:$K$54,MATCH(D1658,Produtos!$B$5:$B$54,0))),0),F1658))</f>
        <v/>
      </c>
      <c r="H1658" s="24" t="str">
        <f aca="false">IF(G1658="","",E1658*IFERROR(N(INDEX(Produtos!$F$5:$F$54,MATCH(D1658,Produtos!$B$5:$B$54,0))),0))</f>
        <v/>
      </c>
      <c r="I1658" s="24" t="str">
        <f aca="false">IF(G1658="","",G1658-H1658)</f>
        <v/>
      </c>
      <c r="J1658" s="37"/>
    </row>
    <row r="1659" customFormat="false" ht="21" hidden="false" customHeight="true" outlineLevel="0" collapsed="false">
      <c r="B1659" s="36"/>
      <c r="C1659" s="7"/>
      <c r="D1659" s="7"/>
      <c r="E1659" s="37"/>
      <c r="F1659" s="38"/>
      <c r="G1659" s="24" t="str">
        <f aca="false">IF(OR(C1659="",D1659="",N(E1659)=0),"",E1659*IF(F1659="",IFERROR(N(INDEX(Produtos!$K$5:$K$54,MATCH(D1659,Produtos!$B$5:$B$54,0))),0),F1659))</f>
        <v/>
      </c>
      <c r="H1659" s="24" t="str">
        <f aca="false">IF(G1659="","",E1659*IFERROR(N(INDEX(Produtos!$F$5:$F$54,MATCH(D1659,Produtos!$B$5:$B$54,0))),0))</f>
        <v/>
      </c>
      <c r="I1659" s="24" t="str">
        <f aca="false">IF(G1659="","",G1659-H1659)</f>
        <v/>
      </c>
      <c r="J1659" s="37"/>
    </row>
    <row r="1660" customFormat="false" ht="21" hidden="false" customHeight="true" outlineLevel="0" collapsed="false">
      <c r="B1660" s="36"/>
      <c r="C1660" s="7"/>
      <c r="D1660" s="7"/>
      <c r="E1660" s="37"/>
      <c r="F1660" s="38"/>
      <c r="G1660" s="24" t="str">
        <f aca="false">IF(OR(C1660="",D1660="",N(E1660)=0),"",E1660*IF(F1660="",IFERROR(N(INDEX(Produtos!$K$5:$K$54,MATCH(D1660,Produtos!$B$5:$B$54,0))),0),F1660))</f>
        <v/>
      </c>
      <c r="H1660" s="24" t="str">
        <f aca="false">IF(G1660="","",E1660*IFERROR(N(INDEX(Produtos!$F$5:$F$54,MATCH(D1660,Produtos!$B$5:$B$54,0))),0))</f>
        <v/>
      </c>
      <c r="I1660" s="24" t="str">
        <f aca="false">IF(G1660="","",G1660-H1660)</f>
        <v/>
      </c>
      <c r="J1660" s="37"/>
    </row>
    <row r="1661" customFormat="false" ht="21" hidden="false" customHeight="true" outlineLevel="0" collapsed="false">
      <c r="B1661" s="36"/>
      <c r="C1661" s="7"/>
      <c r="D1661" s="7"/>
      <c r="E1661" s="37"/>
      <c r="F1661" s="38"/>
      <c r="G1661" s="24" t="str">
        <f aca="false">IF(OR(C1661="",D1661="",N(E1661)=0),"",E1661*IF(F1661="",IFERROR(N(INDEX(Produtos!$K$5:$K$54,MATCH(D1661,Produtos!$B$5:$B$54,0))),0),F1661))</f>
        <v/>
      </c>
      <c r="H1661" s="24" t="str">
        <f aca="false">IF(G1661="","",E1661*IFERROR(N(INDEX(Produtos!$F$5:$F$54,MATCH(D1661,Produtos!$B$5:$B$54,0))),0))</f>
        <v/>
      </c>
      <c r="I1661" s="24" t="str">
        <f aca="false">IF(G1661="","",G1661-H1661)</f>
        <v/>
      </c>
      <c r="J1661" s="37"/>
    </row>
    <row r="1662" customFormat="false" ht="21" hidden="false" customHeight="true" outlineLevel="0" collapsed="false">
      <c r="B1662" s="36"/>
      <c r="C1662" s="7"/>
      <c r="D1662" s="7"/>
      <c r="E1662" s="37"/>
      <c r="F1662" s="38"/>
      <c r="G1662" s="24" t="str">
        <f aca="false">IF(OR(C1662="",D1662="",N(E1662)=0),"",E1662*IF(F1662="",IFERROR(N(INDEX(Produtos!$K$5:$K$54,MATCH(D1662,Produtos!$B$5:$B$54,0))),0),F1662))</f>
        <v/>
      </c>
      <c r="H1662" s="24" t="str">
        <f aca="false">IF(G1662="","",E1662*IFERROR(N(INDEX(Produtos!$F$5:$F$54,MATCH(D1662,Produtos!$B$5:$B$54,0))),0))</f>
        <v/>
      </c>
      <c r="I1662" s="24" t="str">
        <f aca="false">IF(G1662="","",G1662-H1662)</f>
        <v/>
      </c>
      <c r="J1662" s="37"/>
    </row>
    <row r="1663" customFormat="false" ht="21" hidden="false" customHeight="true" outlineLevel="0" collapsed="false">
      <c r="B1663" s="36"/>
      <c r="C1663" s="7"/>
      <c r="D1663" s="7"/>
      <c r="E1663" s="37"/>
      <c r="F1663" s="38"/>
      <c r="G1663" s="24" t="str">
        <f aca="false">IF(OR(C1663="",D1663="",N(E1663)=0),"",E1663*IF(F1663="",IFERROR(N(INDEX(Produtos!$K$5:$K$54,MATCH(D1663,Produtos!$B$5:$B$54,0))),0),F1663))</f>
        <v/>
      </c>
      <c r="H1663" s="24" t="str">
        <f aca="false">IF(G1663="","",E1663*IFERROR(N(INDEX(Produtos!$F$5:$F$54,MATCH(D1663,Produtos!$B$5:$B$54,0))),0))</f>
        <v/>
      </c>
      <c r="I1663" s="24" t="str">
        <f aca="false">IF(G1663="","",G1663-H1663)</f>
        <v/>
      </c>
      <c r="J1663" s="37"/>
    </row>
    <row r="1664" customFormat="false" ht="21" hidden="false" customHeight="true" outlineLevel="0" collapsed="false">
      <c r="B1664" s="36"/>
      <c r="C1664" s="7"/>
      <c r="D1664" s="7"/>
      <c r="E1664" s="37"/>
      <c r="F1664" s="38"/>
      <c r="G1664" s="24" t="str">
        <f aca="false">IF(OR(C1664="",D1664="",N(E1664)=0),"",E1664*IF(F1664="",IFERROR(N(INDEX(Produtos!$K$5:$K$54,MATCH(D1664,Produtos!$B$5:$B$54,0))),0),F1664))</f>
        <v/>
      </c>
      <c r="H1664" s="24" t="str">
        <f aca="false">IF(G1664="","",E1664*IFERROR(N(INDEX(Produtos!$F$5:$F$54,MATCH(D1664,Produtos!$B$5:$B$54,0))),0))</f>
        <v/>
      </c>
      <c r="I1664" s="24" t="str">
        <f aca="false">IF(G1664="","",G1664-H1664)</f>
        <v/>
      </c>
      <c r="J1664" s="37"/>
    </row>
    <row r="1665" customFormat="false" ht="21" hidden="false" customHeight="true" outlineLevel="0" collapsed="false">
      <c r="B1665" s="36"/>
      <c r="C1665" s="7"/>
      <c r="D1665" s="7"/>
      <c r="E1665" s="37"/>
      <c r="F1665" s="38"/>
      <c r="G1665" s="24" t="str">
        <f aca="false">IF(OR(C1665="",D1665="",N(E1665)=0),"",E1665*IF(F1665="",IFERROR(N(INDEX(Produtos!$K$5:$K$54,MATCH(D1665,Produtos!$B$5:$B$54,0))),0),F1665))</f>
        <v/>
      </c>
      <c r="H1665" s="24" t="str">
        <f aca="false">IF(G1665="","",E1665*IFERROR(N(INDEX(Produtos!$F$5:$F$54,MATCH(D1665,Produtos!$B$5:$B$54,0))),0))</f>
        <v/>
      </c>
      <c r="I1665" s="24" t="str">
        <f aca="false">IF(G1665="","",G1665-H1665)</f>
        <v/>
      </c>
      <c r="J1665" s="37"/>
    </row>
    <row r="1666" customFormat="false" ht="21" hidden="false" customHeight="true" outlineLevel="0" collapsed="false">
      <c r="B1666" s="36"/>
      <c r="C1666" s="7"/>
      <c r="D1666" s="7"/>
      <c r="E1666" s="37"/>
      <c r="F1666" s="38"/>
      <c r="G1666" s="24" t="str">
        <f aca="false">IF(OR(C1666="",D1666="",N(E1666)=0),"",E1666*IF(F1666="",IFERROR(N(INDEX(Produtos!$K$5:$K$54,MATCH(D1666,Produtos!$B$5:$B$54,0))),0),F1666))</f>
        <v/>
      </c>
      <c r="H1666" s="24" t="str">
        <f aca="false">IF(G1666="","",E1666*IFERROR(N(INDEX(Produtos!$F$5:$F$54,MATCH(D1666,Produtos!$B$5:$B$54,0))),0))</f>
        <v/>
      </c>
      <c r="I1666" s="24" t="str">
        <f aca="false">IF(G1666="","",G1666-H1666)</f>
        <v/>
      </c>
      <c r="J1666" s="37"/>
    </row>
    <row r="1667" customFormat="false" ht="21" hidden="false" customHeight="true" outlineLevel="0" collapsed="false">
      <c r="B1667" s="36"/>
      <c r="C1667" s="7"/>
      <c r="D1667" s="7"/>
      <c r="E1667" s="37"/>
      <c r="F1667" s="38"/>
      <c r="G1667" s="24" t="str">
        <f aca="false">IF(OR(C1667="",D1667="",N(E1667)=0),"",E1667*IF(F1667="",IFERROR(N(INDEX(Produtos!$K$5:$K$54,MATCH(D1667,Produtos!$B$5:$B$54,0))),0),F1667))</f>
        <v/>
      </c>
      <c r="H1667" s="24" t="str">
        <f aca="false">IF(G1667="","",E1667*IFERROR(N(INDEX(Produtos!$F$5:$F$54,MATCH(D1667,Produtos!$B$5:$B$54,0))),0))</f>
        <v/>
      </c>
      <c r="I1667" s="24" t="str">
        <f aca="false">IF(G1667="","",G1667-H1667)</f>
        <v/>
      </c>
      <c r="J1667" s="37"/>
    </row>
    <row r="1668" customFormat="false" ht="21" hidden="false" customHeight="true" outlineLevel="0" collapsed="false">
      <c r="B1668" s="36"/>
      <c r="C1668" s="7"/>
      <c r="D1668" s="7"/>
      <c r="E1668" s="37"/>
      <c r="F1668" s="38"/>
      <c r="G1668" s="24" t="str">
        <f aca="false">IF(OR(C1668="",D1668="",N(E1668)=0),"",E1668*IF(F1668="",IFERROR(N(INDEX(Produtos!$K$5:$K$54,MATCH(D1668,Produtos!$B$5:$B$54,0))),0),F1668))</f>
        <v/>
      </c>
      <c r="H1668" s="24" t="str">
        <f aca="false">IF(G1668="","",E1668*IFERROR(N(INDEX(Produtos!$F$5:$F$54,MATCH(D1668,Produtos!$B$5:$B$54,0))),0))</f>
        <v/>
      </c>
      <c r="I1668" s="24" t="str">
        <f aca="false">IF(G1668="","",G1668-H1668)</f>
        <v/>
      </c>
      <c r="J1668" s="37"/>
    </row>
    <row r="1669" customFormat="false" ht="21" hidden="false" customHeight="true" outlineLevel="0" collapsed="false">
      <c r="B1669" s="36"/>
      <c r="C1669" s="7"/>
      <c r="D1669" s="7"/>
      <c r="E1669" s="37"/>
      <c r="F1669" s="38"/>
      <c r="G1669" s="24" t="str">
        <f aca="false">IF(OR(C1669="",D1669="",N(E1669)=0),"",E1669*IF(F1669="",IFERROR(N(INDEX(Produtos!$K$5:$K$54,MATCH(D1669,Produtos!$B$5:$B$54,0))),0),F1669))</f>
        <v/>
      </c>
      <c r="H1669" s="24" t="str">
        <f aca="false">IF(G1669="","",E1669*IFERROR(N(INDEX(Produtos!$F$5:$F$54,MATCH(D1669,Produtos!$B$5:$B$54,0))),0))</f>
        <v/>
      </c>
      <c r="I1669" s="24" t="str">
        <f aca="false">IF(G1669="","",G1669-H1669)</f>
        <v/>
      </c>
      <c r="J1669" s="37"/>
    </row>
    <row r="1670" customFormat="false" ht="21" hidden="false" customHeight="true" outlineLevel="0" collapsed="false">
      <c r="B1670" s="36"/>
      <c r="C1670" s="7"/>
      <c r="D1670" s="7"/>
      <c r="E1670" s="37"/>
      <c r="F1670" s="38"/>
      <c r="G1670" s="24" t="str">
        <f aca="false">IF(OR(C1670="",D1670="",N(E1670)=0),"",E1670*IF(F1670="",IFERROR(N(INDEX(Produtos!$K$5:$K$54,MATCH(D1670,Produtos!$B$5:$B$54,0))),0),F1670))</f>
        <v/>
      </c>
      <c r="H1670" s="24" t="str">
        <f aca="false">IF(G1670="","",E1670*IFERROR(N(INDEX(Produtos!$F$5:$F$54,MATCH(D1670,Produtos!$B$5:$B$54,0))),0))</f>
        <v/>
      </c>
      <c r="I1670" s="24" t="str">
        <f aca="false">IF(G1670="","",G1670-H1670)</f>
        <v/>
      </c>
      <c r="J1670" s="37"/>
    </row>
    <row r="1671" customFormat="false" ht="21" hidden="false" customHeight="true" outlineLevel="0" collapsed="false">
      <c r="B1671" s="36"/>
      <c r="C1671" s="7"/>
      <c r="D1671" s="7"/>
      <c r="E1671" s="37"/>
      <c r="F1671" s="38"/>
      <c r="G1671" s="24" t="str">
        <f aca="false">IF(OR(C1671="",D1671="",N(E1671)=0),"",E1671*IF(F1671="",IFERROR(N(INDEX(Produtos!$K$5:$K$54,MATCH(D1671,Produtos!$B$5:$B$54,0))),0),F1671))</f>
        <v/>
      </c>
      <c r="H1671" s="24" t="str">
        <f aca="false">IF(G1671="","",E1671*IFERROR(N(INDEX(Produtos!$F$5:$F$54,MATCH(D1671,Produtos!$B$5:$B$54,0))),0))</f>
        <v/>
      </c>
      <c r="I1671" s="24" t="str">
        <f aca="false">IF(G1671="","",G1671-H1671)</f>
        <v/>
      </c>
      <c r="J1671" s="37"/>
    </row>
    <row r="1672" customFormat="false" ht="21" hidden="false" customHeight="true" outlineLevel="0" collapsed="false">
      <c r="B1672" s="36"/>
      <c r="C1672" s="7"/>
      <c r="D1672" s="7"/>
      <c r="E1672" s="37"/>
      <c r="F1672" s="38"/>
      <c r="G1672" s="24" t="str">
        <f aca="false">IF(OR(C1672="",D1672="",N(E1672)=0),"",E1672*IF(F1672="",IFERROR(N(INDEX(Produtos!$K$5:$K$54,MATCH(D1672,Produtos!$B$5:$B$54,0))),0),F1672))</f>
        <v/>
      </c>
      <c r="H1672" s="24" t="str">
        <f aca="false">IF(G1672="","",E1672*IFERROR(N(INDEX(Produtos!$F$5:$F$54,MATCH(D1672,Produtos!$B$5:$B$54,0))),0))</f>
        <v/>
      </c>
      <c r="I1672" s="24" t="str">
        <f aca="false">IF(G1672="","",G1672-H1672)</f>
        <v/>
      </c>
      <c r="J1672" s="37"/>
    </row>
    <row r="1673" customFormat="false" ht="21" hidden="false" customHeight="true" outlineLevel="0" collapsed="false">
      <c r="B1673" s="36"/>
      <c r="C1673" s="7"/>
      <c r="D1673" s="7"/>
      <c r="E1673" s="37"/>
      <c r="F1673" s="38"/>
      <c r="G1673" s="24" t="str">
        <f aca="false">IF(OR(C1673="",D1673="",N(E1673)=0),"",E1673*IF(F1673="",IFERROR(N(INDEX(Produtos!$K$5:$K$54,MATCH(D1673,Produtos!$B$5:$B$54,0))),0),F1673))</f>
        <v/>
      </c>
      <c r="H1673" s="24" t="str">
        <f aca="false">IF(G1673="","",E1673*IFERROR(N(INDEX(Produtos!$F$5:$F$54,MATCH(D1673,Produtos!$B$5:$B$54,0))),0))</f>
        <v/>
      </c>
      <c r="I1673" s="24" t="str">
        <f aca="false">IF(G1673="","",G1673-H1673)</f>
        <v/>
      </c>
      <c r="J1673" s="37"/>
    </row>
    <row r="1674" customFormat="false" ht="21" hidden="false" customHeight="true" outlineLevel="0" collapsed="false">
      <c r="B1674" s="36"/>
      <c r="C1674" s="7"/>
      <c r="D1674" s="7"/>
      <c r="E1674" s="37"/>
      <c r="F1674" s="38"/>
      <c r="G1674" s="24" t="str">
        <f aca="false">IF(OR(C1674="",D1674="",N(E1674)=0),"",E1674*IF(F1674="",IFERROR(N(INDEX(Produtos!$K$5:$K$54,MATCH(D1674,Produtos!$B$5:$B$54,0))),0),F1674))</f>
        <v/>
      </c>
      <c r="H1674" s="24" t="str">
        <f aca="false">IF(G1674="","",E1674*IFERROR(N(INDEX(Produtos!$F$5:$F$54,MATCH(D1674,Produtos!$B$5:$B$54,0))),0))</f>
        <v/>
      </c>
      <c r="I1674" s="24" t="str">
        <f aca="false">IF(G1674="","",G1674-H1674)</f>
        <v/>
      </c>
      <c r="J1674" s="37"/>
    </row>
    <row r="1675" customFormat="false" ht="21" hidden="false" customHeight="true" outlineLevel="0" collapsed="false">
      <c r="B1675" s="36"/>
      <c r="C1675" s="7"/>
      <c r="D1675" s="7"/>
      <c r="E1675" s="37"/>
      <c r="F1675" s="38"/>
      <c r="G1675" s="24" t="str">
        <f aca="false">IF(OR(C1675="",D1675="",N(E1675)=0),"",E1675*IF(F1675="",IFERROR(N(INDEX(Produtos!$K$5:$K$54,MATCH(D1675,Produtos!$B$5:$B$54,0))),0),F1675))</f>
        <v/>
      </c>
      <c r="H1675" s="24" t="str">
        <f aca="false">IF(G1675="","",E1675*IFERROR(N(INDEX(Produtos!$F$5:$F$54,MATCH(D1675,Produtos!$B$5:$B$54,0))),0))</f>
        <v/>
      </c>
      <c r="I1675" s="24" t="str">
        <f aca="false">IF(G1675="","",G1675-H1675)</f>
        <v/>
      </c>
      <c r="J1675" s="37"/>
    </row>
    <row r="1676" customFormat="false" ht="21" hidden="false" customHeight="true" outlineLevel="0" collapsed="false">
      <c r="B1676" s="36"/>
      <c r="C1676" s="7"/>
      <c r="D1676" s="7"/>
      <c r="E1676" s="37"/>
      <c r="F1676" s="38"/>
      <c r="G1676" s="24" t="str">
        <f aca="false">IF(OR(C1676="",D1676="",N(E1676)=0),"",E1676*IF(F1676="",IFERROR(N(INDEX(Produtos!$K$5:$K$54,MATCH(D1676,Produtos!$B$5:$B$54,0))),0),F1676))</f>
        <v/>
      </c>
      <c r="H1676" s="24" t="str">
        <f aca="false">IF(G1676="","",E1676*IFERROR(N(INDEX(Produtos!$F$5:$F$54,MATCH(D1676,Produtos!$B$5:$B$54,0))),0))</f>
        <v/>
      </c>
      <c r="I1676" s="24" t="str">
        <f aca="false">IF(G1676="","",G1676-H1676)</f>
        <v/>
      </c>
      <c r="J1676" s="37"/>
    </row>
    <row r="1677" customFormat="false" ht="21" hidden="false" customHeight="true" outlineLevel="0" collapsed="false">
      <c r="B1677" s="36"/>
      <c r="C1677" s="7"/>
      <c r="D1677" s="7"/>
      <c r="E1677" s="37"/>
      <c r="F1677" s="38"/>
      <c r="G1677" s="24" t="str">
        <f aca="false">IF(OR(C1677="",D1677="",N(E1677)=0),"",E1677*IF(F1677="",IFERROR(N(INDEX(Produtos!$K$5:$K$54,MATCH(D1677,Produtos!$B$5:$B$54,0))),0),F1677))</f>
        <v/>
      </c>
      <c r="H1677" s="24" t="str">
        <f aca="false">IF(G1677="","",E1677*IFERROR(N(INDEX(Produtos!$F$5:$F$54,MATCH(D1677,Produtos!$B$5:$B$54,0))),0))</f>
        <v/>
      </c>
      <c r="I1677" s="24" t="str">
        <f aca="false">IF(G1677="","",G1677-H1677)</f>
        <v/>
      </c>
      <c r="J1677" s="37"/>
    </row>
    <row r="1678" customFormat="false" ht="21" hidden="false" customHeight="true" outlineLevel="0" collapsed="false">
      <c r="B1678" s="36"/>
      <c r="C1678" s="7"/>
      <c r="D1678" s="7"/>
      <c r="E1678" s="37"/>
      <c r="F1678" s="38"/>
      <c r="G1678" s="24" t="str">
        <f aca="false">IF(OR(C1678="",D1678="",N(E1678)=0),"",E1678*IF(F1678="",IFERROR(N(INDEX(Produtos!$K$5:$K$54,MATCH(D1678,Produtos!$B$5:$B$54,0))),0),F1678))</f>
        <v/>
      </c>
      <c r="H1678" s="24" t="str">
        <f aca="false">IF(G1678="","",E1678*IFERROR(N(INDEX(Produtos!$F$5:$F$54,MATCH(D1678,Produtos!$B$5:$B$54,0))),0))</f>
        <v/>
      </c>
      <c r="I1678" s="24" t="str">
        <f aca="false">IF(G1678="","",G1678-H1678)</f>
        <v/>
      </c>
      <c r="J1678" s="37"/>
    </row>
    <row r="1679" customFormat="false" ht="21" hidden="false" customHeight="true" outlineLevel="0" collapsed="false">
      <c r="B1679" s="36"/>
      <c r="C1679" s="7"/>
      <c r="D1679" s="7"/>
      <c r="E1679" s="37"/>
      <c r="F1679" s="38"/>
      <c r="G1679" s="24" t="str">
        <f aca="false">IF(OR(C1679="",D1679="",N(E1679)=0),"",E1679*IF(F1679="",IFERROR(N(INDEX(Produtos!$K$5:$K$54,MATCH(D1679,Produtos!$B$5:$B$54,0))),0),F1679))</f>
        <v/>
      </c>
      <c r="H1679" s="24" t="str">
        <f aca="false">IF(G1679="","",E1679*IFERROR(N(INDEX(Produtos!$F$5:$F$54,MATCH(D1679,Produtos!$B$5:$B$54,0))),0))</f>
        <v/>
      </c>
      <c r="I1679" s="24" t="str">
        <f aca="false">IF(G1679="","",G1679-H1679)</f>
        <v/>
      </c>
      <c r="J1679" s="37"/>
    </row>
    <row r="1680" customFormat="false" ht="21" hidden="false" customHeight="true" outlineLevel="0" collapsed="false">
      <c r="B1680" s="36"/>
      <c r="C1680" s="7"/>
      <c r="D1680" s="7"/>
      <c r="E1680" s="37"/>
      <c r="F1680" s="38"/>
      <c r="G1680" s="24" t="str">
        <f aca="false">IF(OR(C1680="",D1680="",N(E1680)=0),"",E1680*IF(F1680="",IFERROR(N(INDEX(Produtos!$K$5:$K$54,MATCH(D1680,Produtos!$B$5:$B$54,0))),0),F1680))</f>
        <v/>
      </c>
      <c r="H1680" s="24" t="str">
        <f aca="false">IF(G1680="","",E1680*IFERROR(N(INDEX(Produtos!$F$5:$F$54,MATCH(D1680,Produtos!$B$5:$B$54,0))),0))</f>
        <v/>
      </c>
      <c r="I1680" s="24" t="str">
        <f aca="false">IF(G1680="","",G1680-H1680)</f>
        <v/>
      </c>
      <c r="J1680" s="37"/>
    </row>
    <row r="1681" customFormat="false" ht="21" hidden="false" customHeight="true" outlineLevel="0" collapsed="false">
      <c r="B1681" s="36"/>
      <c r="C1681" s="7"/>
      <c r="D1681" s="7"/>
      <c r="E1681" s="37"/>
      <c r="F1681" s="38"/>
      <c r="G1681" s="24" t="str">
        <f aca="false">IF(OR(C1681="",D1681="",N(E1681)=0),"",E1681*IF(F1681="",IFERROR(N(INDEX(Produtos!$K$5:$K$54,MATCH(D1681,Produtos!$B$5:$B$54,0))),0),F1681))</f>
        <v/>
      </c>
      <c r="H1681" s="24" t="str">
        <f aca="false">IF(G1681="","",E1681*IFERROR(N(INDEX(Produtos!$F$5:$F$54,MATCH(D1681,Produtos!$B$5:$B$54,0))),0))</f>
        <v/>
      </c>
      <c r="I1681" s="24" t="str">
        <f aca="false">IF(G1681="","",G1681-H1681)</f>
        <v/>
      </c>
      <c r="J1681" s="37"/>
    </row>
    <row r="1682" customFormat="false" ht="21" hidden="false" customHeight="true" outlineLevel="0" collapsed="false">
      <c r="B1682" s="36"/>
      <c r="C1682" s="7"/>
      <c r="D1682" s="7"/>
      <c r="E1682" s="37"/>
      <c r="F1682" s="38"/>
      <c r="G1682" s="24" t="str">
        <f aca="false">IF(OR(C1682="",D1682="",N(E1682)=0),"",E1682*IF(F1682="",IFERROR(N(INDEX(Produtos!$K$5:$K$54,MATCH(D1682,Produtos!$B$5:$B$54,0))),0),F1682))</f>
        <v/>
      </c>
      <c r="H1682" s="24" t="str">
        <f aca="false">IF(G1682="","",E1682*IFERROR(N(INDEX(Produtos!$F$5:$F$54,MATCH(D1682,Produtos!$B$5:$B$54,0))),0))</f>
        <v/>
      </c>
      <c r="I1682" s="24" t="str">
        <f aca="false">IF(G1682="","",G1682-H1682)</f>
        <v/>
      </c>
      <c r="J1682" s="37"/>
    </row>
    <row r="1683" customFormat="false" ht="21" hidden="false" customHeight="true" outlineLevel="0" collapsed="false">
      <c r="B1683" s="36"/>
      <c r="C1683" s="7"/>
      <c r="D1683" s="7"/>
      <c r="E1683" s="37"/>
      <c r="F1683" s="38"/>
      <c r="G1683" s="24" t="str">
        <f aca="false">IF(OR(C1683="",D1683="",N(E1683)=0),"",E1683*IF(F1683="",IFERROR(N(INDEX(Produtos!$K$5:$K$54,MATCH(D1683,Produtos!$B$5:$B$54,0))),0),F1683))</f>
        <v/>
      </c>
      <c r="H1683" s="24" t="str">
        <f aca="false">IF(G1683="","",E1683*IFERROR(N(INDEX(Produtos!$F$5:$F$54,MATCH(D1683,Produtos!$B$5:$B$54,0))),0))</f>
        <v/>
      </c>
      <c r="I1683" s="24" t="str">
        <f aca="false">IF(G1683="","",G1683-H1683)</f>
        <v/>
      </c>
      <c r="J1683" s="37"/>
    </row>
    <row r="1684" customFormat="false" ht="21" hidden="false" customHeight="true" outlineLevel="0" collapsed="false">
      <c r="B1684" s="36"/>
      <c r="C1684" s="7"/>
      <c r="D1684" s="7"/>
      <c r="E1684" s="37"/>
      <c r="F1684" s="38"/>
      <c r="G1684" s="24" t="str">
        <f aca="false">IF(OR(C1684="",D1684="",N(E1684)=0),"",E1684*IF(F1684="",IFERROR(N(INDEX(Produtos!$K$5:$K$54,MATCH(D1684,Produtos!$B$5:$B$54,0))),0),F1684))</f>
        <v/>
      </c>
      <c r="H1684" s="24" t="str">
        <f aca="false">IF(G1684="","",E1684*IFERROR(N(INDEX(Produtos!$F$5:$F$54,MATCH(D1684,Produtos!$B$5:$B$54,0))),0))</f>
        <v/>
      </c>
      <c r="I1684" s="24" t="str">
        <f aca="false">IF(G1684="","",G1684-H1684)</f>
        <v/>
      </c>
      <c r="J1684" s="37"/>
    </row>
    <row r="1685" customFormat="false" ht="21" hidden="false" customHeight="true" outlineLevel="0" collapsed="false">
      <c r="B1685" s="36"/>
      <c r="C1685" s="7"/>
      <c r="D1685" s="7"/>
      <c r="E1685" s="37"/>
      <c r="F1685" s="38"/>
      <c r="G1685" s="24" t="str">
        <f aca="false">IF(OR(C1685="",D1685="",N(E1685)=0),"",E1685*IF(F1685="",IFERROR(N(INDEX(Produtos!$K$5:$K$54,MATCH(D1685,Produtos!$B$5:$B$54,0))),0),F1685))</f>
        <v/>
      </c>
      <c r="H1685" s="24" t="str">
        <f aca="false">IF(G1685="","",E1685*IFERROR(N(INDEX(Produtos!$F$5:$F$54,MATCH(D1685,Produtos!$B$5:$B$54,0))),0))</f>
        <v/>
      </c>
      <c r="I1685" s="24" t="str">
        <f aca="false">IF(G1685="","",G1685-H1685)</f>
        <v/>
      </c>
      <c r="J1685" s="37"/>
    </row>
    <row r="1686" customFormat="false" ht="21" hidden="false" customHeight="true" outlineLevel="0" collapsed="false">
      <c r="B1686" s="36"/>
      <c r="C1686" s="7"/>
      <c r="D1686" s="7"/>
      <c r="E1686" s="37"/>
      <c r="F1686" s="38"/>
      <c r="G1686" s="24" t="str">
        <f aca="false">IF(OR(C1686="",D1686="",N(E1686)=0),"",E1686*IF(F1686="",IFERROR(N(INDEX(Produtos!$K$5:$K$54,MATCH(D1686,Produtos!$B$5:$B$54,0))),0),F1686))</f>
        <v/>
      </c>
      <c r="H1686" s="24" t="str">
        <f aca="false">IF(G1686="","",E1686*IFERROR(N(INDEX(Produtos!$F$5:$F$54,MATCH(D1686,Produtos!$B$5:$B$54,0))),0))</f>
        <v/>
      </c>
      <c r="I1686" s="24" t="str">
        <f aca="false">IF(G1686="","",G1686-H1686)</f>
        <v/>
      </c>
      <c r="J1686" s="37"/>
    </row>
    <row r="1687" customFormat="false" ht="21" hidden="false" customHeight="true" outlineLevel="0" collapsed="false">
      <c r="B1687" s="36"/>
      <c r="C1687" s="7"/>
      <c r="D1687" s="7"/>
      <c r="E1687" s="37"/>
      <c r="F1687" s="38"/>
      <c r="G1687" s="24" t="str">
        <f aca="false">IF(OR(C1687="",D1687="",N(E1687)=0),"",E1687*IF(F1687="",IFERROR(N(INDEX(Produtos!$K$5:$K$54,MATCH(D1687,Produtos!$B$5:$B$54,0))),0),F1687))</f>
        <v/>
      </c>
      <c r="H1687" s="24" t="str">
        <f aca="false">IF(G1687="","",E1687*IFERROR(N(INDEX(Produtos!$F$5:$F$54,MATCH(D1687,Produtos!$B$5:$B$54,0))),0))</f>
        <v/>
      </c>
      <c r="I1687" s="24" t="str">
        <f aca="false">IF(G1687="","",G1687-H1687)</f>
        <v/>
      </c>
      <c r="J1687" s="37"/>
    </row>
    <row r="1688" customFormat="false" ht="21" hidden="false" customHeight="true" outlineLevel="0" collapsed="false">
      <c r="B1688" s="36"/>
      <c r="C1688" s="7"/>
      <c r="D1688" s="7"/>
      <c r="E1688" s="37"/>
      <c r="F1688" s="38"/>
      <c r="G1688" s="24" t="str">
        <f aca="false">IF(OR(C1688="",D1688="",N(E1688)=0),"",E1688*IF(F1688="",IFERROR(N(INDEX(Produtos!$K$5:$K$54,MATCH(D1688,Produtos!$B$5:$B$54,0))),0),F1688))</f>
        <v/>
      </c>
      <c r="H1688" s="24" t="str">
        <f aca="false">IF(G1688="","",E1688*IFERROR(N(INDEX(Produtos!$F$5:$F$54,MATCH(D1688,Produtos!$B$5:$B$54,0))),0))</f>
        <v/>
      </c>
      <c r="I1688" s="24" t="str">
        <f aca="false">IF(G1688="","",G1688-H1688)</f>
        <v/>
      </c>
      <c r="J1688" s="37"/>
    </row>
    <row r="1689" customFormat="false" ht="21" hidden="false" customHeight="true" outlineLevel="0" collapsed="false">
      <c r="B1689" s="36"/>
      <c r="C1689" s="7"/>
      <c r="D1689" s="7"/>
      <c r="E1689" s="37"/>
      <c r="F1689" s="38"/>
      <c r="G1689" s="24" t="str">
        <f aca="false">IF(OR(C1689="",D1689="",N(E1689)=0),"",E1689*IF(F1689="",IFERROR(N(INDEX(Produtos!$K$5:$K$54,MATCH(D1689,Produtos!$B$5:$B$54,0))),0),F1689))</f>
        <v/>
      </c>
      <c r="H1689" s="24" t="str">
        <f aca="false">IF(G1689="","",E1689*IFERROR(N(INDEX(Produtos!$F$5:$F$54,MATCH(D1689,Produtos!$B$5:$B$54,0))),0))</f>
        <v/>
      </c>
      <c r="I1689" s="24" t="str">
        <f aca="false">IF(G1689="","",G1689-H1689)</f>
        <v/>
      </c>
      <c r="J1689" s="37"/>
    </row>
    <row r="1690" customFormat="false" ht="21" hidden="false" customHeight="true" outlineLevel="0" collapsed="false">
      <c r="B1690" s="36"/>
      <c r="C1690" s="7"/>
      <c r="D1690" s="7"/>
      <c r="E1690" s="37"/>
      <c r="F1690" s="38"/>
      <c r="G1690" s="24" t="str">
        <f aca="false">IF(OR(C1690="",D1690="",N(E1690)=0),"",E1690*IF(F1690="",IFERROR(N(INDEX(Produtos!$K$5:$K$54,MATCH(D1690,Produtos!$B$5:$B$54,0))),0),F1690))</f>
        <v/>
      </c>
      <c r="H1690" s="24" t="str">
        <f aca="false">IF(G1690="","",E1690*IFERROR(N(INDEX(Produtos!$F$5:$F$54,MATCH(D1690,Produtos!$B$5:$B$54,0))),0))</f>
        <v/>
      </c>
      <c r="I1690" s="24" t="str">
        <f aca="false">IF(G1690="","",G1690-H1690)</f>
        <v/>
      </c>
      <c r="J1690" s="37"/>
    </row>
    <row r="1691" customFormat="false" ht="21" hidden="false" customHeight="true" outlineLevel="0" collapsed="false">
      <c r="B1691" s="36"/>
      <c r="C1691" s="7"/>
      <c r="D1691" s="7"/>
      <c r="E1691" s="37"/>
      <c r="F1691" s="38"/>
      <c r="G1691" s="24" t="str">
        <f aca="false">IF(OR(C1691="",D1691="",N(E1691)=0),"",E1691*IF(F1691="",IFERROR(N(INDEX(Produtos!$K$5:$K$54,MATCH(D1691,Produtos!$B$5:$B$54,0))),0),F1691))</f>
        <v/>
      </c>
      <c r="H1691" s="24" t="str">
        <f aca="false">IF(G1691="","",E1691*IFERROR(N(INDEX(Produtos!$F$5:$F$54,MATCH(D1691,Produtos!$B$5:$B$54,0))),0))</f>
        <v/>
      </c>
      <c r="I1691" s="24" t="str">
        <f aca="false">IF(G1691="","",G1691-H1691)</f>
        <v/>
      </c>
      <c r="J1691" s="37"/>
    </row>
    <row r="1692" customFormat="false" ht="21" hidden="false" customHeight="true" outlineLevel="0" collapsed="false">
      <c r="B1692" s="36"/>
      <c r="C1692" s="7"/>
      <c r="D1692" s="7"/>
      <c r="E1692" s="37"/>
      <c r="F1692" s="38"/>
      <c r="G1692" s="24" t="str">
        <f aca="false">IF(OR(C1692="",D1692="",N(E1692)=0),"",E1692*IF(F1692="",IFERROR(N(INDEX(Produtos!$K$5:$K$54,MATCH(D1692,Produtos!$B$5:$B$54,0))),0),F1692))</f>
        <v/>
      </c>
      <c r="H1692" s="24" t="str">
        <f aca="false">IF(G1692="","",E1692*IFERROR(N(INDEX(Produtos!$F$5:$F$54,MATCH(D1692,Produtos!$B$5:$B$54,0))),0))</f>
        <v/>
      </c>
      <c r="I1692" s="24" t="str">
        <f aca="false">IF(G1692="","",G1692-H1692)</f>
        <v/>
      </c>
      <c r="J1692" s="37"/>
    </row>
    <row r="1693" customFormat="false" ht="21" hidden="false" customHeight="true" outlineLevel="0" collapsed="false">
      <c r="B1693" s="36"/>
      <c r="C1693" s="7"/>
      <c r="D1693" s="7"/>
      <c r="E1693" s="37"/>
      <c r="F1693" s="38"/>
      <c r="G1693" s="24" t="str">
        <f aca="false">IF(OR(C1693="",D1693="",N(E1693)=0),"",E1693*IF(F1693="",IFERROR(N(INDEX(Produtos!$K$5:$K$54,MATCH(D1693,Produtos!$B$5:$B$54,0))),0),F1693))</f>
        <v/>
      </c>
      <c r="H1693" s="24" t="str">
        <f aca="false">IF(G1693="","",E1693*IFERROR(N(INDEX(Produtos!$F$5:$F$54,MATCH(D1693,Produtos!$B$5:$B$54,0))),0))</f>
        <v/>
      </c>
      <c r="I1693" s="24" t="str">
        <f aca="false">IF(G1693="","",G1693-H1693)</f>
        <v/>
      </c>
      <c r="J1693" s="37"/>
    </row>
    <row r="1694" customFormat="false" ht="21" hidden="false" customHeight="true" outlineLevel="0" collapsed="false">
      <c r="B1694" s="36"/>
      <c r="C1694" s="7"/>
      <c r="D1694" s="7"/>
      <c r="E1694" s="37"/>
      <c r="F1694" s="38"/>
      <c r="G1694" s="24" t="str">
        <f aca="false">IF(OR(C1694="",D1694="",N(E1694)=0),"",E1694*IF(F1694="",IFERROR(N(INDEX(Produtos!$K$5:$K$54,MATCH(D1694,Produtos!$B$5:$B$54,0))),0),F1694))</f>
        <v/>
      </c>
      <c r="H1694" s="24" t="str">
        <f aca="false">IF(G1694="","",E1694*IFERROR(N(INDEX(Produtos!$F$5:$F$54,MATCH(D1694,Produtos!$B$5:$B$54,0))),0))</f>
        <v/>
      </c>
      <c r="I1694" s="24" t="str">
        <f aca="false">IF(G1694="","",G1694-H1694)</f>
        <v/>
      </c>
      <c r="J1694" s="37"/>
    </row>
    <row r="1695" customFormat="false" ht="21" hidden="false" customHeight="true" outlineLevel="0" collapsed="false">
      <c r="B1695" s="36"/>
      <c r="C1695" s="7"/>
      <c r="D1695" s="7"/>
      <c r="E1695" s="37"/>
      <c r="F1695" s="38"/>
      <c r="G1695" s="24" t="str">
        <f aca="false">IF(OR(C1695="",D1695="",N(E1695)=0),"",E1695*IF(F1695="",IFERROR(N(INDEX(Produtos!$K$5:$K$54,MATCH(D1695,Produtos!$B$5:$B$54,0))),0),F1695))</f>
        <v/>
      </c>
      <c r="H1695" s="24" t="str">
        <f aca="false">IF(G1695="","",E1695*IFERROR(N(INDEX(Produtos!$F$5:$F$54,MATCH(D1695,Produtos!$B$5:$B$54,0))),0))</f>
        <v/>
      </c>
      <c r="I1695" s="24" t="str">
        <f aca="false">IF(G1695="","",G1695-H1695)</f>
        <v/>
      </c>
      <c r="J1695" s="37"/>
    </row>
    <row r="1696" customFormat="false" ht="21" hidden="false" customHeight="true" outlineLevel="0" collapsed="false">
      <c r="B1696" s="36"/>
      <c r="C1696" s="7"/>
      <c r="D1696" s="7"/>
      <c r="E1696" s="37"/>
      <c r="F1696" s="38"/>
      <c r="G1696" s="24" t="str">
        <f aca="false">IF(OR(C1696="",D1696="",N(E1696)=0),"",E1696*IF(F1696="",IFERROR(N(INDEX(Produtos!$K$5:$K$54,MATCH(D1696,Produtos!$B$5:$B$54,0))),0),F1696))</f>
        <v/>
      </c>
      <c r="H1696" s="24" t="str">
        <f aca="false">IF(G1696="","",E1696*IFERROR(N(INDEX(Produtos!$F$5:$F$54,MATCH(D1696,Produtos!$B$5:$B$54,0))),0))</f>
        <v/>
      </c>
      <c r="I1696" s="24" t="str">
        <f aca="false">IF(G1696="","",G1696-H1696)</f>
        <v/>
      </c>
      <c r="J1696" s="37"/>
    </row>
    <row r="1697" customFormat="false" ht="21" hidden="false" customHeight="true" outlineLevel="0" collapsed="false">
      <c r="B1697" s="36"/>
      <c r="C1697" s="7"/>
      <c r="D1697" s="7"/>
      <c r="E1697" s="37"/>
      <c r="F1697" s="38"/>
      <c r="G1697" s="24" t="str">
        <f aca="false">IF(OR(C1697="",D1697="",N(E1697)=0),"",E1697*IF(F1697="",IFERROR(N(INDEX(Produtos!$K$5:$K$54,MATCH(D1697,Produtos!$B$5:$B$54,0))),0),F1697))</f>
        <v/>
      </c>
      <c r="H1697" s="24" t="str">
        <f aca="false">IF(G1697="","",E1697*IFERROR(N(INDEX(Produtos!$F$5:$F$54,MATCH(D1697,Produtos!$B$5:$B$54,0))),0))</f>
        <v/>
      </c>
      <c r="I1697" s="24" t="str">
        <f aca="false">IF(G1697="","",G1697-H1697)</f>
        <v/>
      </c>
      <c r="J1697" s="37"/>
    </row>
    <row r="1698" customFormat="false" ht="21" hidden="false" customHeight="true" outlineLevel="0" collapsed="false">
      <c r="B1698" s="36"/>
      <c r="C1698" s="7"/>
      <c r="D1698" s="7"/>
      <c r="E1698" s="37"/>
      <c r="F1698" s="38"/>
      <c r="G1698" s="24" t="str">
        <f aca="false">IF(OR(C1698="",D1698="",N(E1698)=0),"",E1698*IF(F1698="",IFERROR(N(INDEX(Produtos!$K$5:$K$54,MATCH(D1698,Produtos!$B$5:$B$54,0))),0),F1698))</f>
        <v/>
      </c>
      <c r="H1698" s="24" t="str">
        <f aca="false">IF(G1698="","",E1698*IFERROR(N(INDEX(Produtos!$F$5:$F$54,MATCH(D1698,Produtos!$B$5:$B$54,0))),0))</f>
        <v/>
      </c>
      <c r="I1698" s="24" t="str">
        <f aca="false">IF(G1698="","",G1698-H1698)</f>
        <v/>
      </c>
      <c r="J1698" s="37"/>
    </row>
    <row r="1699" customFormat="false" ht="21" hidden="false" customHeight="true" outlineLevel="0" collapsed="false">
      <c r="B1699" s="36"/>
      <c r="C1699" s="7"/>
      <c r="D1699" s="7"/>
      <c r="E1699" s="37"/>
      <c r="F1699" s="38"/>
      <c r="G1699" s="24" t="str">
        <f aca="false">IF(OR(C1699="",D1699="",N(E1699)=0),"",E1699*IF(F1699="",IFERROR(N(INDEX(Produtos!$K$5:$K$54,MATCH(D1699,Produtos!$B$5:$B$54,0))),0),F1699))</f>
        <v/>
      </c>
      <c r="H1699" s="24" t="str">
        <f aca="false">IF(G1699="","",E1699*IFERROR(N(INDEX(Produtos!$F$5:$F$54,MATCH(D1699,Produtos!$B$5:$B$54,0))),0))</f>
        <v/>
      </c>
      <c r="I1699" s="24" t="str">
        <f aca="false">IF(G1699="","",G1699-H1699)</f>
        <v/>
      </c>
      <c r="J1699" s="37"/>
    </row>
    <row r="1700" customFormat="false" ht="21" hidden="false" customHeight="true" outlineLevel="0" collapsed="false">
      <c r="B1700" s="36"/>
      <c r="C1700" s="7"/>
      <c r="D1700" s="7"/>
      <c r="E1700" s="37"/>
      <c r="F1700" s="38"/>
      <c r="G1700" s="24" t="str">
        <f aca="false">IF(OR(C1700="",D1700="",N(E1700)=0),"",E1700*IF(F1700="",IFERROR(N(INDEX(Produtos!$K$5:$K$54,MATCH(D1700,Produtos!$B$5:$B$54,0))),0),F1700))</f>
        <v/>
      </c>
      <c r="H1700" s="24" t="str">
        <f aca="false">IF(G1700="","",E1700*IFERROR(N(INDEX(Produtos!$F$5:$F$54,MATCH(D1700,Produtos!$B$5:$B$54,0))),0))</f>
        <v/>
      </c>
      <c r="I1700" s="24" t="str">
        <f aca="false">IF(G1700="","",G1700-H1700)</f>
        <v/>
      </c>
      <c r="J1700" s="37"/>
    </row>
    <row r="1701" customFormat="false" ht="21" hidden="false" customHeight="true" outlineLevel="0" collapsed="false">
      <c r="B1701" s="36"/>
      <c r="C1701" s="7"/>
      <c r="D1701" s="7"/>
      <c r="E1701" s="37"/>
      <c r="F1701" s="38"/>
      <c r="G1701" s="24" t="str">
        <f aca="false">IF(OR(C1701="",D1701="",N(E1701)=0),"",E1701*IF(F1701="",IFERROR(N(INDEX(Produtos!$K$5:$K$54,MATCH(D1701,Produtos!$B$5:$B$54,0))),0),F1701))</f>
        <v/>
      </c>
      <c r="H1701" s="24" t="str">
        <f aca="false">IF(G1701="","",E1701*IFERROR(N(INDEX(Produtos!$F$5:$F$54,MATCH(D1701,Produtos!$B$5:$B$54,0))),0))</f>
        <v/>
      </c>
      <c r="I1701" s="24" t="str">
        <f aca="false">IF(G1701="","",G1701-H1701)</f>
        <v/>
      </c>
      <c r="J1701" s="37"/>
    </row>
    <row r="1702" customFormat="false" ht="21" hidden="false" customHeight="true" outlineLevel="0" collapsed="false">
      <c r="B1702" s="36"/>
      <c r="C1702" s="7"/>
      <c r="D1702" s="7"/>
      <c r="E1702" s="37"/>
      <c r="F1702" s="38"/>
      <c r="G1702" s="24" t="str">
        <f aca="false">IF(OR(C1702="",D1702="",N(E1702)=0),"",E1702*IF(F1702="",IFERROR(N(INDEX(Produtos!$K$5:$K$54,MATCH(D1702,Produtos!$B$5:$B$54,0))),0),F1702))</f>
        <v/>
      </c>
      <c r="H1702" s="24" t="str">
        <f aca="false">IF(G1702="","",E1702*IFERROR(N(INDEX(Produtos!$F$5:$F$54,MATCH(D1702,Produtos!$B$5:$B$54,0))),0))</f>
        <v/>
      </c>
      <c r="I1702" s="24" t="str">
        <f aca="false">IF(G1702="","",G1702-H1702)</f>
        <v/>
      </c>
      <c r="J1702" s="37"/>
    </row>
    <row r="1703" customFormat="false" ht="21" hidden="false" customHeight="true" outlineLevel="0" collapsed="false">
      <c r="B1703" s="36"/>
      <c r="C1703" s="7"/>
      <c r="D1703" s="7"/>
      <c r="E1703" s="37"/>
      <c r="F1703" s="38"/>
      <c r="G1703" s="24" t="str">
        <f aca="false">IF(OR(C1703="",D1703="",N(E1703)=0),"",E1703*IF(F1703="",IFERROR(N(INDEX(Produtos!$K$5:$K$54,MATCH(D1703,Produtos!$B$5:$B$54,0))),0),F1703))</f>
        <v/>
      </c>
      <c r="H1703" s="24" t="str">
        <f aca="false">IF(G1703="","",E1703*IFERROR(N(INDEX(Produtos!$F$5:$F$54,MATCH(D1703,Produtos!$B$5:$B$54,0))),0))</f>
        <v/>
      </c>
      <c r="I1703" s="24" t="str">
        <f aca="false">IF(G1703="","",G1703-H1703)</f>
        <v/>
      </c>
      <c r="J1703" s="37"/>
    </row>
    <row r="1704" customFormat="false" ht="21" hidden="false" customHeight="true" outlineLevel="0" collapsed="false">
      <c r="B1704" s="36"/>
      <c r="C1704" s="7"/>
      <c r="D1704" s="7"/>
      <c r="E1704" s="37"/>
      <c r="F1704" s="38"/>
      <c r="G1704" s="24" t="str">
        <f aca="false">IF(OR(C1704="",D1704="",N(E1704)=0),"",E1704*IF(F1704="",IFERROR(N(INDEX(Produtos!$K$5:$K$54,MATCH(D1704,Produtos!$B$5:$B$54,0))),0),F1704))</f>
        <v/>
      </c>
      <c r="H1704" s="24" t="str">
        <f aca="false">IF(G1704="","",E1704*IFERROR(N(INDEX(Produtos!$F$5:$F$54,MATCH(D1704,Produtos!$B$5:$B$54,0))),0))</f>
        <v/>
      </c>
      <c r="I1704" s="24" t="str">
        <f aca="false">IF(G1704="","",G1704-H1704)</f>
        <v/>
      </c>
      <c r="J1704" s="37"/>
    </row>
    <row r="1705" customFormat="false" ht="21" hidden="false" customHeight="true" outlineLevel="0" collapsed="false">
      <c r="B1705" s="36"/>
      <c r="C1705" s="7"/>
      <c r="D1705" s="7"/>
      <c r="E1705" s="37"/>
      <c r="F1705" s="38"/>
      <c r="G1705" s="24" t="str">
        <f aca="false">IF(OR(C1705="",D1705="",N(E1705)=0),"",E1705*IF(F1705="",IFERROR(N(INDEX(Produtos!$K$5:$K$54,MATCH(D1705,Produtos!$B$5:$B$54,0))),0),F1705))</f>
        <v/>
      </c>
      <c r="H1705" s="24" t="str">
        <f aca="false">IF(G1705="","",E1705*IFERROR(N(INDEX(Produtos!$F$5:$F$54,MATCH(D1705,Produtos!$B$5:$B$54,0))),0))</f>
        <v/>
      </c>
      <c r="I1705" s="24" t="str">
        <f aca="false">IF(G1705="","",G1705-H1705)</f>
        <v/>
      </c>
      <c r="J1705" s="37"/>
    </row>
    <row r="1706" customFormat="false" ht="21" hidden="false" customHeight="true" outlineLevel="0" collapsed="false">
      <c r="B1706" s="36"/>
      <c r="C1706" s="7"/>
      <c r="D1706" s="7"/>
      <c r="E1706" s="37"/>
      <c r="F1706" s="38"/>
      <c r="G1706" s="24" t="str">
        <f aca="false">IF(OR(C1706="",D1706="",N(E1706)=0),"",E1706*IF(F1706="",IFERROR(N(INDEX(Produtos!$K$5:$K$54,MATCH(D1706,Produtos!$B$5:$B$54,0))),0),F1706))</f>
        <v/>
      </c>
      <c r="H1706" s="24" t="str">
        <f aca="false">IF(G1706="","",E1706*IFERROR(N(INDEX(Produtos!$F$5:$F$54,MATCH(D1706,Produtos!$B$5:$B$54,0))),0))</f>
        <v/>
      </c>
      <c r="I1706" s="24" t="str">
        <f aca="false">IF(G1706="","",G1706-H1706)</f>
        <v/>
      </c>
      <c r="J1706" s="37"/>
    </row>
    <row r="1707" customFormat="false" ht="21" hidden="false" customHeight="true" outlineLevel="0" collapsed="false">
      <c r="B1707" s="36"/>
      <c r="C1707" s="7"/>
      <c r="D1707" s="7"/>
      <c r="E1707" s="37"/>
      <c r="F1707" s="38"/>
      <c r="G1707" s="24" t="str">
        <f aca="false">IF(OR(C1707="",D1707="",N(E1707)=0),"",E1707*IF(F1707="",IFERROR(N(INDEX(Produtos!$K$5:$K$54,MATCH(D1707,Produtos!$B$5:$B$54,0))),0),F1707))</f>
        <v/>
      </c>
      <c r="H1707" s="24" t="str">
        <f aca="false">IF(G1707="","",E1707*IFERROR(N(INDEX(Produtos!$F$5:$F$54,MATCH(D1707,Produtos!$B$5:$B$54,0))),0))</f>
        <v/>
      </c>
      <c r="I1707" s="24" t="str">
        <f aca="false">IF(G1707="","",G1707-H1707)</f>
        <v/>
      </c>
      <c r="J1707" s="37"/>
    </row>
    <row r="1708" customFormat="false" ht="21" hidden="false" customHeight="true" outlineLevel="0" collapsed="false">
      <c r="B1708" s="36"/>
      <c r="C1708" s="7"/>
      <c r="D1708" s="7"/>
      <c r="E1708" s="37"/>
      <c r="F1708" s="38"/>
      <c r="G1708" s="24" t="str">
        <f aca="false">IF(OR(C1708="",D1708="",N(E1708)=0),"",E1708*IF(F1708="",IFERROR(N(INDEX(Produtos!$K$5:$K$54,MATCH(D1708,Produtos!$B$5:$B$54,0))),0),F1708))</f>
        <v/>
      </c>
      <c r="H1708" s="24" t="str">
        <f aca="false">IF(G1708="","",E1708*IFERROR(N(INDEX(Produtos!$F$5:$F$54,MATCH(D1708,Produtos!$B$5:$B$54,0))),0))</f>
        <v/>
      </c>
      <c r="I1708" s="24" t="str">
        <f aca="false">IF(G1708="","",G1708-H1708)</f>
        <v/>
      </c>
      <c r="J1708" s="37"/>
    </row>
    <row r="1709" customFormat="false" ht="21" hidden="false" customHeight="true" outlineLevel="0" collapsed="false">
      <c r="B1709" s="36"/>
      <c r="C1709" s="7"/>
      <c r="D1709" s="7"/>
      <c r="E1709" s="37"/>
      <c r="F1709" s="38"/>
      <c r="G1709" s="24" t="str">
        <f aca="false">IF(OR(C1709="",D1709="",N(E1709)=0),"",E1709*IF(F1709="",IFERROR(N(INDEX(Produtos!$K$5:$K$54,MATCH(D1709,Produtos!$B$5:$B$54,0))),0),F1709))</f>
        <v/>
      </c>
      <c r="H1709" s="24" t="str">
        <f aca="false">IF(G1709="","",E1709*IFERROR(N(INDEX(Produtos!$F$5:$F$54,MATCH(D1709,Produtos!$B$5:$B$54,0))),0))</f>
        <v/>
      </c>
      <c r="I1709" s="24" t="str">
        <f aca="false">IF(G1709="","",G1709-H1709)</f>
        <v/>
      </c>
      <c r="J1709" s="37"/>
    </row>
    <row r="1710" customFormat="false" ht="21" hidden="false" customHeight="true" outlineLevel="0" collapsed="false">
      <c r="B1710" s="36"/>
      <c r="C1710" s="7"/>
      <c r="D1710" s="7"/>
      <c r="E1710" s="37"/>
      <c r="F1710" s="38"/>
      <c r="G1710" s="24" t="str">
        <f aca="false">IF(OR(C1710="",D1710="",N(E1710)=0),"",E1710*IF(F1710="",IFERROR(N(INDEX(Produtos!$K$5:$K$54,MATCH(D1710,Produtos!$B$5:$B$54,0))),0),F1710))</f>
        <v/>
      </c>
      <c r="H1710" s="24" t="str">
        <f aca="false">IF(G1710="","",E1710*IFERROR(N(INDEX(Produtos!$F$5:$F$54,MATCH(D1710,Produtos!$B$5:$B$54,0))),0))</f>
        <v/>
      </c>
      <c r="I1710" s="24" t="str">
        <f aca="false">IF(G1710="","",G1710-H1710)</f>
        <v/>
      </c>
      <c r="J1710" s="37"/>
    </row>
    <row r="1711" customFormat="false" ht="21" hidden="false" customHeight="true" outlineLevel="0" collapsed="false">
      <c r="B1711" s="36"/>
      <c r="C1711" s="7"/>
      <c r="D1711" s="7"/>
      <c r="E1711" s="37"/>
      <c r="F1711" s="38"/>
      <c r="G1711" s="24" t="str">
        <f aca="false">IF(OR(C1711="",D1711="",N(E1711)=0),"",E1711*IF(F1711="",IFERROR(N(INDEX(Produtos!$K$5:$K$54,MATCH(D1711,Produtos!$B$5:$B$54,0))),0),F1711))</f>
        <v/>
      </c>
      <c r="H1711" s="24" t="str">
        <f aca="false">IF(G1711="","",E1711*IFERROR(N(INDEX(Produtos!$F$5:$F$54,MATCH(D1711,Produtos!$B$5:$B$54,0))),0))</f>
        <v/>
      </c>
      <c r="I1711" s="24" t="str">
        <f aca="false">IF(G1711="","",G1711-H1711)</f>
        <v/>
      </c>
      <c r="J1711" s="37"/>
    </row>
    <row r="1712" customFormat="false" ht="21" hidden="false" customHeight="true" outlineLevel="0" collapsed="false">
      <c r="B1712" s="36"/>
      <c r="C1712" s="7"/>
      <c r="D1712" s="7"/>
      <c r="E1712" s="37"/>
      <c r="F1712" s="38"/>
      <c r="G1712" s="24" t="str">
        <f aca="false">IF(OR(C1712="",D1712="",N(E1712)=0),"",E1712*IF(F1712="",IFERROR(N(INDEX(Produtos!$K$5:$K$54,MATCH(D1712,Produtos!$B$5:$B$54,0))),0),F1712))</f>
        <v/>
      </c>
      <c r="H1712" s="24" t="str">
        <f aca="false">IF(G1712="","",E1712*IFERROR(N(INDEX(Produtos!$F$5:$F$54,MATCH(D1712,Produtos!$B$5:$B$54,0))),0))</f>
        <v/>
      </c>
      <c r="I1712" s="24" t="str">
        <f aca="false">IF(G1712="","",G1712-H1712)</f>
        <v/>
      </c>
      <c r="J1712" s="37"/>
    </row>
    <row r="1713" customFormat="false" ht="21" hidden="false" customHeight="true" outlineLevel="0" collapsed="false">
      <c r="B1713" s="36"/>
      <c r="C1713" s="7"/>
      <c r="D1713" s="7"/>
      <c r="E1713" s="37"/>
      <c r="F1713" s="38"/>
      <c r="G1713" s="24" t="str">
        <f aca="false">IF(OR(C1713="",D1713="",N(E1713)=0),"",E1713*IF(F1713="",IFERROR(N(INDEX(Produtos!$K$5:$K$54,MATCH(D1713,Produtos!$B$5:$B$54,0))),0),F1713))</f>
        <v/>
      </c>
      <c r="H1713" s="24" t="str">
        <f aca="false">IF(G1713="","",E1713*IFERROR(N(INDEX(Produtos!$F$5:$F$54,MATCH(D1713,Produtos!$B$5:$B$54,0))),0))</f>
        <v/>
      </c>
      <c r="I1713" s="24" t="str">
        <f aca="false">IF(G1713="","",G1713-H1713)</f>
        <v/>
      </c>
      <c r="J1713" s="37"/>
    </row>
    <row r="1714" customFormat="false" ht="21" hidden="false" customHeight="true" outlineLevel="0" collapsed="false">
      <c r="B1714" s="36"/>
      <c r="C1714" s="7"/>
      <c r="D1714" s="7"/>
      <c r="E1714" s="37"/>
      <c r="F1714" s="38"/>
      <c r="G1714" s="24" t="str">
        <f aca="false">IF(OR(C1714="",D1714="",N(E1714)=0),"",E1714*IF(F1714="",IFERROR(N(INDEX(Produtos!$K$5:$K$54,MATCH(D1714,Produtos!$B$5:$B$54,0))),0),F1714))</f>
        <v/>
      </c>
      <c r="H1714" s="24" t="str">
        <f aca="false">IF(G1714="","",E1714*IFERROR(N(INDEX(Produtos!$F$5:$F$54,MATCH(D1714,Produtos!$B$5:$B$54,0))),0))</f>
        <v/>
      </c>
      <c r="I1714" s="24" t="str">
        <f aca="false">IF(G1714="","",G1714-H1714)</f>
        <v/>
      </c>
      <c r="J1714" s="37"/>
    </row>
    <row r="1715" customFormat="false" ht="21" hidden="false" customHeight="true" outlineLevel="0" collapsed="false">
      <c r="B1715" s="36"/>
      <c r="C1715" s="7"/>
      <c r="D1715" s="7"/>
      <c r="E1715" s="37"/>
      <c r="F1715" s="38"/>
      <c r="G1715" s="24" t="str">
        <f aca="false">IF(OR(C1715="",D1715="",N(E1715)=0),"",E1715*IF(F1715="",IFERROR(N(INDEX(Produtos!$K$5:$K$54,MATCH(D1715,Produtos!$B$5:$B$54,0))),0),F1715))</f>
        <v/>
      </c>
      <c r="H1715" s="24" t="str">
        <f aca="false">IF(G1715="","",E1715*IFERROR(N(INDEX(Produtos!$F$5:$F$54,MATCH(D1715,Produtos!$B$5:$B$54,0))),0))</f>
        <v/>
      </c>
      <c r="I1715" s="24" t="str">
        <f aca="false">IF(G1715="","",G1715-H1715)</f>
        <v/>
      </c>
      <c r="J1715" s="37"/>
    </row>
    <row r="1716" customFormat="false" ht="21" hidden="false" customHeight="true" outlineLevel="0" collapsed="false">
      <c r="B1716" s="36"/>
      <c r="C1716" s="7"/>
      <c r="D1716" s="7"/>
      <c r="E1716" s="37"/>
      <c r="F1716" s="38"/>
      <c r="G1716" s="24" t="str">
        <f aca="false">IF(OR(C1716="",D1716="",N(E1716)=0),"",E1716*IF(F1716="",IFERROR(N(INDEX(Produtos!$K$5:$K$54,MATCH(D1716,Produtos!$B$5:$B$54,0))),0),F1716))</f>
        <v/>
      </c>
      <c r="H1716" s="24" t="str">
        <f aca="false">IF(G1716="","",E1716*IFERROR(N(INDEX(Produtos!$F$5:$F$54,MATCH(D1716,Produtos!$B$5:$B$54,0))),0))</f>
        <v/>
      </c>
      <c r="I1716" s="24" t="str">
        <f aca="false">IF(G1716="","",G1716-H1716)</f>
        <v/>
      </c>
      <c r="J1716" s="37"/>
    </row>
    <row r="1717" customFormat="false" ht="21" hidden="false" customHeight="true" outlineLevel="0" collapsed="false">
      <c r="B1717" s="36"/>
      <c r="C1717" s="7"/>
      <c r="D1717" s="7"/>
      <c r="E1717" s="37"/>
      <c r="F1717" s="38"/>
      <c r="G1717" s="24" t="str">
        <f aca="false">IF(OR(C1717="",D1717="",N(E1717)=0),"",E1717*IF(F1717="",IFERROR(N(INDEX(Produtos!$K$5:$K$54,MATCH(D1717,Produtos!$B$5:$B$54,0))),0),F1717))</f>
        <v/>
      </c>
      <c r="H1717" s="24" t="str">
        <f aca="false">IF(G1717="","",E1717*IFERROR(N(INDEX(Produtos!$F$5:$F$54,MATCH(D1717,Produtos!$B$5:$B$54,0))),0))</f>
        <v/>
      </c>
      <c r="I1717" s="24" t="str">
        <f aca="false">IF(G1717="","",G1717-H1717)</f>
        <v/>
      </c>
      <c r="J1717" s="37"/>
    </row>
    <row r="1718" customFormat="false" ht="21" hidden="false" customHeight="true" outlineLevel="0" collapsed="false">
      <c r="B1718" s="36"/>
      <c r="C1718" s="7"/>
      <c r="D1718" s="7"/>
      <c r="E1718" s="37"/>
      <c r="F1718" s="38"/>
      <c r="G1718" s="24" t="str">
        <f aca="false">IF(OR(C1718="",D1718="",N(E1718)=0),"",E1718*IF(F1718="",IFERROR(N(INDEX(Produtos!$K$5:$K$54,MATCH(D1718,Produtos!$B$5:$B$54,0))),0),F1718))</f>
        <v/>
      </c>
      <c r="H1718" s="24" t="str">
        <f aca="false">IF(G1718="","",E1718*IFERROR(N(INDEX(Produtos!$F$5:$F$54,MATCH(D1718,Produtos!$B$5:$B$54,0))),0))</f>
        <v/>
      </c>
      <c r="I1718" s="24" t="str">
        <f aca="false">IF(G1718="","",G1718-H1718)</f>
        <v/>
      </c>
      <c r="J1718" s="37"/>
    </row>
    <row r="1719" customFormat="false" ht="21" hidden="false" customHeight="true" outlineLevel="0" collapsed="false">
      <c r="B1719" s="36"/>
      <c r="C1719" s="7"/>
      <c r="D1719" s="7"/>
      <c r="E1719" s="37"/>
      <c r="F1719" s="38"/>
      <c r="G1719" s="24" t="str">
        <f aca="false">IF(OR(C1719="",D1719="",N(E1719)=0),"",E1719*IF(F1719="",IFERROR(N(INDEX(Produtos!$K$5:$K$54,MATCH(D1719,Produtos!$B$5:$B$54,0))),0),F1719))</f>
        <v/>
      </c>
      <c r="H1719" s="24" t="str">
        <f aca="false">IF(G1719="","",E1719*IFERROR(N(INDEX(Produtos!$F$5:$F$54,MATCH(D1719,Produtos!$B$5:$B$54,0))),0))</f>
        <v/>
      </c>
      <c r="I1719" s="24" t="str">
        <f aca="false">IF(G1719="","",G1719-H1719)</f>
        <v/>
      </c>
      <c r="J1719" s="37"/>
    </row>
    <row r="1720" customFormat="false" ht="21" hidden="false" customHeight="true" outlineLevel="0" collapsed="false">
      <c r="B1720" s="36"/>
      <c r="C1720" s="7"/>
      <c r="D1720" s="7"/>
      <c r="E1720" s="37"/>
      <c r="F1720" s="38"/>
      <c r="G1720" s="24" t="str">
        <f aca="false">IF(OR(C1720="",D1720="",N(E1720)=0),"",E1720*IF(F1720="",IFERROR(N(INDEX(Produtos!$K$5:$K$54,MATCH(D1720,Produtos!$B$5:$B$54,0))),0),F1720))</f>
        <v/>
      </c>
      <c r="H1720" s="24" t="str">
        <f aca="false">IF(G1720="","",E1720*IFERROR(N(INDEX(Produtos!$F$5:$F$54,MATCH(D1720,Produtos!$B$5:$B$54,0))),0))</f>
        <v/>
      </c>
      <c r="I1720" s="24" t="str">
        <f aca="false">IF(G1720="","",G1720-H1720)</f>
        <v/>
      </c>
      <c r="J1720" s="37"/>
    </row>
    <row r="1721" customFormat="false" ht="21" hidden="false" customHeight="true" outlineLevel="0" collapsed="false">
      <c r="B1721" s="36"/>
      <c r="C1721" s="7"/>
      <c r="D1721" s="7"/>
      <c r="E1721" s="37"/>
      <c r="F1721" s="38"/>
      <c r="G1721" s="24" t="str">
        <f aca="false">IF(OR(C1721="",D1721="",N(E1721)=0),"",E1721*IF(F1721="",IFERROR(N(INDEX(Produtos!$K$5:$K$54,MATCH(D1721,Produtos!$B$5:$B$54,0))),0),F1721))</f>
        <v/>
      </c>
      <c r="H1721" s="24" t="str">
        <f aca="false">IF(G1721="","",E1721*IFERROR(N(INDEX(Produtos!$F$5:$F$54,MATCH(D1721,Produtos!$B$5:$B$54,0))),0))</f>
        <v/>
      </c>
      <c r="I1721" s="24" t="str">
        <f aca="false">IF(G1721="","",G1721-H1721)</f>
        <v/>
      </c>
      <c r="J1721" s="37"/>
    </row>
    <row r="1722" customFormat="false" ht="21" hidden="false" customHeight="true" outlineLevel="0" collapsed="false">
      <c r="B1722" s="36"/>
      <c r="C1722" s="7"/>
      <c r="D1722" s="7"/>
      <c r="E1722" s="37"/>
      <c r="F1722" s="38"/>
      <c r="G1722" s="24" t="str">
        <f aca="false">IF(OR(C1722="",D1722="",N(E1722)=0),"",E1722*IF(F1722="",IFERROR(N(INDEX(Produtos!$K$5:$K$54,MATCH(D1722,Produtos!$B$5:$B$54,0))),0),F1722))</f>
        <v/>
      </c>
      <c r="H1722" s="24" t="str">
        <f aca="false">IF(G1722="","",E1722*IFERROR(N(INDEX(Produtos!$F$5:$F$54,MATCH(D1722,Produtos!$B$5:$B$54,0))),0))</f>
        <v/>
      </c>
      <c r="I1722" s="24" t="str">
        <f aca="false">IF(G1722="","",G1722-H1722)</f>
        <v/>
      </c>
      <c r="J1722" s="37"/>
    </row>
    <row r="1723" customFormat="false" ht="21" hidden="false" customHeight="true" outlineLevel="0" collapsed="false">
      <c r="B1723" s="36"/>
      <c r="C1723" s="7"/>
      <c r="D1723" s="7"/>
      <c r="E1723" s="37"/>
      <c r="F1723" s="38"/>
      <c r="G1723" s="24" t="str">
        <f aca="false">IF(OR(C1723="",D1723="",N(E1723)=0),"",E1723*IF(F1723="",IFERROR(N(INDEX(Produtos!$K$5:$K$54,MATCH(D1723,Produtos!$B$5:$B$54,0))),0),F1723))</f>
        <v/>
      </c>
      <c r="H1723" s="24" t="str">
        <f aca="false">IF(G1723="","",E1723*IFERROR(N(INDEX(Produtos!$F$5:$F$54,MATCH(D1723,Produtos!$B$5:$B$54,0))),0))</f>
        <v/>
      </c>
      <c r="I1723" s="24" t="str">
        <f aca="false">IF(G1723="","",G1723-H1723)</f>
        <v/>
      </c>
      <c r="J1723" s="37"/>
    </row>
    <row r="1724" customFormat="false" ht="21" hidden="false" customHeight="true" outlineLevel="0" collapsed="false">
      <c r="B1724" s="36"/>
      <c r="C1724" s="7"/>
      <c r="D1724" s="7"/>
      <c r="E1724" s="37"/>
      <c r="F1724" s="38"/>
      <c r="G1724" s="24" t="str">
        <f aca="false">IF(OR(C1724="",D1724="",N(E1724)=0),"",E1724*IF(F1724="",IFERROR(N(INDEX(Produtos!$K$5:$K$54,MATCH(D1724,Produtos!$B$5:$B$54,0))),0),F1724))</f>
        <v/>
      </c>
      <c r="H1724" s="24" t="str">
        <f aca="false">IF(G1724="","",E1724*IFERROR(N(INDEX(Produtos!$F$5:$F$54,MATCH(D1724,Produtos!$B$5:$B$54,0))),0))</f>
        <v/>
      </c>
      <c r="I1724" s="24" t="str">
        <f aca="false">IF(G1724="","",G1724-H1724)</f>
        <v/>
      </c>
      <c r="J1724" s="37"/>
    </row>
    <row r="1725" customFormat="false" ht="21" hidden="false" customHeight="true" outlineLevel="0" collapsed="false">
      <c r="B1725" s="36"/>
      <c r="C1725" s="7"/>
      <c r="D1725" s="7"/>
      <c r="E1725" s="37"/>
      <c r="F1725" s="38"/>
      <c r="G1725" s="24" t="str">
        <f aca="false">IF(OR(C1725="",D1725="",N(E1725)=0),"",E1725*IF(F1725="",IFERROR(N(INDEX(Produtos!$K$5:$K$54,MATCH(D1725,Produtos!$B$5:$B$54,0))),0),F1725))</f>
        <v/>
      </c>
      <c r="H1725" s="24" t="str">
        <f aca="false">IF(G1725="","",E1725*IFERROR(N(INDEX(Produtos!$F$5:$F$54,MATCH(D1725,Produtos!$B$5:$B$54,0))),0))</f>
        <v/>
      </c>
      <c r="I1725" s="24" t="str">
        <f aca="false">IF(G1725="","",G1725-H1725)</f>
        <v/>
      </c>
      <c r="J1725" s="37"/>
    </row>
    <row r="1726" customFormat="false" ht="21" hidden="false" customHeight="true" outlineLevel="0" collapsed="false">
      <c r="B1726" s="36"/>
      <c r="C1726" s="7"/>
      <c r="D1726" s="7"/>
      <c r="E1726" s="37"/>
      <c r="F1726" s="38"/>
      <c r="G1726" s="24" t="str">
        <f aca="false">IF(OR(C1726="",D1726="",N(E1726)=0),"",E1726*IF(F1726="",IFERROR(N(INDEX(Produtos!$K$5:$K$54,MATCH(D1726,Produtos!$B$5:$B$54,0))),0),F1726))</f>
        <v/>
      </c>
      <c r="H1726" s="24" t="str">
        <f aca="false">IF(G1726="","",E1726*IFERROR(N(INDEX(Produtos!$F$5:$F$54,MATCH(D1726,Produtos!$B$5:$B$54,0))),0))</f>
        <v/>
      </c>
      <c r="I1726" s="24" t="str">
        <f aca="false">IF(G1726="","",G1726-H1726)</f>
        <v/>
      </c>
      <c r="J1726" s="37"/>
    </row>
    <row r="1727" customFormat="false" ht="21" hidden="false" customHeight="true" outlineLevel="0" collapsed="false">
      <c r="B1727" s="36"/>
      <c r="C1727" s="7"/>
      <c r="D1727" s="7"/>
      <c r="E1727" s="37"/>
      <c r="F1727" s="38"/>
      <c r="G1727" s="24" t="str">
        <f aca="false">IF(OR(C1727="",D1727="",N(E1727)=0),"",E1727*IF(F1727="",IFERROR(N(INDEX(Produtos!$K$5:$K$54,MATCH(D1727,Produtos!$B$5:$B$54,0))),0),F1727))</f>
        <v/>
      </c>
      <c r="H1727" s="24" t="str">
        <f aca="false">IF(G1727="","",E1727*IFERROR(N(INDEX(Produtos!$F$5:$F$54,MATCH(D1727,Produtos!$B$5:$B$54,0))),0))</f>
        <v/>
      </c>
      <c r="I1727" s="24" t="str">
        <f aca="false">IF(G1727="","",G1727-H1727)</f>
        <v/>
      </c>
      <c r="J1727" s="37"/>
    </row>
    <row r="1728" customFormat="false" ht="21" hidden="false" customHeight="true" outlineLevel="0" collapsed="false">
      <c r="B1728" s="36"/>
      <c r="C1728" s="7"/>
      <c r="D1728" s="7"/>
      <c r="E1728" s="37"/>
      <c r="F1728" s="38"/>
      <c r="G1728" s="24" t="str">
        <f aca="false">IF(OR(C1728="",D1728="",N(E1728)=0),"",E1728*IF(F1728="",IFERROR(N(INDEX(Produtos!$K$5:$K$54,MATCH(D1728,Produtos!$B$5:$B$54,0))),0),F1728))</f>
        <v/>
      </c>
      <c r="H1728" s="24" t="str">
        <f aca="false">IF(G1728="","",E1728*IFERROR(N(INDEX(Produtos!$F$5:$F$54,MATCH(D1728,Produtos!$B$5:$B$54,0))),0))</f>
        <v/>
      </c>
      <c r="I1728" s="24" t="str">
        <f aca="false">IF(G1728="","",G1728-H1728)</f>
        <v/>
      </c>
      <c r="J1728" s="37"/>
    </row>
    <row r="1729" customFormat="false" ht="21" hidden="false" customHeight="true" outlineLevel="0" collapsed="false">
      <c r="B1729" s="36"/>
      <c r="C1729" s="7"/>
      <c r="D1729" s="7"/>
      <c r="E1729" s="37"/>
      <c r="F1729" s="38"/>
      <c r="G1729" s="24" t="str">
        <f aca="false">IF(OR(C1729="",D1729="",N(E1729)=0),"",E1729*IF(F1729="",IFERROR(N(INDEX(Produtos!$K$5:$K$54,MATCH(D1729,Produtos!$B$5:$B$54,0))),0),F1729))</f>
        <v/>
      </c>
      <c r="H1729" s="24" t="str">
        <f aca="false">IF(G1729="","",E1729*IFERROR(N(INDEX(Produtos!$F$5:$F$54,MATCH(D1729,Produtos!$B$5:$B$54,0))),0))</f>
        <v/>
      </c>
      <c r="I1729" s="24" t="str">
        <f aca="false">IF(G1729="","",G1729-H1729)</f>
        <v/>
      </c>
      <c r="J1729" s="37"/>
    </row>
    <row r="1730" customFormat="false" ht="21" hidden="false" customHeight="true" outlineLevel="0" collapsed="false">
      <c r="B1730" s="36"/>
      <c r="C1730" s="7"/>
      <c r="D1730" s="7"/>
      <c r="E1730" s="37"/>
      <c r="F1730" s="38"/>
      <c r="G1730" s="24" t="str">
        <f aca="false">IF(OR(C1730="",D1730="",N(E1730)=0),"",E1730*IF(F1730="",IFERROR(N(INDEX(Produtos!$K$5:$K$54,MATCH(D1730,Produtos!$B$5:$B$54,0))),0),F1730))</f>
        <v/>
      </c>
      <c r="H1730" s="24" t="str">
        <f aca="false">IF(G1730="","",E1730*IFERROR(N(INDEX(Produtos!$F$5:$F$54,MATCH(D1730,Produtos!$B$5:$B$54,0))),0))</f>
        <v/>
      </c>
      <c r="I1730" s="24" t="str">
        <f aca="false">IF(G1730="","",G1730-H1730)</f>
        <v/>
      </c>
      <c r="J1730" s="37"/>
    </row>
    <row r="1731" customFormat="false" ht="21" hidden="false" customHeight="true" outlineLevel="0" collapsed="false">
      <c r="B1731" s="36"/>
      <c r="C1731" s="7"/>
      <c r="D1731" s="7"/>
      <c r="E1731" s="37"/>
      <c r="F1731" s="38"/>
      <c r="G1731" s="24" t="str">
        <f aca="false">IF(OR(C1731="",D1731="",N(E1731)=0),"",E1731*IF(F1731="",IFERROR(N(INDEX(Produtos!$K$5:$K$54,MATCH(D1731,Produtos!$B$5:$B$54,0))),0),F1731))</f>
        <v/>
      </c>
      <c r="H1731" s="24" t="str">
        <f aca="false">IF(G1731="","",E1731*IFERROR(N(INDEX(Produtos!$F$5:$F$54,MATCH(D1731,Produtos!$B$5:$B$54,0))),0))</f>
        <v/>
      </c>
      <c r="I1731" s="24" t="str">
        <f aca="false">IF(G1731="","",G1731-H1731)</f>
        <v/>
      </c>
      <c r="J1731" s="37"/>
    </row>
    <row r="1732" customFormat="false" ht="21" hidden="false" customHeight="true" outlineLevel="0" collapsed="false">
      <c r="B1732" s="36"/>
      <c r="C1732" s="7"/>
      <c r="D1732" s="7"/>
      <c r="E1732" s="37"/>
      <c r="F1732" s="38"/>
      <c r="G1732" s="24" t="str">
        <f aca="false">IF(OR(C1732="",D1732="",N(E1732)=0),"",E1732*IF(F1732="",IFERROR(N(INDEX(Produtos!$K$5:$K$54,MATCH(D1732,Produtos!$B$5:$B$54,0))),0),F1732))</f>
        <v/>
      </c>
      <c r="H1732" s="24" t="str">
        <f aca="false">IF(G1732="","",E1732*IFERROR(N(INDEX(Produtos!$F$5:$F$54,MATCH(D1732,Produtos!$B$5:$B$54,0))),0))</f>
        <v/>
      </c>
      <c r="I1732" s="24" t="str">
        <f aca="false">IF(G1732="","",G1732-H1732)</f>
        <v/>
      </c>
      <c r="J1732" s="37"/>
    </row>
    <row r="1733" customFormat="false" ht="21" hidden="false" customHeight="true" outlineLevel="0" collapsed="false">
      <c r="B1733" s="36"/>
      <c r="C1733" s="7"/>
      <c r="D1733" s="7"/>
      <c r="E1733" s="37"/>
      <c r="F1733" s="38"/>
      <c r="G1733" s="24" t="str">
        <f aca="false">IF(OR(C1733="",D1733="",N(E1733)=0),"",E1733*IF(F1733="",IFERROR(N(INDEX(Produtos!$K$5:$K$54,MATCH(D1733,Produtos!$B$5:$B$54,0))),0),F1733))</f>
        <v/>
      </c>
      <c r="H1733" s="24" t="str">
        <f aca="false">IF(G1733="","",E1733*IFERROR(N(INDEX(Produtos!$F$5:$F$54,MATCH(D1733,Produtos!$B$5:$B$54,0))),0))</f>
        <v/>
      </c>
      <c r="I1733" s="24" t="str">
        <f aca="false">IF(G1733="","",G1733-H1733)</f>
        <v/>
      </c>
      <c r="J1733" s="37"/>
    </row>
    <row r="1734" customFormat="false" ht="21" hidden="false" customHeight="true" outlineLevel="0" collapsed="false">
      <c r="B1734" s="36"/>
      <c r="C1734" s="7"/>
      <c r="D1734" s="7"/>
      <c r="E1734" s="37"/>
      <c r="F1734" s="38"/>
      <c r="G1734" s="24" t="str">
        <f aca="false">IF(OR(C1734="",D1734="",N(E1734)=0),"",E1734*IF(F1734="",IFERROR(N(INDEX(Produtos!$K$5:$K$54,MATCH(D1734,Produtos!$B$5:$B$54,0))),0),F1734))</f>
        <v/>
      </c>
      <c r="H1734" s="24" t="str">
        <f aca="false">IF(G1734="","",E1734*IFERROR(N(INDEX(Produtos!$F$5:$F$54,MATCH(D1734,Produtos!$B$5:$B$54,0))),0))</f>
        <v/>
      </c>
      <c r="I1734" s="24" t="str">
        <f aca="false">IF(G1734="","",G1734-H1734)</f>
        <v/>
      </c>
      <c r="J1734" s="37"/>
    </row>
    <row r="1735" customFormat="false" ht="21" hidden="false" customHeight="true" outlineLevel="0" collapsed="false">
      <c r="B1735" s="36"/>
      <c r="C1735" s="7"/>
      <c r="D1735" s="7"/>
      <c r="E1735" s="37"/>
      <c r="F1735" s="38"/>
      <c r="G1735" s="24" t="str">
        <f aca="false">IF(OR(C1735="",D1735="",N(E1735)=0),"",E1735*IF(F1735="",IFERROR(N(INDEX(Produtos!$K$5:$K$54,MATCH(D1735,Produtos!$B$5:$B$54,0))),0),F1735))</f>
        <v/>
      </c>
      <c r="H1735" s="24" t="str">
        <f aca="false">IF(G1735="","",E1735*IFERROR(N(INDEX(Produtos!$F$5:$F$54,MATCH(D1735,Produtos!$B$5:$B$54,0))),0))</f>
        <v/>
      </c>
      <c r="I1735" s="24" t="str">
        <f aca="false">IF(G1735="","",G1735-H1735)</f>
        <v/>
      </c>
      <c r="J1735" s="37"/>
    </row>
    <row r="1736" customFormat="false" ht="21" hidden="false" customHeight="true" outlineLevel="0" collapsed="false">
      <c r="B1736" s="36"/>
      <c r="C1736" s="7"/>
      <c r="D1736" s="7"/>
      <c r="E1736" s="37"/>
      <c r="F1736" s="38"/>
      <c r="G1736" s="24" t="str">
        <f aca="false">IF(OR(C1736="",D1736="",N(E1736)=0),"",E1736*IF(F1736="",IFERROR(N(INDEX(Produtos!$K$5:$K$54,MATCH(D1736,Produtos!$B$5:$B$54,0))),0),F1736))</f>
        <v/>
      </c>
      <c r="H1736" s="24" t="str">
        <f aca="false">IF(G1736="","",E1736*IFERROR(N(INDEX(Produtos!$F$5:$F$54,MATCH(D1736,Produtos!$B$5:$B$54,0))),0))</f>
        <v/>
      </c>
      <c r="I1736" s="24" t="str">
        <f aca="false">IF(G1736="","",G1736-H1736)</f>
        <v/>
      </c>
      <c r="J1736" s="37"/>
    </row>
    <row r="1737" customFormat="false" ht="21" hidden="false" customHeight="true" outlineLevel="0" collapsed="false">
      <c r="B1737" s="36"/>
      <c r="C1737" s="7"/>
      <c r="D1737" s="7"/>
      <c r="E1737" s="37"/>
      <c r="F1737" s="38"/>
      <c r="G1737" s="24" t="str">
        <f aca="false">IF(OR(C1737="",D1737="",N(E1737)=0),"",E1737*IF(F1737="",IFERROR(N(INDEX(Produtos!$K$5:$K$54,MATCH(D1737,Produtos!$B$5:$B$54,0))),0),F1737))</f>
        <v/>
      </c>
      <c r="H1737" s="24" t="str">
        <f aca="false">IF(G1737="","",E1737*IFERROR(N(INDEX(Produtos!$F$5:$F$54,MATCH(D1737,Produtos!$B$5:$B$54,0))),0))</f>
        <v/>
      </c>
      <c r="I1737" s="24" t="str">
        <f aca="false">IF(G1737="","",G1737-H1737)</f>
        <v/>
      </c>
      <c r="J1737" s="37"/>
    </row>
    <row r="1738" customFormat="false" ht="21" hidden="false" customHeight="true" outlineLevel="0" collapsed="false">
      <c r="B1738" s="36"/>
      <c r="C1738" s="7"/>
      <c r="D1738" s="7"/>
      <c r="E1738" s="37"/>
      <c r="F1738" s="38"/>
      <c r="G1738" s="24" t="str">
        <f aca="false">IF(OR(C1738="",D1738="",N(E1738)=0),"",E1738*IF(F1738="",IFERROR(N(INDEX(Produtos!$K$5:$K$54,MATCH(D1738,Produtos!$B$5:$B$54,0))),0),F1738))</f>
        <v/>
      </c>
      <c r="H1738" s="24" t="str">
        <f aca="false">IF(G1738="","",E1738*IFERROR(N(INDEX(Produtos!$F$5:$F$54,MATCH(D1738,Produtos!$B$5:$B$54,0))),0))</f>
        <v/>
      </c>
      <c r="I1738" s="24" t="str">
        <f aca="false">IF(G1738="","",G1738-H1738)</f>
        <v/>
      </c>
      <c r="J1738" s="37"/>
    </row>
    <row r="1739" customFormat="false" ht="21" hidden="false" customHeight="true" outlineLevel="0" collapsed="false">
      <c r="B1739" s="36"/>
      <c r="C1739" s="7"/>
      <c r="D1739" s="7"/>
      <c r="E1739" s="37"/>
      <c r="F1739" s="38"/>
      <c r="G1739" s="24" t="str">
        <f aca="false">IF(OR(C1739="",D1739="",N(E1739)=0),"",E1739*IF(F1739="",IFERROR(N(INDEX(Produtos!$K$5:$K$54,MATCH(D1739,Produtos!$B$5:$B$54,0))),0),F1739))</f>
        <v/>
      </c>
      <c r="H1739" s="24" t="str">
        <f aca="false">IF(G1739="","",E1739*IFERROR(N(INDEX(Produtos!$F$5:$F$54,MATCH(D1739,Produtos!$B$5:$B$54,0))),0))</f>
        <v/>
      </c>
      <c r="I1739" s="24" t="str">
        <f aca="false">IF(G1739="","",G1739-H1739)</f>
        <v/>
      </c>
      <c r="J1739" s="37"/>
    </row>
    <row r="1740" customFormat="false" ht="21" hidden="false" customHeight="true" outlineLevel="0" collapsed="false">
      <c r="B1740" s="36"/>
      <c r="C1740" s="7"/>
      <c r="D1740" s="7"/>
      <c r="E1740" s="37"/>
      <c r="F1740" s="38"/>
      <c r="G1740" s="24" t="str">
        <f aca="false">IF(OR(C1740="",D1740="",N(E1740)=0),"",E1740*IF(F1740="",IFERROR(N(INDEX(Produtos!$K$5:$K$54,MATCH(D1740,Produtos!$B$5:$B$54,0))),0),F1740))</f>
        <v/>
      </c>
      <c r="H1740" s="24" t="str">
        <f aca="false">IF(G1740="","",E1740*IFERROR(N(INDEX(Produtos!$F$5:$F$54,MATCH(D1740,Produtos!$B$5:$B$54,0))),0))</f>
        <v/>
      </c>
      <c r="I1740" s="24" t="str">
        <f aca="false">IF(G1740="","",G1740-H1740)</f>
        <v/>
      </c>
      <c r="J1740" s="37"/>
    </row>
    <row r="1741" customFormat="false" ht="21" hidden="false" customHeight="true" outlineLevel="0" collapsed="false">
      <c r="B1741" s="36"/>
      <c r="C1741" s="7"/>
      <c r="D1741" s="7"/>
      <c r="E1741" s="37"/>
      <c r="F1741" s="38"/>
      <c r="G1741" s="24" t="str">
        <f aca="false">IF(OR(C1741="",D1741="",N(E1741)=0),"",E1741*IF(F1741="",IFERROR(N(INDEX(Produtos!$K$5:$K$54,MATCH(D1741,Produtos!$B$5:$B$54,0))),0),F1741))</f>
        <v/>
      </c>
      <c r="H1741" s="24" t="str">
        <f aca="false">IF(G1741="","",E1741*IFERROR(N(INDEX(Produtos!$F$5:$F$54,MATCH(D1741,Produtos!$B$5:$B$54,0))),0))</f>
        <v/>
      </c>
      <c r="I1741" s="24" t="str">
        <f aca="false">IF(G1741="","",G1741-H1741)</f>
        <v/>
      </c>
      <c r="J1741" s="37"/>
    </row>
    <row r="1742" customFormat="false" ht="21" hidden="false" customHeight="true" outlineLevel="0" collapsed="false">
      <c r="B1742" s="36"/>
      <c r="C1742" s="7"/>
      <c r="D1742" s="7"/>
      <c r="E1742" s="37"/>
      <c r="F1742" s="38"/>
      <c r="G1742" s="24" t="str">
        <f aca="false">IF(OR(C1742="",D1742="",N(E1742)=0),"",E1742*IF(F1742="",IFERROR(N(INDEX(Produtos!$K$5:$K$54,MATCH(D1742,Produtos!$B$5:$B$54,0))),0),F1742))</f>
        <v/>
      </c>
      <c r="H1742" s="24" t="str">
        <f aca="false">IF(G1742="","",E1742*IFERROR(N(INDEX(Produtos!$F$5:$F$54,MATCH(D1742,Produtos!$B$5:$B$54,0))),0))</f>
        <v/>
      </c>
      <c r="I1742" s="24" t="str">
        <f aca="false">IF(G1742="","",G1742-H1742)</f>
        <v/>
      </c>
      <c r="J1742" s="37"/>
    </row>
    <row r="1743" customFormat="false" ht="21" hidden="false" customHeight="true" outlineLevel="0" collapsed="false">
      <c r="B1743" s="36"/>
      <c r="C1743" s="7"/>
      <c r="D1743" s="7"/>
      <c r="E1743" s="37"/>
      <c r="F1743" s="38"/>
      <c r="G1743" s="24" t="str">
        <f aca="false">IF(OR(C1743="",D1743="",N(E1743)=0),"",E1743*IF(F1743="",IFERROR(N(INDEX(Produtos!$K$5:$K$54,MATCH(D1743,Produtos!$B$5:$B$54,0))),0),F1743))</f>
        <v/>
      </c>
      <c r="H1743" s="24" t="str">
        <f aca="false">IF(G1743="","",E1743*IFERROR(N(INDEX(Produtos!$F$5:$F$54,MATCH(D1743,Produtos!$B$5:$B$54,0))),0))</f>
        <v/>
      </c>
      <c r="I1743" s="24" t="str">
        <f aca="false">IF(G1743="","",G1743-H1743)</f>
        <v/>
      </c>
      <c r="J1743" s="37"/>
    </row>
    <row r="1744" customFormat="false" ht="21" hidden="false" customHeight="true" outlineLevel="0" collapsed="false">
      <c r="B1744" s="36"/>
      <c r="C1744" s="7"/>
      <c r="D1744" s="7"/>
      <c r="E1744" s="37"/>
      <c r="F1744" s="38"/>
      <c r="G1744" s="24" t="str">
        <f aca="false">IF(OR(C1744="",D1744="",N(E1744)=0),"",E1744*IF(F1744="",IFERROR(N(INDEX(Produtos!$K$5:$K$54,MATCH(D1744,Produtos!$B$5:$B$54,0))),0),F1744))</f>
        <v/>
      </c>
      <c r="H1744" s="24" t="str">
        <f aca="false">IF(G1744="","",E1744*IFERROR(N(INDEX(Produtos!$F$5:$F$54,MATCH(D1744,Produtos!$B$5:$B$54,0))),0))</f>
        <v/>
      </c>
      <c r="I1744" s="24" t="str">
        <f aca="false">IF(G1744="","",G1744-H1744)</f>
        <v/>
      </c>
      <c r="J1744" s="37"/>
    </row>
    <row r="1745" customFormat="false" ht="21" hidden="false" customHeight="true" outlineLevel="0" collapsed="false">
      <c r="B1745" s="36"/>
      <c r="C1745" s="7"/>
      <c r="D1745" s="7"/>
      <c r="E1745" s="37"/>
      <c r="F1745" s="38"/>
      <c r="G1745" s="24" t="str">
        <f aca="false">IF(OR(C1745="",D1745="",N(E1745)=0),"",E1745*IF(F1745="",IFERROR(N(INDEX(Produtos!$K$5:$K$54,MATCH(D1745,Produtos!$B$5:$B$54,0))),0),F1745))</f>
        <v/>
      </c>
      <c r="H1745" s="24" t="str">
        <f aca="false">IF(G1745="","",E1745*IFERROR(N(INDEX(Produtos!$F$5:$F$54,MATCH(D1745,Produtos!$B$5:$B$54,0))),0))</f>
        <v/>
      </c>
      <c r="I1745" s="24" t="str">
        <f aca="false">IF(G1745="","",G1745-H1745)</f>
        <v/>
      </c>
      <c r="J1745" s="37"/>
    </row>
    <row r="1746" customFormat="false" ht="21" hidden="false" customHeight="true" outlineLevel="0" collapsed="false">
      <c r="B1746" s="36"/>
      <c r="C1746" s="7"/>
      <c r="D1746" s="7"/>
      <c r="E1746" s="37"/>
      <c r="F1746" s="38"/>
      <c r="G1746" s="24" t="str">
        <f aca="false">IF(OR(C1746="",D1746="",N(E1746)=0),"",E1746*IF(F1746="",IFERROR(N(INDEX(Produtos!$K$5:$K$54,MATCH(D1746,Produtos!$B$5:$B$54,0))),0),F1746))</f>
        <v/>
      </c>
      <c r="H1746" s="24" t="str">
        <f aca="false">IF(G1746="","",E1746*IFERROR(N(INDEX(Produtos!$F$5:$F$54,MATCH(D1746,Produtos!$B$5:$B$54,0))),0))</f>
        <v/>
      </c>
      <c r="I1746" s="24" t="str">
        <f aca="false">IF(G1746="","",G1746-H1746)</f>
        <v/>
      </c>
      <c r="J1746" s="37"/>
    </row>
    <row r="1747" customFormat="false" ht="21" hidden="false" customHeight="true" outlineLevel="0" collapsed="false">
      <c r="B1747" s="36"/>
      <c r="C1747" s="7"/>
      <c r="D1747" s="7"/>
      <c r="E1747" s="37"/>
      <c r="F1747" s="38"/>
      <c r="G1747" s="24" t="str">
        <f aca="false">IF(OR(C1747="",D1747="",N(E1747)=0),"",E1747*IF(F1747="",IFERROR(N(INDEX(Produtos!$K$5:$K$54,MATCH(D1747,Produtos!$B$5:$B$54,0))),0),F1747))</f>
        <v/>
      </c>
      <c r="H1747" s="24" t="str">
        <f aca="false">IF(G1747="","",E1747*IFERROR(N(INDEX(Produtos!$F$5:$F$54,MATCH(D1747,Produtos!$B$5:$B$54,0))),0))</f>
        <v/>
      </c>
      <c r="I1747" s="24" t="str">
        <f aca="false">IF(G1747="","",G1747-H1747)</f>
        <v/>
      </c>
      <c r="J1747" s="37"/>
    </row>
    <row r="1748" customFormat="false" ht="21" hidden="false" customHeight="true" outlineLevel="0" collapsed="false">
      <c r="B1748" s="36"/>
      <c r="C1748" s="7"/>
      <c r="D1748" s="7"/>
      <c r="E1748" s="37"/>
      <c r="F1748" s="38"/>
      <c r="G1748" s="24" t="str">
        <f aca="false">IF(OR(C1748="",D1748="",N(E1748)=0),"",E1748*IF(F1748="",IFERROR(N(INDEX(Produtos!$K$5:$K$54,MATCH(D1748,Produtos!$B$5:$B$54,0))),0),F1748))</f>
        <v/>
      </c>
      <c r="H1748" s="24" t="str">
        <f aca="false">IF(G1748="","",E1748*IFERROR(N(INDEX(Produtos!$F$5:$F$54,MATCH(D1748,Produtos!$B$5:$B$54,0))),0))</f>
        <v/>
      </c>
      <c r="I1748" s="24" t="str">
        <f aca="false">IF(G1748="","",G1748-H1748)</f>
        <v/>
      </c>
      <c r="J1748" s="37"/>
    </row>
    <row r="1749" customFormat="false" ht="21" hidden="false" customHeight="true" outlineLevel="0" collapsed="false">
      <c r="B1749" s="36"/>
      <c r="C1749" s="7"/>
      <c r="D1749" s="7"/>
      <c r="E1749" s="37"/>
      <c r="F1749" s="38"/>
      <c r="G1749" s="24" t="str">
        <f aca="false">IF(OR(C1749="",D1749="",N(E1749)=0),"",E1749*IF(F1749="",IFERROR(N(INDEX(Produtos!$K$5:$K$54,MATCH(D1749,Produtos!$B$5:$B$54,0))),0),F1749))</f>
        <v/>
      </c>
      <c r="H1749" s="24" t="str">
        <f aca="false">IF(G1749="","",E1749*IFERROR(N(INDEX(Produtos!$F$5:$F$54,MATCH(D1749,Produtos!$B$5:$B$54,0))),0))</f>
        <v/>
      </c>
      <c r="I1749" s="24" t="str">
        <f aca="false">IF(G1749="","",G1749-H1749)</f>
        <v/>
      </c>
      <c r="J1749" s="37"/>
    </row>
    <row r="1750" customFormat="false" ht="21" hidden="false" customHeight="true" outlineLevel="0" collapsed="false">
      <c r="B1750" s="36"/>
      <c r="C1750" s="7"/>
      <c r="D1750" s="7"/>
      <c r="E1750" s="37"/>
      <c r="F1750" s="38"/>
      <c r="G1750" s="24" t="str">
        <f aca="false">IF(OR(C1750="",D1750="",N(E1750)=0),"",E1750*IF(F1750="",IFERROR(N(INDEX(Produtos!$K$5:$K$54,MATCH(D1750,Produtos!$B$5:$B$54,0))),0),F1750))</f>
        <v/>
      </c>
      <c r="H1750" s="24" t="str">
        <f aca="false">IF(G1750="","",E1750*IFERROR(N(INDEX(Produtos!$F$5:$F$54,MATCH(D1750,Produtos!$B$5:$B$54,0))),0))</f>
        <v/>
      </c>
      <c r="I1750" s="24" t="str">
        <f aca="false">IF(G1750="","",G1750-H1750)</f>
        <v/>
      </c>
      <c r="J1750" s="37"/>
    </row>
    <row r="1751" customFormat="false" ht="21" hidden="false" customHeight="true" outlineLevel="0" collapsed="false">
      <c r="B1751" s="36"/>
      <c r="C1751" s="7"/>
      <c r="D1751" s="7"/>
      <c r="E1751" s="37"/>
      <c r="F1751" s="38"/>
      <c r="G1751" s="24" t="str">
        <f aca="false">IF(OR(C1751="",D1751="",N(E1751)=0),"",E1751*IF(F1751="",IFERROR(N(INDEX(Produtos!$K$5:$K$54,MATCH(D1751,Produtos!$B$5:$B$54,0))),0),F1751))</f>
        <v/>
      </c>
      <c r="H1751" s="24" t="str">
        <f aca="false">IF(G1751="","",E1751*IFERROR(N(INDEX(Produtos!$F$5:$F$54,MATCH(D1751,Produtos!$B$5:$B$54,0))),0))</f>
        <v/>
      </c>
      <c r="I1751" s="24" t="str">
        <f aca="false">IF(G1751="","",G1751-H1751)</f>
        <v/>
      </c>
      <c r="J1751" s="37"/>
    </row>
    <row r="1752" customFormat="false" ht="21" hidden="false" customHeight="true" outlineLevel="0" collapsed="false">
      <c r="B1752" s="36"/>
      <c r="C1752" s="7"/>
      <c r="D1752" s="7"/>
      <c r="E1752" s="37"/>
      <c r="F1752" s="38"/>
      <c r="G1752" s="24" t="str">
        <f aca="false">IF(OR(C1752="",D1752="",N(E1752)=0),"",E1752*IF(F1752="",IFERROR(N(INDEX(Produtos!$K$5:$K$54,MATCH(D1752,Produtos!$B$5:$B$54,0))),0),F1752))</f>
        <v/>
      </c>
      <c r="H1752" s="24" t="str">
        <f aca="false">IF(G1752="","",E1752*IFERROR(N(INDEX(Produtos!$F$5:$F$54,MATCH(D1752,Produtos!$B$5:$B$54,0))),0))</f>
        <v/>
      </c>
      <c r="I1752" s="24" t="str">
        <f aca="false">IF(G1752="","",G1752-H1752)</f>
        <v/>
      </c>
      <c r="J1752" s="37"/>
    </row>
    <row r="1753" customFormat="false" ht="21" hidden="false" customHeight="true" outlineLevel="0" collapsed="false">
      <c r="B1753" s="36"/>
      <c r="C1753" s="7"/>
      <c r="D1753" s="7"/>
      <c r="E1753" s="37"/>
      <c r="F1753" s="38"/>
      <c r="G1753" s="24" t="str">
        <f aca="false">IF(OR(C1753="",D1753="",N(E1753)=0),"",E1753*IF(F1753="",IFERROR(N(INDEX(Produtos!$K$5:$K$54,MATCH(D1753,Produtos!$B$5:$B$54,0))),0),F1753))</f>
        <v/>
      </c>
      <c r="H1753" s="24" t="str">
        <f aca="false">IF(G1753="","",E1753*IFERROR(N(INDEX(Produtos!$F$5:$F$54,MATCH(D1753,Produtos!$B$5:$B$54,0))),0))</f>
        <v/>
      </c>
      <c r="I1753" s="24" t="str">
        <f aca="false">IF(G1753="","",G1753-H1753)</f>
        <v/>
      </c>
      <c r="J1753" s="37"/>
    </row>
    <row r="1754" customFormat="false" ht="21" hidden="false" customHeight="true" outlineLevel="0" collapsed="false">
      <c r="B1754" s="36"/>
      <c r="C1754" s="7"/>
      <c r="D1754" s="7"/>
      <c r="E1754" s="37"/>
      <c r="F1754" s="38"/>
      <c r="G1754" s="24" t="str">
        <f aca="false">IF(OR(C1754="",D1754="",N(E1754)=0),"",E1754*IF(F1754="",IFERROR(N(INDEX(Produtos!$K$5:$K$54,MATCH(D1754,Produtos!$B$5:$B$54,0))),0),F1754))</f>
        <v/>
      </c>
      <c r="H1754" s="24" t="str">
        <f aca="false">IF(G1754="","",E1754*IFERROR(N(INDEX(Produtos!$F$5:$F$54,MATCH(D1754,Produtos!$B$5:$B$54,0))),0))</f>
        <v/>
      </c>
      <c r="I1754" s="24" t="str">
        <f aca="false">IF(G1754="","",G1754-H1754)</f>
        <v/>
      </c>
      <c r="J1754" s="37"/>
    </row>
    <row r="1755" customFormat="false" ht="21" hidden="false" customHeight="true" outlineLevel="0" collapsed="false">
      <c r="B1755" s="36"/>
      <c r="C1755" s="7"/>
      <c r="D1755" s="7"/>
      <c r="E1755" s="37"/>
      <c r="F1755" s="38"/>
      <c r="G1755" s="24" t="str">
        <f aca="false">IF(OR(C1755="",D1755="",N(E1755)=0),"",E1755*IF(F1755="",IFERROR(N(INDEX(Produtos!$K$5:$K$54,MATCH(D1755,Produtos!$B$5:$B$54,0))),0),F1755))</f>
        <v/>
      </c>
      <c r="H1755" s="24" t="str">
        <f aca="false">IF(G1755="","",E1755*IFERROR(N(INDEX(Produtos!$F$5:$F$54,MATCH(D1755,Produtos!$B$5:$B$54,0))),0))</f>
        <v/>
      </c>
      <c r="I1755" s="24" t="str">
        <f aca="false">IF(G1755="","",G1755-H1755)</f>
        <v/>
      </c>
      <c r="J1755" s="37"/>
    </row>
    <row r="1756" customFormat="false" ht="21" hidden="false" customHeight="true" outlineLevel="0" collapsed="false">
      <c r="B1756" s="36"/>
      <c r="C1756" s="7"/>
      <c r="D1756" s="7"/>
      <c r="E1756" s="37"/>
      <c r="F1756" s="38"/>
      <c r="G1756" s="24" t="str">
        <f aca="false">IF(OR(C1756="",D1756="",N(E1756)=0),"",E1756*IF(F1756="",IFERROR(N(INDEX(Produtos!$K$5:$K$54,MATCH(D1756,Produtos!$B$5:$B$54,0))),0),F1756))</f>
        <v/>
      </c>
      <c r="H1756" s="24" t="str">
        <f aca="false">IF(G1756="","",E1756*IFERROR(N(INDEX(Produtos!$F$5:$F$54,MATCH(D1756,Produtos!$B$5:$B$54,0))),0))</f>
        <v/>
      </c>
      <c r="I1756" s="24" t="str">
        <f aca="false">IF(G1756="","",G1756-H1756)</f>
        <v/>
      </c>
      <c r="J1756" s="37"/>
    </row>
    <row r="1757" customFormat="false" ht="21" hidden="false" customHeight="true" outlineLevel="0" collapsed="false">
      <c r="B1757" s="36"/>
      <c r="C1757" s="7"/>
      <c r="D1757" s="7"/>
      <c r="E1757" s="37"/>
      <c r="F1757" s="38"/>
      <c r="G1757" s="24" t="str">
        <f aca="false">IF(OR(C1757="",D1757="",N(E1757)=0),"",E1757*IF(F1757="",IFERROR(N(INDEX(Produtos!$K$5:$K$54,MATCH(D1757,Produtos!$B$5:$B$54,0))),0),F1757))</f>
        <v/>
      </c>
      <c r="H1757" s="24" t="str">
        <f aca="false">IF(G1757="","",E1757*IFERROR(N(INDEX(Produtos!$F$5:$F$54,MATCH(D1757,Produtos!$B$5:$B$54,0))),0))</f>
        <v/>
      </c>
      <c r="I1757" s="24" t="str">
        <f aca="false">IF(G1757="","",G1757-H1757)</f>
        <v/>
      </c>
      <c r="J1757" s="37"/>
    </row>
    <row r="1758" customFormat="false" ht="21" hidden="false" customHeight="true" outlineLevel="0" collapsed="false">
      <c r="B1758" s="36"/>
      <c r="C1758" s="7"/>
      <c r="D1758" s="7"/>
      <c r="E1758" s="37"/>
      <c r="F1758" s="38"/>
      <c r="G1758" s="24" t="str">
        <f aca="false">IF(OR(C1758="",D1758="",N(E1758)=0),"",E1758*IF(F1758="",IFERROR(N(INDEX(Produtos!$K$5:$K$54,MATCH(D1758,Produtos!$B$5:$B$54,0))),0),F1758))</f>
        <v/>
      </c>
      <c r="H1758" s="24" t="str">
        <f aca="false">IF(G1758="","",E1758*IFERROR(N(INDEX(Produtos!$F$5:$F$54,MATCH(D1758,Produtos!$B$5:$B$54,0))),0))</f>
        <v/>
      </c>
      <c r="I1758" s="24" t="str">
        <f aca="false">IF(G1758="","",G1758-H1758)</f>
        <v/>
      </c>
      <c r="J1758" s="37"/>
    </row>
    <row r="1759" customFormat="false" ht="21" hidden="false" customHeight="true" outlineLevel="0" collapsed="false">
      <c r="B1759" s="36"/>
      <c r="C1759" s="7"/>
      <c r="D1759" s="7"/>
      <c r="E1759" s="37"/>
      <c r="F1759" s="38"/>
      <c r="G1759" s="24" t="str">
        <f aca="false">IF(OR(C1759="",D1759="",N(E1759)=0),"",E1759*IF(F1759="",IFERROR(N(INDEX(Produtos!$K$5:$K$54,MATCH(D1759,Produtos!$B$5:$B$54,0))),0),F1759))</f>
        <v/>
      </c>
      <c r="H1759" s="24" t="str">
        <f aca="false">IF(G1759="","",E1759*IFERROR(N(INDEX(Produtos!$F$5:$F$54,MATCH(D1759,Produtos!$B$5:$B$54,0))),0))</f>
        <v/>
      </c>
      <c r="I1759" s="24" t="str">
        <f aca="false">IF(G1759="","",G1759-H1759)</f>
        <v/>
      </c>
      <c r="J1759" s="37"/>
    </row>
    <row r="1760" customFormat="false" ht="21" hidden="false" customHeight="true" outlineLevel="0" collapsed="false">
      <c r="B1760" s="36"/>
      <c r="C1760" s="7"/>
      <c r="D1760" s="7"/>
      <c r="E1760" s="37"/>
      <c r="F1760" s="38"/>
      <c r="G1760" s="24" t="str">
        <f aca="false">IF(OR(C1760="",D1760="",N(E1760)=0),"",E1760*IF(F1760="",IFERROR(N(INDEX(Produtos!$K$5:$K$54,MATCH(D1760,Produtos!$B$5:$B$54,0))),0),F1760))</f>
        <v/>
      </c>
      <c r="H1760" s="24" t="str">
        <f aca="false">IF(G1760="","",E1760*IFERROR(N(INDEX(Produtos!$F$5:$F$54,MATCH(D1760,Produtos!$B$5:$B$54,0))),0))</f>
        <v/>
      </c>
      <c r="I1760" s="24" t="str">
        <f aca="false">IF(G1760="","",G1760-H1760)</f>
        <v/>
      </c>
      <c r="J1760" s="37"/>
    </row>
    <row r="1761" customFormat="false" ht="21" hidden="false" customHeight="true" outlineLevel="0" collapsed="false">
      <c r="B1761" s="36"/>
      <c r="C1761" s="7"/>
      <c r="D1761" s="7"/>
      <c r="E1761" s="37"/>
      <c r="F1761" s="38"/>
      <c r="G1761" s="24" t="str">
        <f aca="false">IF(OR(C1761="",D1761="",N(E1761)=0),"",E1761*IF(F1761="",IFERROR(N(INDEX(Produtos!$K$5:$K$54,MATCH(D1761,Produtos!$B$5:$B$54,0))),0),F1761))</f>
        <v/>
      </c>
      <c r="H1761" s="24" t="str">
        <f aca="false">IF(G1761="","",E1761*IFERROR(N(INDEX(Produtos!$F$5:$F$54,MATCH(D1761,Produtos!$B$5:$B$54,0))),0))</f>
        <v/>
      </c>
      <c r="I1761" s="24" t="str">
        <f aca="false">IF(G1761="","",G1761-H1761)</f>
        <v/>
      </c>
      <c r="J1761" s="37"/>
    </row>
    <row r="1762" customFormat="false" ht="21" hidden="false" customHeight="true" outlineLevel="0" collapsed="false">
      <c r="B1762" s="36"/>
      <c r="C1762" s="7"/>
      <c r="D1762" s="7"/>
      <c r="E1762" s="37"/>
      <c r="F1762" s="38"/>
      <c r="G1762" s="24" t="str">
        <f aca="false">IF(OR(C1762="",D1762="",N(E1762)=0),"",E1762*IF(F1762="",IFERROR(N(INDEX(Produtos!$K$5:$K$54,MATCH(D1762,Produtos!$B$5:$B$54,0))),0),F1762))</f>
        <v/>
      </c>
      <c r="H1762" s="24" t="str">
        <f aca="false">IF(G1762="","",E1762*IFERROR(N(INDEX(Produtos!$F$5:$F$54,MATCH(D1762,Produtos!$B$5:$B$54,0))),0))</f>
        <v/>
      </c>
      <c r="I1762" s="24" t="str">
        <f aca="false">IF(G1762="","",G1762-H1762)</f>
        <v/>
      </c>
      <c r="J1762" s="37"/>
    </row>
    <row r="1763" customFormat="false" ht="21" hidden="false" customHeight="true" outlineLevel="0" collapsed="false">
      <c r="B1763" s="36"/>
      <c r="C1763" s="7"/>
      <c r="D1763" s="7"/>
      <c r="E1763" s="37"/>
      <c r="F1763" s="38"/>
      <c r="G1763" s="24" t="str">
        <f aca="false">IF(OR(C1763="",D1763="",N(E1763)=0),"",E1763*IF(F1763="",IFERROR(N(INDEX(Produtos!$K$5:$K$54,MATCH(D1763,Produtos!$B$5:$B$54,0))),0),F1763))</f>
        <v/>
      </c>
      <c r="H1763" s="24" t="str">
        <f aca="false">IF(G1763="","",E1763*IFERROR(N(INDEX(Produtos!$F$5:$F$54,MATCH(D1763,Produtos!$B$5:$B$54,0))),0))</f>
        <v/>
      </c>
      <c r="I1763" s="24" t="str">
        <f aca="false">IF(G1763="","",G1763-H1763)</f>
        <v/>
      </c>
      <c r="J1763" s="37"/>
    </row>
    <row r="1764" customFormat="false" ht="21" hidden="false" customHeight="true" outlineLevel="0" collapsed="false">
      <c r="B1764" s="36"/>
      <c r="C1764" s="7"/>
      <c r="D1764" s="7"/>
      <c r="E1764" s="37"/>
      <c r="F1764" s="38"/>
      <c r="G1764" s="24" t="str">
        <f aca="false">IF(OR(C1764="",D1764="",N(E1764)=0),"",E1764*IF(F1764="",IFERROR(N(INDEX(Produtos!$K$5:$K$54,MATCH(D1764,Produtos!$B$5:$B$54,0))),0),F1764))</f>
        <v/>
      </c>
      <c r="H1764" s="24" t="str">
        <f aca="false">IF(G1764="","",E1764*IFERROR(N(INDEX(Produtos!$F$5:$F$54,MATCH(D1764,Produtos!$B$5:$B$54,0))),0))</f>
        <v/>
      </c>
      <c r="I1764" s="24" t="str">
        <f aca="false">IF(G1764="","",G1764-H1764)</f>
        <v/>
      </c>
      <c r="J1764" s="37"/>
    </row>
    <row r="1765" customFormat="false" ht="21" hidden="false" customHeight="true" outlineLevel="0" collapsed="false">
      <c r="B1765" s="36"/>
      <c r="C1765" s="7"/>
      <c r="D1765" s="7"/>
      <c r="E1765" s="37"/>
      <c r="F1765" s="38"/>
      <c r="G1765" s="24" t="str">
        <f aca="false">IF(OR(C1765="",D1765="",N(E1765)=0),"",E1765*IF(F1765="",IFERROR(N(INDEX(Produtos!$K$5:$K$54,MATCH(D1765,Produtos!$B$5:$B$54,0))),0),F1765))</f>
        <v/>
      </c>
      <c r="H1765" s="24" t="str">
        <f aca="false">IF(G1765="","",E1765*IFERROR(N(INDEX(Produtos!$F$5:$F$54,MATCH(D1765,Produtos!$B$5:$B$54,0))),0))</f>
        <v/>
      </c>
      <c r="I1765" s="24" t="str">
        <f aca="false">IF(G1765="","",G1765-H1765)</f>
        <v/>
      </c>
      <c r="J1765" s="37"/>
    </row>
    <row r="1766" customFormat="false" ht="21" hidden="false" customHeight="true" outlineLevel="0" collapsed="false">
      <c r="B1766" s="36"/>
      <c r="C1766" s="7"/>
      <c r="D1766" s="7"/>
      <c r="E1766" s="37"/>
      <c r="F1766" s="38"/>
      <c r="G1766" s="24" t="str">
        <f aca="false">IF(OR(C1766="",D1766="",N(E1766)=0),"",E1766*IF(F1766="",IFERROR(N(INDEX(Produtos!$K$5:$K$54,MATCH(D1766,Produtos!$B$5:$B$54,0))),0),F1766))</f>
        <v/>
      </c>
      <c r="H1766" s="24" t="str">
        <f aca="false">IF(G1766="","",E1766*IFERROR(N(INDEX(Produtos!$F$5:$F$54,MATCH(D1766,Produtos!$B$5:$B$54,0))),0))</f>
        <v/>
      </c>
      <c r="I1766" s="24" t="str">
        <f aca="false">IF(G1766="","",G1766-H1766)</f>
        <v/>
      </c>
      <c r="J1766" s="37"/>
    </row>
    <row r="1767" customFormat="false" ht="21" hidden="false" customHeight="true" outlineLevel="0" collapsed="false">
      <c r="B1767" s="36"/>
      <c r="C1767" s="7"/>
      <c r="D1767" s="7"/>
      <c r="E1767" s="37"/>
      <c r="F1767" s="38"/>
      <c r="G1767" s="24" t="str">
        <f aca="false">IF(OR(C1767="",D1767="",N(E1767)=0),"",E1767*IF(F1767="",IFERROR(N(INDEX(Produtos!$K$5:$K$54,MATCH(D1767,Produtos!$B$5:$B$54,0))),0),F1767))</f>
        <v/>
      </c>
      <c r="H1767" s="24" t="str">
        <f aca="false">IF(G1767="","",E1767*IFERROR(N(INDEX(Produtos!$F$5:$F$54,MATCH(D1767,Produtos!$B$5:$B$54,0))),0))</f>
        <v/>
      </c>
      <c r="I1767" s="24" t="str">
        <f aca="false">IF(G1767="","",G1767-H1767)</f>
        <v/>
      </c>
      <c r="J1767" s="37"/>
    </row>
    <row r="1768" customFormat="false" ht="21" hidden="false" customHeight="true" outlineLevel="0" collapsed="false">
      <c r="B1768" s="36"/>
      <c r="C1768" s="7"/>
      <c r="D1768" s="7"/>
      <c r="E1768" s="37"/>
      <c r="F1768" s="38"/>
      <c r="G1768" s="24" t="str">
        <f aca="false">IF(OR(C1768="",D1768="",N(E1768)=0),"",E1768*IF(F1768="",IFERROR(N(INDEX(Produtos!$K$5:$K$54,MATCH(D1768,Produtos!$B$5:$B$54,0))),0),F1768))</f>
        <v/>
      </c>
      <c r="H1768" s="24" t="str">
        <f aca="false">IF(G1768="","",E1768*IFERROR(N(INDEX(Produtos!$F$5:$F$54,MATCH(D1768,Produtos!$B$5:$B$54,0))),0))</f>
        <v/>
      </c>
      <c r="I1768" s="24" t="str">
        <f aca="false">IF(G1768="","",G1768-H1768)</f>
        <v/>
      </c>
      <c r="J1768" s="37"/>
    </row>
    <row r="1769" customFormat="false" ht="21" hidden="false" customHeight="true" outlineLevel="0" collapsed="false">
      <c r="B1769" s="36"/>
      <c r="C1769" s="7"/>
      <c r="D1769" s="7"/>
      <c r="E1769" s="37"/>
      <c r="F1769" s="38"/>
      <c r="G1769" s="24" t="str">
        <f aca="false">IF(OR(C1769="",D1769="",N(E1769)=0),"",E1769*IF(F1769="",IFERROR(N(INDEX(Produtos!$K$5:$K$54,MATCH(D1769,Produtos!$B$5:$B$54,0))),0),F1769))</f>
        <v/>
      </c>
      <c r="H1769" s="24" t="str">
        <f aca="false">IF(G1769="","",E1769*IFERROR(N(INDEX(Produtos!$F$5:$F$54,MATCH(D1769,Produtos!$B$5:$B$54,0))),0))</f>
        <v/>
      </c>
      <c r="I1769" s="24" t="str">
        <f aca="false">IF(G1769="","",G1769-H1769)</f>
        <v/>
      </c>
      <c r="J1769" s="37"/>
    </row>
    <row r="1770" customFormat="false" ht="21" hidden="false" customHeight="true" outlineLevel="0" collapsed="false">
      <c r="B1770" s="36"/>
      <c r="C1770" s="7"/>
      <c r="D1770" s="7"/>
      <c r="E1770" s="37"/>
      <c r="F1770" s="38"/>
      <c r="G1770" s="24" t="str">
        <f aca="false">IF(OR(C1770="",D1770="",N(E1770)=0),"",E1770*IF(F1770="",IFERROR(N(INDEX(Produtos!$K$5:$K$54,MATCH(D1770,Produtos!$B$5:$B$54,0))),0),F1770))</f>
        <v/>
      </c>
      <c r="H1770" s="24" t="str">
        <f aca="false">IF(G1770="","",E1770*IFERROR(N(INDEX(Produtos!$F$5:$F$54,MATCH(D1770,Produtos!$B$5:$B$54,0))),0))</f>
        <v/>
      </c>
      <c r="I1770" s="24" t="str">
        <f aca="false">IF(G1770="","",G1770-H1770)</f>
        <v/>
      </c>
      <c r="J1770" s="37"/>
    </row>
    <row r="1771" customFormat="false" ht="21" hidden="false" customHeight="true" outlineLevel="0" collapsed="false">
      <c r="B1771" s="36"/>
      <c r="C1771" s="7"/>
      <c r="D1771" s="7"/>
      <c r="E1771" s="37"/>
      <c r="F1771" s="38"/>
      <c r="G1771" s="24" t="str">
        <f aca="false">IF(OR(C1771="",D1771="",N(E1771)=0),"",E1771*IF(F1771="",IFERROR(N(INDEX(Produtos!$K$5:$K$54,MATCH(D1771,Produtos!$B$5:$B$54,0))),0),F1771))</f>
        <v/>
      </c>
      <c r="H1771" s="24" t="str">
        <f aca="false">IF(G1771="","",E1771*IFERROR(N(INDEX(Produtos!$F$5:$F$54,MATCH(D1771,Produtos!$B$5:$B$54,0))),0))</f>
        <v/>
      </c>
      <c r="I1771" s="24" t="str">
        <f aca="false">IF(G1771="","",G1771-H1771)</f>
        <v/>
      </c>
      <c r="J1771" s="37"/>
    </row>
    <row r="1772" customFormat="false" ht="21" hidden="false" customHeight="true" outlineLevel="0" collapsed="false">
      <c r="B1772" s="36"/>
      <c r="C1772" s="7"/>
      <c r="D1772" s="7"/>
      <c r="E1772" s="37"/>
      <c r="F1772" s="38"/>
      <c r="G1772" s="24" t="str">
        <f aca="false">IF(OR(C1772="",D1772="",N(E1772)=0),"",E1772*IF(F1772="",IFERROR(N(INDEX(Produtos!$K$5:$K$54,MATCH(D1772,Produtos!$B$5:$B$54,0))),0),F1772))</f>
        <v/>
      </c>
      <c r="H1772" s="24" t="str">
        <f aca="false">IF(G1772="","",E1772*IFERROR(N(INDEX(Produtos!$F$5:$F$54,MATCH(D1772,Produtos!$B$5:$B$54,0))),0))</f>
        <v/>
      </c>
      <c r="I1772" s="24" t="str">
        <f aca="false">IF(G1772="","",G1772-H1772)</f>
        <v/>
      </c>
      <c r="J1772" s="37"/>
    </row>
    <row r="1773" customFormat="false" ht="21" hidden="false" customHeight="true" outlineLevel="0" collapsed="false">
      <c r="B1773" s="36"/>
      <c r="C1773" s="7"/>
      <c r="D1773" s="7"/>
      <c r="E1773" s="37"/>
      <c r="F1773" s="38"/>
      <c r="G1773" s="24" t="str">
        <f aca="false">IF(OR(C1773="",D1773="",N(E1773)=0),"",E1773*IF(F1773="",IFERROR(N(INDEX(Produtos!$K$5:$K$54,MATCH(D1773,Produtos!$B$5:$B$54,0))),0),F1773))</f>
        <v/>
      </c>
      <c r="H1773" s="24" t="str">
        <f aca="false">IF(G1773="","",E1773*IFERROR(N(INDEX(Produtos!$F$5:$F$54,MATCH(D1773,Produtos!$B$5:$B$54,0))),0))</f>
        <v/>
      </c>
      <c r="I1773" s="24" t="str">
        <f aca="false">IF(G1773="","",G1773-H1773)</f>
        <v/>
      </c>
      <c r="J1773" s="37"/>
    </row>
    <row r="1774" customFormat="false" ht="21" hidden="false" customHeight="true" outlineLevel="0" collapsed="false">
      <c r="B1774" s="36"/>
      <c r="C1774" s="7"/>
      <c r="D1774" s="7"/>
      <c r="E1774" s="37"/>
      <c r="F1774" s="38"/>
      <c r="G1774" s="24" t="str">
        <f aca="false">IF(OR(C1774="",D1774="",N(E1774)=0),"",E1774*IF(F1774="",IFERROR(N(INDEX(Produtos!$K$5:$K$54,MATCH(D1774,Produtos!$B$5:$B$54,0))),0),F1774))</f>
        <v/>
      </c>
      <c r="H1774" s="24" t="str">
        <f aca="false">IF(G1774="","",E1774*IFERROR(N(INDEX(Produtos!$F$5:$F$54,MATCH(D1774,Produtos!$B$5:$B$54,0))),0))</f>
        <v/>
      </c>
      <c r="I1774" s="24" t="str">
        <f aca="false">IF(G1774="","",G1774-H1774)</f>
        <v/>
      </c>
      <c r="J1774" s="37"/>
    </row>
    <row r="1775" customFormat="false" ht="21" hidden="false" customHeight="true" outlineLevel="0" collapsed="false">
      <c r="B1775" s="36"/>
      <c r="C1775" s="7"/>
      <c r="D1775" s="7"/>
      <c r="E1775" s="37"/>
      <c r="F1775" s="38"/>
      <c r="G1775" s="24" t="str">
        <f aca="false">IF(OR(C1775="",D1775="",N(E1775)=0),"",E1775*IF(F1775="",IFERROR(N(INDEX(Produtos!$K$5:$K$54,MATCH(D1775,Produtos!$B$5:$B$54,0))),0),F1775))</f>
        <v/>
      </c>
      <c r="H1775" s="24" t="str">
        <f aca="false">IF(G1775="","",E1775*IFERROR(N(INDEX(Produtos!$F$5:$F$54,MATCH(D1775,Produtos!$B$5:$B$54,0))),0))</f>
        <v/>
      </c>
      <c r="I1775" s="24" t="str">
        <f aca="false">IF(G1775="","",G1775-H1775)</f>
        <v/>
      </c>
      <c r="J1775" s="37"/>
    </row>
    <row r="1776" customFormat="false" ht="21" hidden="false" customHeight="true" outlineLevel="0" collapsed="false">
      <c r="B1776" s="36"/>
      <c r="C1776" s="7"/>
      <c r="D1776" s="7"/>
      <c r="E1776" s="37"/>
      <c r="F1776" s="38"/>
      <c r="G1776" s="24" t="str">
        <f aca="false">IF(OR(C1776="",D1776="",N(E1776)=0),"",E1776*IF(F1776="",IFERROR(N(INDEX(Produtos!$K$5:$K$54,MATCH(D1776,Produtos!$B$5:$B$54,0))),0),F1776))</f>
        <v/>
      </c>
      <c r="H1776" s="24" t="str">
        <f aca="false">IF(G1776="","",E1776*IFERROR(N(INDEX(Produtos!$F$5:$F$54,MATCH(D1776,Produtos!$B$5:$B$54,0))),0))</f>
        <v/>
      </c>
      <c r="I1776" s="24" t="str">
        <f aca="false">IF(G1776="","",G1776-H1776)</f>
        <v/>
      </c>
      <c r="J1776" s="37"/>
    </row>
    <row r="1777" customFormat="false" ht="21" hidden="false" customHeight="true" outlineLevel="0" collapsed="false">
      <c r="B1777" s="36"/>
      <c r="C1777" s="7"/>
      <c r="D1777" s="7"/>
      <c r="E1777" s="37"/>
      <c r="F1777" s="38"/>
      <c r="G1777" s="24" t="str">
        <f aca="false">IF(OR(C1777="",D1777="",N(E1777)=0),"",E1777*IF(F1777="",IFERROR(N(INDEX(Produtos!$K$5:$K$54,MATCH(D1777,Produtos!$B$5:$B$54,0))),0),F1777))</f>
        <v/>
      </c>
      <c r="H1777" s="24" t="str">
        <f aca="false">IF(G1777="","",E1777*IFERROR(N(INDEX(Produtos!$F$5:$F$54,MATCH(D1777,Produtos!$B$5:$B$54,0))),0))</f>
        <v/>
      </c>
      <c r="I1777" s="24" t="str">
        <f aca="false">IF(G1777="","",G1777-H1777)</f>
        <v/>
      </c>
      <c r="J1777" s="37"/>
    </row>
    <row r="1778" customFormat="false" ht="21" hidden="false" customHeight="true" outlineLevel="0" collapsed="false">
      <c r="B1778" s="36"/>
      <c r="C1778" s="7"/>
      <c r="D1778" s="7"/>
      <c r="E1778" s="37"/>
      <c r="F1778" s="38"/>
      <c r="G1778" s="24" t="str">
        <f aca="false">IF(OR(C1778="",D1778="",N(E1778)=0),"",E1778*IF(F1778="",IFERROR(N(INDEX(Produtos!$K$5:$K$54,MATCH(D1778,Produtos!$B$5:$B$54,0))),0),F1778))</f>
        <v/>
      </c>
      <c r="H1778" s="24" t="str">
        <f aca="false">IF(G1778="","",E1778*IFERROR(N(INDEX(Produtos!$F$5:$F$54,MATCH(D1778,Produtos!$B$5:$B$54,0))),0))</f>
        <v/>
      </c>
      <c r="I1778" s="24" t="str">
        <f aca="false">IF(G1778="","",G1778-H1778)</f>
        <v/>
      </c>
      <c r="J1778" s="37"/>
    </row>
    <row r="1779" customFormat="false" ht="21" hidden="false" customHeight="true" outlineLevel="0" collapsed="false">
      <c r="B1779" s="36"/>
      <c r="C1779" s="7"/>
      <c r="D1779" s="7"/>
      <c r="E1779" s="37"/>
      <c r="F1779" s="38"/>
      <c r="G1779" s="24" t="str">
        <f aca="false">IF(OR(C1779="",D1779="",N(E1779)=0),"",E1779*IF(F1779="",IFERROR(N(INDEX(Produtos!$K$5:$K$54,MATCH(D1779,Produtos!$B$5:$B$54,0))),0),F1779))</f>
        <v/>
      </c>
      <c r="H1779" s="24" t="str">
        <f aca="false">IF(G1779="","",E1779*IFERROR(N(INDEX(Produtos!$F$5:$F$54,MATCH(D1779,Produtos!$B$5:$B$54,0))),0))</f>
        <v/>
      </c>
      <c r="I1779" s="24" t="str">
        <f aca="false">IF(G1779="","",G1779-H1779)</f>
        <v/>
      </c>
      <c r="J1779" s="37"/>
    </row>
    <row r="1780" customFormat="false" ht="21" hidden="false" customHeight="true" outlineLevel="0" collapsed="false">
      <c r="B1780" s="36"/>
      <c r="C1780" s="7"/>
      <c r="D1780" s="7"/>
      <c r="E1780" s="37"/>
      <c r="F1780" s="38"/>
      <c r="G1780" s="24" t="str">
        <f aca="false">IF(OR(C1780="",D1780="",N(E1780)=0),"",E1780*IF(F1780="",IFERROR(N(INDEX(Produtos!$K$5:$K$54,MATCH(D1780,Produtos!$B$5:$B$54,0))),0),F1780))</f>
        <v/>
      </c>
      <c r="H1780" s="24" t="str">
        <f aca="false">IF(G1780="","",E1780*IFERROR(N(INDEX(Produtos!$F$5:$F$54,MATCH(D1780,Produtos!$B$5:$B$54,0))),0))</f>
        <v/>
      </c>
      <c r="I1780" s="24" t="str">
        <f aca="false">IF(G1780="","",G1780-H1780)</f>
        <v/>
      </c>
      <c r="J1780" s="37"/>
    </row>
    <row r="1781" customFormat="false" ht="21" hidden="false" customHeight="true" outlineLevel="0" collapsed="false">
      <c r="B1781" s="36"/>
      <c r="C1781" s="7"/>
      <c r="D1781" s="7"/>
      <c r="E1781" s="37"/>
      <c r="F1781" s="38"/>
      <c r="G1781" s="24" t="str">
        <f aca="false">IF(OR(C1781="",D1781="",N(E1781)=0),"",E1781*IF(F1781="",IFERROR(N(INDEX(Produtos!$K$5:$K$54,MATCH(D1781,Produtos!$B$5:$B$54,0))),0),F1781))</f>
        <v/>
      </c>
      <c r="H1781" s="24" t="str">
        <f aca="false">IF(G1781="","",E1781*IFERROR(N(INDEX(Produtos!$F$5:$F$54,MATCH(D1781,Produtos!$B$5:$B$54,0))),0))</f>
        <v/>
      </c>
      <c r="I1781" s="24" t="str">
        <f aca="false">IF(G1781="","",G1781-H1781)</f>
        <v/>
      </c>
      <c r="J1781" s="37"/>
    </row>
    <row r="1782" customFormat="false" ht="21" hidden="false" customHeight="true" outlineLevel="0" collapsed="false">
      <c r="B1782" s="36"/>
      <c r="C1782" s="7"/>
      <c r="D1782" s="7"/>
      <c r="E1782" s="37"/>
      <c r="F1782" s="38"/>
      <c r="G1782" s="24" t="str">
        <f aca="false">IF(OR(C1782="",D1782="",N(E1782)=0),"",E1782*IF(F1782="",IFERROR(N(INDEX(Produtos!$K$5:$K$54,MATCH(D1782,Produtos!$B$5:$B$54,0))),0),F1782))</f>
        <v/>
      </c>
      <c r="H1782" s="24" t="str">
        <f aca="false">IF(G1782="","",E1782*IFERROR(N(INDEX(Produtos!$F$5:$F$54,MATCH(D1782,Produtos!$B$5:$B$54,0))),0))</f>
        <v/>
      </c>
      <c r="I1782" s="24" t="str">
        <f aca="false">IF(G1782="","",G1782-H1782)</f>
        <v/>
      </c>
      <c r="J1782" s="37"/>
    </row>
    <row r="1783" customFormat="false" ht="21" hidden="false" customHeight="true" outlineLevel="0" collapsed="false">
      <c r="B1783" s="36"/>
      <c r="C1783" s="7"/>
      <c r="D1783" s="7"/>
      <c r="E1783" s="37"/>
      <c r="F1783" s="38"/>
      <c r="G1783" s="24" t="str">
        <f aca="false">IF(OR(C1783="",D1783="",N(E1783)=0),"",E1783*IF(F1783="",IFERROR(N(INDEX(Produtos!$K$5:$K$54,MATCH(D1783,Produtos!$B$5:$B$54,0))),0),F1783))</f>
        <v/>
      </c>
      <c r="H1783" s="24" t="str">
        <f aca="false">IF(G1783="","",E1783*IFERROR(N(INDEX(Produtos!$F$5:$F$54,MATCH(D1783,Produtos!$B$5:$B$54,0))),0))</f>
        <v/>
      </c>
      <c r="I1783" s="24" t="str">
        <f aca="false">IF(G1783="","",G1783-H1783)</f>
        <v/>
      </c>
      <c r="J1783" s="37"/>
    </row>
    <row r="1784" customFormat="false" ht="21" hidden="false" customHeight="true" outlineLevel="0" collapsed="false">
      <c r="B1784" s="36"/>
      <c r="C1784" s="7"/>
      <c r="D1784" s="7"/>
      <c r="E1784" s="37"/>
      <c r="F1784" s="38"/>
      <c r="G1784" s="24" t="str">
        <f aca="false">IF(OR(C1784="",D1784="",N(E1784)=0),"",E1784*IF(F1784="",IFERROR(N(INDEX(Produtos!$K$5:$K$54,MATCH(D1784,Produtos!$B$5:$B$54,0))),0),F1784))</f>
        <v/>
      </c>
      <c r="H1784" s="24" t="str">
        <f aca="false">IF(G1784="","",E1784*IFERROR(N(INDEX(Produtos!$F$5:$F$54,MATCH(D1784,Produtos!$B$5:$B$54,0))),0))</f>
        <v/>
      </c>
      <c r="I1784" s="24" t="str">
        <f aca="false">IF(G1784="","",G1784-H1784)</f>
        <v/>
      </c>
      <c r="J1784" s="37"/>
    </row>
    <row r="1785" customFormat="false" ht="21" hidden="false" customHeight="true" outlineLevel="0" collapsed="false">
      <c r="B1785" s="36"/>
      <c r="C1785" s="7"/>
      <c r="D1785" s="7"/>
      <c r="E1785" s="37"/>
      <c r="F1785" s="38"/>
      <c r="G1785" s="24" t="str">
        <f aca="false">IF(OR(C1785="",D1785="",N(E1785)=0),"",E1785*IF(F1785="",IFERROR(N(INDEX(Produtos!$K$5:$K$54,MATCH(D1785,Produtos!$B$5:$B$54,0))),0),F1785))</f>
        <v/>
      </c>
      <c r="H1785" s="24" t="str">
        <f aca="false">IF(G1785="","",E1785*IFERROR(N(INDEX(Produtos!$F$5:$F$54,MATCH(D1785,Produtos!$B$5:$B$54,0))),0))</f>
        <v/>
      </c>
      <c r="I1785" s="24" t="str">
        <f aca="false">IF(G1785="","",G1785-H1785)</f>
        <v/>
      </c>
      <c r="J1785" s="37"/>
    </row>
    <row r="1786" customFormat="false" ht="21" hidden="false" customHeight="true" outlineLevel="0" collapsed="false">
      <c r="B1786" s="36"/>
      <c r="C1786" s="7"/>
      <c r="D1786" s="7"/>
      <c r="E1786" s="37"/>
      <c r="F1786" s="38"/>
      <c r="G1786" s="24" t="str">
        <f aca="false">IF(OR(C1786="",D1786="",N(E1786)=0),"",E1786*IF(F1786="",IFERROR(N(INDEX(Produtos!$K$5:$K$54,MATCH(D1786,Produtos!$B$5:$B$54,0))),0),F1786))</f>
        <v/>
      </c>
      <c r="H1786" s="24" t="str">
        <f aca="false">IF(G1786="","",E1786*IFERROR(N(INDEX(Produtos!$F$5:$F$54,MATCH(D1786,Produtos!$B$5:$B$54,0))),0))</f>
        <v/>
      </c>
      <c r="I1786" s="24" t="str">
        <f aca="false">IF(G1786="","",G1786-H1786)</f>
        <v/>
      </c>
      <c r="J1786" s="37"/>
    </row>
    <row r="1787" customFormat="false" ht="21" hidden="false" customHeight="true" outlineLevel="0" collapsed="false">
      <c r="B1787" s="36"/>
      <c r="C1787" s="7"/>
      <c r="D1787" s="7"/>
      <c r="E1787" s="37"/>
      <c r="F1787" s="38"/>
      <c r="G1787" s="24" t="str">
        <f aca="false">IF(OR(C1787="",D1787="",N(E1787)=0),"",E1787*IF(F1787="",IFERROR(N(INDEX(Produtos!$K$5:$K$54,MATCH(D1787,Produtos!$B$5:$B$54,0))),0),F1787))</f>
        <v/>
      </c>
      <c r="H1787" s="24" t="str">
        <f aca="false">IF(G1787="","",E1787*IFERROR(N(INDEX(Produtos!$F$5:$F$54,MATCH(D1787,Produtos!$B$5:$B$54,0))),0))</f>
        <v/>
      </c>
      <c r="I1787" s="24" t="str">
        <f aca="false">IF(G1787="","",G1787-H1787)</f>
        <v/>
      </c>
      <c r="J1787" s="37"/>
    </row>
    <row r="1788" customFormat="false" ht="21" hidden="false" customHeight="true" outlineLevel="0" collapsed="false">
      <c r="B1788" s="36"/>
      <c r="C1788" s="7"/>
      <c r="D1788" s="7"/>
      <c r="E1788" s="37"/>
      <c r="F1788" s="38"/>
      <c r="G1788" s="24" t="str">
        <f aca="false">IF(OR(C1788="",D1788="",N(E1788)=0),"",E1788*IF(F1788="",IFERROR(N(INDEX(Produtos!$K$5:$K$54,MATCH(D1788,Produtos!$B$5:$B$54,0))),0),F1788))</f>
        <v/>
      </c>
      <c r="H1788" s="24" t="str">
        <f aca="false">IF(G1788="","",E1788*IFERROR(N(INDEX(Produtos!$F$5:$F$54,MATCH(D1788,Produtos!$B$5:$B$54,0))),0))</f>
        <v/>
      </c>
      <c r="I1788" s="24" t="str">
        <f aca="false">IF(G1788="","",G1788-H1788)</f>
        <v/>
      </c>
      <c r="J1788" s="37"/>
    </row>
    <row r="1789" customFormat="false" ht="21" hidden="false" customHeight="true" outlineLevel="0" collapsed="false">
      <c r="B1789" s="36"/>
      <c r="C1789" s="7"/>
      <c r="D1789" s="7"/>
      <c r="E1789" s="37"/>
      <c r="F1789" s="38"/>
      <c r="G1789" s="24" t="str">
        <f aca="false">IF(OR(C1789="",D1789="",N(E1789)=0),"",E1789*IF(F1789="",IFERROR(N(INDEX(Produtos!$K$5:$K$54,MATCH(D1789,Produtos!$B$5:$B$54,0))),0),F1789))</f>
        <v/>
      </c>
      <c r="H1789" s="24" t="str">
        <f aca="false">IF(G1789="","",E1789*IFERROR(N(INDEX(Produtos!$F$5:$F$54,MATCH(D1789,Produtos!$B$5:$B$54,0))),0))</f>
        <v/>
      </c>
      <c r="I1789" s="24" t="str">
        <f aca="false">IF(G1789="","",G1789-H1789)</f>
        <v/>
      </c>
      <c r="J1789" s="37"/>
    </row>
    <row r="1790" customFormat="false" ht="21" hidden="false" customHeight="true" outlineLevel="0" collapsed="false">
      <c r="B1790" s="36"/>
      <c r="C1790" s="7"/>
      <c r="D1790" s="7"/>
      <c r="E1790" s="37"/>
      <c r="F1790" s="38"/>
      <c r="G1790" s="24" t="str">
        <f aca="false">IF(OR(C1790="",D1790="",N(E1790)=0),"",E1790*IF(F1790="",IFERROR(N(INDEX(Produtos!$K$5:$K$54,MATCH(D1790,Produtos!$B$5:$B$54,0))),0),F1790))</f>
        <v/>
      </c>
      <c r="H1790" s="24" t="str">
        <f aca="false">IF(G1790="","",E1790*IFERROR(N(INDEX(Produtos!$F$5:$F$54,MATCH(D1790,Produtos!$B$5:$B$54,0))),0))</f>
        <v/>
      </c>
      <c r="I1790" s="24" t="str">
        <f aca="false">IF(G1790="","",G1790-H1790)</f>
        <v/>
      </c>
      <c r="J1790" s="37"/>
    </row>
    <row r="1791" customFormat="false" ht="21" hidden="false" customHeight="true" outlineLevel="0" collapsed="false">
      <c r="B1791" s="36"/>
      <c r="C1791" s="7"/>
      <c r="D1791" s="7"/>
      <c r="E1791" s="37"/>
      <c r="F1791" s="38"/>
      <c r="G1791" s="24" t="str">
        <f aca="false">IF(OR(C1791="",D1791="",N(E1791)=0),"",E1791*IF(F1791="",IFERROR(N(INDEX(Produtos!$K$5:$K$54,MATCH(D1791,Produtos!$B$5:$B$54,0))),0),F1791))</f>
        <v/>
      </c>
      <c r="H1791" s="24" t="str">
        <f aca="false">IF(G1791="","",E1791*IFERROR(N(INDEX(Produtos!$F$5:$F$54,MATCH(D1791,Produtos!$B$5:$B$54,0))),0))</f>
        <v/>
      </c>
      <c r="I1791" s="24" t="str">
        <f aca="false">IF(G1791="","",G1791-H1791)</f>
        <v/>
      </c>
      <c r="J1791" s="37"/>
    </row>
    <row r="1792" customFormat="false" ht="21" hidden="false" customHeight="true" outlineLevel="0" collapsed="false">
      <c r="B1792" s="36"/>
      <c r="C1792" s="7"/>
      <c r="D1792" s="7"/>
      <c r="E1792" s="37"/>
      <c r="F1792" s="38"/>
      <c r="G1792" s="24" t="str">
        <f aca="false">IF(OR(C1792="",D1792="",N(E1792)=0),"",E1792*IF(F1792="",IFERROR(N(INDEX(Produtos!$K$5:$K$54,MATCH(D1792,Produtos!$B$5:$B$54,0))),0),F1792))</f>
        <v/>
      </c>
      <c r="H1792" s="24" t="str">
        <f aca="false">IF(G1792="","",E1792*IFERROR(N(INDEX(Produtos!$F$5:$F$54,MATCH(D1792,Produtos!$B$5:$B$54,0))),0))</f>
        <v/>
      </c>
      <c r="I1792" s="24" t="str">
        <f aca="false">IF(G1792="","",G1792-H1792)</f>
        <v/>
      </c>
      <c r="J1792" s="37"/>
    </row>
    <row r="1793" customFormat="false" ht="21" hidden="false" customHeight="true" outlineLevel="0" collapsed="false">
      <c r="B1793" s="36"/>
      <c r="C1793" s="7"/>
      <c r="D1793" s="7"/>
      <c r="E1793" s="37"/>
      <c r="F1793" s="38"/>
      <c r="G1793" s="24" t="str">
        <f aca="false">IF(OR(C1793="",D1793="",N(E1793)=0),"",E1793*IF(F1793="",IFERROR(N(INDEX(Produtos!$K$5:$K$54,MATCH(D1793,Produtos!$B$5:$B$54,0))),0),F1793))</f>
        <v/>
      </c>
      <c r="H1793" s="24" t="str">
        <f aca="false">IF(G1793="","",E1793*IFERROR(N(INDEX(Produtos!$F$5:$F$54,MATCH(D1793,Produtos!$B$5:$B$54,0))),0))</f>
        <v/>
      </c>
      <c r="I1793" s="24" t="str">
        <f aca="false">IF(G1793="","",G1793-H1793)</f>
        <v/>
      </c>
      <c r="J1793" s="37"/>
    </row>
    <row r="1794" customFormat="false" ht="21" hidden="false" customHeight="true" outlineLevel="0" collapsed="false">
      <c r="B1794" s="36"/>
      <c r="C1794" s="7"/>
      <c r="D1794" s="7"/>
      <c r="E1794" s="37"/>
      <c r="F1794" s="38"/>
      <c r="G1794" s="24" t="str">
        <f aca="false">IF(OR(C1794="",D1794="",N(E1794)=0),"",E1794*IF(F1794="",IFERROR(N(INDEX(Produtos!$K$5:$K$54,MATCH(D1794,Produtos!$B$5:$B$54,0))),0),F1794))</f>
        <v/>
      </c>
      <c r="H1794" s="24" t="str">
        <f aca="false">IF(G1794="","",E1794*IFERROR(N(INDEX(Produtos!$F$5:$F$54,MATCH(D1794,Produtos!$B$5:$B$54,0))),0))</f>
        <v/>
      </c>
      <c r="I1794" s="24" t="str">
        <f aca="false">IF(G1794="","",G1794-H1794)</f>
        <v/>
      </c>
      <c r="J1794" s="37"/>
    </row>
    <row r="1795" customFormat="false" ht="21" hidden="false" customHeight="true" outlineLevel="0" collapsed="false">
      <c r="B1795" s="36"/>
      <c r="C1795" s="7"/>
      <c r="D1795" s="7"/>
      <c r="E1795" s="37"/>
      <c r="F1795" s="38"/>
      <c r="G1795" s="24" t="str">
        <f aca="false">IF(OR(C1795="",D1795="",N(E1795)=0),"",E1795*IF(F1795="",IFERROR(N(INDEX(Produtos!$K$5:$K$54,MATCH(D1795,Produtos!$B$5:$B$54,0))),0),F1795))</f>
        <v/>
      </c>
      <c r="H1795" s="24" t="str">
        <f aca="false">IF(G1795="","",E1795*IFERROR(N(INDEX(Produtos!$F$5:$F$54,MATCH(D1795,Produtos!$B$5:$B$54,0))),0))</f>
        <v/>
      </c>
      <c r="I1795" s="24" t="str">
        <f aca="false">IF(G1795="","",G1795-H1795)</f>
        <v/>
      </c>
      <c r="J1795" s="37"/>
    </row>
    <row r="1796" customFormat="false" ht="21" hidden="false" customHeight="true" outlineLevel="0" collapsed="false">
      <c r="B1796" s="36"/>
      <c r="C1796" s="7"/>
      <c r="D1796" s="7"/>
      <c r="E1796" s="37"/>
      <c r="F1796" s="38"/>
      <c r="G1796" s="24" t="str">
        <f aca="false">IF(OR(C1796="",D1796="",N(E1796)=0),"",E1796*IF(F1796="",IFERROR(N(INDEX(Produtos!$K$5:$K$54,MATCH(D1796,Produtos!$B$5:$B$54,0))),0),F1796))</f>
        <v/>
      </c>
      <c r="H1796" s="24" t="str">
        <f aca="false">IF(G1796="","",E1796*IFERROR(N(INDEX(Produtos!$F$5:$F$54,MATCH(D1796,Produtos!$B$5:$B$54,0))),0))</f>
        <v/>
      </c>
      <c r="I1796" s="24" t="str">
        <f aca="false">IF(G1796="","",G1796-H1796)</f>
        <v/>
      </c>
      <c r="J1796" s="37"/>
    </row>
    <row r="1797" customFormat="false" ht="21" hidden="false" customHeight="true" outlineLevel="0" collapsed="false">
      <c r="B1797" s="36"/>
      <c r="C1797" s="7"/>
      <c r="D1797" s="7"/>
      <c r="E1797" s="37"/>
      <c r="F1797" s="38"/>
      <c r="G1797" s="24" t="str">
        <f aca="false">IF(OR(C1797="",D1797="",N(E1797)=0),"",E1797*IF(F1797="",IFERROR(N(INDEX(Produtos!$K$5:$K$54,MATCH(D1797,Produtos!$B$5:$B$54,0))),0),F1797))</f>
        <v/>
      </c>
      <c r="H1797" s="24" t="str">
        <f aca="false">IF(G1797="","",E1797*IFERROR(N(INDEX(Produtos!$F$5:$F$54,MATCH(D1797,Produtos!$B$5:$B$54,0))),0))</f>
        <v/>
      </c>
      <c r="I1797" s="24" t="str">
        <f aca="false">IF(G1797="","",G1797-H1797)</f>
        <v/>
      </c>
      <c r="J1797" s="37"/>
    </row>
    <row r="1798" customFormat="false" ht="21" hidden="false" customHeight="true" outlineLevel="0" collapsed="false">
      <c r="B1798" s="36"/>
      <c r="C1798" s="7"/>
      <c r="D1798" s="7"/>
      <c r="E1798" s="37"/>
      <c r="F1798" s="38"/>
      <c r="G1798" s="24" t="str">
        <f aca="false">IF(OR(C1798="",D1798="",N(E1798)=0),"",E1798*IF(F1798="",IFERROR(N(INDEX(Produtos!$K$5:$K$54,MATCH(D1798,Produtos!$B$5:$B$54,0))),0),F1798))</f>
        <v/>
      </c>
      <c r="H1798" s="24" t="str">
        <f aca="false">IF(G1798="","",E1798*IFERROR(N(INDEX(Produtos!$F$5:$F$54,MATCH(D1798,Produtos!$B$5:$B$54,0))),0))</f>
        <v/>
      </c>
      <c r="I1798" s="24" t="str">
        <f aca="false">IF(G1798="","",G1798-H1798)</f>
        <v/>
      </c>
      <c r="J1798" s="37"/>
    </row>
    <row r="1799" customFormat="false" ht="21" hidden="false" customHeight="true" outlineLevel="0" collapsed="false">
      <c r="B1799" s="36"/>
      <c r="C1799" s="7"/>
      <c r="D1799" s="7"/>
      <c r="E1799" s="37"/>
      <c r="F1799" s="38"/>
      <c r="G1799" s="24" t="str">
        <f aca="false">IF(OR(C1799="",D1799="",N(E1799)=0),"",E1799*IF(F1799="",IFERROR(N(INDEX(Produtos!$K$5:$K$54,MATCH(D1799,Produtos!$B$5:$B$54,0))),0),F1799))</f>
        <v/>
      </c>
      <c r="H1799" s="24" t="str">
        <f aca="false">IF(G1799="","",E1799*IFERROR(N(INDEX(Produtos!$F$5:$F$54,MATCH(D1799,Produtos!$B$5:$B$54,0))),0))</f>
        <v/>
      </c>
      <c r="I1799" s="24" t="str">
        <f aca="false">IF(G1799="","",G1799-H1799)</f>
        <v/>
      </c>
      <c r="J1799" s="37"/>
    </row>
    <row r="1800" customFormat="false" ht="21" hidden="false" customHeight="true" outlineLevel="0" collapsed="false">
      <c r="B1800" s="36"/>
      <c r="C1800" s="7"/>
      <c r="D1800" s="7"/>
      <c r="E1800" s="37"/>
      <c r="F1800" s="38"/>
      <c r="G1800" s="24" t="str">
        <f aca="false">IF(OR(C1800="",D1800="",N(E1800)=0),"",E1800*IF(F1800="",IFERROR(N(INDEX(Produtos!$K$5:$K$54,MATCH(D1800,Produtos!$B$5:$B$54,0))),0),F1800))</f>
        <v/>
      </c>
      <c r="H1800" s="24" t="str">
        <f aca="false">IF(G1800="","",E1800*IFERROR(N(INDEX(Produtos!$F$5:$F$54,MATCH(D1800,Produtos!$B$5:$B$54,0))),0))</f>
        <v/>
      </c>
      <c r="I1800" s="24" t="str">
        <f aca="false">IF(G1800="","",G1800-H1800)</f>
        <v/>
      </c>
      <c r="J1800" s="37"/>
    </row>
    <row r="1801" customFormat="false" ht="21" hidden="false" customHeight="true" outlineLevel="0" collapsed="false">
      <c r="B1801" s="36"/>
      <c r="C1801" s="7"/>
      <c r="D1801" s="7"/>
      <c r="E1801" s="37"/>
      <c r="F1801" s="38"/>
      <c r="G1801" s="24" t="str">
        <f aca="false">IF(OR(C1801="",D1801="",N(E1801)=0),"",E1801*IF(F1801="",IFERROR(N(INDEX(Produtos!$K$5:$K$54,MATCH(D1801,Produtos!$B$5:$B$54,0))),0),F1801))</f>
        <v/>
      </c>
      <c r="H1801" s="24" t="str">
        <f aca="false">IF(G1801="","",E1801*IFERROR(N(INDEX(Produtos!$F$5:$F$54,MATCH(D1801,Produtos!$B$5:$B$54,0))),0))</f>
        <v/>
      </c>
      <c r="I1801" s="24" t="str">
        <f aca="false">IF(G1801="","",G1801-H1801)</f>
        <v/>
      </c>
      <c r="J1801" s="37"/>
    </row>
    <row r="1802" customFormat="false" ht="21" hidden="false" customHeight="true" outlineLevel="0" collapsed="false">
      <c r="B1802" s="36"/>
      <c r="C1802" s="7"/>
      <c r="D1802" s="7"/>
      <c r="E1802" s="37"/>
      <c r="F1802" s="38"/>
      <c r="G1802" s="24" t="str">
        <f aca="false">IF(OR(C1802="",D1802="",N(E1802)=0),"",E1802*IF(F1802="",IFERROR(N(INDEX(Produtos!$K$5:$K$54,MATCH(D1802,Produtos!$B$5:$B$54,0))),0),F1802))</f>
        <v/>
      </c>
      <c r="H1802" s="24" t="str">
        <f aca="false">IF(G1802="","",E1802*IFERROR(N(INDEX(Produtos!$F$5:$F$54,MATCH(D1802,Produtos!$B$5:$B$54,0))),0))</f>
        <v/>
      </c>
      <c r="I1802" s="24" t="str">
        <f aca="false">IF(G1802="","",G1802-H1802)</f>
        <v/>
      </c>
      <c r="J1802" s="37"/>
    </row>
    <row r="1803" customFormat="false" ht="21" hidden="false" customHeight="true" outlineLevel="0" collapsed="false">
      <c r="B1803" s="36"/>
      <c r="C1803" s="7"/>
      <c r="D1803" s="7"/>
      <c r="E1803" s="37"/>
      <c r="F1803" s="38"/>
      <c r="G1803" s="24" t="str">
        <f aca="false">IF(OR(C1803="",D1803="",N(E1803)=0),"",E1803*IF(F1803="",IFERROR(N(INDEX(Produtos!$K$5:$K$54,MATCH(D1803,Produtos!$B$5:$B$54,0))),0),F1803))</f>
        <v/>
      </c>
      <c r="H1803" s="24" t="str">
        <f aca="false">IF(G1803="","",E1803*IFERROR(N(INDEX(Produtos!$F$5:$F$54,MATCH(D1803,Produtos!$B$5:$B$54,0))),0))</f>
        <v/>
      </c>
      <c r="I1803" s="24" t="str">
        <f aca="false">IF(G1803="","",G1803-H1803)</f>
        <v/>
      </c>
      <c r="J1803" s="37"/>
    </row>
    <row r="1804" customFormat="false" ht="21" hidden="false" customHeight="true" outlineLevel="0" collapsed="false">
      <c r="B1804" s="36"/>
      <c r="C1804" s="7"/>
      <c r="D1804" s="7"/>
      <c r="E1804" s="37"/>
      <c r="F1804" s="38"/>
      <c r="G1804" s="24" t="str">
        <f aca="false">IF(OR(C1804="",D1804="",N(E1804)=0),"",E1804*IF(F1804="",IFERROR(N(INDEX(Produtos!$K$5:$K$54,MATCH(D1804,Produtos!$B$5:$B$54,0))),0),F1804))</f>
        <v/>
      </c>
      <c r="H1804" s="24" t="str">
        <f aca="false">IF(G1804="","",E1804*IFERROR(N(INDEX(Produtos!$F$5:$F$54,MATCH(D1804,Produtos!$B$5:$B$54,0))),0))</f>
        <v/>
      </c>
      <c r="I1804" s="24" t="str">
        <f aca="false">IF(G1804="","",G1804-H1804)</f>
        <v/>
      </c>
      <c r="J1804" s="37"/>
    </row>
    <row r="1805" customFormat="false" ht="21" hidden="false" customHeight="true" outlineLevel="0" collapsed="false">
      <c r="B1805" s="36"/>
      <c r="C1805" s="7"/>
      <c r="D1805" s="7"/>
      <c r="E1805" s="37"/>
      <c r="F1805" s="38"/>
      <c r="G1805" s="24" t="str">
        <f aca="false">IF(OR(C1805="",D1805="",N(E1805)=0),"",E1805*IF(F1805="",IFERROR(N(INDEX(Produtos!$K$5:$K$54,MATCH(D1805,Produtos!$B$5:$B$54,0))),0),F1805))</f>
        <v/>
      </c>
      <c r="H1805" s="24" t="str">
        <f aca="false">IF(G1805="","",E1805*IFERROR(N(INDEX(Produtos!$F$5:$F$54,MATCH(D1805,Produtos!$B$5:$B$54,0))),0))</f>
        <v/>
      </c>
      <c r="I1805" s="24" t="str">
        <f aca="false">IF(G1805="","",G1805-H1805)</f>
        <v/>
      </c>
      <c r="J1805" s="37"/>
    </row>
    <row r="1806" customFormat="false" ht="21" hidden="false" customHeight="true" outlineLevel="0" collapsed="false">
      <c r="B1806" s="36"/>
      <c r="C1806" s="7"/>
      <c r="D1806" s="7"/>
      <c r="E1806" s="37"/>
      <c r="F1806" s="38"/>
      <c r="G1806" s="24" t="str">
        <f aca="false">IF(OR(C1806="",D1806="",N(E1806)=0),"",E1806*IF(F1806="",IFERROR(N(INDEX(Produtos!$K$5:$K$54,MATCH(D1806,Produtos!$B$5:$B$54,0))),0),F1806))</f>
        <v/>
      </c>
      <c r="H1806" s="24" t="str">
        <f aca="false">IF(G1806="","",E1806*IFERROR(N(INDEX(Produtos!$F$5:$F$54,MATCH(D1806,Produtos!$B$5:$B$54,0))),0))</f>
        <v/>
      </c>
      <c r="I1806" s="24" t="str">
        <f aca="false">IF(G1806="","",G1806-H1806)</f>
        <v/>
      </c>
      <c r="J1806" s="37"/>
    </row>
    <row r="1807" customFormat="false" ht="21" hidden="false" customHeight="true" outlineLevel="0" collapsed="false">
      <c r="B1807" s="36"/>
      <c r="C1807" s="7"/>
      <c r="D1807" s="7"/>
      <c r="E1807" s="37"/>
      <c r="F1807" s="38"/>
      <c r="G1807" s="24" t="str">
        <f aca="false">IF(OR(C1807="",D1807="",N(E1807)=0),"",E1807*IF(F1807="",IFERROR(N(INDEX(Produtos!$K$5:$K$54,MATCH(D1807,Produtos!$B$5:$B$54,0))),0),F1807))</f>
        <v/>
      </c>
      <c r="H1807" s="24" t="str">
        <f aca="false">IF(G1807="","",E1807*IFERROR(N(INDEX(Produtos!$F$5:$F$54,MATCH(D1807,Produtos!$B$5:$B$54,0))),0))</f>
        <v/>
      </c>
      <c r="I1807" s="24" t="str">
        <f aca="false">IF(G1807="","",G1807-H1807)</f>
        <v/>
      </c>
      <c r="J1807" s="37"/>
    </row>
    <row r="1808" customFormat="false" ht="21" hidden="false" customHeight="true" outlineLevel="0" collapsed="false">
      <c r="B1808" s="36"/>
      <c r="C1808" s="7"/>
      <c r="D1808" s="7"/>
      <c r="E1808" s="37"/>
      <c r="F1808" s="38"/>
      <c r="G1808" s="24" t="str">
        <f aca="false">IF(OR(C1808="",D1808="",N(E1808)=0),"",E1808*IF(F1808="",IFERROR(N(INDEX(Produtos!$K$5:$K$54,MATCH(D1808,Produtos!$B$5:$B$54,0))),0),F1808))</f>
        <v/>
      </c>
      <c r="H1808" s="24" t="str">
        <f aca="false">IF(G1808="","",E1808*IFERROR(N(INDEX(Produtos!$F$5:$F$54,MATCH(D1808,Produtos!$B$5:$B$54,0))),0))</f>
        <v/>
      </c>
      <c r="I1808" s="24" t="str">
        <f aca="false">IF(G1808="","",G1808-H1808)</f>
        <v/>
      </c>
      <c r="J1808" s="37"/>
    </row>
    <row r="1809" customFormat="false" ht="21" hidden="false" customHeight="true" outlineLevel="0" collapsed="false">
      <c r="B1809" s="36"/>
      <c r="C1809" s="7"/>
      <c r="D1809" s="7"/>
      <c r="E1809" s="37"/>
      <c r="F1809" s="38"/>
      <c r="G1809" s="24" t="str">
        <f aca="false">IF(OR(C1809="",D1809="",N(E1809)=0),"",E1809*IF(F1809="",IFERROR(N(INDEX(Produtos!$K$5:$K$54,MATCH(D1809,Produtos!$B$5:$B$54,0))),0),F1809))</f>
        <v/>
      </c>
      <c r="H1809" s="24" t="str">
        <f aca="false">IF(G1809="","",E1809*IFERROR(N(INDEX(Produtos!$F$5:$F$54,MATCH(D1809,Produtos!$B$5:$B$54,0))),0))</f>
        <v/>
      </c>
      <c r="I1809" s="24" t="str">
        <f aca="false">IF(G1809="","",G1809-H1809)</f>
        <v/>
      </c>
      <c r="J1809" s="37"/>
    </row>
    <row r="1810" customFormat="false" ht="21" hidden="false" customHeight="true" outlineLevel="0" collapsed="false">
      <c r="B1810" s="36"/>
      <c r="C1810" s="7"/>
      <c r="D1810" s="7"/>
      <c r="E1810" s="37"/>
      <c r="F1810" s="38"/>
      <c r="G1810" s="24" t="str">
        <f aca="false">IF(OR(C1810="",D1810="",N(E1810)=0),"",E1810*IF(F1810="",IFERROR(N(INDEX(Produtos!$K$5:$K$54,MATCH(D1810,Produtos!$B$5:$B$54,0))),0),F1810))</f>
        <v/>
      </c>
      <c r="H1810" s="24" t="str">
        <f aca="false">IF(G1810="","",E1810*IFERROR(N(INDEX(Produtos!$F$5:$F$54,MATCH(D1810,Produtos!$B$5:$B$54,0))),0))</f>
        <v/>
      </c>
      <c r="I1810" s="24" t="str">
        <f aca="false">IF(G1810="","",G1810-H1810)</f>
        <v/>
      </c>
      <c r="J1810" s="37"/>
    </row>
    <row r="1811" customFormat="false" ht="21" hidden="false" customHeight="true" outlineLevel="0" collapsed="false">
      <c r="B1811" s="36"/>
      <c r="C1811" s="7"/>
      <c r="D1811" s="7"/>
      <c r="E1811" s="37"/>
      <c r="F1811" s="38"/>
      <c r="G1811" s="24" t="str">
        <f aca="false">IF(OR(C1811="",D1811="",N(E1811)=0),"",E1811*IF(F1811="",IFERROR(N(INDEX(Produtos!$K$5:$K$54,MATCH(D1811,Produtos!$B$5:$B$54,0))),0),F1811))</f>
        <v/>
      </c>
      <c r="H1811" s="24" t="str">
        <f aca="false">IF(G1811="","",E1811*IFERROR(N(INDEX(Produtos!$F$5:$F$54,MATCH(D1811,Produtos!$B$5:$B$54,0))),0))</f>
        <v/>
      </c>
      <c r="I1811" s="24" t="str">
        <f aca="false">IF(G1811="","",G1811-H1811)</f>
        <v/>
      </c>
      <c r="J1811" s="37"/>
    </row>
    <row r="1812" customFormat="false" ht="21" hidden="false" customHeight="true" outlineLevel="0" collapsed="false">
      <c r="B1812" s="36"/>
      <c r="C1812" s="7"/>
      <c r="D1812" s="7"/>
      <c r="E1812" s="37"/>
      <c r="F1812" s="38"/>
      <c r="G1812" s="24" t="str">
        <f aca="false">IF(OR(C1812="",D1812="",N(E1812)=0),"",E1812*IF(F1812="",IFERROR(N(INDEX(Produtos!$K$5:$K$54,MATCH(D1812,Produtos!$B$5:$B$54,0))),0),F1812))</f>
        <v/>
      </c>
      <c r="H1812" s="24" t="str">
        <f aca="false">IF(G1812="","",E1812*IFERROR(N(INDEX(Produtos!$F$5:$F$54,MATCH(D1812,Produtos!$B$5:$B$54,0))),0))</f>
        <v/>
      </c>
      <c r="I1812" s="24" t="str">
        <f aca="false">IF(G1812="","",G1812-H1812)</f>
        <v/>
      </c>
      <c r="J1812" s="37"/>
    </row>
    <row r="1813" customFormat="false" ht="21" hidden="false" customHeight="true" outlineLevel="0" collapsed="false">
      <c r="B1813" s="36"/>
      <c r="C1813" s="7"/>
      <c r="D1813" s="7"/>
      <c r="E1813" s="37"/>
      <c r="F1813" s="38"/>
      <c r="G1813" s="24" t="str">
        <f aca="false">IF(OR(C1813="",D1813="",N(E1813)=0),"",E1813*IF(F1813="",IFERROR(N(INDEX(Produtos!$K$5:$K$54,MATCH(D1813,Produtos!$B$5:$B$54,0))),0),F1813))</f>
        <v/>
      </c>
      <c r="H1813" s="24" t="str">
        <f aca="false">IF(G1813="","",E1813*IFERROR(N(INDEX(Produtos!$F$5:$F$54,MATCH(D1813,Produtos!$B$5:$B$54,0))),0))</f>
        <v/>
      </c>
      <c r="I1813" s="24" t="str">
        <f aca="false">IF(G1813="","",G1813-H1813)</f>
        <v/>
      </c>
      <c r="J1813" s="37"/>
    </row>
    <row r="1814" customFormat="false" ht="21" hidden="false" customHeight="true" outlineLevel="0" collapsed="false">
      <c r="B1814" s="36"/>
      <c r="C1814" s="7"/>
      <c r="D1814" s="7"/>
      <c r="E1814" s="37"/>
      <c r="F1814" s="38"/>
      <c r="G1814" s="24" t="str">
        <f aca="false">IF(OR(C1814="",D1814="",N(E1814)=0),"",E1814*IF(F1814="",IFERROR(N(INDEX(Produtos!$K$5:$K$54,MATCH(D1814,Produtos!$B$5:$B$54,0))),0),F1814))</f>
        <v/>
      </c>
      <c r="H1814" s="24" t="str">
        <f aca="false">IF(G1814="","",E1814*IFERROR(N(INDEX(Produtos!$F$5:$F$54,MATCH(D1814,Produtos!$B$5:$B$54,0))),0))</f>
        <v/>
      </c>
      <c r="I1814" s="24" t="str">
        <f aca="false">IF(G1814="","",G1814-H1814)</f>
        <v/>
      </c>
      <c r="J1814" s="37"/>
    </row>
    <row r="1815" customFormat="false" ht="21" hidden="false" customHeight="true" outlineLevel="0" collapsed="false">
      <c r="B1815" s="36"/>
      <c r="C1815" s="7"/>
      <c r="D1815" s="7"/>
      <c r="E1815" s="37"/>
      <c r="F1815" s="38"/>
      <c r="G1815" s="24" t="str">
        <f aca="false">IF(OR(C1815="",D1815="",N(E1815)=0),"",E1815*IF(F1815="",IFERROR(N(INDEX(Produtos!$K$5:$K$54,MATCH(D1815,Produtos!$B$5:$B$54,0))),0),F1815))</f>
        <v/>
      </c>
      <c r="H1815" s="24" t="str">
        <f aca="false">IF(G1815="","",E1815*IFERROR(N(INDEX(Produtos!$F$5:$F$54,MATCH(D1815,Produtos!$B$5:$B$54,0))),0))</f>
        <v/>
      </c>
      <c r="I1815" s="24" t="str">
        <f aca="false">IF(G1815="","",G1815-H1815)</f>
        <v/>
      </c>
      <c r="J1815" s="37"/>
    </row>
    <row r="1816" customFormat="false" ht="21" hidden="false" customHeight="true" outlineLevel="0" collapsed="false">
      <c r="B1816" s="36"/>
      <c r="C1816" s="7"/>
      <c r="D1816" s="7"/>
      <c r="E1816" s="37"/>
      <c r="F1816" s="38"/>
      <c r="G1816" s="24" t="str">
        <f aca="false">IF(OR(C1816="",D1816="",N(E1816)=0),"",E1816*IF(F1816="",IFERROR(N(INDEX(Produtos!$K$5:$K$54,MATCH(D1816,Produtos!$B$5:$B$54,0))),0),F1816))</f>
        <v/>
      </c>
      <c r="H1816" s="24" t="str">
        <f aca="false">IF(G1816="","",E1816*IFERROR(N(INDEX(Produtos!$F$5:$F$54,MATCH(D1816,Produtos!$B$5:$B$54,0))),0))</f>
        <v/>
      </c>
      <c r="I1816" s="24" t="str">
        <f aca="false">IF(G1816="","",G1816-H1816)</f>
        <v/>
      </c>
      <c r="J1816" s="37"/>
    </row>
    <row r="1817" customFormat="false" ht="21" hidden="false" customHeight="true" outlineLevel="0" collapsed="false">
      <c r="B1817" s="36"/>
      <c r="C1817" s="7"/>
      <c r="D1817" s="7"/>
      <c r="E1817" s="37"/>
      <c r="F1817" s="38"/>
      <c r="G1817" s="24" t="str">
        <f aca="false">IF(OR(C1817="",D1817="",N(E1817)=0),"",E1817*IF(F1817="",IFERROR(N(INDEX(Produtos!$K$5:$K$54,MATCH(D1817,Produtos!$B$5:$B$54,0))),0),F1817))</f>
        <v/>
      </c>
      <c r="H1817" s="24" t="str">
        <f aca="false">IF(G1817="","",E1817*IFERROR(N(INDEX(Produtos!$F$5:$F$54,MATCH(D1817,Produtos!$B$5:$B$54,0))),0))</f>
        <v/>
      </c>
      <c r="I1817" s="24" t="str">
        <f aca="false">IF(G1817="","",G1817-H1817)</f>
        <v/>
      </c>
      <c r="J1817" s="37"/>
    </row>
    <row r="1818" customFormat="false" ht="21" hidden="false" customHeight="true" outlineLevel="0" collapsed="false">
      <c r="B1818" s="36"/>
      <c r="C1818" s="7"/>
      <c r="D1818" s="7"/>
      <c r="E1818" s="37"/>
      <c r="F1818" s="38"/>
      <c r="G1818" s="24" t="str">
        <f aca="false">IF(OR(C1818="",D1818="",N(E1818)=0),"",E1818*IF(F1818="",IFERROR(N(INDEX(Produtos!$K$5:$K$54,MATCH(D1818,Produtos!$B$5:$B$54,0))),0),F1818))</f>
        <v/>
      </c>
      <c r="H1818" s="24" t="str">
        <f aca="false">IF(G1818="","",E1818*IFERROR(N(INDEX(Produtos!$F$5:$F$54,MATCH(D1818,Produtos!$B$5:$B$54,0))),0))</f>
        <v/>
      </c>
      <c r="I1818" s="24" t="str">
        <f aca="false">IF(G1818="","",G1818-H1818)</f>
        <v/>
      </c>
      <c r="J1818" s="37"/>
    </row>
    <row r="1819" customFormat="false" ht="21" hidden="false" customHeight="true" outlineLevel="0" collapsed="false">
      <c r="B1819" s="36"/>
      <c r="C1819" s="7"/>
      <c r="D1819" s="7"/>
      <c r="E1819" s="37"/>
      <c r="F1819" s="38"/>
      <c r="G1819" s="24" t="str">
        <f aca="false">IF(OR(C1819="",D1819="",N(E1819)=0),"",E1819*IF(F1819="",IFERROR(N(INDEX(Produtos!$K$5:$K$54,MATCH(D1819,Produtos!$B$5:$B$54,0))),0),F1819))</f>
        <v/>
      </c>
      <c r="H1819" s="24" t="str">
        <f aca="false">IF(G1819="","",E1819*IFERROR(N(INDEX(Produtos!$F$5:$F$54,MATCH(D1819,Produtos!$B$5:$B$54,0))),0))</f>
        <v/>
      </c>
      <c r="I1819" s="24" t="str">
        <f aca="false">IF(G1819="","",G1819-H1819)</f>
        <v/>
      </c>
      <c r="J1819" s="37"/>
    </row>
    <row r="1820" customFormat="false" ht="21" hidden="false" customHeight="true" outlineLevel="0" collapsed="false">
      <c r="B1820" s="36"/>
      <c r="C1820" s="7"/>
      <c r="D1820" s="7"/>
      <c r="E1820" s="37"/>
      <c r="F1820" s="38"/>
      <c r="G1820" s="24" t="str">
        <f aca="false">IF(OR(C1820="",D1820="",N(E1820)=0),"",E1820*IF(F1820="",IFERROR(N(INDEX(Produtos!$K$5:$K$54,MATCH(D1820,Produtos!$B$5:$B$54,0))),0),F1820))</f>
        <v/>
      </c>
      <c r="H1820" s="24" t="str">
        <f aca="false">IF(G1820="","",E1820*IFERROR(N(INDEX(Produtos!$F$5:$F$54,MATCH(D1820,Produtos!$B$5:$B$54,0))),0))</f>
        <v/>
      </c>
      <c r="I1820" s="24" t="str">
        <f aca="false">IF(G1820="","",G1820-H1820)</f>
        <v/>
      </c>
      <c r="J1820" s="37"/>
    </row>
    <row r="1821" customFormat="false" ht="21" hidden="false" customHeight="true" outlineLevel="0" collapsed="false">
      <c r="B1821" s="36"/>
      <c r="C1821" s="7"/>
      <c r="D1821" s="7"/>
      <c r="E1821" s="37"/>
      <c r="F1821" s="38"/>
      <c r="G1821" s="24" t="str">
        <f aca="false">IF(OR(C1821="",D1821="",N(E1821)=0),"",E1821*IF(F1821="",IFERROR(N(INDEX(Produtos!$K$5:$K$54,MATCH(D1821,Produtos!$B$5:$B$54,0))),0),F1821))</f>
        <v/>
      </c>
      <c r="H1821" s="24" t="str">
        <f aca="false">IF(G1821="","",E1821*IFERROR(N(INDEX(Produtos!$F$5:$F$54,MATCH(D1821,Produtos!$B$5:$B$54,0))),0))</f>
        <v/>
      </c>
      <c r="I1821" s="24" t="str">
        <f aca="false">IF(G1821="","",G1821-H1821)</f>
        <v/>
      </c>
      <c r="J1821" s="37"/>
    </row>
    <row r="1822" customFormat="false" ht="21" hidden="false" customHeight="true" outlineLevel="0" collapsed="false">
      <c r="B1822" s="36"/>
      <c r="C1822" s="7"/>
      <c r="D1822" s="7"/>
      <c r="E1822" s="37"/>
      <c r="F1822" s="38"/>
      <c r="G1822" s="24" t="str">
        <f aca="false">IF(OR(C1822="",D1822="",N(E1822)=0),"",E1822*IF(F1822="",IFERROR(N(INDEX(Produtos!$K$5:$K$54,MATCH(D1822,Produtos!$B$5:$B$54,0))),0),F1822))</f>
        <v/>
      </c>
      <c r="H1822" s="24" t="str">
        <f aca="false">IF(G1822="","",E1822*IFERROR(N(INDEX(Produtos!$F$5:$F$54,MATCH(D1822,Produtos!$B$5:$B$54,0))),0))</f>
        <v/>
      </c>
      <c r="I1822" s="24" t="str">
        <f aca="false">IF(G1822="","",G1822-H1822)</f>
        <v/>
      </c>
      <c r="J1822" s="37"/>
    </row>
    <row r="1823" customFormat="false" ht="21" hidden="false" customHeight="true" outlineLevel="0" collapsed="false">
      <c r="B1823" s="36"/>
      <c r="C1823" s="7"/>
      <c r="D1823" s="7"/>
      <c r="E1823" s="37"/>
      <c r="F1823" s="38"/>
      <c r="G1823" s="24" t="str">
        <f aca="false">IF(OR(C1823="",D1823="",N(E1823)=0),"",E1823*IF(F1823="",IFERROR(N(INDEX(Produtos!$K$5:$K$54,MATCH(D1823,Produtos!$B$5:$B$54,0))),0),F1823))</f>
        <v/>
      </c>
      <c r="H1823" s="24" t="str">
        <f aca="false">IF(G1823="","",E1823*IFERROR(N(INDEX(Produtos!$F$5:$F$54,MATCH(D1823,Produtos!$B$5:$B$54,0))),0))</f>
        <v/>
      </c>
      <c r="I1823" s="24" t="str">
        <f aca="false">IF(G1823="","",G1823-H1823)</f>
        <v/>
      </c>
      <c r="J1823" s="37"/>
    </row>
    <row r="1824" customFormat="false" ht="21" hidden="false" customHeight="true" outlineLevel="0" collapsed="false">
      <c r="B1824" s="36"/>
      <c r="C1824" s="7"/>
      <c r="D1824" s="7"/>
      <c r="E1824" s="37"/>
      <c r="F1824" s="38"/>
      <c r="G1824" s="24" t="str">
        <f aca="false">IF(OR(C1824="",D1824="",N(E1824)=0),"",E1824*IF(F1824="",IFERROR(N(INDEX(Produtos!$K$5:$K$54,MATCH(D1824,Produtos!$B$5:$B$54,0))),0),F1824))</f>
        <v/>
      </c>
      <c r="H1824" s="24" t="str">
        <f aca="false">IF(G1824="","",E1824*IFERROR(N(INDEX(Produtos!$F$5:$F$54,MATCH(D1824,Produtos!$B$5:$B$54,0))),0))</f>
        <v/>
      </c>
      <c r="I1824" s="24" t="str">
        <f aca="false">IF(G1824="","",G1824-H1824)</f>
        <v/>
      </c>
      <c r="J1824" s="37"/>
    </row>
    <row r="1825" customFormat="false" ht="21" hidden="false" customHeight="true" outlineLevel="0" collapsed="false">
      <c r="B1825" s="36"/>
      <c r="C1825" s="7"/>
      <c r="D1825" s="7"/>
      <c r="E1825" s="37"/>
      <c r="F1825" s="38"/>
      <c r="G1825" s="24" t="str">
        <f aca="false">IF(OR(C1825="",D1825="",N(E1825)=0),"",E1825*IF(F1825="",IFERROR(N(INDEX(Produtos!$K$5:$K$54,MATCH(D1825,Produtos!$B$5:$B$54,0))),0),F1825))</f>
        <v/>
      </c>
      <c r="H1825" s="24" t="str">
        <f aca="false">IF(G1825="","",E1825*IFERROR(N(INDEX(Produtos!$F$5:$F$54,MATCH(D1825,Produtos!$B$5:$B$54,0))),0))</f>
        <v/>
      </c>
      <c r="I1825" s="24" t="str">
        <f aca="false">IF(G1825="","",G1825-H1825)</f>
        <v/>
      </c>
      <c r="J1825" s="37"/>
    </row>
    <row r="1826" customFormat="false" ht="21" hidden="false" customHeight="true" outlineLevel="0" collapsed="false">
      <c r="B1826" s="36"/>
      <c r="C1826" s="7"/>
      <c r="D1826" s="7"/>
      <c r="E1826" s="37"/>
      <c r="F1826" s="38"/>
      <c r="G1826" s="24" t="str">
        <f aca="false">IF(OR(C1826="",D1826="",N(E1826)=0),"",E1826*IF(F1826="",IFERROR(N(INDEX(Produtos!$K$5:$K$54,MATCH(D1826,Produtos!$B$5:$B$54,0))),0),F1826))</f>
        <v/>
      </c>
      <c r="H1826" s="24" t="str">
        <f aca="false">IF(G1826="","",E1826*IFERROR(N(INDEX(Produtos!$F$5:$F$54,MATCH(D1826,Produtos!$B$5:$B$54,0))),0))</f>
        <v/>
      </c>
      <c r="I1826" s="24" t="str">
        <f aca="false">IF(G1826="","",G1826-H1826)</f>
        <v/>
      </c>
      <c r="J1826" s="37"/>
    </row>
    <row r="1827" customFormat="false" ht="21" hidden="false" customHeight="true" outlineLevel="0" collapsed="false">
      <c r="B1827" s="36"/>
      <c r="C1827" s="7"/>
      <c r="D1827" s="7"/>
      <c r="E1827" s="37"/>
      <c r="F1827" s="38"/>
      <c r="G1827" s="24" t="str">
        <f aca="false">IF(OR(C1827="",D1827="",N(E1827)=0),"",E1827*IF(F1827="",IFERROR(N(INDEX(Produtos!$K$5:$K$54,MATCH(D1827,Produtos!$B$5:$B$54,0))),0),F1827))</f>
        <v/>
      </c>
      <c r="H1827" s="24" t="str">
        <f aca="false">IF(G1827="","",E1827*IFERROR(N(INDEX(Produtos!$F$5:$F$54,MATCH(D1827,Produtos!$B$5:$B$54,0))),0))</f>
        <v/>
      </c>
      <c r="I1827" s="24" t="str">
        <f aca="false">IF(G1827="","",G1827-H1827)</f>
        <v/>
      </c>
      <c r="J1827" s="37"/>
    </row>
    <row r="1828" customFormat="false" ht="21" hidden="false" customHeight="true" outlineLevel="0" collapsed="false">
      <c r="B1828" s="36"/>
      <c r="C1828" s="7"/>
      <c r="D1828" s="7"/>
      <c r="E1828" s="37"/>
      <c r="F1828" s="38"/>
      <c r="G1828" s="24" t="str">
        <f aca="false">IF(OR(C1828="",D1828="",N(E1828)=0),"",E1828*IF(F1828="",IFERROR(N(INDEX(Produtos!$K$5:$K$54,MATCH(D1828,Produtos!$B$5:$B$54,0))),0),F1828))</f>
        <v/>
      </c>
      <c r="H1828" s="24" t="str">
        <f aca="false">IF(G1828="","",E1828*IFERROR(N(INDEX(Produtos!$F$5:$F$54,MATCH(D1828,Produtos!$B$5:$B$54,0))),0))</f>
        <v/>
      </c>
      <c r="I1828" s="24" t="str">
        <f aca="false">IF(G1828="","",G1828-H1828)</f>
        <v/>
      </c>
      <c r="J1828" s="37"/>
    </row>
    <row r="1829" customFormat="false" ht="21" hidden="false" customHeight="true" outlineLevel="0" collapsed="false">
      <c r="B1829" s="36"/>
      <c r="C1829" s="7"/>
      <c r="D1829" s="7"/>
      <c r="E1829" s="37"/>
      <c r="F1829" s="38"/>
      <c r="G1829" s="24" t="str">
        <f aca="false">IF(OR(C1829="",D1829="",N(E1829)=0),"",E1829*IF(F1829="",IFERROR(N(INDEX(Produtos!$K$5:$K$54,MATCH(D1829,Produtos!$B$5:$B$54,0))),0),F1829))</f>
        <v/>
      </c>
      <c r="H1829" s="24" t="str">
        <f aca="false">IF(G1829="","",E1829*IFERROR(N(INDEX(Produtos!$F$5:$F$54,MATCH(D1829,Produtos!$B$5:$B$54,0))),0))</f>
        <v/>
      </c>
      <c r="I1829" s="24" t="str">
        <f aca="false">IF(G1829="","",G1829-H1829)</f>
        <v/>
      </c>
      <c r="J1829" s="37"/>
    </row>
    <row r="1830" customFormat="false" ht="21" hidden="false" customHeight="true" outlineLevel="0" collapsed="false">
      <c r="B1830" s="36"/>
      <c r="C1830" s="7"/>
      <c r="D1830" s="7"/>
      <c r="E1830" s="37"/>
      <c r="F1830" s="38"/>
      <c r="G1830" s="24" t="str">
        <f aca="false">IF(OR(C1830="",D1830="",N(E1830)=0),"",E1830*IF(F1830="",IFERROR(N(INDEX(Produtos!$K$5:$K$54,MATCH(D1830,Produtos!$B$5:$B$54,0))),0),F1830))</f>
        <v/>
      </c>
      <c r="H1830" s="24" t="str">
        <f aca="false">IF(G1830="","",E1830*IFERROR(N(INDEX(Produtos!$F$5:$F$54,MATCH(D1830,Produtos!$B$5:$B$54,0))),0))</f>
        <v/>
      </c>
      <c r="I1830" s="24" t="str">
        <f aca="false">IF(G1830="","",G1830-H1830)</f>
        <v/>
      </c>
      <c r="J1830" s="37"/>
    </row>
    <row r="1831" customFormat="false" ht="21" hidden="false" customHeight="true" outlineLevel="0" collapsed="false">
      <c r="B1831" s="36"/>
      <c r="C1831" s="7"/>
      <c r="D1831" s="7"/>
      <c r="E1831" s="37"/>
      <c r="F1831" s="38"/>
      <c r="G1831" s="24" t="str">
        <f aca="false">IF(OR(C1831="",D1831="",N(E1831)=0),"",E1831*IF(F1831="",IFERROR(N(INDEX(Produtos!$K$5:$K$54,MATCH(D1831,Produtos!$B$5:$B$54,0))),0),F1831))</f>
        <v/>
      </c>
      <c r="H1831" s="24" t="str">
        <f aca="false">IF(G1831="","",E1831*IFERROR(N(INDEX(Produtos!$F$5:$F$54,MATCH(D1831,Produtos!$B$5:$B$54,0))),0))</f>
        <v/>
      </c>
      <c r="I1831" s="24" t="str">
        <f aca="false">IF(G1831="","",G1831-H1831)</f>
        <v/>
      </c>
      <c r="J1831" s="37"/>
    </row>
    <row r="1832" customFormat="false" ht="21" hidden="false" customHeight="true" outlineLevel="0" collapsed="false">
      <c r="B1832" s="36"/>
      <c r="C1832" s="7"/>
      <c r="D1832" s="7"/>
      <c r="E1832" s="37"/>
      <c r="F1832" s="38"/>
      <c r="G1832" s="24" t="str">
        <f aca="false">IF(OR(C1832="",D1832="",N(E1832)=0),"",E1832*IF(F1832="",IFERROR(N(INDEX(Produtos!$K$5:$K$54,MATCH(D1832,Produtos!$B$5:$B$54,0))),0),F1832))</f>
        <v/>
      </c>
      <c r="H1832" s="24" t="str">
        <f aca="false">IF(G1832="","",E1832*IFERROR(N(INDEX(Produtos!$F$5:$F$54,MATCH(D1832,Produtos!$B$5:$B$54,0))),0))</f>
        <v/>
      </c>
      <c r="I1832" s="24" t="str">
        <f aca="false">IF(G1832="","",G1832-H1832)</f>
        <v/>
      </c>
      <c r="J1832" s="37"/>
    </row>
    <row r="1833" customFormat="false" ht="21" hidden="false" customHeight="true" outlineLevel="0" collapsed="false">
      <c r="B1833" s="36"/>
      <c r="C1833" s="7"/>
      <c r="D1833" s="7"/>
      <c r="E1833" s="37"/>
      <c r="F1833" s="38"/>
      <c r="G1833" s="24" t="str">
        <f aca="false">IF(OR(C1833="",D1833="",N(E1833)=0),"",E1833*IF(F1833="",IFERROR(N(INDEX(Produtos!$K$5:$K$54,MATCH(D1833,Produtos!$B$5:$B$54,0))),0),F1833))</f>
        <v/>
      </c>
      <c r="H1833" s="24" t="str">
        <f aca="false">IF(G1833="","",E1833*IFERROR(N(INDEX(Produtos!$F$5:$F$54,MATCH(D1833,Produtos!$B$5:$B$54,0))),0))</f>
        <v/>
      </c>
      <c r="I1833" s="24" t="str">
        <f aca="false">IF(G1833="","",G1833-H1833)</f>
        <v/>
      </c>
      <c r="J1833" s="37"/>
    </row>
    <row r="1834" customFormat="false" ht="21" hidden="false" customHeight="true" outlineLevel="0" collapsed="false">
      <c r="B1834" s="36"/>
      <c r="C1834" s="7"/>
      <c r="D1834" s="7"/>
      <c r="E1834" s="37"/>
      <c r="F1834" s="38"/>
      <c r="G1834" s="24" t="str">
        <f aca="false">IF(OR(C1834="",D1834="",N(E1834)=0),"",E1834*IF(F1834="",IFERROR(N(INDEX(Produtos!$K$5:$K$54,MATCH(D1834,Produtos!$B$5:$B$54,0))),0),F1834))</f>
        <v/>
      </c>
      <c r="H1834" s="24" t="str">
        <f aca="false">IF(G1834="","",E1834*IFERROR(N(INDEX(Produtos!$F$5:$F$54,MATCH(D1834,Produtos!$B$5:$B$54,0))),0))</f>
        <v/>
      </c>
      <c r="I1834" s="24" t="str">
        <f aca="false">IF(G1834="","",G1834-H1834)</f>
        <v/>
      </c>
      <c r="J1834" s="37"/>
    </row>
    <row r="1835" customFormat="false" ht="21" hidden="false" customHeight="true" outlineLevel="0" collapsed="false">
      <c r="B1835" s="36"/>
      <c r="C1835" s="7"/>
      <c r="D1835" s="7"/>
      <c r="E1835" s="37"/>
      <c r="F1835" s="38"/>
      <c r="G1835" s="24" t="str">
        <f aca="false">IF(OR(C1835="",D1835="",N(E1835)=0),"",E1835*IF(F1835="",IFERROR(N(INDEX(Produtos!$K$5:$K$54,MATCH(D1835,Produtos!$B$5:$B$54,0))),0),F1835))</f>
        <v/>
      </c>
      <c r="H1835" s="24" t="str">
        <f aca="false">IF(G1835="","",E1835*IFERROR(N(INDEX(Produtos!$F$5:$F$54,MATCH(D1835,Produtos!$B$5:$B$54,0))),0))</f>
        <v/>
      </c>
      <c r="I1835" s="24" t="str">
        <f aca="false">IF(G1835="","",G1835-H1835)</f>
        <v/>
      </c>
      <c r="J1835" s="37"/>
    </row>
    <row r="1836" customFormat="false" ht="21" hidden="false" customHeight="true" outlineLevel="0" collapsed="false">
      <c r="B1836" s="36"/>
      <c r="C1836" s="7"/>
      <c r="D1836" s="7"/>
      <c r="E1836" s="37"/>
      <c r="F1836" s="38"/>
      <c r="G1836" s="24" t="str">
        <f aca="false">IF(OR(C1836="",D1836="",N(E1836)=0),"",E1836*IF(F1836="",IFERROR(N(INDEX(Produtos!$K$5:$K$54,MATCH(D1836,Produtos!$B$5:$B$54,0))),0),F1836))</f>
        <v/>
      </c>
      <c r="H1836" s="24" t="str">
        <f aca="false">IF(G1836="","",E1836*IFERROR(N(INDEX(Produtos!$F$5:$F$54,MATCH(D1836,Produtos!$B$5:$B$54,0))),0))</f>
        <v/>
      </c>
      <c r="I1836" s="24" t="str">
        <f aca="false">IF(G1836="","",G1836-H1836)</f>
        <v/>
      </c>
      <c r="J1836" s="37"/>
    </row>
    <row r="1837" customFormat="false" ht="21" hidden="false" customHeight="true" outlineLevel="0" collapsed="false">
      <c r="B1837" s="36"/>
      <c r="C1837" s="7"/>
      <c r="D1837" s="7"/>
      <c r="E1837" s="37"/>
      <c r="F1837" s="38"/>
      <c r="G1837" s="24" t="str">
        <f aca="false">IF(OR(C1837="",D1837="",N(E1837)=0),"",E1837*IF(F1837="",IFERROR(N(INDEX(Produtos!$K$5:$K$54,MATCH(D1837,Produtos!$B$5:$B$54,0))),0),F1837))</f>
        <v/>
      </c>
      <c r="H1837" s="24" t="str">
        <f aca="false">IF(G1837="","",E1837*IFERROR(N(INDEX(Produtos!$F$5:$F$54,MATCH(D1837,Produtos!$B$5:$B$54,0))),0))</f>
        <v/>
      </c>
      <c r="I1837" s="24" t="str">
        <f aca="false">IF(G1837="","",G1837-H1837)</f>
        <v/>
      </c>
      <c r="J1837" s="37"/>
    </row>
    <row r="1838" customFormat="false" ht="21" hidden="false" customHeight="true" outlineLevel="0" collapsed="false">
      <c r="B1838" s="36"/>
      <c r="C1838" s="7"/>
      <c r="D1838" s="7"/>
      <c r="E1838" s="37"/>
      <c r="F1838" s="38"/>
      <c r="G1838" s="24" t="str">
        <f aca="false">IF(OR(C1838="",D1838="",N(E1838)=0),"",E1838*IF(F1838="",IFERROR(N(INDEX(Produtos!$K$5:$K$54,MATCH(D1838,Produtos!$B$5:$B$54,0))),0),F1838))</f>
        <v/>
      </c>
      <c r="H1838" s="24" t="str">
        <f aca="false">IF(G1838="","",E1838*IFERROR(N(INDEX(Produtos!$F$5:$F$54,MATCH(D1838,Produtos!$B$5:$B$54,0))),0))</f>
        <v/>
      </c>
      <c r="I1838" s="24" t="str">
        <f aca="false">IF(G1838="","",G1838-H1838)</f>
        <v/>
      </c>
      <c r="J1838" s="37"/>
    </row>
    <row r="1839" customFormat="false" ht="21" hidden="false" customHeight="true" outlineLevel="0" collapsed="false">
      <c r="B1839" s="36"/>
      <c r="C1839" s="7"/>
      <c r="D1839" s="7"/>
      <c r="E1839" s="37"/>
      <c r="F1839" s="38"/>
      <c r="G1839" s="24" t="str">
        <f aca="false">IF(OR(C1839="",D1839="",N(E1839)=0),"",E1839*IF(F1839="",IFERROR(N(INDEX(Produtos!$K$5:$K$54,MATCH(D1839,Produtos!$B$5:$B$54,0))),0),F1839))</f>
        <v/>
      </c>
      <c r="H1839" s="24" t="str">
        <f aca="false">IF(G1839="","",E1839*IFERROR(N(INDEX(Produtos!$F$5:$F$54,MATCH(D1839,Produtos!$B$5:$B$54,0))),0))</f>
        <v/>
      </c>
      <c r="I1839" s="24" t="str">
        <f aca="false">IF(G1839="","",G1839-H1839)</f>
        <v/>
      </c>
      <c r="J1839" s="37"/>
    </row>
    <row r="1840" customFormat="false" ht="21" hidden="false" customHeight="true" outlineLevel="0" collapsed="false">
      <c r="B1840" s="36"/>
      <c r="C1840" s="7"/>
      <c r="D1840" s="7"/>
      <c r="E1840" s="37"/>
      <c r="F1840" s="38"/>
      <c r="G1840" s="24" t="str">
        <f aca="false">IF(OR(C1840="",D1840="",N(E1840)=0),"",E1840*IF(F1840="",IFERROR(N(INDEX(Produtos!$K$5:$K$54,MATCH(D1840,Produtos!$B$5:$B$54,0))),0),F1840))</f>
        <v/>
      </c>
      <c r="H1840" s="24" t="str">
        <f aca="false">IF(G1840="","",E1840*IFERROR(N(INDEX(Produtos!$F$5:$F$54,MATCH(D1840,Produtos!$B$5:$B$54,0))),0))</f>
        <v/>
      </c>
      <c r="I1840" s="24" t="str">
        <f aca="false">IF(G1840="","",G1840-H1840)</f>
        <v/>
      </c>
      <c r="J1840" s="37"/>
    </row>
    <row r="1841" customFormat="false" ht="21" hidden="false" customHeight="true" outlineLevel="0" collapsed="false">
      <c r="B1841" s="36"/>
      <c r="C1841" s="7"/>
      <c r="D1841" s="7"/>
      <c r="E1841" s="37"/>
      <c r="F1841" s="38"/>
      <c r="G1841" s="24" t="str">
        <f aca="false">IF(OR(C1841="",D1841="",N(E1841)=0),"",E1841*IF(F1841="",IFERROR(N(INDEX(Produtos!$K$5:$K$54,MATCH(D1841,Produtos!$B$5:$B$54,0))),0),F1841))</f>
        <v/>
      </c>
      <c r="H1841" s="24" t="str">
        <f aca="false">IF(G1841="","",E1841*IFERROR(N(INDEX(Produtos!$F$5:$F$54,MATCH(D1841,Produtos!$B$5:$B$54,0))),0))</f>
        <v/>
      </c>
      <c r="I1841" s="24" t="str">
        <f aca="false">IF(G1841="","",G1841-H1841)</f>
        <v/>
      </c>
      <c r="J1841" s="37"/>
    </row>
    <row r="1842" customFormat="false" ht="21" hidden="false" customHeight="true" outlineLevel="0" collapsed="false">
      <c r="B1842" s="36"/>
      <c r="C1842" s="7"/>
      <c r="D1842" s="7"/>
      <c r="E1842" s="37"/>
      <c r="F1842" s="38"/>
      <c r="G1842" s="24" t="str">
        <f aca="false">IF(OR(C1842="",D1842="",N(E1842)=0),"",E1842*IF(F1842="",IFERROR(N(INDEX(Produtos!$K$5:$K$54,MATCH(D1842,Produtos!$B$5:$B$54,0))),0),F1842))</f>
        <v/>
      </c>
      <c r="H1842" s="24" t="str">
        <f aca="false">IF(G1842="","",E1842*IFERROR(N(INDEX(Produtos!$F$5:$F$54,MATCH(D1842,Produtos!$B$5:$B$54,0))),0))</f>
        <v/>
      </c>
      <c r="I1842" s="24" t="str">
        <f aca="false">IF(G1842="","",G1842-H1842)</f>
        <v/>
      </c>
      <c r="J1842" s="37"/>
    </row>
    <row r="1843" customFormat="false" ht="21" hidden="false" customHeight="true" outlineLevel="0" collapsed="false">
      <c r="B1843" s="36"/>
      <c r="C1843" s="7"/>
      <c r="D1843" s="7"/>
      <c r="E1843" s="37"/>
      <c r="F1843" s="38"/>
      <c r="G1843" s="24" t="str">
        <f aca="false">IF(OR(C1843="",D1843="",N(E1843)=0),"",E1843*IF(F1843="",IFERROR(N(INDEX(Produtos!$K$5:$K$54,MATCH(D1843,Produtos!$B$5:$B$54,0))),0),F1843))</f>
        <v/>
      </c>
      <c r="H1843" s="24" t="str">
        <f aca="false">IF(G1843="","",E1843*IFERROR(N(INDEX(Produtos!$F$5:$F$54,MATCH(D1843,Produtos!$B$5:$B$54,0))),0))</f>
        <v/>
      </c>
      <c r="I1843" s="24" t="str">
        <f aca="false">IF(G1843="","",G1843-H1843)</f>
        <v/>
      </c>
      <c r="J1843" s="37"/>
    </row>
    <row r="1844" customFormat="false" ht="21" hidden="false" customHeight="true" outlineLevel="0" collapsed="false">
      <c r="B1844" s="36"/>
      <c r="C1844" s="7"/>
      <c r="D1844" s="7"/>
      <c r="E1844" s="37"/>
      <c r="F1844" s="38"/>
      <c r="G1844" s="24" t="str">
        <f aca="false">IF(OR(C1844="",D1844="",N(E1844)=0),"",E1844*IF(F1844="",IFERROR(N(INDEX(Produtos!$K$5:$K$54,MATCH(D1844,Produtos!$B$5:$B$54,0))),0),F1844))</f>
        <v/>
      </c>
      <c r="H1844" s="24" t="str">
        <f aca="false">IF(G1844="","",E1844*IFERROR(N(INDEX(Produtos!$F$5:$F$54,MATCH(D1844,Produtos!$B$5:$B$54,0))),0))</f>
        <v/>
      </c>
      <c r="I1844" s="24" t="str">
        <f aca="false">IF(G1844="","",G1844-H1844)</f>
        <v/>
      </c>
      <c r="J1844" s="37"/>
    </row>
    <row r="1845" customFormat="false" ht="21" hidden="false" customHeight="true" outlineLevel="0" collapsed="false">
      <c r="B1845" s="36"/>
      <c r="C1845" s="7"/>
      <c r="D1845" s="7"/>
      <c r="E1845" s="37"/>
      <c r="F1845" s="38"/>
      <c r="G1845" s="24" t="str">
        <f aca="false">IF(OR(C1845="",D1845="",N(E1845)=0),"",E1845*IF(F1845="",IFERROR(N(INDEX(Produtos!$K$5:$K$54,MATCH(D1845,Produtos!$B$5:$B$54,0))),0),F1845))</f>
        <v/>
      </c>
      <c r="H1845" s="24" t="str">
        <f aca="false">IF(G1845="","",E1845*IFERROR(N(INDEX(Produtos!$F$5:$F$54,MATCH(D1845,Produtos!$B$5:$B$54,0))),0))</f>
        <v/>
      </c>
      <c r="I1845" s="24" t="str">
        <f aca="false">IF(G1845="","",G1845-H1845)</f>
        <v/>
      </c>
      <c r="J1845" s="37"/>
    </row>
    <row r="1846" customFormat="false" ht="21" hidden="false" customHeight="true" outlineLevel="0" collapsed="false">
      <c r="B1846" s="36"/>
      <c r="C1846" s="7"/>
      <c r="D1846" s="7"/>
      <c r="E1846" s="37"/>
      <c r="F1846" s="38"/>
      <c r="G1846" s="24" t="str">
        <f aca="false">IF(OR(C1846="",D1846="",N(E1846)=0),"",E1846*IF(F1846="",IFERROR(N(INDEX(Produtos!$K$5:$K$54,MATCH(D1846,Produtos!$B$5:$B$54,0))),0),F1846))</f>
        <v/>
      </c>
      <c r="H1846" s="24" t="str">
        <f aca="false">IF(G1846="","",E1846*IFERROR(N(INDEX(Produtos!$F$5:$F$54,MATCH(D1846,Produtos!$B$5:$B$54,0))),0))</f>
        <v/>
      </c>
      <c r="I1846" s="24" t="str">
        <f aca="false">IF(G1846="","",G1846-H1846)</f>
        <v/>
      </c>
      <c r="J1846" s="37"/>
    </row>
    <row r="1847" customFormat="false" ht="21" hidden="false" customHeight="true" outlineLevel="0" collapsed="false">
      <c r="B1847" s="36"/>
      <c r="C1847" s="7"/>
      <c r="D1847" s="7"/>
      <c r="E1847" s="37"/>
      <c r="F1847" s="38"/>
      <c r="G1847" s="24" t="str">
        <f aca="false">IF(OR(C1847="",D1847="",N(E1847)=0),"",E1847*IF(F1847="",IFERROR(N(INDEX(Produtos!$K$5:$K$54,MATCH(D1847,Produtos!$B$5:$B$54,0))),0),F1847))</f>
        <v/>
      </c>
      <c r="H1847" s="24" t="str">
        <f aca="false">IF(G1847="","",E1847*IFERROR(N(INDEX(Produtos!$F$5:$F$54,MATCH(D1847,Produtos!$B$5:$B$54,0))),0))</f>
        <v/>
      </c>
      <c r="I1847" s="24" t="str">
        <f aca="false">IF(G1847="","",G1847-H1847)</f>
        <v/>
      </c>
      <c r="J1847" s="37"/>
    </row>
    <row r="1848" customFormat="false" ht="21" hidden="false" customHeight="true" outlineLevel="0" collapsed="false">
      <c r="B1848" s="36"/>
      <c r="C1848" s="7"/>
      <c r="D1848" s="7"/>
      <c r="E1848" s="37"/>
      <c r="F1848" s="38"/>
      <c r="G1848" s="24" t="str">
        <f aca="false">IF(OR(C1848="",D1848="",N(E1848)=0),"",E1848*IF(F1848="",IFERROR(N(INDEX(Produtos!$K$5:$K$54,MATCH(D1848,Produtos!$B$5:$B$54,0))),0),F1848))</f>
        <v/>
      </c>
      <c r="H1848" s="24" t="str">
        <f aca="false">IF(G1848="","",E1848*IFERROR(N(INDEX(Produtos!$F$5:$F$54,MATCH(D1848,Produtos!$B$5:$B$54,0))),0))</f>
        <v/>
      </c>
      <c r="I1848" s="24" t="str">
        <f aca="false">IF(G1848="","",G1848-H1848)</f>
        <v/>
      </c>
      <c r="J1848" s="37"/>
    </row>
    <row r="1849" customFormat="false" ht="21" hidden="false" customHeight="true" outlineLevel="0" collapsed="false">
      <c r="B1849" s="36"/>
      <c r="C1849" s="7"/>
      <c r="D1849" s="7"/>
      <c r="E1849" s="37"/>
      <c r="F1849" s="38"/>
      <c r="G1849" s="24" t="str">
        <f aca="false">IF(OR(C1849="",D1849="",N(E1849)=0),"",E1849*IF(F1849="",IFERROR(N(INDEX(Produtos!$K$5:$K$54,MATCH(D1849,Produtos!$B$5:$B$54,0))),0),F1849))</f>
        <v/>
      </c>
      <c r="H1849" s="24" t="str">
        <f aca="false">IF(G1849="","",E1849*IFERROR(N(INDEX(Produtos!$F$5:$F$54,MATCH(D1849,Produtos!$B$5:$B$54,0))),0))</f>
        <v/>
      </c>
      <c r="I1849" s="24" t="str">
        <f aca="false">IF(G1849="","",G1849-H1849)</f>
        <v/>
      </c>
      <c r="J1849" s="37"/>
    </row>
    <row r="1850" customFormat="false" ht="21" hidden="false" customHeight="true" outlineLevel="0" collapsed="false">
      <c r="B1850" s="36"/>
      <c r="C1850" s="7"/>
      <c r="D1850" s="7"/>
      <c r="E1850" s="37"/>
      <c r="F1850" s="38"/>
      <c r="G1850" s="24" t="str">
        <f aca="false">IF(OR(C1850="",D1850="",N(E1850)=0),"",E1850*IF(F1850="",IFERROR(N(INDEX(Produtos!$K$5:$K$54,MATCH(D1850,Produtos!$B$5:$B$54,0))),0),F1850))</f>
        <v/>
      </c>
      <c r="H1850" s="24" t="str">
        <f aca="false">IF(G1850="","",E1850*IFERROR(N(INDEX(Produtos!$F$5:$F$54,MATCH(D1850,Produtos!$B$5:$B$54,0))),0))</f>
        <v/>
      </c>
      <c r="I1850" s="24" t="str">
        <f aca="false">IF(G1850="","",G1850-H1850)</f>
        <v/>
      </c>
      <c r="J1850" s="37"/>
    </row>
    <row r="1851" customFormat="false" ht="21" hidden="false" customHeight="true" outlineLevel="0" collapsed="false">
      <c r="B1851" s="36"/>
      <c r="C1851" s="7"/>
      <c r="D1851" s="7"/>
      <c r="E1851" s="37"/>
      <c r="F1851" s="38"/>
      <c r="G1851" s="24" t="str">
        <f aca="false">IF(OR(C1851="",D1851="",N(E1851)=0),"",E1851*IF(F1851="",IFERROR(N(INDEX(Produtos!$K$5:$K$54,MATCH(D1851,Produtos!$B$5:$B$54,0))),0),F1851))</f>
        <v/>
      </c>
      <c r="H1851" s="24" t="str">
        <f aca="false">IF(G1851="","",E1851*IFERROR(N(INDEX(Produtos!$F$5:$F$54,MATCH(D1851,Produtos!$B$5:$B$54,0))),0))</f>
        <v/>
      </c>
      <c r="I1851" s="24" t="str">
        <f aca="false">IF(G1851="","",G1851-H1851)</f>
        <v/>
      </c>
      <c r="J1851" s="37"/>
    </row>
    <row r="1852" customFormat="false" ht="21" hidden="false" customHeight="true" outlineLevel="0" collapsed="false">
      <c r="B1852" s="36"/>
      <c r="C1852" s="7"/>
      <c r="D1852" s="7"/>
      <c r="E1852" s="37"/>
      <c r="F1852" s="38"/>
      <c r="G1852" s="24" t="str">
        <f aca="false">IF(OR(C1852="",D1852="",N(E1852)=0),"",E1852*IF(F1852="",IFERROR(N(INDEX(Produtos!$K$5:$K$54,MATCH(D1852,Produtos!$B$5:$B$54,0))),0),F1852))</f>
        <v/>
      </c>
      <c r="H1852" s="24" t="str">
        <f aca="false">IF(G1852="","",E1852*IFERROR(N(INDEX(Produtos!$F$5:$F$54,MATCH(D1852,Produtos!$B$5:$B$54,0))),0))</f>
        <v/>
      </c>
      <c r="I1852" s="24" t="str">
        <f aca="false">IF(G1852="","",G1852-H1852)</f>
        <v/>
      </c>
      <c r="J1852" s="37"/>
    </row>
    <row r="1853" customFormat="false" ht="21" hidden="false" customHeight="true" outlineLevel="0" collapsed="false">
      <c r="B1853" s="36"/>
      <c r="C1853" s="7"/>
      <c r="D1853" s="7"/>
      <c r="E1853" s="37"/>
      <c r="F1853" s="38"/>
      <c r="G1853" s="24" t="str">
        <f aca="false">IF(OR(C1853="",D1853="",N(E1853)=0),"",E1853*IF(F1853="",IFERROR(N(INDEX(Produtos!$K$5:$K$54,MATCH(D1853,Produtos!$B$5:$B$54,0))),0),F1853))</f>
        <v/>
      </c>
      <c r="H1853" s="24" t="str">
        <f aca="false">IF(G1853="","",E1853*IFERROR(N(INDEX(Produtos!$F$5:$F$54,MATCH(D1853,Produtos!$B$5:$B$54,0))),0))</f>
        <v/>
      </c>
      <c r="I1853" s="24" t="str">
        <f aca="false">IF(G1853="","",G1853-H1853)</f>
        <v/>
      </c>
      <c r="J1853" s="37"/>
    </row>
    <row r="1854" customFormat="false" ht="21" hidden="false" customHeight="true" outlineLevel="0" collapsed="false">
      <c r="B1854" s="36"/>
      <c r="C1854" s="7"/>
      <c r="D1854" s="7"/>
      <c r="E1854" s="37"/>
      <c r="F1854" s="38"/>
      <c r="G1854" s="24" t="str">
        <f aca="false">IF(OR(C1854="",D1854="",N(E1854)=0),"",E1854*IF(F1854="",IFERROR(N(INDEX(Produtos!$K$5:$K$54,MATCH(D1854,Produtos!$B$5:$B$54,0))),0),F1854))</f>
        <v/>
      </c>
      <c r="H1854" s="24" t="str">
        <f aca="false">IF(G1854="","",E1854*IFERROR(N(INDEX(Produtos!$F$5:$F$54,MATCH(D1854,Produtos!$B$5:$B$54,0))),0))</f>
        <v/>
      </c>
      <c r="I1854" s="24" t="str">
        <f aca="false">IF(G1854="","",G1854-H1854)</f>
        <v/>
      </c>
      <c r="J1854" s="37"/>
    </row>
    <row r="1855" customFormat="false" ht="21" hidden="false" customHeight="true" outlineLevel="0" collapsed="false">
      <c r="B1855" s="36"/>
      <c r="C1855" s="7"/>
      <c r="D1855" s="7"/>
      <c r="E1855" s="37"/>
      <c r="F1855" s="38"/>
      <c r="G1855" s="24" t="str">
        <f aca="false">IF(OR(C1855="",D1855="",N(E1855)=0),"",E1855*IF(F1855="",IFERROR(N(INDEX(Produtos!$K$5:$K$54,MATCH(D1855,Produtos!$B$5:$B$54,0))),0),F1855))</f>
        <v/>
      </c>
      <c r="H1855" s="24" t="str">
        <f aca="false">IF(G1855="","",E1855*IFERROR(N(INDEX(Produtos!$F$5:$F$54,MATCH(D1855,Produtos!$B$5:$B$54,0))),0))</f>
        <v/>
      </c>
      <c r="I1855" s="24" t="str">
        <f aca="false">IF(G1855="","",G1855-H1855)</f>
        <v/>
      </c>
      <c r="J1855" s="37"/>
    </row>
    <row r="1856" customFormat="false" ht="21" hidden="false" customHeight="true" outlineLevel="0" collapsed="false">
      <c r="B1856" s="36"/>
      <c r="C1856" s="7"/>
      <c r="D1856" s="7"/>
      <c r="E1856" s="37"/>
      <c r="F1856" s="38"/>
      <c r="G1856" s="24" t="str">
        <f aca="false">IF(OR(C1856="",D1856="",N(E1856)=0),"",E1856*IF(F1856="",IFERROR(N(INDEX(Produtos!$K$5:$K$54,MATCH(D1856,Produtos!$B$5:$B$54,0))),0),F1856))</f>
        <v/>
      </c>
      <c r="H1856" s="24" t="str">
        <f aca="false">IF(G1856="","",E1856*IFERROR(N(INDEX(Produtos!$F$5:$F$54,MATCH(D1856,Produtos!$B$5:$B$54,0))),0))</f>
        <v/>
      </c>
      <c r="I1856" s="24" t="str">
        <f aca="false">IF(G1856="","",G1856-H1856)</f>
        <v/>
      </c>
      <c r="J1856" s="37"/>
    </row>
    <row r="1857" customFormat="false" ht="21" hidden="false" customHeight="true" outlineLevel="0" collapsed="false">
      <c r="B1857" s="36"/>
      <c r="C1857" s="7"/>
      <c r="D1857" s="7"/>
      <c r="E1857" s="37"/>
      <c r="F1857" s="38"/>
      <c r="G1857" s="24" t="str">
        <f aca="false">IF(OR(C1857="",D1857="",N(E1857)=0),"",E1857*IF(F1857="",IFERROR(N(INDEX(Produtos!$K$5:$K$54,MATCH(D1857,Produtos!$B$5:$B$54,0))),0),F1857))</f>
        <v/>
      </c>
      <c r="H1857" s="24" t="str">
        <f aca="false">IF(G1857="","",E1857*IFERROR(N(INDEX(Produtos!$F$5:$F$54,MATCH(D1857,Produtos!$B$5:$B$54,0))),0))</f>
        <v/>
      </c>
      <c r="I1857" s="24" t="str">
        <f aca="false">IF(G1857="","",G1857-H1857)</f>
        <v/>
      </c>
      <c r="J1857" s="37"/>
    </row>
    <row r="1858" customFormat="false" ht="21" hidden="false" customHeight="true" outlineLevel="0" collapsed="false">
      <c r="B1858" s="36"/>
      <c r="C1858" s="7"/>
      <c r="D1858" s="7"/>
      <c r="E1858" s="37"/>
      <c r="F1858" s="38"/>
      <c r="G1858" s="24" t="str">
        <f aca="false">IF(OR(C1858="",D1858="",N(E1858)=0),"",E1858*IF(F1858="",IFERROR(N(INDEX(Produtos!$K$5:$K$54,MATCH(D1858,Produtos!$B$5:$B$54,0))),0),F1858))</f>
        <v/>
      </c>
      <c r="H1858" s="24" t="str">
        <f aca="false">IF(G1858="","",E1858*IFERROR(N(INDEX(Produtos!$F$5:$F$54,MATCH(D1858,Produtos!$B$5:$B$54,0))),0))</f>
        <v/>
      </c>
      <c r="I1858" s="24" t="str">
        <f aca="false">IF(G1858="","",G1858-H1858)</f>
        <v/>
      </c>
      <c r="J1858" s="37"/>
    </row>
    <row r="1859" customFormat="false" ht="21" hidden="false" customHeight="true" outlineLevel="0" collapsed="false">
      <c r="B1859" s="36"/>
      <c r="C1859" s="7"/>
      <c r="D1859" s="7"/>
      <c r="E1859" s="37"/>
      <c r="F1859" s="38"/>
      <c r="G1859" s="24" t="str">
        <f aca="false">IF(OR(C1859="",D1859="",N(E1859)=0),"",E1859*IF(F1859="",IFERROR(N(INDEX(Produtos!$K$5:$K$54,MATCH(D1859,Produtos!$B$5:$B$54,0))),0),F1859))</f>
        <v/>
      </c>
      <c r="H1859" s="24" t="str">
        <f aca="false">IF(G1859="","",E1859*IFERROR(N(INDEX(Produtos!$F$5:$F$54,MATCH(D1859,Produtos!$B$5:$B$54,0))),0))</f>
        <v/>
      </c>
      <c r="I1859" s="24" t="str">
        <f aca="false">IF(G1859="","",G1859-H1859)</f>
        <v/>
      </c>
      <c r="J1859" s="37"/>
    </row>
    <row r="1860" customFormat="false" ht="21" hidden="false" customHeight="true" outlineLevel="0" collapsed="false">
      <c r="B1860" s="36"/>
      <c r="C1860" s="7"/>
      <c r="D1860" s="7"/>
      <c r="E1860" s="37"/>
      <c r="F1860" s="38"/>
      <c r="G1860" s="24" t="str">
        <f aca="false">IF(OR(C1860="",D1860="",N(E1860)=0),"",E1860*IF(F1860="",IFERROR(N(INDEX(Produtos!$K$5:$K$54,MATCH(D1860,Produtos!$B$5:$B$54,0))),0),F1860))</f>
        <v/>
      </c>
      <c r="H1860" s="24" t="str">
        <f aca="false">IF(G1860="","",E1860*IFERROR(N(INDEX(Produtos!$F$5:$F$54,MATCH(D1860,Produtos!$B$5:$B$54,0))),0))</f>
        <v/>
      </c>
      <c r="I1860" s="24" t="str">
        <f aca="false">IF(G1860="","",G1860-H1860)</f>
        <v/>
      </c>
      <c r="J1860" s="37"/>
    </row>
    <row r="1861" customFormat="false" ht="21" hidden="false" customHeight="true" outlineLevel="0" collapsed="false">
      <c r="B1861" s="36"/>
      <c r="C1861" s="7"/>
      <c r="D1861" s="7"/>
      <c r="E1861" s="37"/>
      <c r="F1861" s="38"/>
      <c r="G1861" s="24" t="str">
        <f aca="false">IF(OR(C1861="",D1861="",N(E1861)=0),"",E1861*IF(F1861="",IFERROR(N(INDEX(Produtos!$K$5:$K$54,MATCH(D1861,Produtos!$B$5:$B$54,0))),0),F1861))</f>
        <v/>
      </c>
      <c r="H1861" s="24" t="str">
        <f aca="false">IF(G1861="","",E1861*IFERROR(N(INDEX(Produtos!$F$5:$F$54,MATCH(D1861,Produtos!$B$5:$B$54,0))),0))</f>
        <v/>
      </c>
      <c r="I1861" s="24" t="str">
        <f aca="false">IF(G1861="","",G1861-H1861)</f>
        <v/>
      </c>
      <c r="J1861" s="37"/>
    </row>
    <row r="1862" customFormat="false" ht="21" hidden="false" customHeight="true" outlineLevel="0" collapsed="false">
      <c r="B1862" s="36"/>
      <c r="C1862" s="7"/>
      <c r="D1862" s="7"/>
      <c r="E1862" s="37"/>
      <c r="F1862" s="38"/>
      <c r="G1862" s="24" t="str">
        <f aca="false">IF(OR(C1862="",D1862="",N(E1862)=0),"",E1862*IF(F1862="",IFERROR(N(INDEX(Produtos!$K$5:$K$54,MATCH(D1862,Produtos!$B$5:$B$54,0))),0),F1862))</f>
        <v/>
      </c>
      <c r="H1862" s="24" t="str">
        <f aca="false">IF(G1862="","",E1862*IFERROR(N(INDEX(Produtos!$F$5:$F$54,MATCH(D1862,Produtos!$B$5:$B$54,0))),0))</f>
        <v/>
      </c>
      <c r="I1862" s="24" t="str">
        <f aca="false">IF(G1862="","",G1862-H1862)</f>
        <v/>
      </c>
      <c r="J1862" s="37"/>
    </row>
    <row r="1863" customFormat="false" ht="21" hidden="false" customHeight="true" outlineLevel="0" collapsed="false">
      <c r="B1863" s="36"/>
      <c r="C1863" s="7"/>
      <c r="D1863" s="7"/>
      <c r="E1863" s="37"/>
      <c r="F1863" s="38"/>
      <c r="G1863" s="24" t="str">
        <f aca="false">IF(OR(C1863="",D1863="",N(E1863)=0),"",E1863*IF(F1863="",IFERROR(N(INDEX(Produtos!$K$5:$K$54,MATCH(D1863,Produtos!$B$5:$B$54,0))),0),F1863))</f>
        <v/>
      </c>
      <c r="H1863" s="24" t="str">
        <f aca="false">IF(G1863="","",E1863*IFERROR(N(INDEX(Produtos!$F$5:$F$54,MATCH(D1863,Produtos!$B$5:$B$54,0))),0))</f>
        <v/>
      </c>
      <c r="I1863" s="24" t="str">
        <f aca="false">IF(G1863="","",G1863-H1863)</f>
        <v/>
      </c>
      <c r="J1863" s="37"/>
    </row>
    <row r="1864" customFormat="false" ht="21" hidden="false" customHeight="true" outlineLevel="0" collapsed="false">
      <c r="B1864" s="36"/>
      <c r="C1864" s="7"/>
      <c r="D1864" s="7"/>
      <c r="E1864" s="37"/>
      <c r="F1864" s="38"/>
      <c r="G1864" s="24" t="str">
        <f aca="false">IF(OR(C1864="",D1864="",N(E1864)=0),"",E1864*IF(F1864="",IFERROR(N(INDEX(Produtos!$K$5:$K$54,MATCH(D1864,Produtos!$B$5:$B$54,0))),0),F1864))</f>
        <v/>
      </c>
      <c r="H1864" s="24" t="str">
        <f aca="false">IF(G1864="","",E1864*IFERROR(N(INDEX(Produtos!$F$5:$F$54,MATCH(D1864,Produtos!$B$5:$B$54,0))),0))</f>
        <v/>
      </c>
      <c r="I1864" s="24" t="str">
        <f aca="false">IF(G1864="","",G1864-H1864)</f>
        <v/>
      </c>
      <c r="J1864" s="37"/>
    </row>
    <row r="1865" customFormat="false" ht="21" hidden="false" customHeight="true" outlineLevel="0" collapsed="false">
      <c r="B1865" s="36"/>
      <c r="C1865" s="7"/>
      <c r="D1865" s="7"/>
      <c r="E1865" s="37"/>
      <c r="F1865" s="38"/>
      <c r="G1865" s="24" t="str">
        <f aca="false">IF(OR(C1865="",D1865="",N(E1865)=0),"",E1865*IF(F1865="",IFERROR(N(INDEX(Produtos!$K$5:$K$54,MATCH(D1865,Produtos!$B$5:$B$54,0))),0),F1865))</f>
        <v/>
      </c>
      <c r="H1865" s="24" t="str">
        <f aca="false">IF(G1865="","",E1865*IFERROR(N(INDEX(Produtos!$F$5:$F$54,MATCH(D1865,Produtos!$B$5:$B$54,0))),0))</f>
        <v/>
      </c>
      <c r="I1865" s="24" t="str">
        <f aca="false">IF(G1865="","",G1865-H1865)</f>
        <v/>
      </c>
      <c r="J1865" s="37"/>
    </row>
    <row r="1866" customFormat="false" ht="21" hidden="false" customHeight="true" outlineLevel="0" collapsed="false">
      <c r="B1866" s="36"/>
      <c r="C1866" s="7"/>
      <c r="D1866" s="7"/>
      <c r="E1866" s="37"/>
      <c r="F1866" s="38"/>
      <c r="G1866" s="24" t="str">
        <f aca="false">IF(OR(C1866="",D1866="",N(E1866)=0),"",E1866*IF(F1866="",IFERROR(N(INDEX(Produtos!$K$5:$K$54,MATCH(D1866,Produtos!$B$5:$B$54,0))),0),F1866))</f>
        <v/>
      </c>
      <c r="H1866" s="24" t="str">
        <f aca="false">IF(G1866="","",E1866*IFERROR(N(INDEX(Produtos!$F$5:$F$54,MATCH(D1866,Produtos!$B$5:$B$54,0))),0))</f>
        <v/>
      </c>
      <c r="I1866" s="24" t="str">
        <f aca="false">IF(G1866="","",G1866-H1866)</f>
        <v/>
      </c>
      <c r="J1866" s="37"/>
    </row>
    <row r="1867" customFormat="false" ht="21" hidden="false" customHeight="true" outlineLevel="0" collapsed="false">
      <c r="B1867" s="36"/>
      <c r="C1867" s="7"/>
      <c r="D1867" s="7"/>
      <c r="E1867" s="37"/>
      <c r="F1867" s="38"/>
      <c r="G1867" s="24" t="str">
        <f aca="false">IF(OR(C1867="",D1867="",N(E1867)=0),"",E1867*IF(F1867="",IFERROR(N(INDEX(Produtos!$K$5:$K$54,MATCH(D1867,Produtos!$B$5:$B$54,0))),0),F1867))</f>
        <v/>
      </c>
      <c r="H1867" s="24" t="str">
        <f aca="false">IF(G1867="","",E1867*IFERROR(N(INDEX(Produtos!$F$5:$F$54,MATCH(D1867,Produtos!$B$5:$B$54,0))),0))</f>
        <v/>
      </c>
      <c r="I1867" s="24" t="str">
        <f aca="false">IF(G1867="","",G1867-H1867)</f>
        <v/>
      </c>
      <c r="J1867" s="37"/>
    </row>
    <row r="1868" customFormat="false" ht="21" hidden="false" customHeight="true" outlineLevel="0" collapsed="false">
      <c r="B1868" s="36"/>
      <c r="C1868" s="7"/>
      <c r="D1868" s="7"/>
      <c r="E1868" s="37"/>
      <c r="F1868" s="38"/>
      <c r="G1868" s="24" t="str">
        <f aca="false">IF(OR(C1868="",D1868="",N(E1868)=0),"",E1868*IF(F1868="",IFERROR(N(INDEX(Produtos!$K$5:$K$54,MATCH(D1868,Produtos!$B$5:$B$54,0))),0),F1868))</f>
        <v/>
      </c>
      <c r="H1868" s="24" t="str">
        <f aca="false">IF(G1868="","",E1868*IFERROR(N(INDEX(Produtos!$F$5:$F$54,MATCH(D1868,Produtos!$B$5:$B$54,0))),0))</f>
        <v/>
      </c>
      <c r="I1868" s="24" t="str">
        <f aca="false">IF(G1868="","",G1868-H1868)</f>
        <v/>
      </c>
      <c r="J1868" s="37"/>
    </row>
    <row r="1869" customFormat="false" ht="21" hidden="false" customHeight="true" outlineLevel="0" collapsed="false">
      <c r="B1869" s="36"/>
      <c r="C1869" s="7"/>
      <c r="D1869" s="7"/>
      <c r="E1869" s="37"/>
      <c r="F1869" s="38"/>
      <c r="G1869" s="24" t="str">
        <f aca="false">IF(OR(C1869="",D1869="",N(E1869)=0),"",E1869*IF(F1869="",IFERROR(N(INDEX(Produtos!$K$5:$K$54,MATCH(D1869,Produtos!$B$5:$B$54,0))),0),F1869))</f>
        <v/>
      </c>
      <c r="H1869" s="24" t="str">
        <f aca="false">IF(G1869="","",E1869*IFERROR(N(INDEX(Produtos!$F$5:$F$54,MATCH(D1869,Produtos!$B$5:$B$54,0))),0))</f>
        <v/>
      </c>
      <c r="I1869" s="24" t="str">
        <f aca="false">IF(G1869="","",G1869-H1869)</f>
        <v/>
      </c>
      <c r="J1869" s="37"/>
    </row>
    <row r="1870" customFormat="false" ht="21" hidden="false" customHeight="true" outlineLevel="0" collapsed="false">
      <c r="B1870" s="36"/>
      <c r="C1870" s="7"/>
      <c r="D1870" s="7"/>
      <c r="E1870" s="37"/>
      <c r="F1870" s="38"/>
      <c r="G1870" s="24" t="str">
        <f aca="false">IF(OR(C1870="",D1870="",N(E1870)=0),"",E1870*IF(F1870="",IFERROR(N(INDEX(Produtos!$K$5:$K$54,MATCH(D1870,Produtos!$B$5:$B$54,0))),0),F1870))</f>
        <v/>
      </c>
      <c r="H1870" s="24" t="str">
        <f aca="false">IF(G1870="","",E1870*IFERROR(N(INDEX(Produtos!$F$5:$F$54,MATCH(D1870,Produtos!$B$5:$B$54,0))),0))</f>
        <v/>
      </c>
      <c r="I1870" s="24" t="str">
        <f aca="false">IF(G1870="","",G1870-H1870)</f>
        <v/>
      </c>
      <c r="J1870" s="37"/>
    </row>
    <row r="1871" customFormat="false" ht="21" hidden="false" customHeight="true" outlineLevel="0" collapsed="false">
      <c r="B1871" s="36"/>
      <c r="C1871" s="7"/>
      <c r="D1871" s="7"/>
      <c r="E1871" s="37"/>
      <c r="F1871" s="38"/>
      <c r="G1871" s="24" t="str">
        <f aca="false">IF(OR(C1871="",D1871="",N(E1871)=0),"",E1871*IF(F1871="",IFERROR(N(INDEX(Produtos!$K$5:$K$54,MATCH(D1871,Produtos!$B$5:$B$54,0))),0),F1871))</f>
        <v/>
      </c>
      <c r="H1871" s="24" t="str">
        <f aca="false">IF(G1871="","",E1871*IFERROR(N(INDEX(Produtos!$F$5:$F$54,MATCH(D1871,Produtos!$B$5:$B$54,0))),0))</f>
        <v/>
      </c>
      <c r="I1871" s="24" t="str">
        <f aca="false">IF(G1871="","",G1871-H1871)</f>
        <v/>
      </c>
      <c r="J1871" s="37"/>
    </row>
    <row r="1872" customFormat="false" ht="21" hidden="false" customHeight="true" outlineLevel="0" collapsed="false">
      <c r="B1872" s="36"/>
      <c r="C1872" s="7"/>
      <c r="D1872" s="7"/>
      <c r="E1872" s="37"/>
      <c r="F1872" s="38"/>
      <c r="G1872" s="24" t="str">
        <f aca="false">IF(OR(C1872="",D1872="",N(E1872)=0),"",E1872*IF(F1872="",IFERROR(N(INDEX(Produtos!$K$5:$K$54,MATCH(D1872,Produtos!$B$5:$B$54,0))),0),F1872))</f>
        <v/>
      </c>
      <c r="H1872" s="24" t="str">
        <f aca="false">IF(G1872="","",E1872*IFERROR(N(INDEX(Produtos!$F$5:$F$54,MATCH(D1872,Produtos!$B$5:$B$54,0))),0))</f>
        <v/>
      </c>
      <c r="I1872" s="24" t="str">
        <f aca="false">IF(G1872="","",G1872-H1872)</f>
        <v/>
      </c>
      <c r="J1872" s="37"/>
    </row>
    <row r="1873" customFormat="false" ht="21" hidden="false" customHeight="true" outlineLevel="0" collapsed="false">
      <c r="B1873" s="36"/>
      <c r="C1873" s="7"/>
      <c r="D1873" s="7"/>
      <c r="E1873" s="37"/>
      <c r="F1873" s="38"/>
      <c r="G1873" s="24" t="str">
        <f aca="false">IF(OR(C1873="",D1873="",N(E1873)=0),"",E1873*IF(F1873="",IFERROR(N(INDEX(Produtos!$K$5:$K$54,MATCH(D1873,Produtos!$B$5:$B$54,0))),0),F1873))</f>
        <v/>
      </c>
      <c r="H1873" s="24" t="str">
        <f aca="false">IF(G1873="","",E1873*IFERROR(N(INDEX(Produtos!$F$5:$F$54,MATCH(D1873,Produtos!$B$5:$B$54,0))),0))</f>
        <v/>
      </c>
      <c r="I1873" s="24" t="str">
        <f aca="false">IF(G1873="","",G1873-H1873)</f>
        <v/>
      </c>
      <c r="J1873" s="37"/>
    </row>
    <row r="1874" customFormat="false" ht="21" hidden="false" customHeight="true" outlineLevel="0" collapsed="false">
      <c r="B1874" s="36"/>
      <c r="C1874" s="7"/>
      <c r="D1874" s="7"/>
      <c r="E1874" s="37"/>
      <c r="F1874" s="38"/>
      <c r="G1874" s="24" t="str">
        <f aca="false">IF(OR(C1874="",D1874="",N(E1874)=0),"",E1874*IF(F1874="",IFERROR(N(INDEX(Produtos!$K$5:$K$54,MATCH(D1874,Produtos!$B$5:$B$54,0))),0),F1874))</f>
        <v/>
      </c>
      <c r="H1874" s="24" t="str">
        <f aca="false">IF(G1874="","",E1874*IFERROR(N(INDEX(Produtos!$F$5:$F$54,MATCH(D1874,Produtos!$B$5:$B$54,0))),0))</f>
        <v/>
      </c>
      <c r="I1874" s="24" t="str">
        <f aca="false">IF(G1874="","",G1874-H1874)</f>
        <v/>
      </c>
      <c r="J1874" s="37"/>
    </row>
    <row r="1875" customFormat="false" ht="21" hidden="false" customHeight="true" outlineLevel="0" collapsed="false">
      <c r="B1875" s="36"/>
      <c r="C1875" s="7"/>
      <c r="D1875" s="7"/>
      <c r="E1875" s="37"/>
      <c r="F1875" s="38"/>
      <c r="G1875" s="24" t="str">
        <f aca="false">IF(OR(C1875="",D1875="",N(E1875)=0),"",E1875*IF(F1875="",IFERROR(N(INDEX(Produtos!$K$5:$K$54,MATCH(D1875,Produtos!$B$5:$B$54,0))),0),F1875))</f>
        <v/>
      </c>
      <c r="H1875" s="24" t="str">
        <f aca="false">IF(G1875="","",E1875*IFERROR(N(INDEX(Produtos!$F$5:$F$54,MATCH(D1875,Produtos!$B$5:$B$54,0))),0))</f>
        <v/>
      </c>
      <c r="I1875" s="24" t="str">
        <f aca="false">IF(G1875="","",G1875-H1875)</f>
        <v/>
      </c>
      <c r="J1875" s="37"/>
    </row>
    <row r="1876" customFormat="false" ht="21" hidden="false" customHeight="true" outlineLevel="0" collapsed="false">
      <c r="B1876" s="36"/>
      <c r="C1876" s="7"/>
      <c r="D1876" s="7"/>
      <c r="E1876" s="37"/>
      <c r="F1876" s="38"/>
      <c r="G1876" s="24" t="str">
        <f aca="false">IF(OR(C1876="",D1876="",N(E1876)=0),"",E1876*IF(F1876="",IFERROR(N(INDEX(Produtos!$K$5:$K$54,MATCH(D1876,Produtos!$B$5:$B$54,0))),0),F1876))</f>
        <v/>
      </c>
      <c r="H1876" s="24" t="str">
        <f aca="false">IF(G1876="","",E1876*IFERROR(N(INDEX(Produtos!$F$5:$F$54,MATCH(D1876,Produtos!$B$5:$B$54,0))),0))</f>
        <v/>
      </c>
      <c r="I1876" s="24" t="str">
        <f aca="false">IF(G1876="","",G1876-H1876)</f>
        <v/>
      </c>
      <c r="J1876" s="37"/>
    </row>
    <row r="1877" customFormat="false" ht="21" hidden="false" customHeight="true" outlineLevel="0" collapsed="false">
      <c r="B1877" s="36"/>
      <c r="C1877" s="7"/>
      <c r="D1877" s="7"/>
      <c r="E1877" s="37"/>
      <c r="F1877" s="38"/>
      <c r="G1877" s="24" t="str">
        <f aca="false">IF(OR(C1877="",D1877="",N(E1877)=0),"",E1877*IF(F1877="",IFERROR(N(INDEX(Produtos!$K$5:$K$54,MATCH(D1877,Produtos!$B$5:$B$54,0))),0),F1877))</f>
        <v/>
      </c>
      <c r="H1877" s="24" t="str">
        <f aca="false">IF(G1877="","",E1877*IFERROR(N(INDEX(Produtos!$F$5:$F$54,MATCH(D1877,Produtos!$B$5:$B$54,0))),0))</f>
        <v/>
      </c>
      <c r="I1877" s="24" t="str">
        <f aca="false">IF(G1877="","",G1877-H1877)</f>
        <v/>
      </c>
      <c r="J1877" s="37"/>
    </row>
    <row r="1878" customFormat="false" ht="21" hidden="false" customHeight="true" outlineLevel="0" collapsed="false">
      <c r="B1878" s="36"/>
      <c r="C1878" s="7"/>
      <c r="D1878" s="7"/>
      <c r="E1878" s="37"/>
      <c r="F1878" s="38"/>
      <c r="G1878" s="24" t="str">
        <f aca="false">IF(OR(C1878="",D1878="",N(E1878)=0),"",E1878*IF(F1878="",IFERROR(N(INDEX(Produtos!$K$5:$K$54,MATCH(D1878,Produtos!$B$5:$B$54,0))),0),F1878))</f>
        <v/>
      </c>
      <c r="H1878" s="24" t="str">
        <f aca="false">IF(G1878="","",E1878*IFERROR(N(INDEX(Produtos!$F$5:$F$54,MATCH(D1878,Produtos!$B$5:$B$54,0))),0))</f>
        <v/>
      </c>
      <c r="I1878" s="24" t="str">
        <f aca="false">IF(G1878="","",G1878-H1878)</f>
        <v/>
      </c>
      <c r="J1878" s="37"/>
    </row>
    <row r="1879" customFormat="false" ht="21" hidden="false" customHeight="true" outlineLevel="0" collapsed="false">
      <c r="B1879" s="36"/>
      <c r="C1879" s="7"/>
      <c r="D1879" s="7"/>
      <c r="E1879" s="37"/>
      <c r="F1879" s="38"/>
      <c r="G1879" s="24" t="str">
        <f aca="false">IF(OR(C1879="",D1879="",N(E1879)=0),"",E1879*IF(F1879="",IFERROR(N(INDEX(Produtos!$K$5:$K$54,MATCH(D1879,Produtos!$B$5:$B$54,0))),0),F1879))</f>
        <v/>
      </c>
      <c r="H1879" s="24" t="str">
        <f aca="false">IF(G1879="","",E1879*IFERROR(N(INDEX(Produtos!$F$5:$F$54,MATCH(D1879,Produtos!$B$5:$B$54,0))),0))</f>
        <v/>
      </c>
      <c r="I1879" s="24" t="str">
        <f aca="false">IF(G1879="","",G1879-H1879)</f>
        <v/>
      </c>
      <c r="J1879" s="37"/>
    </row>
    <row r="1880" customFormat="false" ht="21" hidden="false" customHeight="true" outlineLevel="0" collapsed="false">
      <c r="B1880" s="36"/>
      <c r="C1880" s="7"/>
      <c r="D1880" s="7"/>
      <c r="E1880" s="37"/>
      <c r="F1880" s="38"/>
      <c r="G1880" s="24" t="str">
        <f aca="false">IF(OR(C1880="",D1880="",N(E1880)=0),"",E1880*IF(F1880="",IFERROR(N(INDEX(Produtos!$K$5:$K$54,MATCH(D1880,Produtos!$B$5:$B$54,0))),0),F1880))</f>
        <v/>
      </c>
      <c r="H1880" s="24" t="str">
        <f aca="false">IF(G1880="","",E1880*IFERROR(N(INDEX(Produtos!$F$5:$F$54,MATCH(D1880,Produtos!$B$5:$B$54,0))),0))</f>
        <v/>
      </c>
      <c r="I1880" s="24" t="str">
        <f aca="false">IF(G1880="","",G1880-H1880)</f>
        <v/>
      </c>
      <c r="J1880" s="37"/>
    </row>
    <row r="1881" customFormat="false" ht="21" hidden="false" customHeight="true" outlineLevel="0" collapsed="false">
      <c r="B1881" s="36"/>
      <c r="C1881" s="7"/>
      <c r="D1881" s="7"/>
      <c r="E1881" s="37"/>
      <c r="F1881" s="38"/>
      <c r="G1881" s="24" t="str">
        <f aca="false">IF(OR(C1881="",D1881="",N(E1881)=0),"",E1881*IF(F1881="",IFERROR(N(INDEX(Produtos!$K$5:$K$54,MATCH(D1881,Produtos!$B$5:$B$54,0))),0),F1881))</f>
        <v/>
      </c>
      <c r="H1881" s="24" t="str">
        <f aca="false">IF(G1881="","",E1881*IFERROR(N(INDEX(Produtos!$F$5:$F$54,MATCH(D1881,Produtos!$B$5:$B$54,0))),0))</f>
        <v/>
      </c>
      <c r="I1881" s="24" t="str">
        <f aca="false">IF(G1881="","",G1881-H1881)</f>
        <v/>
      </c>
      <c r="J1881" s="37"/>
    </row>
    <row r="1882" customFormat="false" ht="21" hidden="false" customHeight="true" outlineLevel="0" collapsed="false">
      <c r="B1882" s="36"/>
      <c r="C1882" s="7"/>
      <c r="D1882" s="7"/>
      <c r="E1882" s="37"/>
      <c r="F1882" s="38"/>
      <c r="G1882" s="24" t="str">
        <f aca="false">IF(OR(C1882="",D1882="",N(E1882)=0),"",E1882*IF(F1882="",IFERROR(N(INDEX(Produtos!$K$5:$K$54,MATCH(D1882,Produtos!$B$5:$B$54,0))),0),F1882))</f>
        <v/>
      </c>
      <c r="H1882" s="24" t="str">
        <f aca="false">IF(G1882="","",E1882*IFERROR(N(INDEX(Produtos!$F$5:$F$54,MATCH(D1882,Produtos!$B$5:$B$54,0))),0))</f>
        <v/>
      </c>
      <c r="I1882" s="24" t="str">
        <f aca="false">IF(G1882="","",G1882-H1882)</f>
        <v/>
      </c>
      <c r="J1882" s="37"/>
    </row>
    <row r="1883" customFormat="false" ht="21" hidden="false" customHeight="true" outlineLevel="0" collapsed="false">
      <c r="B1883" s="36"/>
      <c r="C1883" s="7"/>
      <c r="D1883" s="7"/>
      <c r="E1883" s="37"/>
      <c r="F1883" s="38"/>
      <c r="G1883" s="24" t="str">
        <f aca="false">IF(OR(C1883="",D1883="",N(E1883)=0),"",E1883*IF(F1883="",IFERROR(N(INDEX(Produtos!$K$5:$K$54,MATCH(D1883,Produtos!$B$5:$B$54,0))),0),F1883))</f>
        <v/>
      </c>
      <c r="H1883" s="24" t="str">
        <f aca="false">IF(G1883="","",E1883*IFERROR(N(INDEX(Produtos!$F$5:$F$54,MATCH(D1883,Produtos!$B$5:$B$54,0))),0))</f>
        <v/>
      </c>
      <c r="I1883" s="24" t="str">
        <f aca="false">IF(G1883="","",G1883-H1883)</f>
        <v/>
      </c>
      <c r="J1883" s="37"/>
    </row>
    <row r="1884" customFormat="false" ht="21" hidden="false" customHeight="true" outlineLevel="0" collapsed="false">
      <c r="B1884" s="36"/>
      <c r="C1884" s="7"/>
      <c r="D1884" s="7"/>
      <c r="E1884" s="37"/>
      <c r="F1884" s="38"/>
      <c r="G1884" s="24" t="str">
        <f aca="false">IF(OR(C1884="",D1884="",N(E1884)=0),"",E1884*IF(F1884="",IFERROR(N(INDEX(Produtos!$K$5:$K$54,MATCH(D1884,Produtos!$B$5:$B$54,0))),0),F1884))</f>
        <v/>
      </c>
      <c r="H1884" s="24" t="str">
        <f aca="false">IF(G1884="","",E1884*IFERROR(N(INDEX(Produtos!$F$5:$F$54,MATCH(D1884,Produtos!$B$5:$B$54,0))),0))</f>
        <v/>
      </c>
      <c r="I1884" s="24" t="str">
        <f aca="false">IF(G1884="","",G1884-H1884)</f>
        <v/>
      </c>
      <c r="J1884" s="37"/>
    </row>
    <row r="1885" customFormat="false" ht="21" hidden="false" customHeight="true" outlineLevel="0" collapsed="false">
      <c r="B1885" s="36"/>
      <c r="C1885" s="7"/>
      <c r="D1885" s="7"/>
      <c r="E1885" s="37"/>
      <c r="F1885" s="38"/>
      <c r="G1885" s="24" t="str">
        <f aca="false">IF(OR(C1885="",D1885="",N(E1885)=0),"",E1885*IF(F1885="",IFERROR(N(INDEX(Produtos!$K$5:$K$54,MATCH(D1885,Produtos!$B$5:$B$54,0))),0),F1885))</f>
        <v/>
      </c>
      <c r="H1885" s="24" t="str">
        <f aca="false">IF(G1885="","",E1885*IFERROR(N(INDEX(Produtos!$F$5:$F$54,MATCH(D1885,Produtos!$B$5:$B$54,0))),0))</f>
        <v/>
      </c>
      <c r="I1885" s="24" t="str">
        <f aca="false">IF(G1885="","",G1885-H1885)</f>
        <v/>
      </c>
      <c r="J1885" s="37"/>
    </row>
    <row r="1886" customFormat="false" ht="21" hidden="false" customHeight="true" outlineLevel="0" collapsed="false">
      <c r="B1886" s="36"/>
      <c r="C1886" s="7"/>
      <c r="D1886" s="7"/>
      <c r="E1886" s="37"/>
      <c r="F1886" s="38"/>
      <c r="G1886" s="24" t="str">
        <f aca="false">IF(OR(C1886="",D1886="",N(E1886)=0),"",E1886*IF(F1886="",IFERROR(N(INDEX(Produtos!$K$5:$K$54,MATCH(D1886,Produtos!$B$5:$B$54,0))),0),F1886))</f>
        <v/>
      </c>
      <c r="H1886" s="24" t="str">
        <f aca="false">IF(G1886="","",E1886*IFERROR(N(INDEX(Produtos!$F$5:$F$54,MATCH(D1886,Produtos!$B$5:$B$54,0))),0))</f>
        <v/>
      </c>
      <c r="I1886" s="24" t="str">
        <f aca="false">IF(G1886="","",G1886-H1886)</f>
        <v/>
      </c>
      <c r="J1886" s="37"/>
    </row>
    <row r="1887" customFormat="false" ht="21" hidden="false" customHeight="true" outlineLevel="0" collapsed="false">
      <c r="B1887" s="36"/>
      <c r="C1887" s="7"/>
      <c r="D1887" s="7"/>
      <c r="E1887" s="37"/>
      <c r="F1887" s="38"/>
      <c r="G1887" s="24" t="str">
        <f aca="false">IF(OR(C1887="",D1887="",N(E1887)=0),"",E1887*IF(F1887="",IFERROR(N(INDEX(Produtos!$K$5:$K$54,MATCH(D1887,Produtos!$B$5:$B$54,0))),0),F1887))</f>
        <v/>
      </c>
      <c r="H1887" s="24" t="str">
        <f aca="false">IF(G1887="","",E1887*IFERROR(N(INDEX(Produtos!$F$5:$F$54,MATCH(D1887,Produtos!$B$5:$B$54,0))),0))</f>
        <v/>
      </c>
      <c r="I1887" s="24" t="str">
        <f aca="false">IF(G1887="","",G1887-H1887)</f>
        <v/>
      </c>
      <c r="J1887" s="37"/>
    </row>
    <row r="1888" customFormat="false" ht="21" hidden="false" customHeight="true" outlineLevel="0" collapsed="false">
      <c r="B1888" s="36"/>
      <c r="C1888" s="7"/>
      <c r="D1888" s="7"/>
      <c r="E1888" s="37"/>
      <c r="F1888" s="38"/>
      <c r="G1888" s="24" t="str">
        <f aca="false">IF(OR(C1888="",D1888="",N(E1888)=0),"",E1888*IF(F1888="",IFERROR(N(INDEX(Produtos!$K$5:$K$54,MATCH(D1888,Produtos!$B$5:$B$54,0))),0),F1888))</f>
        <v/>
      </c>
      <c r="H1888" s="24" t="str">
        <f aca="false">IF(G1888="","",E1888*IFERROR(N(INDEX(Produtos!$F$5:$F$54,MATCH(D1888,Produtos!$B$5:$B$54,0))),0))</f>
        <v/>
      </c>
      <c r="I1888" s="24" t="str">
        <f aca="false">IF(G1888="","",G1888-H1888)</f>
        <v/>
      </c>
      <c r="J1888" s="37"/>
    </row>
    <row r="1889" customFormat="false" ht="21" hidden="false" customHeight="true" outlineLevel="0" collapsed="false">
      <c r="B1889" s="36"/>
      <c r="C1889" s="7"/>
      <c r="D1889" s="7"/>
      <c r="E1889" s="37"/>
      <c r="F1889" s="38"/>
      <c r="G1889" s="24" t="str">
        <f aca="false">IF(OR(C1889="",D1889="",N(E1889)=0),"",E1889*IF(F1889="",IFERROR(N(INDEX(Produtos!$K$5:$K$54,MATCH(D1889,Produtos!$B$5:$B$54,0))),0),F1889))</f>
        <v/>
      </c>
      <c r="H1889" s="24" t="str">
        <f aca="false">IF(G1889="","",E1889*IFERROR(N(INDEX(Produtos!$F$5:$F$54,MATCH(D1889,Produtos!$B$5:$B$54,0))),0))</f>
        <v/>
      </c>
      <c r="I1889" s="24" t="str">
        <f aca="false">IF(G1889="","",G1889-H1889)</f>
        <v/>
      </c>
      <c r="J1889" s="37"/>
    </row>
    <row r="1890" customFormat="false" ht="21" hidden="false" customHeight="true" outlineLevel="0" collapsed="false">
      <c r="B1890" s="36"/>
      <c r="C1890" s="7"/>
      <c r="D1890" s="7"/>
      <c r="E1890" s="37"/>
      <c r="F1890" s="38"/>
      <c r="G1890" s="24" t="str">
        <f aca="false">IF(OR(C1890="",D1890="",N(E1890)=0),"",E1890*IF(F1890="",IFERROR(N(INDEX(Produtos!$K$5:$K$54,MATCH(D1890,Produtos!$B$5:$B$54,0))),0),F1890))</f>
        <v/>
      </c>
      <c r="H1890" s="24" t="str">
        <f aca="false">IF(G1890="","",E1890*IFERROR(N(INDEX(Produtos!$F$5:$F$54,MATCH(D1890,Produtos!$B$5:$B$54,0))),0))</f>
        <v/>
      </c>
      <c r="I1890" s="24" t="str">
        <f aca="false">IF(G1890="","",G1890-H1890)</f>
        <v/>
      </c>
      <c r="J1890" s="37"/>
    </row>
    <row r="1891" customFormat="false" ht="21" hidden="false" customHeight="true" outlineLevel="0" collapsed="false">
      <c r="B1891" s="36"/>
      <c r="C1891" s="7"/>
      <c r="D1891" s="7"/>
      <c r="E1891" s="37"/>
      <c r="F1891" s="38"/>
      <c r="G1891" s="24" t="str">
        <f aca="false">IF(OR(C1891="",D1891="",N(E1891)=0),"",E1891*IF(F1891="",IFERROR(N(INDEX(Produtos!$K$5:$K$54,MATCH(D1891,Produtos!$B$5:$B$54,0))),0),F1891))</f>
        <v/>
      </c>
      <c r="H1891" s="24" t="str">
        <f aca="false">IF(G1891="","",E1891*IFERROR(N(INDEX(Produtos!$F$5:$F$54,MATCH(D1891,Produtos!$B$5:$B$54,0))),0))</f>
        <v/>
      </c>
      <c r="I1891" s="24" t="str">
        <f aca="false">IF(G1891="","",G1891-H1891)</f>
        <v/>
      </c>
      <c r="J1891" s="37"/>
    </row>
    <row r="1892" customFormat="false" ht="21" hidden="false" customHeight="true" outlineLevel="0" collapsed="false">
      <c r="B1892" s="36"/>
      <c r="C1892" s="7"/>
      <c r="D1892" s="7"/>
      <c r="E1892" s="37"/>
      <c r="F1892" s="38"/>
      <c r="G1892" s="24" t="str">
        <f aca="false">IF(OR(C1892="",D1892="",N(E1892)=0),"",E1892*IF(F1892="",IFERROR(N(INDEX(Produtos!$K$5:$K$54,MATCH(D1892,Produtos!$B$5:$B$54,0))),0),F1892))</f>
        <v/>
      </c>
      <c r="H1892" s="24" t="str">
        <f aca="false">IF(G1892="","",E1892*IFERROR(N(INDEX(Produtos!$F$5:$F$54,MATCH(D1892,Produtos!$B$5:$B$54,0))),0))</f>
        <v/>
      </c>
      <c r="I1892" s="24" t="str">
        <f aca="false">IF(G1892="","",G1892-H1892)</f>
        <v/>
      </c>
      <c r="J1892" s="37"/>
    </row>
    <row r="1893" customFormat="false" ht="21" hidden="false" customHeight="true" outlineLevel="0" collapsed="false">
      <c r="B1893" s="36"/>
      <c r="C1893" s="7"/>
      <c r="D1893" s="7"/>
      <c r="E1893" s="37"/>
      <c r="F1893" s="38"/>
      <c r="G1893" s="24" t="str">
        <f aca="false">IF(OR(C1893="",D1893="",N(E1893)=0),"",E1893*IF(F1893="",IFERROR(N(INDEX(Produtos!$K$5:$K$54,MATCH(D1893,Produtos!$B$5:$B$54,0))),0),F1893))</f>
        <v/>
      </c>
      <c r="H1893" s="24" t="str">
        <f aca="false">IF(G1893="","",E1893*IFERROR(N(INDEX(Produtos!$F$5:$F$54,MATCH(D1893,Produtos!$B$5:$B$54,0))),0))</f>
        <v/>
      </c>
      <c r="I1893" s="24" t="str">
        <f aca="false">IF(G1893="","",G1893-H1893)</f>
        <v/>
      </c>
      <c r="J1893" s="37"/>
    </row>
    <row r="1894" customFormat="false" ht="21" hidden="false" customHeight="true" outlineLevel="0" collapsed="false">
      <c r="B1894" s="36"/>
      <c r="C1894" s="7"/>
      <c r="D1894" s="7"/>
      <c r="E1894" s="37"/>
      <c r="F1894" s="38"/>
      <c r="G1894" s="24" t="str">
        <f aca="false">IF(OR(C1894="",D1894="",N(E1894)=0),"",E1894*IF(F1894="",IFERROR(N(INDEX(Produtos!$K$5:$K$54,MATCH(D1894,Produtos!$B$5:$B$54,0))),0),F1894))</f>
        <v/>
      </c>
      <c r="H1894" s="24" t="str">
        <f aca="false">IF(G1894="","",E1894*IFERROR(N(INDEX(Produtos!$F$5:$F$54,MATCH(D1894,Produtos!$B$5:$B$54,0))),0))</f>
        <v/>
      </c>
      <c r="I1894" s="24" t="str">
        <f aca="false">IF(G1894="","",G1894-H1894)</f>
        <v/>
      </c>
      <c r="J1894" s="37"/>
    </row>
    <row r="1895" customFormat="false" ht="21" hidden="false" customHeight="true" outlineLevel="0" collapsed="false">
      <c r="B1895" s="36"/>
      <c r="C1895" s="7"/>
      <c r="D1895" s="7"/>
      <c r="E1895" s="37"/>
      <c r="F1895" s="38"/>
      <c r="G1895" s="24" t="str">
        <f aca="false">IF(OR(C1895="",D1895="",N(E1895)=0),"",E1895*IF(F1895="",IFERROR(N(INDEX(Produtos!$K$5:$K$54,MATCH(D1895,Produtos!$B$5:$B$54,0))),0),F1895))</f>
        <v/>
      </c>
      <c r="H1895" s="24" t="str">
        <f aca="false">IF(G1895="","",E1895*IFERROR(N(INDEX(Produtos!$F$5:$F$54,MATCH(D1895,Produtos!$B$5:$B$54,0))),0))</f>
        <v/>
      </c>
      <c r="I1895" s="24" t="str">
        <f aca="false">IF(G1895="","",G1895-H1895)</f>
        <v/>
      </c>
      <c r="J1895" s="37"/>
    </row>
    <row r="1896" customFormat="false" ht="21" hidden="false" customHeight="true" outlineLevel="0" collapsed="false">
      <c r="B1896" s="36"/>
      <c r="C1896" s="7"/>
      <c r="D1896" s="7"/>
      <c r="E1896" s="37"/>
      <c r="F1896" s="38"/>
      <c r="G1896" s="24" t="str">
        <f aca="false">IF(OR(C1896="",D1896="",N(E1896)=0),"",E1896*IF(F1896="",IFERROR(N(INDEX(Produtos!$K$5:$K$54,MATCH(D1896,Produtos!$B$5:$B$54,0))),0),F1896))</f>
        <v/>
      </c>
      <c r="H1896" s="24" t="str">
        <f aca="false">IF(G1896="","",E1896*IFERROR(N(INDEX(Produtos!$F$5:$F$54,MATCH(D1896,Produtos!$B$5:$B$54,0))),0))</f>
        <v/>
      </c>
      <c r="I1896" s="24" t="str">
        <f aca="false">IF(G1896="","",G1896-H1896)</f>
        <v/>
      </c>
      <c r="J1896" s="37"/>
    </row>
    <row r="1897" customFormat="false" ht="21" hidden="false" customHeight="true" outlineLevel="0" collapsed="false">
      <c r="B1897" s="36"/>
      <c r="C1897" s="7"/>
      <c r="D1897" s="7"/>
      <c r="E1897" s="37"/>
      <c r="F1897" s="38"/>
      <c r="G1897" s="24" t="str">
        <f aca="false">IF(OR(C1897="",D1897="",N(E1897)=0),"",E1897*IF(F1897="",IFERROR(N(INDEX(Produtos!$K$5:$K$54,MATCH(D1897,Produtos!$B$5:$B$54,0))),0),F1897))</f>
        <v/>
      </c>
      <c r="H1897" s="24" t="str">
        <f aca="false">IF(G1897="","",E1897*IFERROR(N(INDEX(Produtos!$F$5:$F$54,MATCH(D1897,Produtos!$B$5:$B$54,0))),0))</f>
        <v/>
      </c>
      <c r="I1897" s="24" t="str">
        <f aca="false">IF(G1897="","",G1897-H1897)</f>
        <v/>
      </c>
      <c r="J1897" s="37"/>
    </row>
    <row r="1898" customFormat="false" ht="21" hidden="false" customHeight="true" outlineLevel="0" collapsed="false">
      <c r="B1898" s="36"/>
      <c r="C1898" s="7"/>
      <c r="D1898" s="7"/>
      <c r="E1898" s="37"/>
      <c r="F1898" s="38"/>
      <c r="G1898" s="24" t="str">
        <f aca="false">IF(OR(C1898="",D1898="",N(E1898)=0),"",E1898*IF(F1898="",IFERROR(N(INDEX(Produtos!$K$5:$K$54,MATCH(D1898,Produtos!$B$5:$B$54,0))),0),F1898))</f>
        <v/>
      </c>
      <c r="H1898" s="24" t="str">
        <f aca="false">IF(G1898="","",E1898*IFERROR(N(INDEX(Produtos!$F$5:$F$54,MATCH(D1898,Produtos!$B$5:$B$54,0))),0))</f>
        <v/>
      </c>
      <c r="I1898" s="24" t="str">
        <f aca="false">IF(G1898="","",G1898-H1898)</f>
        <v/>
      </c>
      <c r="J1898" s="37"/>
    </row>
    <row r="1899" customFormat="false" ht="21" hidden="false" customHeight="true" outlineLevel="0" collapsed="false">
      <c r="B1899" s="36"/>
      <c r="C1899" s="7"/>
      <c r="D1899" s="7"/>
      <c r="E1899" s="37"/>
      <c r="F1899" s="38"/>
      <c r="G1899" s="24" t="str">
        <f aca="false">IF(OR(C1899="",D1899="",N(E1899)=0),"",E1899*IF(F1899="",IFERROR(N(INDEX(Produtos!$K$5:$K$54,MATCH(D1899,Produtos!$B$5:$B$54,0))),0),F1899))</f>
        <v/>
      </c>
      <c r="H1899" s="24" t="str">
        <f aca="false">IF(G1899="","",E1899*IFERROR(N(INDEX(Produtos!$F$5:$F$54,MATCH(D1899,Produtos!$B$5:$B$54,0))),0))</f>
        <v/>
      </c>
      <c r="I1899" s="24" t="str">
        <f aca="false">IF(G1899="","",G1899-H1899)</f>
        <v/>
      </c>
      <c r="J1899" s="37"/>
    </row>
    <row r="1900" customFormat="false" ht="21" hidden="false" customHeight="true" outlineLevel="0" collapsed="false">
      <c r="B1900" s="36"/>
      <c r="C1900" s="7"/>
      <c r="D1900" s="7"/>
      <c r="E1900" s="37"/>
      <c r="F1900" s="38"/>
      <c r="G1900" s="24" t="str">
        <f aca="false">IF(OR(C1900="",D1900="",N(E1900)=0),"",E1900*IF(F1900="",IFERROR(N(INDEX(Produtos!$K$5:$K$54,MATCH(D1900,Produtos!$B$5:$B$54,0))),0),F1900))</f>
        <v/>
      </c>
      <c r="H1900" s="24" t="str">
        <f aca="false">IF(G1900="","",E1900*IFERROR(N(INDEX(Produtos!$F$5:$F$54,MATCH(D1900,Produtos!$B$5:$B$54,0))),0))</f>
        <v/>
      </c>
      <c r="I1900" s="24" t="str">
        <f aca="false">IF(G1900="","",G1900-H1900)</f>
        <v/>
      </c>
      <c r="J1900" s="37"/>
    </row>
    <row r="1901" customFormat="false" ht="21" hidden="false" customHeight="true" outlineLevel="0" collapsed="false">
      <c r="B1901" s="36"/>
      <c r="C1901" s="7"/>
      <c r="D1901" s="7"/>
      <c r="E1901" s="37"/>
      <c r="F1901" s="38"/>
      <c r="G1901" s="24" t="str">
        <f aca="false">IF(OR(C1901="",D1901="",N(E1901)=0),"",E1901*IF(F1901="",IFERROR(N(INDEX(Produtos!$K$5:$K$54,MATCH(D1901,Produtos!$B$5:$B$54,0))),0),F1901))</f>
        <v/>
      </c>
      <c r="H1901" s="24" t="str">
        <f aca="false">IF(G1901="","",E1901*IFERROR(N(INDEX(Produtos!$F$5:$F$54,MATCH(D1901,Produtos!$B$5:$B$54,0))),0))</f>
        <v/>
      </c>
      <c r="I1901" s="24" t="str">
        <f aca="false">IF(G1901="","",G1901-H1901)</f>
        <v/>
      </c>
      <c r="J1901" s="37"/>
    </row>
    <row r="1902" customFormat="false" ht="21" hidden="false" customHeight="true" outlineLevel="0" collapsed="false">
      <c r="B1902" s="36"/>
      <c r="C1902" s="7"/>
      <c r="D1902" s="7"/>
      <c r="E1902" s="37"/>
      <c r="F1902" s="38"/>
      <c r="G1902" s="24" t="str">
        <f aca="false">IF(OR(C1902="",D1902="",N(E1902)=0),"",E1902*IF(F1902="",IFERROR(N(INDEX(Produtos!$K$5:$K$54,MATCH(D1902,Produtos!$B$5:$B$54,0))),0),F1902))</f>
        <v/>
      </c>
      <c r="H1902" s="24" t="str">
        <f aca="false">IF(G1902="","",E1902*IFERROR(N(INDEX(Produtos!$F$5:$F$54,MATCH(D1902,Produtos!$B$5:$B$54,0))),0))</f>
        <v/>
      </c>
      <c r="I1902" s="24" t="str">
        <f aca="false">IF(G1902="","",G1902-H1902)</f>
        <v/>
      </c>
      <c r="J1902" s="37"/>
    </row>
    <row r="1903" customFormat="false" ht="21" hidden="false" customHeight="true" outlineLevel="0" collapsed="false">
      <c r="B1903" s="36"/>
      <c r="C1903" s="7"/>
      <c r="D1903" s="7"/>
      <c r="E1903" s="37"/>
      <c r="F1903" s="38"/>
      <c r="G1903" s="24" t="str">
        <f aca="false">IF(OR(C1903="",D1903="",N(E1903)=0),"",E1903*IF(F1903="",IFERROR(N(INDEX(Produtos!$K$5:$K$54,MATCH(D1903,Produtos!$B$5:$B$54,0))),0),F1903))</f>
        <v/>
      </c>
      <c r="H1903" s="24" t="str">
        <f aca="false">IF(G1903="","",E1903*IFERROR(N(INDEX(Produtos!$F$5:$F$54,MATCH(D1903,Produtos!$B$5:$B$54,0))),0))</f>
        <v/>
      </c>
      <c r="I1903" s="24" t="str">
        <f aca="false">IF(G1903="","",G1903-H1903)</f>
        <v/>
      </c>
      <c r="J1903" s="37"/>
    </row>
    <row r="1904" customFormat="false" ht="21" hidden="false" customHeight="true" outlineLevel="0" collapsed="false">
      <c r="B1904" s="36"/>
      <c r="C1904" s="7"/>
      <c r="D1904" s="7"/>
      <c r="E1904" s="37"/>
      <c r="F1904" s="38"/>
      <c r="G1904" s="24" t="str">
        <f aca="false">IF(OR(C1904="",D1904="",N(E1904)=0),"",E1904*IF(F1904="",IFERROR(N(INDEX(Produtos!$K$5:$K$54,MATCH(D1904,Produtos!$B$5:$B$54,0))),0),F1904))</f>
        <v/>
      </c>
      <c r="H1904" s="24" t="str">
        <f aca="false">IF(G1904="","",E1904*IFERROR(N(INDEX(Produtos!$F$5:$F$54,MATCH(D1904,Produtos!$B$5:$B$54,0))),0))</f>
        <v/>
      </c>
      <c r="I1904" s="24" t="str">
        <f aca="false">IF(G1904="","",G1904-H1904)</f>
        <v/>
      </c>
      <c r="J1904" s="37"/>
    </row>
    <row r="1905" customFormat="false" ht="21" hidden="false" customHeight="true" outlineLevel="0" collapsed="false">
      <c r="B1905" s="36"/>
      <c r="C1905" s="7"/>
      <c r="D1905" s="7"/>
      <c r="E1905" s="37"/>
      <c r="F1905" s="38"/>
      <c r="G1905" s="24" t="str">
        <f aca="false">IF(OR(C1905="",D1905="",N(E1905)=0),"",E1905*IF(F1905="",IFERROR(N(INDEX(Produtos!$K$5:$K$54,MATCH(D1905,Produtos!$B$5:$B$54,0))),0),F1905))</f>
        <v/>
      </c>
      <c r="H1905" s="24" t="str">
        <f aca="false">IF(G1905="","",E1905*IFERROR(N(INDEX(Produtos!$F$5:$F$54,MATCH(D1905,Produtos!$B$5:$B$54,0))),0))</f>
        <v/>
      </c>
      <c r="I1905" s="24" t="str">
        <f aca="false">IF(G1905="","",G1905-H1905)</f>
        <v/>
      </c>
      <c r="J1905" s="37"/>
    </row>
    <row r="1906" customFormat="false" ht="21" hidden="false" customHeight="true" outlineLevel="0" collapsed="false">
      <c r="B1906" s="36"/>
      <c r="C1906" s="7"/>
      <c r="D1906" s="7"/>
      <c r="E1906" s="37"/>
      <c r="F1906" s="38"/>
      <c r="G1906" s="24" t="str">
        <f aca="false">IF(OR(C1906="",D1906="",N(E1906)=0),"",E1906*IF(F1906="",IFERROR(N(INDEX(Produtos!$K$5:$K$54,MATCH(D1906,Produtos!$B$5:$B$54,0))),0),F1906))</f>
        <v/>
      </c>
      <c r="H1906" s="24" t="str">
        <f aca="false">IF(G1906="","",E1906*IFERROR(N(INDEX(Produtos!$F$5:$F$54,MATCH(D1906,Produtos!$B$5:$B$54,0))),0))</f>
        <v/>
      </c>
      <c r="I1906" s="24" t="str">
        <f aca="false">IF(G1906="","",G1906-H1906)</f>
        <v/>
      </c>
      <c r="J1906" s="37"/>
    </row>
    <row r="1907" customFormat="false" ht="21" hidden="false" customHeight="true" outlineLevel="0" collapsed="false">
      <c r="B1907" s="36"/>
      <c r="C1907" s="7"/>
      <c r="D1907" s="7"/>
      <c r="E1907" s="37"/>
      <c r="F1907" s="38"/>
      <c r="G1907" s="24" t="str">
        <f aca="false">IF(OR(C1907="",D1907="",N(E1907)=0),"",E1907*IF(F1907="",IFERROR(N(INDEX(Produtos!$K$5:$K$54,MATCH(D1907,Produtos!$B$5:$B$54,0))),0),F1907))</f>
        <v/>
      </c>
      <c r="H1907" s="24" t="str">
        <f aca="false">IF(G1907="","",E1907*IFERROR(N(INDEX(Produtos!$F$5:$F$54,MATCH(D1907,Produtos!$B$5:$B$54,0))),0))</f>
        <v/>
      </c>
      <c r="I1907" s="24" t="str">
        <f aca="false">IF(G1907="","",G1907-H1907)</f>
        <v/>
      </c>
      <c r="J1907" s="37"/>
    </row>
    <row r="1908" customFormat="false" ht="21" hidden="false" customHeight="true" outlineLevel="0" collapsed="false">
      <c r="B1908" s="36"/>
      <c r="C1908" s="7"/>
      <c r="D1908" s="7"/>
      <c r="E1908" s="37"/>
      <c r="F1908" s="38"/>
      <c r="G1908" s="24" t="str">
        <f aca="false">IF(OR(C1908="",D1908="",N(E1908)=0),"",E1908*IF(F1908="",IFERROR(N(INDEX(Produtos!$K$5:$K$54,MATCH(D1908,Produtos!$B$5:$B$54,0))),0),F1908))</f>
        <v/>
      </c>
      <c r="H1908" s="24" t="str">
        <f aca="false">IF(G1908="","",E1908*IFERROR(N(INDEX(Produtos!$F$5:$F$54,MATCH(D1908,Produtos!$B$5:$B$54,0))),0))</f>
        <v/>
      </c>
      <c r="I1908" s="24" t="str">
        <f aca="false">IF(G1908="","",G1908-H1908)</f>
        <v/>
      </c>
      <c r="J1908" s="37"/>
    </row>
    <row r="1909" customFormat="false" ht="21" hidden="false" customHeight="true" outlineLevel="0" collapsed="false">
      <c r="B1909" s="36"/>
      <c r="C1909" s="7"/>
      <c r="D1909" s="7"/>
      <c r="E1909" s="37"/>
      <c r="F1909" s="38"/>
      <c r="G1909" s="24" t="str">
        <f aca="false">IF(OR(C1909="",D1909="",N(E1909)=0),"",E1909*IF(F1909="",IFERROR(N(INDEX(Produtos!$K$5:$K$54,MATCH(D1909,Produtos!$B$5:$B$54,0))),0),F1909))</f>
        <v/>
      </c>
      <c r="H1909" s="24" t="str">
        <f aca="false">IF(G1909="","",E1909*IFERROR(N(INDEX(Produtos!$F$5:$F$54,MATCH(D1909,Produtos!$B$5:$B$54,0))),0))</f>
        <v/>
      </c>
      <c r="I1909" s="24" t="str">
        <f aca="false">IF(G1909="","",G1909-H1909)</f>
        <v/>
      </c>
      <c r="J1909" s="37"/>
    </row>
    <row r="1910" customFormat="false" ht="21" hidden="false" customHeight="true" outlineLevel="0" collapsed="false">
      <c r="B1910" s="36"/>
      <c r="C1910" s="7"/>
      <c r="D1910" s="7"/>
      <c r="E1910" s="37"/>
      <c r="F1910" s="38"/>
      <c r="G1910" s="24" t="str">
        <f aca="false">IF(OR(C1910="",D1910="",N(E1910)=0),"",E1910*IF(F1910="",IFERROR(N(INDEX(Produtos!$K$5:$K$54,MATCH(D1910,Produtos!$B$5:$B$54,0))),0),F1910))</f>
        <v/>
      </c>
      <c r="H1910" s="24" t="str">
        <f aca="false">IF(G1910="","",E1910*IFERROR(N(INDEX(Produtos!$F$5:$F$54,MATCH(D1910,Produtos!$B$5:$B$54,0))),0))</f>
        <v/>
      </c>
      <c r="I1910" s="24" t="str">
        <f aca="false">IF(G1910="","",G1910-H1910)</f>
        <v/>
      </c>
      <c r="J1910" s="37"/>
    </row>
    <row r="1911" customFormat="false" ht="21" hidden="false" customHeight="true" outlineLevel="0" collapsed="false">
      <c r="B1911" s="36"/>
      <c r="C1911" s="7"/>
      <c r="D1911" s="7"/>
      <c r="E1911" s="37"/>
      <c r="F1911" s="38"/>
      <c r="G1911" s="24" t="str">
        <f aca="false">IF(OR(C1911="",D1911="",N(E1911)=0),"",E1911*IF(F1911="",IFERROR(N(INDEX(Produtos!$K$5:$K$54,MATCH(D1911,Produtos!$B$5:$B$54,0))),0),F1911))</f>
        <v/>
      </c>
      <c r="H1911" s="24" t="str">
        <f aca="false">IF(G1911="","",E1911*IFERROR(N(INDEX(Produtos!$F$5:$F$54,MATCH(D1911,Produtos!$B$5:$B$54,0))),0))</f>
        <v/>
      </c>
      <c r="I1911" s="24" t="str">
        <f aca="false">IF(G1911="","",G1911-H1911)</f>
        <v/>
      </c>
      <c r="J1911" s="37"/>
    </row>
    <row r="1912" customFormat="false" ht="21" hidden="false" customHeight="true" outlineLevel="0" collapsed="false">
      <c r="B1912" s="36"/>
      <c r="C1912" s="7"/>
      <c r="D1912" s="7"/>
      <c r="E1912" s="37"/>
      <c r="F1912" s="38"/>
      <c r="G1912" s="24" t="str">
        <f aca="false">IF(OR(C1912="",D1912="",N(E1912)=0),"",E1912*IF(F1912="",IFERROR(N(INDEX(Produtos!$K$5:$K$54,MATCH(D1912,Produtos!$B$5:$B$54,0))),0),F1912))</f>
        <v/>
      </c>
      <c r="H1912" s="24" t="str">
        <f aca="false">IF(G1912="","",E1912*IFERROR(N(INDEX(Produtos!$F$5:$F$54,MATCH(D1912,Produtos!$B$5:$B$54,0))),0))</f>
        <v/>
      </c>
      <c r="I1912" s="24" t="str">
        <f aca="false">IF(G1912="","",G1912-H1912)</f>
        <v/>
      </c>
      <c r="J1912" s="37"/>
    </row>
    <row r="1913" customFormat="false" ht="21" hidden="false" customHeight="true" outlineLevel="0" collapsed="false">
      <c r="B1913" s="36"/>
      <c r="C1913" s="7"/>
      <c r="D1913" s="7"/>
      <c r="E1913" s="37"/>
      <c r="F1913" s="38"/>
      <c r="G1913" s="24" t="str">
        <f aca="false">IF(OR(C1913="",D1913="",N(E1913)=0),"",E1913*IF(F1913="",IFERROR(N(INDEX(Produtos!$K$5:$K$54,MATCH(D1913,Produtos!$B$5:$B$54,0))),0),F1913))</f>
        <v/>
      </c>
      <c r="H1913" s="24" t="str">
        <f aca="false">IF(G1913="","",E1913*IFERROR(N(INDEX(Produtos!$F$5:$F$54,MATCH(D1913,Produtos!$B$5:$B$54,0))),0))</f>
        <v/>
      </c>
      <c r="I1913" s="24" t="str">
        <f aca="false">IF(G1913="","",G1913-H1913)</f>
        <v/>
      </c>
      <c r="J1913" s="37"/>
    </row>
    <row r="1914" customFormat="false" ht="21" hidden="false" customHeight="true" outlineLevel="0" collapsed="false">
      <c r="B1914" s="36"/>
      <c r="C1914" s="7"/>
      <c r="D1914" s="7"/>
      <c r="E1914" s="37"/>
      <c r="F1914" s="38"/>
      <c r="G1914" s="24" t="str">
        <f aca="false">IF(OR(C1914="",D1914="",N(E1914)=0),"",E1914*IF(F1914="",IFERROR(N(INDEX(Produtos!$K$5:$K$54,MATCH(D1914,Produtos!$B$5:$B$54,0))),0),F1914))</f>
        <v/>
      </c>
      <c r="H1914" s="24" t="str">
        <f aca="false">IF(G1914="","",E1914*IFERROR(N(INDEX(Produtos!$F$5:$F$54,MATCH(D1914,Produtos!$B$5:$B$54,0))),0))</f>
        <v/>
      </c>
      <c r="I1914" s="24" t="str">
        <f aca="false">IF(G1914="","",G1914-H1914)</f>
        <v/>
      </c>
      <c r="J1914" s="37"/>
    </row>
    <row r="1915" customFormat="false" ht="21" hidden="false" customHeight="true" outlineLevel="0" collapsed="false">
      <c r="B1915" s="36"/>
      <c r="C1915" s="7"/>
      <c r="D1915" s="7"/>
      <c r="E1915" s="37"/>
      <c r="F1915" s="38"/>
      <c r="G1915" s="24" t="str">
        <f aca="false">IF(OR(C1915="",D1915="",N(E1915)=0),"",E1915*IF(F1915="",IFERROR(N(INDEX(Produtos!$K$5:$K$54,MATCH(D1915,Produtos!$B$5:$B$54,0))),0),F1915))</f>
        <v/>
      </c>
      <c r="H1915" s="24" t="str">
        <f aca="false">IF(G1915="","",E1915*IFERROR(N(INDEX(Produtos!$F$5:$F$54,MATCH(D1915,Produtos!$B$5:$B$54,0))),0))</f>
        <v/>
      </c>
      <c r="I1915" s="24" t="str">
        <f aca="false">IF(G1915="","",G1915-H1915)</f>
        <v/>
      </c>
      <c r="J1915" s="37"/>
    </row>
    <row r="1916" customFormat="false" ht="21" hidden="false" customHeight="true" outlineLevel="0" collapsed="false">
      <c r="B1916" s="36"/>
      <c r="C1916" s="7"/>
      <c r="D1916" s="7"/>
      <c r="E1916" s="37"/>
      <c r="F1916" s="38"/>
      <c r="G1916" s="24" t="str">
        <f aca="false">IF(OR(C1916="",D1916="",N(E1916)=0),"",E1916*IF(F1916="",IFERROR(N(INDEX(Produtos!$K$5:$K$54,MATCH(D1916,Produtos!$B$5:$B$54,0))),0),F1916))</f>
        <v/>
      </c>
      <c r="H1916" s="24" t="str">
        <f aca="false">IF(G1916="","",E1916*IFERROR(N(INDEX(Produtos!$F$5:$F$54,MATCH(D1916,Produtos!$B$5:$B$54,0))),0))</f>
        <v/>
      </c>
      <c r="I1916" s="24" t="str">
        <f aca="false">IF(G1916="","",G1916-H1916)</f>
        <v/>
      </c>
      <c r="J1916" s="37"/>
    </row>
    <row r="1917" customFormat="false" ht="21" hidden="false" customHeight="true" outlineLevel="0" collapsed="false">
      <c r="B1917" s="36"/>
      <c r="C1917" s="7"/>
      <c r="D1917" s="7"/>
      <c r="E1917" s="37"/>
      <c r="F1917" s="38"/>
      <c r="G1917" s="24" t="str">
        <f aca="false">IF(OR(C1917="",D1917="",N(E1917)=0),"",E1917*IF(F1917="",IFERROR(N(INDEX(Produtos!$K$5:$K$54,MATCH(D1917,Produtos!$B$5:$B$54,0))),0),F1917))</f>
        <v/>
      </c>
      <c r="H1917" s="24" t="str">
        <f aca="false">IF(G1917="","",E1917*IFERROR(N(INDEX(Produtos!$F$5:$F$54,MATCH(D1917,Produtos!$B$5:$B$54,0))),0))</f>
        <v/>
      </c>
      <c r="I1917" s="24" t="str">
        <f aca="false">IF(G1917="","",G1917-H1917)</f>
        <v/>
      </c>
      <c r="J1917" s="37"/>
    </row>
    <row r="1918" customFormat="false" ht="21" hidden="false" customHeight="true" outlineLevel="0" collapsed="false">
      <c r="B1918" s="36"/>
      <c r="C1918" s="7"/>
      <c r="D1918" s="7"/>
      <c r="E1918" s="37"/>
      <c r="F1918" s="38"/>
      <c r="G1918" s="24" t="str">
        <f aca="false">IF(OR(C1918="",D1918="",N(E1918)=0),"",E1918*IF(F1918="",IFERROR(N(INDEX(Produtos!$K$5:$K$54,MATCH(D1918,Produtos!$B$5:$B$54,0))),0),F1918))</f>
        <v/>
      </c>
      <c r="H1918" s="24" t="str">
        <f aca="false">IF(G1918="","",E1918*IFERROR(N(INDEX(Produtos!$F$5:$F$54,MATCH(D1918,Produtos!$B$5:$B$54,0))),0))</f>
        <v/>
      </c>
      <c r="I1918" s="24" t="str">
        <f aca="false">IF(G1918="","",G1918-H1918)</f>
        <v/>
      </c>
      <c r="J1918" s="37"/>
    </row>
    <row r="1919" customFormat="false" ht="21" hidden="false" customHeight="true" outlineLevel="0" collapsed="false">
      <c r="B1919" s="36"/>
      <c r="C1919" s="7"/>
      <c r="D1919" s="7"/>
      <c r="E1919" s="37"/>
      <c r="F1919" s="38"/>
      <c r="G1919" s="24" t="str">
        <f aca="false">IF(OR(C1919="",D1919="",N(E1919)=0),"",E1919*IF(F1919="",IFERROR(N(INDEX(Produtos!$K$5:$K$54,MATCH(D1919,Produtos!$B$5:$B$54,0))),0),F1919))</f>
        <v/>
      </c>
      <c r="H1919" s="24" t="str">
        <f aca="false">IF(G1919="","",E1919*IFERROR(N(INDEX(Produtos!$F$5:$F$54,MATCH(D1919,Produtos!$B$5:$B$54,0))),0))</f>
        <v/>
      </c>
      <c r="I1919" s="24" t="str">
        <f aca="false">IF(G1919="","",G1919-H1919)</f>
        <v/>
      </c>
      <c r="J1919" s="37"/>
    </row>
    <row r="1920" customFormat="false" ht="21" hidden="false" customHeight="true" outlineLevel="0" collapsed="false">
      <c r="B1920" s="36"/>
      <c r="C1920" s="7"/>
      <c r="D1920" s="7"/>
      <c r="E1920" s="37"/>
      <c r="F1920" s="38"/>
      <c r="G1920" s="24" t="str">
        <f aca="false">IF(OR(C1920="",D1920="",N(E1920)=0),"",E1920*IF(F1920="",IFERROR(N(INDEX(Produtos!$K$5:$K$54,MATCH(D1920,Produtos!$B$5:$B$54,0))),0),F1920))</f>
        <v/>
      </c>
      <c r="H1920" s="24" t="str">
        <f aca="false">IF(G1920="","",E1920*IFERROR(N(INDEX(Produtos!$F$5:$F$54,MATCH(D1920,Produtos!$B$5:$B$54,0))),0))</f>
        <v/>
      </c>
      <c r="I1920" s="24" t="str">
        <f aca="false">IF(G1920="","",G1920-H1920)</f>
        <v/>
      </c>
      <c r="J1920" s="37"/>
    </row>
    <row r="1921" customFormat="false" ht="21" hidden="false" customHeight="true" outlineLevel="0" collapsed="false">
      <c r="B1921" s="36"/>
      <c r="C1921" s="7"/>
      <c r="D1921" s="7"/>
      <c r="E1921" s="37"/>
      <c r="F1921" s="38"/>
      <c r="G1921" s="24" t="str">
        <f aca="false">IF(OR(C1921="",D1921="",N(E1921)=0),"",E1921*IF(F1921="",IFERROR(N(INDEX(Produtos!$K$5:$K$54,MATCH(D1921,Produtos!$B$5:$B$54,0))),0),F1921))</f>
        <v/>
      </c>
      <c r="H1921" s="24" t="str">
        <f aca="false">IF(G1921="","",E1921*IFERROR(N(INDEX(Produtos!$F$5:$F$54,MATCH(D1921,Produtos!$B$5:$B$54,0))),0))</f>
        <v/>
      </c>
      <c r="I1921" s="24" t="str">
        <f aca="false">IF(G1921="","",G1921-H1921)</f>
        <v/>
      </c>
      <c r="J1921" s="37"/>
    </row>
    <row r="1922" customFormat="false" ht="21" hidden="false" customHeight="true" outlineLevel="0" collapsed="false">
      <c r="B1922" s="36"/>
      <c r="C1922" s="7"/>
      <c r="D1922" s="7"/>
      <c r="E1922" s="37"/>
      <c r="F1922" s="38"/>
      <c r="G1922" s="24" t="str">
        <f aca="false">IF(OR(C1922="",D1922="",N(E1922)=0),"",E1922*IF(F1922="",IFERROR(N(INDEX(Produtos!$K$5:$K$54,MATCH(D1922,Produtos!$B$5:$B$54,0))),0),F1922))</f>
        <v/>
      </c>
      <c r="H1922" s="24" t="str">
        <f aca="false">IF(G1922="","",E1922*IFERROR(N(INDEX(Produtos!$F$5:$F$54,MATCH(D1922,Produtos!$B$5:$B$54,0))),0))</f>
        <v/>
      </c>
      <c r="I1922" s="24" t="str">
        <f aca="false">IF(G1922="","",G1922-H1922)</f>
        <v/>
      </c>
      <c r="J1922" s="37"/>
    </row>
    <row r="1923" customFormat="false" ht="21" hidden="false" customHeight="true" outlineLevel="0" collapsed="false">
      <c r="B1923" s="36"/>
      <c r="C1923" s="7"/>
      <c r="D1923" s="7"/>
      <c r="E1923" s="37"/>
      <c r="F1923" s="38"/>
      <c r="G1923" s="24" t="str">
        <f aca="false">IF(OR(C1923="",D1923="",N(E1923)=0),"",E1923*IF(F1923="",IFERROR(N(INDEX(Produtos!$K$5:$K$54,MATCH(D1923,Produtos!$B$5:$B$54,0))),0),F1923))</f>
        <v/>
      </c>
      <c r="H1923" s="24" t="str">
        <f aca="false">IF(G1923="","",E1923*IFERROR(N(INDEX(Produtos!$F$5:$F$54,MATCH(D1923,Produtos!$B$5:$B$54,0))),0))</f>
        <v/>
      </c>
      <c r="I1923" s="24" t="str">
        <f aca="false">IF(G1923="","",G1923-H1923)</f>
        <v/>
      </c>
      <c r="J1923" s="37"/>
    </row>
    <row r="1924" customFormat="false" ht="21" hidden="false" customHeight="true" outlineLevel="0" collapsed="false">
      <c r="B1924" s="36"/>
      <c r="C1924" s="7"/>
      <c r="D1924" s="7"/>
      <c r="E1924" s="37"/>
      <c r="F1924" s="38"/>
      <c r="G1924" s="24" t="str">
        <f aca="false">IF(OR(C1924="",D1924="",N(E1924)=0),"",E1924*IF(F1924="",IFERROR(N(INDEX(Produtos!$K$5:$K$54,MATCH(D1924,Produtos!$B$5:$B$54,0))),0),F1924))</f>
        <v/>
      </c>
      <c r="H1924" s="24" t="str">
        <f aca="false">IF(G1924="","",E1924*IFERROR(N(INDEX(Produtos!$F$5:$F$54,MATCH(D1924,Produtos!$B$5:$B$54,0))),0))</f>
        <v/>
      </c>
      <c r="I1924" s="24" t="str">
        <f aca="false">IF(G1924="","",G1924-H1924)</f>
        <v/>
      </c>
      <c r="J1924" s="37"/>
    </row>
    <row r="1925" customFormat="false" ht="21" hidden="false" customHeight="true" outlineLevel="0" collapsed="false">
      <c r="B1925" s="36"/>
      <c r="C1925" s="7"/>
      <c r="D1925" s="7"/>
      <c r="E1925" s="37"/>
      <c r="F1925" s="38"/>
      <c r="G1925" s="24" t="str">
        <f aca="false">IF(OR(C1925="",D1925="",N(E1925)=0),"",E1925*IF(F1925="",IFERROR(N(INDEX(Produtos!$K$5:$K$54,MATCH(D1925,Produtos!$B$5:$B$54,0))),0),F1925))</f>
        <v/>
      </c>
      <c r="H1925" s="24" t="str">
        <f aca="false">IF(G1925="","",E1925*IFERROR(N(INDEX(Produtos!$F$5:$F$54,MATCH(D1925,Produtos!$B$5:$B$54,0))),0))</f>
        <v/>
      </c>
      <c r="I1925" s="24" t="str">
        <f aca="false">IF(G1925="","",G1925-H1925)</f>
        <v/>
      </c>
      <c r="J1925" s="37"/>
    </row>
    <row r="1926" customFormat="false" ht="21" hidden="false" customHeight="true" outlineLevel="0" collapsed="false">
      <c r="B1926" s="36"/>
      <c r="C1926" s="7"/>
      <c r="D1926" s="7"/>
      <c r="E1926" s="37"/>
      <c r="F1926" s="38"/>
      <c r="G1926" s="24" t="str">
        <f aca="false">IF(OR(C1926="",D1926="",N(E1926)=0),"",E1926*IF(F1926="",IFERROR(N(INDEX(Produtos!$K$5:$K$54,MATCH(D1926,Produtos!$B$5:$B$54,0))),0),F1926))</f>
        <v/>
      </c>
      <c r="H1926" s="24" t="str">
        <f aca="false">IF(G1926="","",E1926*IFERROR(N(INDEX(Produtos!$F$5:$F$54,MATCH(D1926,Produtos!$B$5:$B$54,0))),0))</f>
        <v/>
      </c>
      <c r="I1926" s="24" t="str">
        <f aca="false">IF(G1926="","",G1926-H1926)</f>
        <v/>
      </c>
      <c r="J1926" s="37"/>
    </row>
    <row r="1927" customFormat="false" ht="21" hidden="false" customHeight="true" outlineLevel="0" collapsed="false">
      <c r="B1927" s="36"/>
      <c r="C1927" s="7"/>
      <c r="D1927" s="7"/>
      <c r="E1927" s="37"/>
      <c r="F1927" s="38"/>
      <c r="G1927" s="24" t="str">
        <f aca="false">IF(OR(C1927="",D1927="",N(E1927)=0),"",E1927*IF(F1927="",IFERROR(N(INDEX(Produtos!$K$5:$K$54,MATCH(D1927,Produtos!$B$5:$B$54,0))),0),F1927))</f>
        <v/>
      </c>
      <c r="H1927" s="24" t="str">
        <f aca="false">IF(G1927="","",E1927*IFERROR(N(INDEX(Produtos!$F$5:$F$54,MATCH(D1927,Produtos!$B$5:$B$54,0))),0))</f>
        <v/>
      </c>
      <c r="I1927" s="24" t="str">
        <f aca="false">IF(G1927="","",G1927-H1927)</f>
        <v/>
      </c>
      <c r="J1927" s="37"/>
    </row>
    <row r="1928" customFormat="false" ht="21" hidden="false" customHeight="true" outlineLevel="0" collapsed="false">
      <c r="B1928" s="36"/>
      <c r="C1928" s="7"/>
      <c r="D1928" s="7"/>
      <c r="E1928" s="37"/>
      <c r="F1928" s="38"/>
      <c r="G1928" s="24" t="str">
        <f aca="false">IF(OR(C1928="",D1928="",N(E1928)=0),"",E1928*IF(F1928="",IFERROR(N(INDEX(Produtos!$K$5:$K$54,MATCH(D1928,Produtos!$B$5:$B$54,0))),0),F1928))</f>
        <v/>
      </c>
      <c r="H1928" s="24" t="str">
        <f aca="false">IF(G1928="","",E1928*IFERROR(N(INDEX(Produtos!$F$5:$F$54,MATCH(D1928,Produtos!$B$5:$B$54,0))),0))</f>
        <v/>
      </c>
      <c r="I1928" s="24" t="str">
        <f aca="false">IF(G1928="","",G1928-H1928)</f>
        <v/>
      </c>
      <c r="J1928" s="37"/>
    </row>
    <row r="1929" customFormat="false" ht="21" hidden="false" customHeight="true" outlineLevel="0" collapsed="false">
      <c r="B1929" s="36"/>
      <c r="C1929" s="7"/>
      <c r="D1929" s="7"/>
      <c r="E1929" s="37"/>
      <c r="F1929" s="38"/>
      <c r="G1929" s="24" t="str">
        <f aca="false">IF(OR(C1929="",D1929="",N(E1929)=0),"",E1929*IF(F1929="",IFERROR(N(INDEX(Produtos!$K$5:$K$54,MATCH(D1929,Produtos!$B$5:$B$54,0))),0),F1929))</f>
        <v/>
      </c>
      <c r="H1929" s="24" t="str">
        <f aca="false">IF(G1929="","",E1929*IFERROR(N(INDEX(Produtos!$F$5:$F$54,MATCH(D1929,Produtos!$B$5:$B$54,0))),0))</f>
        <v/>
      </c>
      <c r="I1929" s="24" t="str">
        <f aca="false">IF(G1929="","",G1929-H1929)</f>
        <v/>
      </c>
      <c r="J1929" s="37"/>
    </row>
    <row r="1930" customFormat="false" ht="21" hidden="false" customHeight="true" outlineLevel="0" collapsed="false">
      <c r="B1930" s="36"/>
      <c r="C1930" s="7"/>
      <c r="D1930" s="7"/>
      <c r="E1930" s="37"/>
      <c r="F1930" s="38"/>
      <c r="G1930" s="24" t="str">
        <f aca="false">IF(OR(C1930="",D1930="",N(E1930)=0),"",E1930*IF(F1930="",IFERROR(N(INDEX(Produtos!$K$5:$K$54,MATCH(D1930,Produtos!$B$5:$B$54,0))),0),F1930))</f>
        <v/>
      </c>
      <c r="H1930" s="24" t="str">
        <f aca="false">IF(G1930="","",E1930*IFERROR(N(INDEX(Produtos!$F$5:$F$54,MATCH(D1930,Produtos!$B$5:$B$54,0))),0))</f>
        <v/>
      </c>
      <c r="I1930" s="24" t="str">
        <f aca="false">IF(G1930="","",G1930-H1930)</f>
        <v/>
      </c>
      <c r="J1930" s="37"/>
    </row>
    <row r="1931" customFormat="false" ht="21" hidden="false" customHeight="true" outlineLevel="0" collapsed="false">
      <c r="B1931" s="36"/>
      <c r="C1931" s="7"/>
      <c r="D1931" s="7"/>
      <c r="E1931" s="37"/>
      <c r="F1931" s="38"/>
      <c r="G1931" s="24" t="str">
        <f aca="false">IF(OR(C1931="",D1931="",N(E1931)=0),"",E1931*IF(F1931="",IFERROR(N(INDEX(Produtos!$K$5:$K$54,MATCH(D1931,Produtos!$B$5:$B$54,0))),0),F1931))</f>
        <v/>
      </c>
      <c r="H1931" s="24" t="str">
        <f aca="false">IF(G1931="","",E1931*IFERROR(N(INDEX(Produtos!$F$5:$F$54,MATCH(D1931,Produtos!$B$5:$B$54,0))),0))</f>
        <v/>
      </c>
      <c r="I1931" s="24" t="str">
        <f aca="false">IF(G1931="","",G1931-H1931)</f>
        <v/>
      </c>
      <c r="J1931" s="37"/>
    </row>
    <row r="1932" customFormat="false" ht="21" hidden="false" customHeight="true" outlineLevel="0" collapsed="false">
      <c r="B1932" s="36"/>
      <c r="C1932" s="7"/>
      <c r="D1932" s="7"/>
      <c r="E1932" s="37"/>
      <c r="F1932" s="38"/>
      <c r="G1932" s="24" t="str">
        <f aca="false">IF(OR(C1932="",D1932="",N(E1932)=0),"",E1932*IF(F1932="",IFERROR(N(INDEX(Produtos!$K$5:$K$54,MATCH(D1932,Produtos!$B$5:$B$54,0))),0),F1932))</f>
        <v/>
      </c>
      <c r="H1932" s="24" t="str">
        <f aca="false">IF(G1932="","",E1932*IFERROR(N(INDEX(Produtos!$F$5:$F$54,MATCH(D1932,Produtos!$B$5:$B$54,0))),0))</f>
        <v/>
      </c>
      <c r="I1932" s="24" t="str">
        <f aca="false">IF(G1932="","",G1932-H1932)</f>
        <v/>
      </c>
      <c r="J1932" s="37"/>
    </row>
    <row r="1933" customFormat="false" ht="21" hidden="false" customHeight="true" outlineLevel="0" collapsed="false">
      <c r="B1933" s="36"/>
      <c r="C1933" s="7"/>
      <c r="D1933" s="7"/>
      <c r="E1933" s="37"/>
      <c r="F1933" s="38"/>
      <c r="G1933" s="24" t="str">
        <f aca="false">IF(OR(C1933="",D1933="",N(E1933)=0),"",E1933*IF(F1933="",IFERROR(N(INDEX(Produtos!$K$5:$K$54,MATCH(D1933,Produtos!$B$5:$B$54,0))),0),F1933))</f>
        <v/>
      </c>
      <c r="H1933" s="24" t="str">
        <f aca="false">IF(G1933="","",E1933*IFERROR(N(INDEX(Produtos!$F$5:$F$54,MATCH(D1933,Produtos!$B$5:$B$54,0))),0))</f>
        <v/>
      </c>
      <c r="I1933" s="24" t="str">
        <f aca="false">IF(G1933="","",G1933-H1933)</f>
        <v/>
      </c>
      <c r="J1933" s="37"/>
    </row>
    <row r="1934" customFormat="false" ht="21" hidden="false" customHeight="true" outlineLevel="0" collapsed="false">
      <c r="B1934" s="36"/>
      <c r="C1934" s="7"/>
      <c r="D1934" s="7"/>
      <c r="E1934" s="37"/>
      <c r="F1934" s="38"/>
      <c r="G1934" s="24" t="str">
        <f aca="false">IF(OR(C1934="",D1934="",N(E1934)=0),"",E1934*IF(F1934="",IFERROR(N(INDEX(Produtos!$K$5:$K$54,MATCH(D1934,Produtos!$B$5:$B$54,0))),0),F1934))</f>
        <v/>
      </c>
      <c r="H1934" s="24" t="str">
        <f aca="false">IF(G1934="","",E1934*IFERROR(N(INDEX(Produtos!$F$5:$F$54,MATCH(D1934,Produtos!$B$5:$B$54,0))),0))</f>
        <v/>
      </c>
      <c r="I1934" s="24" t="str">
        <f aca="false">IF(G1934="","",G1934-H1934)</f>
        <v/>
      </c>
      <c r="J1934" s="37"/>
    </row>
    <row r="1935" customFormat="false" ht="21" hidden="false" customHeight="true" outlineLevel="0" collapsed="false">
      <c r="B1935" s="36"/>
      <c r="C1935" s="7"/>
      <c r="D1935" s="7"/>
      <c r="E1935" s="37"/>
      <c r="F1935" s="38"/>
      <c r="G1935" s="24" t="str">
        <f aca="false">IF(OR(C1935="",D1935="",N(E1935)=0),"",E1935*IF(F1935="",IFERROR(N(INDEX(Produtos!$K$5:$K$54,MATCH(D1935,Produtos!$B$5:$B$54,0))),0),F1935))</f>
        <v/>
      </c>
      <c r="H1935" s="24" t="str">
        <f aca="false">IF(G1935="","",E1935*IFERROR(N(INDEX(Produtos!$F$5:$F$54,MATCH(D1935,Produtos!$B$5:$B$54,0))),0))</f>
        <v/>
      </c>
      <c r="I1935" s="24" t="str">
        <f aca="false">IF(G1935="","",G1935-H1935)</f>
        <v/>
      </c>
      <c r="J1935" s="37"/>
    </row>
    <row r="1936" customFormat="false" ht="21" hidden="false" customHeight="true" outlineLevel="0" collapsed="false">
      <c r="B1936" s="36"/>
      <c r="C1936" s="7"/>
      <c r="D1936" s="7"/>
      <c r="E1936" s="37"/>
      <c r="F1936" s="38"/>
      <c r="G1936" s="24" t="str">
        <f aca="false">IF(OR(C1936="",D1936="",N(E1936)=0),"",E1936*IF(F1936="",IFERROR(N(INDEX(Produtos!$K$5:$K$54,MATCH(D1936,Produtos!$B$5:$B$54,0))),0),F1936))</f>
        <v/>
      </c>
      <c r="H1936" s="24" t="str">
        <f aca="false">IF(G1936="","",E1936*IFERROR(N(INDEX(Produtos!$F$5:$F$54,MATCH(D1936,Produtos!$B$5:$B$54,0))),0))</f>
        <v/>
      </c>
      <c r="I1936" s="24" t="str">
        <f aca="false">IF(G1936="","",G1936-H1936)</f>
        <v/>
      </c>
      <c r="J1936" s="37"/>
    </row>
    <row r="1937" customFormat="false" ht="21" hidden="false" customHeight="true" outlineLevel="0" collapsed="false">
      <c r="B1937" s="36"/>
      <c r="C1937" s="7"/>
      <c r="D1937" s="7"/>
      <c r="E1937" s="37"/>
      <c r="F1937" s="38"/>
      <c r="G1937" s="24" t="str">
        <f aca="false">IF(OR(C1937="",D1937="",N(E1937)=0),"",E1937*IF(F1937="",IFERROR(N(INDEX(Produtos!$K$5:$K$54,MATCH(D1937,Produtos!$B$5:$B$54,0))),0),F1937))</f>
        <v/>
      </c>
      <c r="H1937" s="24" t="str">
        <f aca="false">IF(G1937="","",E1937*IFERROR(N(INDEX(Produtos!$F$5:$F$54,MATCH(D1937,Produtos!$B$5:$B$54,0))),0))</f>
        <v/>
      </c>
      <c r="I1937" s="24" t="str">
        <f aca="false">IF(G1937="","",G1937-H1937)</f>
        <v/>
      </c>
      <c r="J1937" s="37"/>
    </row>
    <row r="1938" customFormat="false" ht="21" hidden="false" customHeight="true" outlineLevel="0" collapsed="false">
      <c r="B1938" s="36"/>
      <c r="C1938" s="7"/>
      <c r="D1938" s="7"/>
      <c r="E1938" s="37"/>
      <c r="F1938" s="38"/>
      <c r="G1938" s="24" t="str">
        <f aca="false">IF(OR(C1938="",D1938="",N(E1938)=0),"",E1938*IF(F1938="",IFERROR(N(INDEX(Produtos!$K$5:$K$54,MATCH(D1938,Produtos!$B$5:$B$54,0))),0),F1938))</f>
        <v/>
      </c>
      <c r="H1938" s="24" t="str">
        <f aca="false">IF(G1938="","",E1938*IFERROR(N(INDEX(Produtos!$F$5:$F$54,MATCH(D1938,Produtos!$B$5:$B$54,0))),0))</f>
        <v/>
      </c>
      <c r="I1938" s="24" t="str">
        <f aca="false">IF(G1938="","",G1938-H1938)</f>
        <v/>
      </c>
      <c r="J1938" s="37"/>
    </row>
    <row r="1939" customFormat="false" ht="21" hidden="false" customHeight="true" outlineLevel="0" collapsed="false">
      <c r="B1939" s="36"/>
      <c r="C1939" s="7"/>
      <c r="D1939" s="7"/>
      <c r="E1939" s="37"/>
      <c r="F1939" s="38"/>
      <c r="G1939" s="24" t="str">
        <f aca="false">IF(OR(C1939="",D1939="",N(E1939)=0),"",E1939*IF(F1939="",IFERROR(N(INDEX(Produtos!$K$5:$K$54,MATCH(D1939,Produtos!$B$5:$B$54,0))),0),F1939))</f>
        <v/>
      </c>
      <c r="H1939" s="24" t="str">
        <f aca="false">IF(G1939="","",E1939*IFERROR(N(INDEX(Produtos!$F$5:$F$54,MATCH(D1939,Produtos!$B$5:$B$54,0))),0))</f>
        <v/>
      </c>
      <c r="I1939" s="24" t="str">
        <f aca="false">IF(G1939="","",G1939-H1939)</f>
        <v/>
      </c>
      <c r="J1939" s="37"/>
    </row>
    <row r="1940" customFormat="false" ht="21" hidden="false" customHeight="true" outlineLevel="0" collapsed="false">
      <c r="B1940" s="36"/>
      <c r="C1940" s="7"/>
      <c r="D1940" s="7"/>
      <c r="E1940" s="37"/>
      <c r="F1940" s="38"/>
      <c r="G1940" s="24" t="str">
        <f aca="false">IF(OR(C1940="",D1940="",N(E1940)=0),"",E1940*IF(F1940="",IFERROR(N(INDEX(Produtos!$K$5:$K$54,MATCH(D1940,Produtos!$B$5:$B$54,0))),0),F1940))</f>
        <v/>
      </c>
      <c r="H1940" s="24" t="str">
        <f aca="false">IF(G1940="","",E1940*IFERROR(N(INDEX(Produtos!$F$5:$F$54,MATCH(D1940,Produtos!$B$5:$B$54,0))),0))</f>
        <v/>
      </c>
      <c r="I1940" s="24" t="str">
        <f aca="false">IF(G1940="","",G1940-H1940)</f>
        <v/>
      </c>
      <c r="J1940" s="37"/>
    </row>
    <row r="1941" customFormat="false" ht="21" hidden="false" customHeight="true" outlineLevel="0" collapsed="false">
      <c r="B1941" s="36"/>
      <c r="C1941" s="7"/>
      <c r="D1941" s="7"/>
      <c r="E1941" s="37"/>
      <c r="F1941" s="38"/>
      <c r="G1941" s="24" t="str">
        <f aca="false">IF(OR(C1941="",D1941="",N(E1941)=0),"",E1941*IF(F1941="",IFERROR(N(INDEX(Produtos!$K$5:$K$54,MATCH(D1941,Produtos!$B$5:$B$54,0))),0),F1941))</f>
        <v/>
      </c>
      <c r="H1941" s="24" t="str">
        <f aca="false">IF(G1941="","",E1941*IFERROR(N(INDEX(Produtos!$F$5:$F$54,MATCH(D1941,Produtos!$B$5:$B$54,0))),0))</f>
        <v/>
      </c>
      <c r="I1941" s="24" t="str">
        <f aca="false">IF(G1941="","",G1941-H1941)</f>
        <v/>
      </c>
      <c r="J1941" s="37"/>
    </row>
    <row r="1942" customFormat="false" ht="21" hidden="false" customHeight="true" outlineLevel="0" collapsed="false">
      <c r="B1942" s="36"/>
      <c r="C1942" s="7"/>
      <c r="D1942" s="7"/>
      <c r="E1942" s="37"/>
      <c r="F1942" s="38"/>
      <c r="G1942" s="24" t="str">
        <f aca="false">IF(OR(C1942="",D1942="",N(E1942)=0),"",E1942*IF(F1942="",IFERROR(N(INDEX(Produtos!$K$5:$K$54,MATCH(D1942,Produtos!$B$5:$B$54,0))),0),F1942))</f>
        <v/>
      </c>
      <c r="H1942" s="24" t="str">
        <f aca="false">IF(G1942="","",E1942*IFERROR(N(INDEX(Produtos!$F$5:$F$54,MATCH(D1942,Produtos!$B$5:$B$54,0))),0))</f>
        <v/>
      </c>
      <c r="I1942" s="24" t="str">
        <f aca="false">IF(G1942="","",G1942-H1942)</f>
        <v/>
      </c>
      <c r="J1942" s="37"/>
    </row>
    <row r="1943" customFormat="false" ht="21" hidden="false" customHeight="true" outlineLevel="0" collapsed="false">
      <c r="B1943" s="36"/>
      <c r="C1943" s="7"/>
      <c r="D1943" s="7"/>
      <c r="E1943" s="37"/>
      <c r="F1943" s="38"/>
      <c r="G1943" s="24" t="str">
        <f aca="false">IF(OR(C1943="",D1943="",N(E1943)=0),"",E1943*IF(F1943="",IFERROR(N(INDEX(Produtos!$K$5:$K$54,MATCH(D1943,Produtos!$B$5:$B$54,0))),0),F1943))</f>
        <v/>
      </c>
      <c r="H1943" s="24" t="str">
        <f aca="false">IF(G1943="","",E1943*IFERROR(N(INDEX(Produtos!$F$5:$F$54,MATCH(D1943,Produtos!$B$5:$B$54,0))),0))</f>
        <v/>
      </c>
      <c r="I1943" s="24" t="str">
        <f aca="false">IF(G1943="","",G1943-H1943)</f>
        <v/>
      </c>
      <c r="J1943" s="37"/>
    </row>
    <row r="1944" customFormat="false" ht="21" hidden="false" customHeight="true" outlineLevel="0" collapsed="false">
      <c r="B1944" s="36"/>
      <c r="C1944" s="7"/>
      <c r="D1944" s="7"/>
      <c r="E1944" s="37"/>
      <c r="F1944" s="38"/>
      <c r="G1944" s="24" t="str">
        <f aca="false">IF(OR(C1944="",D1944="",N(E1944)=0),"",E1944*IF(F1944="",IFERROR(N(INDEX(Produtos!$K$5:$K$54,MATCH(D1944,Produtos!$B$5:$B$54,0))),0),F1944))</f>
        <v/>
      </c>
      <c r="H1944" s="24" t="str">
        <f aca="false">IF(G1944="","",E1944*IFERROR(N(INDEX(Produtos!$F$5:$F$54,MATCH(D1944,Produtos!$B$5:$B$54,0))),0))</f>
        <v/>
      </c>
      <c r="I1944" s="24" t="str">
        <f aca="false">IF(G1944="","",G1944-H1944)</f>
        <v/>
      </c>
      <c r="J1944" s="37"/>
    </row>
    <row r="1945" customFormat="false" ht="21" hidden="false" customHeight="true" outlineLevel="0" collapsed="false">
      <c r="B1945" s="36"/>
      <c r="C1945" s="7"/>
      <c r="D1945" s="7"/>
      <c r="E1945" s="37"/>
      <c r="F1945" s="38"/>
      <c r="G1945" s="24" t="str">
        <f aca="false">IF(OR(C1945="",D1945="",N(E1945)=0),"",E1945*IF(F1945="",IFERROR(N(INDEX(Produtos!$K$5:$K$54,MATCH(D1945,Produtos!$B$5:$B$54,0))),0),F1945))</f>
        <v/>
      </c>
      <c r="H1945" s="24" t="str">
        <f aca="false">IF(G1945="","",E1945*IFERROR(N(INDEX(Produtos!$F$5:$F$54,MATCH(D1945,Produtos!$B$5:$B$54,0))),0))</f>
        <v/>
      </c>
      <c r="I1945" s="24" t="str">
        <f aca="false">IF(G1945="","",G1945-H1945)</f>
        <v/>
      </c>
      <c r="J1945" s="37"/>
    </row>
    <row r="1946" customFormat="false" ht="21" hidden="false" customHeight="true" outlineLevel="0" collapsed="false">
      <c r="B1946" s="36"/>
      <c r="C1946" s="7"/>
      <c r="D1946" s="7"/>
      <c r="E1946" s="37"/>
      <c r="F1946" s="38"/>
      <c r="G1946" s="24" t="str">
        <f aca="false">IF(OR(C1946="",D1946="",N(E1946)=0),"",E1946*IF(F1946="",IFERROR(N(INDEX(Produtos!$K$5:$K$54,MATCH(D1946,Produtos!$B$5:$B$54,0))),0),F1946))</f>
        <v/>
      </c>
      <c r="H1946" s="24" t="str">
        <f aca="false">IF(G1946="","",E1946*IFERROR(N(INDEX(Produtos!$F$5:$F$54,MATCH(D1946,Produtos!$B$5:$B$54,0))),0))</f>
        <v/>
      </c>
      <c r="I1946" s="24" t="str">
        <f aca="false">IF(G1946="","",G1946-H1946)</f>
        <v/>
      </c>
      <c r="J1946" s="37"/>
    </row>
    <row r="1947" customFormat="false" ht="21" hidden="false" customHeight="true" outlineLevel="0" collapsed="false">
      <c r="B1947" s="36"/>
      <c r="C1947" s="7"/>
      <c r="D1947" s="7"/>
      <c r="E1947" s="37"/>
      <c r="F1947" s="38"/>
      <c r="G1947" s="24" t="str">
        <f aca="false">IF(OR(C1947="",D1947="",N(E1947)=0),"",E1947*IF(F1947="",IFERROR(N(INDEX(Produtos!$K$5:$K$54,MATCH(D1947,Produtos!$B$5:$B$54,0))),0),F1947))</f>
        <v/>
      </c>
      <c r="H1947" s="24" t="str">
        <f aca="false">IF(G1947="","",E1947*IFERROR(N(INDEX(Produtos!$F$5:$F$54,MATCH(D1947,Produtos!$B$5:$B$54,0))),0))</f>
        <v/>
      </c>
      <c r="I1947" s="24" t="str">
        <f aca="false">IF(G1947="","",G1947-H1947)</f>
        <v/>
      </c>
      <c r="J1947" s="37"/>
    </row>
    <row r="1948" customFormat="false" ht="21" hidden="false" customHeight="true" outlineLevel="0" collapsed="false">
      <c r="B1948" s="36"/>
      <c r="C1948" s="7"/>
      <c r="D1948" s="7"/>
      <c r="E1948" s="37"/>
      <c r="F1948" s="38"/>
      <c r="G1948" s="24" t="str">
        <f aca="false">IF(OR(C1948="",D1948="",N(E1948)=0),"",E1948*IF(F1948="",IFERROR(N(INDEX(Produtos!$K$5:$K$54,MATCH(D1948,Produtos!$B$5:$B$54,0))),0),F1948))</f>
        <v/>
      </c>
      <c r="H1948" s="24" t="str">
        <f aca="false">IF(G1948="","",E1948*IFERROR(N(INDEX(Produtos!$F$5:$F$54,MATCH(D1948,Produtos!$B$5:$B$54,0))),0))</f>
        <v/>
      </c>
      <c r="I1948" s="24" t="str">
        <f aca="false">IF(G1948="","",G1948-H1948)</f>
        <v/>
      </c>
      <c r="J1948" s="37"/>
    </row>
    <row r="1949" customFormat="false" ht="21" hidden="false" customHeight="true" outlineLevel="0" collapsed="false">
      <c r="B1949" s="36"/>
      <c r="C1949" s="7"/>
      <c r="D1949" s="7"/>
      <c r="E1949" s="37"/>
      <c r="F1949" s="38"/>
      <c r="G1949" s="24" t="str">
        <f aca="false">IF(OR(C1949="",D1949="",N(E1949)=0),"",E1949*IF(F1949="",IFERROR(N(INDEX(Produtos!$K$5:$K$54,MATCH(D1949,Produtos!$B$5:$B$54,0))),0),F1949))</f>
        <v/>
      </c>
      <c r="H1949" s="24" t="str">
        <f aca="false">IF(G1949="","",E1949*IFERROR(N(INDEX(Produtos!$F$5:$F$54,MATCH(D1949,Produtos!$B$5:$B$54,0))),0))</f>
        <v/>
      </c>
      <c r="I1949" s="24" t="str">
        <f aca="false">IF(G1949="","",G1949-H1949)</f>
        <v/>
      </c>
      <c r="J1949" s="37"/>
    </row>
    <row r="1950" customFormat="false" ht="21" hidden="false" customHeight="true" outlineLevel="0" collapsed="false">
      <c r="B1950" s="36"/>
      <c r="C1950" s="7"/>
      <c r="D1950" s="7"/>
      <c r="E1950" s="37"/>
      <c r="F1950" s="38"/>
      <c r="G1950" s="24" t="str">
        <f aca="false">IF(OR(C1950="",D1950="",N(E1950)=0),"",E1950*IF(F1950="",IFERROR(N(INDEX(Produtos!$K$5:$K$54,MATCH(D1950,Produtos!$B$5:$B$54,0))),0),F1950))</f>
        <v/>
      </c>
      <c r="H1950" s="24" t="str">
        <f aca="false">IF(G1950="","",E1950*IFERROR(N(INDEX(Produtos!$F$5:$F$54,MATCH(D1950,Produtos!$B$5:$B$54,0))),0))</f>
        <v/>
      </c>
      <c r="I1950" s="24" t="str">
        <f aca="false">IF(G1950="","",G1950-H1950)</f>
        <v/>
      </c>
      <c r="J1950" s="37"/>
    </row>
    <row r="1951" customFormat="false" ht="21" hidden="false" customHeight="true" outlineLevel="0" collapsed="false">
      <c r="B1951" s="36"/>
      <c r="C1951" s="7"/>
      <c r="D1951" s="7"/>
      <c r="E1951" s="37"/>
      <c r="F1951" s="38"/>
      <c r="G1951" s="24" t="str">
        <f aca="false">IF(OR(C1951="",D1951="",N(E1951)=0),"",E1951*IF(F1951="",IFERROR(N(INDEX(Produtos!$K$5:$K$54,MATCH(D1951,Produtos!$B$5:$B$54,0))),0),F1951))</f>
        <v/>
      </c>
      <c r="H1951" s="24" t="str">
        <f aca="false">IF(G1951="","",E1951*IFERROR(N(INDEX(Produtos!$F$5:$F$54,MATCH(D1951,Produtos!$B$5:$B$54,0))),0))</f>
        <v/>
      </c>
      <c r="I1951" s="24" t="str">
        <f aca="false">IF(G1951="","",G1951-H1951)</f>
        <v/>
      </c>
      <c r="J1951" s="37"/>
    </row>
    <row r="1952" customFormat="false" ht="21" hidden="false" customHeight="true" outlineLevel="0" collapsed="false">
      <c r="B1952" s="36"/>
      <c r="C1952" s="7"/>
      <c r="D1952" s="7"/>
      <c r="E1952" s="37"/>
      <c r="F1952" s="38"/>
      <c r="G1952" s="24" t="str">
        <f aca="false">IF(OR(C1952="",D1952="",N(E1952)=0),"",E1952*IF(F1952="",IFERROR(N(INDEX(Produtos!$K$5:$K$54,MATCH(D1952,Produtos!$B$5:$B$54,0))),0),F1952))</f>
        <v/>
      </c>
      <c r="H1952" s="24" t="str">
        <f aca="false">IF(G1952="","",E1952*IFERROR(N(INDEX(Produtos!$F$5:$F$54,MATCH(D1952,Produtos!$B$5:$B$54,0))),0))</f>
        <v/>
      </c>
      <c r="I1952" s="24" t="str">
        <f aca="false">IF(G1952="","",G1952-H1952)</f>
        <v/>
      </c>
      <c r="J1952" s="37"/>
    </row>
    <row r="1953" customFormat="false" ht="21" hidden="false" customHeight="true" outlineLevel="0" collapsed="false">
      <c r="B1953" s="36"/>
      <c r="C1953" s="7"/>
      <c r="D1953" s="7"/>
      <c r="E1953" s="37"/>
      <c r="F1953" s="38"/>
      <c r="G1953" s="24" t="str">
        <f aca="false">IF(OR(C1953="",D1953="",N(E1953)=0),"",E1953*IF(F1953="",IFERROR(N(INDEX(Produtos!$K$5:$K$54,MATCH(D1953,Produtos!$B$5:$B$54,0))),0),F1953))</f>
        <v/>
      </c>
      <c r="H1953" s="24" t="str">
        <f aca="false">IF(G1953="","",E1953*IFERROR(N(INDEX(Produtos!$F$5:$F$54,MATCH(D1953,Produtos!$B$5:$B$54,0))),0))</f>
        <v/>
      </c>
      <c r="I1953" s="24" t="str">
        <f aca="false">IF(G1953="","",G1953-H1953)</f>
        <v/>
      </c>
      <c r="J1953" s="37"/>
    </row>
    <row r="1954" customFormat="false" ht="21" hidden="false" customHeight="true" outlineLevel="0" collapsed="false">
      <c r="B1954" s="36"/>
      <c r="C1954" s="7"/>
      <c r="D1954" s="7"/>
      <c r="E1954" s="37"/>
      <c r="F1954" s="38"/>
      <c r="G1954" s="24" t="str">
        <f aca="false">IF(OR(C1954="",D1954="",N(E1954)=0),"",E1954*IF(F1954="",IFERROR(N(INDEX(Produtos!$K$5:$K$54,MATCH(D1954,Produtos!$B$5:$B$54,0))),0),F1954))</f>
        <v/>
      </c>
      <c r="H1954" s="24" t="str">
        <f aca="false">IF(G1954="","",E1954*IFERROR(N(INDEX(Produtos!$F$5:$F$54,MATCH(D1954,Produtos!$B$5:$B$54,0))),0))</f>
        <v/>
      </c>
      <c r="I1954" s="24" t="str">
        <f aca="false">IF(G1954="","",G1954-H1954)</f>
        <v/>
      </c>
      <c r="J1954" s="37"/>
    </row>
    <row r="1955" customFormat="false" ht="21" hidden="false" customHeight="true" outlineLevel="0" collapsed="false">
      <c r="B1955" s="36"/>
      <c r="C1955" s="7"/>
      <c r="D1955" s="7"/>
      <c r="E1955" s="37"/>
      <c r="F1955" s="38"/>
      <c r="G1955" s="24" t="str">
        <f aca="false">IF(OR(C1955="",D1955="",N(E1955)=0),"",E1955*IF(F1955="",IFERROR(N(INDEX(Produtos!$K$5:$K$54,MATCH(D1955,Produtos!$B$5:$B$54,0))),0),F1955))</f>
        <v/>
      </c>
      <c r="H1955" s="24" t="str">
        <f aca="false">IF(G1955="","",E1955*IFERROR(N(INDEX(Produtos!$F$5:$F$54,MATCH(D1955,Produtos!$B$5:$B$54,0))),0))</f>
        <v/>
      </c>
      <c r="I1955" s="24" t="str">
        <f aca="false">IF(G1955="","",G1955-H1955)</f>
        <v/>
      </c>
      <c r="J1955" s="37"/>
    </row>
    <row r="1956" customFormat="false" ht="21" hidden="false" customHeight="true" outlineLevel="0" collapsed="false">
      <c r="B1956" s="36"/>
      <c r="C1956" s="7"/>
      <c r="D1956" s="7"/>
      <c r="E1956" s="37"/>
      <c r="F1956" s="38"/>
      <c r="G1956" s="24" t="str">
        <f aca="false">IF(OR(C1956="",D1956="",N(E1956)=0),"",E1956*IF(F1956="",IFERROR(N(INDEX(Produtos!$K$5:$K$54,MATCH(D1956,Produtos!$B$5:$B$54,0))),0),F1956))</f>
        <v/>
      </c>
      <c r="H1956" s="24" t="str">
        <f aca="false">IF(G1956="","",E1956*IFERROR(N(INDEX(Produtos!$F$5:$F$54,MATCH(D1956,Produtos!$B$5:$B$54,0))),0))</f>
        <v/>
      </c>
      <c r="I1956" s="24" t="str">
        <f aca="false">IF(G1956="","",G1956-H1956)</f>
        <v/>
      </c>
      <c r="J1956" s="37"/>
    </row>
    <row r="1957" customFormat="false" ht="21" hidden="false" customHeight="true" outlineLevel="0" collapsed="false">
      <c r="B1957" s="36"/>
      <c r="C1957" s="7"/>
      <c r="D1957" s="7"/>
      <c r="E1957" s="37"/>
      <c r="F1957" s="38"/>
      <c r="G1957" s="24" t="str">
        <f aca="false">IF(OR(C1957="",D1957="",N(E1957)=0),"",E1957*IF(F1957="",IFERROR(N(INDEX(Produtos!$K$5:$K$54,MATCH(D1957,Produtos!$B$5:$B$54,0))),0),F1957))</f>
        <v/>
      </c>
      <c r="H1957" s="24" t="str">
        <f aca="false">IF(G1957="","",E1957*IFERROR(N(INDEX(Produtos!$F$5:$F$54,MATCH(D1957,Produtos!$B$5:$B$54,0))),0))</f>
        <v/>
      </c>
      <c r="I1957" s="24" t="str">
        <f aca="false">IF(G1957="","",G1957-H1957)</f>
        <v/>
      </c>
      <c r="J1957" s="37"/>
    </row>
    <row r="1958" customFormat="false" ht="21" hidden="false" customHeight="true" outlineLevel="0" collapsed="false">
      <c r="B1958" s="36"/>
      <c r="C1958" s="7"/>
      <c r="D1958" s="7"/>
      <c r="E1958" s="37"/>
      <c r="F1958" s="38"/>
      <c r="G1958" s="24" t="str">
        <f aca="false">IF(OR(C1958="",D1958="",N(E1958)=0),"",E1958*IF(F1958="",IFERROR(N(INDEX(Produtos!$K$5:$K$54,MATCH(D1958,Produtos!$B$5:$B$54,0))),0),F1958))</f>
        <v/>
      </c>
      <c r="H1958" s="24" t="str">
        <f aca="false">IF(G1958="","",E1958*IFERROR(N(INDEX(Produtos!$F$5:$F$54,MATCH(D1958,Produtos!$B$5:$B$54,0))),0))</f>
        <v/>
      </c>
      <c r="I1958" s="24" t="str">
        <f aca="false">IF(G1958="","",G1958-H1958)</f>
        <v/>
      </c>
      <c r="J1958" s="37"/>
    </row>
    <row r="1959" customFormat="false" ht="21" hidden="false" customHeight="true" outlineLevel="0" collapsed="false">
      <c r="B1959" s="36"/>
      <c r="C1959" s="7"/>
      <c r="D1959" s="7"/>
      <c r="E1959" s="37"/>
      <c r="F1959" s="38"/>
      <c r="G1959" s="24" t="str">
        <f aca="false">IF(OR(C1959="",D1959="",N(E1959)=0),"",E1959*IF(F1959="",IFERROR(N(INDEX(Produtos!$K$5:$K$54,MATCH(D1959,Produtos!$B$5:$B$54,0))),0),F1959))</f>
        <v/>
      </c>
      <c r="H1959" s="24" t="str">
        <f aca="false">IF(G1959="","",E1959*IFERROR(N(INDEX(Produtos!$F$5:$F$54,MATCH(D1959,Produtos!$B$5:$B$54,0))),0))</f>
        <v/>
      </c>
      <c r="I1959" s="24" t="str">
        <f aca="false">IF(G1959="","",G1959-H1959)</f>
        <v/>
      </c>
      <c r="J1959" s="37"/>
    </row>
    <row r="1960" customFormat="false" ht="21" hidden="false" customHeight="true" outlineLevel="0" collapsed="false">
      <c r="B1960" s="36"/>
      <c r="C1960" s="7"/>
      <c r="D1960" s="7"/>
      <c r="E1960" s="37"/>
      <c r="F1960" s="38"/>
      <c r="G1960" s="24" t="str">
        <f aca="false">IF(OR(C1960="",D1960="",N(E1960)=0),"",E1960*IF(F1960="",IFERROR(N(INDEX(Produtos!$K$5:$K$54,MATCH(D1960,Produtos!$B$5:$B$54,0))),0),F1960))</f>
        <v/>
      </c>
      <c r="H1960" s="24" t="str">
        <f aca="false">IF(G1960="","",E1960*IFERROR(N(INDEX(Produtos!$F$5:$F$54,MATCH(D1960,Produtos!$B$5:$B$54,0))),0))</f>
        <v/>
      </c>
      <c r="I1960" s="24" t="str">
        <f aca="false">IF(G1960="","",G1960-H1960)</f>
        <v/>
      </c>
      <c r="J1960" s="37"/>
    </row>
    <row r="1961" customFormat="false" ht="21" hidden="false" customHeight="true" outlineLevel="0" collapsed="false">
      <c r="B1961" s="36"/>
      <c r="C1961" s="7"/>
      <c r="D1961" s="7"/>
      <c r="E1961" s="37"/>
      <c r="F1961" s="38"/>
      <c r="G1961" s="24" t="str">
        <f aca="false">IF(OR(C1961="",D1961="",N(E1961)=0),"",E1961*IF(F1961="",IFERROR(N(INDEX(Produtos!$K$5:$K$54,MATCH(D1961,Produtos!$B$5:$B$54,0))),0),F1961))</f>
        <v/>
      </c>
      <c r="H1961" s="24" t="str">
        <f aca="false">IF(G1961="","",E1961*IFERROR(N(INDEX(Produtos!$F$5:$F$54,MATCH(D1961,Produtos!$B$5:$B$54,0))),0))</f>
        <v/>
      </c>
      <c r="I1961" s="24" t="str">
        <f aca="false">IF(G1961="","",G1961-H1961)</f>
        <v/>
      </c>
      <c r="J1961" s="37"/>
    </row>
    <row r="1962" customFormat="false" ht="21" hidden="false" customHeight="true" outlineLevel="0" collapsed="false">
      <c r="B1962" s="36"/>
      <c r="C1962" s="7"/>
      <c r="D1962" s="7"/>
      <c r="E1962" s="37"/>
      <c r="F1962" s="38"/>
      <c r="G1962" s="24" t="str">
        <f aca="false">IF(OR(C1962="",D1962="",N(E1962)=0),"",E1962*IF(F1962="",IFERROR(N(INDEX(Produtos!$K$5:$K$54,MATCH(D1962,Produtos!$B$5:$B$54,0))),0),F1962))</f>
        <v/>
      </c>
      <c r="H1962" s="24" t="str">
        <f aca="false">IF(G1962="","",E1962*IFERROR(N(INDEX(Produtos!$F$5:$F$54,MATCH(D1962,Produtos!$B$5:$B$54,0))),0))</f>
        <v/>
      </c>
      <c r="I1962" s="24" t="str">
        <f aca="false">IF(G1962="","",G1962-H1962)</f>
        <v/>
      </c>
      <c r="J1962" s="37"/>
    </row>
    <row r="1963" customFormat="false" ht="21" hidden="false" customHeight="true" outlineLevel="0" collapsed="false">
      <c r="B1963" s="36"/>
      <c r="C1963" s="7"/>
      <c r="D1963" s="7"/>
      <c r="E1963" s="37"/>
      <c r="F1963" s="38"/>
      <c r="G1963" s="24" t="str">
        <f aca="false">IF(OR(C1963="",D1963="",N(E1963)=0),"",E1963*IF(F1963="",IFERROR(N(INDEX(Produtos!$K$5:$K$54,MATCH(D1963,Produtos!$B$5:$B$54,0))),0),F1963))</f>
        <v/>
      </c>
      <c r="H1963" s="24" t="str">
        <f aca="false">IF(G1963="","",E1963*IFERROR(N(INDEX(Produtos!$F$5:$F$54,MATCH(D1963,Produtos!$B$5:$B$54,0))),0))</f>
        <v/>
      </c>
      <c r="I1963" s="24" t="str">
        <f aca="false">IF(G1963="","",G1963-H1963)</f>
        <v/>
      </c>
      <c r="J1963" s="37"/>
    </row>
    <row r="1964" customFormat="false" ht="21" hidden="false" customHeight="true" outlineLevel="0" collapsed="false">
      <c r="B1964" s="36"/>
      <c r="C1964" s="7"/>
      <c r="D1964" s="7"/>
      <c r="E1964" s="37"/>
      <c r="F1964" s="38"/>
      <c r="G1964" s="24" t="str">
        <f aca="false">IF(OR(C1964="",D1964="",N(E1964)=0),"",E1964*IF(F1964="",IFERROR(N(INDEX(Produtos!$K$5:$K$54,MATCH(D1964,Produtos!$B$5:$B$54,0))),0),F1964))</f>
        <v/>
      </c>
      <c r="H1964" s="24" t="str">
        <f aca="false">IF(G1964="","",E1964*IFERROR(N(INDEX(Produtos!$F$5:$F$54,MATCH(D1964,Produtos!$B$5:$B$54,0))),0))</f>
        <v/>
      </c>
      <c r="I1964" s="24" t="str">
        <f aca="false">IF(G1964="","",G1964-H1964)</f>
        <v/>
      </c>
      <c r="J1964" s="37"/>
    </row>
    <row r="1965" customFormat="false" ht="21" hidden="false" customHeight="true" outlineLevel="0" collapsed="false">
      <c r="B1965" s="36"/>
      <c r="C1965" s="7"/>
      <c r="D1965" s="7"/>
      <c r="E1965" s="37"/>
      <c r="F1965" s="38"/>
      <c r="G1965" s="24" t="str">
        <f aca="false">IF(OR(C1965="",D1965="",N(E1965)=0),"",E1965*IF(F1965="",IFERROR(N(INDEX(Produtos!$K$5:$K$54,MATCH(D1965,Produtos!$B$5:$B$54,0))),0),F1965))</f>
        <v/>
      </c>
      <c r="H1965" s="24" t="str">
        <f aca="false">IF(G1965="","",E1965*IFERROR(N(INDEX(Produtos!$F$5:$F$54,MATCH(D1965,Produtos!$B$5:$B$54,0))),0))</f>
        <v/>
      </c>
      <c r="I1965" s="24" t="str">
        <f aca="false">IF(G1965="","",G1965-H1965)</f>
        <v/>
      </c>
      <c r="J1965" s="37"/>
    </row>
    <row r="1966" customFormat="false" ht="21" hidden="false" customHeight="true" outlineLevel="0" collapsed="false">
      <c r="B1966" s="36"/>
      <c r="C1966" s="7"/>
      <c r="D1966" s="7"/>
      <c r="E1966" s="37"/>
      <c r="F1966" s="38"/>
      <c r="G1966" s="24" t="str">
        <f aca="false">IF(OR(C1966="",D1966="",N(E1966)=0),"",E1966*IF(F1966="",IFERROR(N(INDEX(Produtos!$K$5:$K$54,MATCH(D1966,Produtos!$B$5:$B$54,0))),0),F1966))</f>
        <v/>
      </c>
      <c r="H1966" s="24" t="str">
        <f aca="false">IF(G1966="","",E1966*IFERROR(N(INDEX(Produtos!$F$5:$F$54,MATCH(D1966,Produtos!$B$5:$B$54,0))),0))</f>
        <v/>
      </c>
      <c r="I1966" s="24" t="str">
        <f aca="false">IF(G1966="","",G1966-H1966)</f>
        <v/>
      </c>
      <c r="J1966" s="37"/>
    </row>
    <row r="1967" customFormat="false" ht="21" hidden="false" customHeight="true" outlineLevel="0" collapsed="false">
      <c r="B1967" s="36"/>
      <c r="C1967" s="7"/>
      <c r="D1967" s="7"/>
      <c r="E1967" s="37"/>
      <c r="F1967" s="38"/>
      <c r="G1967" s="24" t="str">
        <f aca="false">IF(OR(C1967="",D1967="",N(E1967)=0),"",E1967*IF(F1967="",IFERROR(N(INDEX(Produtos!$K$5:$K$54,MATCH(D1967,Produtos!$B$5:$B$54,0))),0),F1967))</f>
        <v/>
      </c>
      <c r="H1967" s="24" t="str">
        <f aca="false">IF(G1967="","",E1967*IFERROR(N(INDEX(Produtos!$F$5:$F$54,MATCH(D1967,Produtos!$B$5:$B$54,0))),0))</f>
        <v/>
      </c>
      <c r="I1967" s="24" t="str">
        <f aca="false">IF(G1967="","",G1967-H1967)</f>
        <v/>
      </c>
      <c r="J1967" s="37"/>
    </row>
    <row r="1968" customFormat="false" ht="21" hidden="false" customHeight="true" outlineLevel="0" collapsed="false">
      <c r="B1968" s="36"/>
      <c r="C1968" s="7"/>
      <c r="D1968" s="7"/>
      <c r="E1968" s="37"/>
      <c r="F1968" s="38"/>
      <c r="G1968" s="24" t="str">
        <f aca="false">IF(OR(C1968="",D1968="",N(E1968)=0),"",E1968*IF(F1968="",IFERROR(N(INDEX(Produtos!$K$5:$K$54,MATCH(D1968,Produtos!$B$5:$B$54,0))),0),F1968))</f>
        <v/>
      </c>
      <c r="H1968" s="24" t="str">
        <f aca="false">IF(G1968="","",E1968*IFERROR(N(INDEX(Produtos!$F$5:$F$54,MATCH(D1968,Produtos!$B$5:$B$54,0))),0))</f>
        <v/>
      </c>
      <c r="I1968" s="24" t="str">
        <f aca="false">IF(G1968="","",G1968-H1968)</f>
        <v/>
      </c>
      <c r="J1968" s="37"/>
    </row>
    <row r="1969" customFormat="false" ht="21" hidden="false" customHeight="true" outlineLevel="0" collapsed="false">
      <c r="B1969" s="36"/>
      <c r="C1969" s="7"/>
      <c r="D1969" s="7"/>
      <c r="E1969" s="37"/>
      <c r="F1969" s="38"/>
      <c r="G1969" s="24" t="str">
        <f aca="false">IF(OR(C1969="",D1969="",N(E1969)=0),"",E1969*IF(F1969="",IFERROR(N(INDEX(Produtos!$K$5:$K$54,MATCH(D1969,Produtos!$B$5:$B$54,0))),0),F1969))</f>
        <v/>
      </c>
      <c r="H1969" s="24" t="str">
        <f aca="false">IF(G1969="","",E1969*IFERROR(N(INDEX(Produtos!$F$5:$F$54,MATCH(D1969,Produtos!$B$5:$B$54,0))),0))</f>
        <v/>
      </c>
      <c r="I1969" s="24" t="str">
        <f aca="false">IF(G1969="","",G1969-H1969)</f>
        <v/>
      </c>
      <c r="J1969" s="37"/>
    </row>
    <row r="1970" customFormat="false" ht="21" hidden="false" customHeight="true" outlineLevel="0" collapsed="false">
      <c r="B1970" s="36"/>
      <c r="C1970" s="7"/>
      <c r="D1970" s="7"/>
      <c r="E1970" s="37"/>
      <c r="F1970" s="38"/>
      <c r="G1970" s="24" t="str">
        <f aca="false">IF(OR(C1970="",D1970="",N(E1970)=0),"",E1970*IF(F1970="",IFERROR(N(INDEX(Produtos!$K$5:$K$54,MATCH(D1970,Produtos!$B$5:$B$54,0))),0),F1970))</f>
        <v/>
      </c>
      <c r="H1970" s="24" t="str">
        <f aca="false">IF(G1970="","",E1970*IFERROR(N(INDEX(Produtos!$F$5:$F$54,MATCH(D1970,Produtos!$B$5:$B$54,0))),0))</f>
        <v/>
      </c>
      <c r="I1970" s="24" t="str">
        <f aca="false">IF(G1970="","",G1970-H1970)</f>
        <v/>
      </c>
      <c r="J1970" s="37"/>
    </row>
    <row r="1971" customFormat="false" ht="21" hidden="false" customHeight="true" outlineLevel="0" collapsed="false">
      <c r="B1971" s="36"/>
      <c r="C1971" s="7"/>
      <c r="D1971" s="7"/>
      <c r="E1971" s="37"/>
      <c r="F1971" s="38"/>
      <c r="G1971" s="24" t="str">
        <f aca="false">IF(OR(C1971="",D1971="",N(E1971)=0),"",E1971*IF(F1971="",IFERROR(N(INDEX(Produtos!$K$5:$K$54,MATCH(D1971,Produtos!$B$5:$B$54,0))),0),F1971))</f>
        <v/>
      </c>
      <c r="H1971" s="24" t="str">
        <f aca="false">IF(G1971="","",E1971*IFERROR(N(INDEX(Produtos!$F$5:$F$54,MATCH(D1971,Produtos!$B$5:$B$54,0))),0))</f>
        <v/>
      </c>
      <c r="I1971" s="24" t="str">
        <f aca="false">IF(G1971="","",G1971-H1971)</f>
        <v/>
      </c>
      <c r="J1971" s="37"/>
    </row>
    <row r="1972" customFormat="false" ht="21" hidden="false" customHeight="true" outlineLevel="0" collapsed="false">
      <c r="B1972" s="36"/>
      <c r="C1972" s="7"/>
      <c r="D1972" s="7"/>
      <c r="E1972" s="37"/>
      <c r="F1972" s="38"/>
      <c r="G1972" s="24" t="str">
        <f aca="false">IF(OR(C1972="",D1972="",N(E1972)=0),"",E1972*IF(F1972="",IFERROR(N(INDEX(Produtos!$K$5:$K$54,MATCH(D1972,Produtos!$B$5:$B$54,0))),0),F1972))</f>
        <v/>
      </c>
      <c r="H1972" s="24" t="str">
        <f aca="false">IF(G1972="","",E1972*IFERROR(N(INDEX(Produtos!$F$5:$F$54,MATCH(D1972,Produtos!$B$5:$B$54,0))),0))</f>
        <v/>
      </c>
      <c r="I1972" s="24" t="str">
        <f aca="false">IF(G1972="","",G1972-H1972)</f>
        <v/>
      </c>
      <c r="J1972" s="37"/>
    </row>
    <row r="1973" customFormat="false" ht="21" hidden="false" customHeight="true" outlineLevel="0" collapsed="false">
      <c r="B1973" s="36"/>
      <c r="C1973" s="7"/>
      <c r="D1973" s="7"/>
      <c r="E1973" s="37"/>
      <c r="F1973" s="38"/>
      <c r="G1973" s="24" t="str">
        <f aca="false">IF(OR(C1973="",D1973="",N(E1973)=0),"",E1973*IF(F1973="",IFERROR(N(INDEX(Produtos!$K$5:$K$54,MATCH(D1973,Produtos!$B$5:$B$54,0))),0),F1973))</f>
        <v/>
      </c>
      <c r="H1973" s="24" t="str">
        <f aca="false">IF(G1973="","",E1973*IFERROR(N(INDEX(Produtos!$F$5:$F$54,MATCH(D1973,Produtos!$B$5:$B$54,0))),0))</f>
        <v/>
      </c>
      <c r="I1973" s="24" t="str">
        <f aca="false">IF(G1973="","",G1973-H1973)</f>
        <v/>
      </c>
      <c r="J1973" s="37"/>
    </row>
    <row r="1974" customFormat="false" ht="21" hidden="false" customHeight="true" outlineLevel="0" collapsed="false">
      <c r="B1974" s="36"/>
      <c r="C1974" s="7"/>
      <c r="D1974" s="7"/>
      <c r="E1974" s="37"/>
      <c r="F1974" s="38"/>
      <c r="G1974" s="24" t="str">
        <f aca="false">IF(OR(C1974="",D1974="",N(E1974)=0),"",E1974*IF(F1974="",IFERROR(N(INDEX(Produtos!$K$5:$K$54,MATCH(D1974,Produtos!$B$5:$B$54,0))),0),F1974))</f>
        <v/>
      </c>
      <c r="H1974" s="24" t="str">
        <f aca="false">IF(G1974="","",E1974*IFERROR(N(INDEX(Produtos!$F$5:$F$54,MATCH(D1974,Produtos!$B$5:$B$54,0))),0))</f>
        <v/>
      </c>
      <c r="I1974" s="24" t="str">
        <f aca="false">IF(G1974="","",G1974-H1974)</f>
        <v/>
      </c>
      <c r="J1974" s="37"/>
    </row>
    <row r="1975" customFormat="false" ht="21" hidden="false" customHeight="true" outlineLevel="0" collapsed="false">
      <c r="B1975" s="36"/>
      <c r="C1975" s="7"/>
      <c r="D1975" s="7"/>
      <c r="E1975" s="37"/>
      <c r="F1975" s="38"/>
      <c r="G1975" s="24" t="str">
        <f aca="false">IF(OR(C1975="",D1975="",N(E1975)=0),"",E1975*IF(F1975="",IFERROR(N(INDEX(Produtos!$K$5:$K$54,MATCH(D1975,Produtos!$B$5:$B$54,0))),0),F1975))</f>
        <v/>
      </c>
      <c r="H1975" s="24" t="str">
        <f aca="false">IF(G1975="","",E1975*IFERROR(N(INDEX(Produtos!$F$5:$F$54,MATCH(D1975,Produtos!$B$5:$B$54,0))),0))</f>
        <v/>
      </c>
      <c r="I1975" s="24" t="str">
        <f aca="false">IF(G1975="","",G1975-H1975)</f>
        <v/>
      </c>
      <c r="J1975" s="37"/>
    </row>
    <row r="1976" customFormat="false" ht="21" hidden="false" customHeight="true" outlineLevel="0" collapsed="false">
      <c r="B1976" s="36"/>
      <c r="C1976" s="7"/>
      <c r="D1976" s="7"/>
      <c r="E1976" s="37"/>
      <c r="F1976" s="38"/>
      <c r="G1976" s="24" t="str">
        <f aca="false">IF(OR(C1976="",D1976="",N(E1976)=0),"",E1976*IF(F1976="",IFERROR(N(INDEX(Produtos!$K$5:$K$54,MATCH(D1976,Produtos!$B$5:$B$54,0))),0),F1976))</f>
        <v/>
      </c>
      <c r="H1976" s="24" t="str">
        <f aca="false">IF(G1976="","",E1976*IFERROR(N(INDEX(Produtos!$F$5:$F$54,MATCH(D1976,Produtos!$B$5:$B$54,0))),0))</f>
        <v/>
      </c>
      <c r="I1976" s="24" t="str">
        <f aca="false">IF(G1976="","",G1976-H1976)</f>
        <v/>
      </c>
      <c r="J1976" s="37"/>
    </row>
    <row r="1977" customFormat="false" ht="21" hidden="false" customHeight="true" outlineLevel="0" collapsed="false">
      <c r="B1977" s="36"/>
      <c r="C1977" s="7"/>
      <c r="D1977" s="7"/>
      <c r="E1977" s="37"/>
      <c r="F1977" s="38"/>
      <c r="G1977" s="24" t="str">
        <f aca="false">IF(OR(C1977="",D1977="",N(E1977)=0),"",E1977*IF(F1977="",IFERROR(N(INDEX(Produtos!$K$5:$K$54,MATCH(D1977,Produtos!$B$5:$B$54,0))),0),F1977))</f>
        <v/>
      </c>
      <c r="H1977" s="24" t="str">
        <f aca="false">IF(G1977="","",E1977*IFERROR(N(INDEX(Produtos!$F$5:$F$54,MATCH(D1977,Produtos!$B$5:$B$54,0))),0))</f>
        <v/>
      </c>
      <c r="I1977" s="24" t="str">
        <f aca="false">IF(G1977="","",G1977-H1977)</f>
        <v/>
      </c>
      <c r="J1977" s="37"/>
    </row>
    <row r="1978" customFormat="false" ht="21" hidden="false" customHeight="true" outlineLevel="0" collapsed="false">
      <c r="B1978" s="36"/>
      <c r="C1978" s="7"/>
      <c r="D1978" s="7"/>
      <c r="E1978" s="37"/>
      <c r="F1978" s="38"/>
      <c r="G1978" s="24" t="str">
        <f aca="false">IF(OR(C1978="",D1978="",N(E1978)=0),"",E1978*IF(F1978="",IFERROR(N(INDEX(Produtos!$K$5:$K$54,MATCH(D1978,Produtos!$B$5:$B$54,0))),0),F1978))</f>
        <v/>
      </c>
      <c r="H1978" s="24" t="str">
        <f aca="false">IF(G1978="","",E1978*IFERROR(N(INDEX(Produtos!$F$5:$F$54,MATCH(D1978,Produtos!$B$5:$B$54,0))),0))</f>
        <v/>
      </c>
      <c r="I1978" s="24" t="str">
        <f aca="false">IF(G1978="","",G1978-H1978)</f>
        <v/>
      </c>
      <c r="J1978" s="37"/>
    </row>
    <row r="1979" customFormat="false" ht="21" hidden="false" customHeight="true" outlineLevel="0" collapsed="false">
      <c r="B1979" s="36"/>
      <c r="C1979" s="7"/>
      <c r="D1979" s="7"/>
      <c r="E1979" s="37"/>
      <c r="F1979" s="38"/>
      <c r="G1979" s="24" t="str">
        <f aca="false">IF(OR(C1979="",D1979="",N(E1979)=0),"",E1979*IF(F1979="",IFERROR(N(INDEX(Produtos!$K$5:$K$54,MATCH(D1979,Produtos!$B$5:$B$54,0))),0),F1979))</f>
        <v/>
      </c>
      <c r="H1979" s="24" t="str">
        <f aca="false">IF(G1979="","",E1979*IFERROR(N(INDEX(Produtos!$F$5:$F$54,MATCH(D1979,Produtos!$B$5:$B$54,0))),0))</f>
        <v/>
      </c>
      <c r="I1979" s="24" t="str">
        <f aca="false">IF(G1979="","",G1979-H1979)</f>
        <v/>
      </c>
      <c r="J1979" s="37"/>
    </row>
    <row r="1980" customFormat="false" ht="21" hidden="false" customHeight="true" outlineLevel="0" collapsed="false">
      <c r="B1980" s="36"/>
      <c r="C1980" s="7"/>
      <c r="D1980" s="7"/>
      <c r="E1980" s="37"/>
      <c r="F1980" s="38"/>
      <c r="G1980" s="24" t="str">
        <f aca="false">IF(OR(C1980="",D1980="",N(E1980)=0),"",E1980*IF(F1980="",IFERROR(N(INDEX(Produtos!$K$5:$K$54,MATCH(D1980,Produtos!$B$5:$B$54,0))),0),F1980))</f>
        <v/>
      </c>
      <c r="H1980" s="24" t="str">
        <f aca="false">IF(G1980="","",E1980*IFERROR(N(INDEX(Produtos!$F$5:$F$54,MATCH(D1980,Produtos!$B$5:$B$54,0))),0))</f>
        <v/>
      </c>
      <c r="I1980" s="24" t="str">
        <f aca="false">IF(G1980="","",G1980-H1980)</f>
        <v/>
      </c>
      <c r="J1980" s="37"/>
    </row>
    <row r="1981" customFormat="false" ht="21" hidden="false" customHeight="true" outlineLevel="0" collapsed="false">
      <c r="B1981" s="36"/>
      <c r="C1981" s="7"/>
      <c r="D1981" s="7"/>
      <c r="E1981" s="37"/>
      <c r="F1981" s="38"/>
      <c r="G1981" s="24" t="str">
        <f aca="false">IF(OR(C1981="",D1981="",N(E1981)=0),"",E1981*IF(F1981="",IFERROR(N(INDEX(Produtos!$K$5:$K$54,MATCH(D1981,Produtos!$B$5:$B$54,0))),0),F1981))</f>
        <v/>
      </c>
      <c r="H1981" s="24" t="str">
        <f aca="false">IF(G1981="","",E1981*IFERROR(N(INDEX(Produtos!$F$5:$F$54,MATCH(D1981,Produtos!$B$5:$B$54,0))),0))</f>
        <v/>
      </c>
      <c r="I1981" s="24" t="str">
        <f aca="false">IF(G1981="","",G1981-H1981)</f>
        <v/>
      </c>
      <c r="J1981" s="37"/>
    </row>
    <row r="1982" customFormat="false" ht="21" hidden="false" customHeight="true" outlineLevel="0" collapsed="false">
      <c r="B1982" s="36"/>
      <c r="C1982" s="7"/>
      <c r="D1982" s="7"/>
      <c r="E1982" s="37"/>
      <c r="F1982" s="38"/>
      <c r="G1982" s="24" t="str">
        <f aca="false">IF(OR(C1982="",D1982="",N(E1982)=0),"",E1982*IF(F1982="",IFERROR(N(INDEX(Produtos!$K$5:$K$54,MATCH(D1982,Produtos!$B$5:$B$54,0))),0),F1982))</f>
        <v/>
      </c>
      <c r="H1982" s="24" t="str">
        <f aca="false">IF(G1982="","",E1982*IFERROR(N(INDEX(Produtos!$F$5:$F$54,MATCH(D1982,Produtos!$B$5:$B$54,0))),0))</f>
        <v/>
      </c>
      <c r="I1982" s="24" t="str">
        <f aca="false">IF(G1982="","",G1982-H1982)</f>
        <v/>
      </c>
      <c r="J1982" s="37"/>
    </row>
    <row r="1983" customFormat="false" ht="21" hidden="false" customHeight="true" outlineLevel="0" collapsed="false">
      <c r="B1983" s="36"/>
      <c r="C1983" s="7"/>
      <c r="D1983" s="7"/>
      <c r="E1983" s="37"/>
      <c r="F1983" s="38"/>
      <c r="G1983" s="24" t="str">
        <f aca="false">IF(OR(C1983="",D1983="",N(E1983)=0),"",E1983*IF(F1983="",IFERROR(N(INDEX(Produtos!$K$5:$K$54,MATCH(D1983,Produtos!$B$5:$B$54,0))),0),F1983))</f>
        <v/>
      </c>
      <c r="H1983" s="24" t="str">
        <f aca="false">IF(G1983="","",E1983*IFERROR(N(INDEX(Produtos!$F$5:$F$54,MATCH(D1983,Produtos!$B$5:$B$54,0))),0))</f>
        <v/>
      </c>
      <c r="I1983" s="24" t="str">
        <f aca="false">IF(G1983="","",G1983-H1983)</f>
        <v/>
      </c>
      <c r="J1983" s="37"/>
    </row>
    <row r="1984" customFormat="false" ht="21" hidden="false" customHeight="true" outlineLevel="0" collapsed="false">
      <c r="B1984" s="36"/>
      <c r="C1984" s="7"/>
      <c r="D1984" s="7"/>
      <c r="E1984" s="37"/>
      <c r="F1984" s="38"/>
      <c r="G1984" s="24" t="str">
        <f aca="false">IF(OR(C1984="",D1984="",N(E1984)=0),"",E1984*IF(F1984="",IFERROR(N(INDEX(Produtos!$K$5:$K$54,MATCH(D1984,Produtos!$B$5:$B$54,0))),0),F1984))</f>
        <v/>
      </c>
      <c r="H1984" s="24" t="str">
        <f aca="false">IF(G1984="","",E1984*IFERROR(N(INDEX(Produtos!$F$5:$F$54,MATCH(D1984,Produtos!$B$5:$B$54,0))),0))</f>
        <v/>
      </c>
      <c r="I1984" s="24" t="str">
        <f aca="false">IF(G1984="","",G1984-H1984)</f>
        <v/>
      </c>
      <c r="J1984" s="37"/>
    </row>
    <row r="1985" customFormat="false" ht="21" hidden="false" customHeight="true" outlineLevel="0" collapsed="false">
      <c r="B1985" s="36"/>
      <c r="C1985" s="7"/>
      <c r="D1985" s="7"/>
      <c r="E1985" s="37"/>
      <c r="F1985" s="38"/>
      <c r="G1985" s="24" t="str">
        <f aca="false">IF(OR(C1985="",D1985="",N(E1985)=0),"",E1985*IF(F1985="",IFERROR(N(INDEX(Produtos!$K$5:$K$54,MATCH(D1985,Produtos!$B$5:$B$54,0))),0),F1985))</f>
        <v/>
      </c>
      <c r="H1985" s="24" t="str">
        <f aca="false">IF(G1985="","",E1985*IFERROR(N(INDEX(Produtos!$F$5:$F$54,MATCH(D1985,Produtos!$B$5:$B$54,0))),0))</f>
        <v/>
      </c>
      <c r="I1985" s="24" t="str">
        <f aca="false">IF(G1985="","",G1985-H1985)</f>
        <v/>
      </c>
      <c r="J1985" s="37"/>
    </row>
    <row r="1986" customFormat="false" ht="21" hidden="false" customHeight="true" outlineLevel="0" collapsed="false">
      <c r="B1986" s="36"/>
      <c r="C1986" s="7"/>
      <c r="D1986" s="7"/>
      <c r="E1986" s="37"/>
      <c r="F1986" s="38"/>
      <c r="G1986" s="24" t="str">
        <f aca="false">IF(OR(C1986="",D1986="",N(E1986)=0),"",E1986*IF(F1986="",IFERROR(N(INDEX(Produtos!$K$5:$K$54,MATCH(D1986,Produtos!$B$5:$B$54,0))),0),F1986))</f>
        <v/>
      </c>
      <c r="H1986" s="24" t="str">
        <f aca="false">IF(G1986="","",E1986*IFERROR(N(INDEX(Produtos!$F$5:$F$54,MATCH(D1986,Produtos!$B$5:$B$54,0))),0))</f>
        <v/>
      </c>
      <c r="I1986" s="24" t="str">
        <f aca="false">IF(G1986="","",G1986-H1986)</f>
        <v/>
      </c>
      <c r="J1986" s="37"/>
    </row>
    <row r="1987" customFormat="false" ht="21" hidden="false" customHeight="true" outlineLevel="0" collapsed="false">
      <c r="B1987" s="36"/>
      <c r="C1987" s="7"/>
      <c r="D1987" s="7"/>
      <c r="E1987" s="37"/>
      <c r="F1987" s="38"/>
      <c r="G1987" s="24" t="str">
        <f aca="false">IF(OR(C1987="",D1987="",N(E1987)=0),"",E1987*IF(F1987="",IFERROR(N(INDEX(Produtos!$K$5:$K$54,MATCH(D1987,Produtos!$B$5:$B$54,0))),0),F1987))</f>
        <v/>
      </c>
      <c r="H1987" s="24" t="str">
        <f aca="false">IF(G1987="","",E1987*IFERROR(N(INDEX(Produtos!$F$5:$F$54,MATCH(D1987,Produtos!$B$5:$B$54,0))),0))</f>
        <v/>
      </c>
      <c r="I1987" s="24" t="str">
        <f aca="false">IF(G1987="","",G1987-H1987)</f>
        <v/>
      </c>
      <c r="J1987" s="37"/>
    </row>
    <row r="1988" customFormat="false" ht="21" hidden="false" customHeight="true" outlineLevel="0" collapsed="false">
      <c r="B1988" s="36"/>
      <c r="C1988" s="7"/>
      <c r="D1988" s="7"/>
      <c r="E1988" s="37"/>
      <c r="F1988" s="38"/>
      <c r="G1988" s="24" t="str">
        <f aca="false">IF(OR(C1988="",D1988="",N(E1988)=0),"",E1988*IF(F1988="",IFERROR(N(INDEX(Produtos!$K$5:$K$54,MATCH(D1988,Produtos!$B$5:$B$54,0))),0),F1988))</f>
        <v/>
      </c>
      <c r="H1988" s="24" t="str">
        <f aca="false">IF(G1988="","",E1988*IFERROR(N(INDEX(Produtos!$F$5:$F$54,MATCH(D1988,Produtos!$B$5:$B$54,0))),0))</f>
        <v/>
      </c>
      <c r="I1988" s="24" t="str">
        <f aca="false">IF(G1988="","",G1988-H1988)</f>
        <v/>
      </c>
      <c r="J1988" s="37"/>
    </row>
    <row r="1989" customFormat="false" ht="21" hidden="false" customHeight="true" outlineLevel="0" collapsed="false">
      <c r="B1989" s="36"/>
      <c r="C1989" s="7"/>
      <c r="D1989" s="7"/>
      <c r="E1989" s="37"/>
      <c r="F1989" s="38"/>
      <c r="G1989" s="24" t="str">
        <f aca="false">IF(OR(C1989="",D1989="",N(E1989)=0),"",E1989*IF(F1989="",IFERROR(N(INDEX(Produtos!$K$5:$K$54,MATCH(D1989,Produtos!$B$5:$B$54,0))),0),F1989))</f>
        <v/>
      </c>
      <c r="H1989" s="24" t="str">
        <f aca="false">IF(G1989="","",E1989*IFERROR(N(INDEX(Produtos!$F$5:$F$54,MATCH(D1989,Produtos!$B$5:$B$54,0))),0))</f>
        <v/>
      </c>
      <c r="I1989" s="24" t="str">
        <f aca="false">IF(G1989="","",G1989-H1989)</f>
        <v/>
      </c>
      <c r="J1989" s="37"/>
    </row>
    <row r="1990" customFormat="false" ht="21" hidden="false" customHeight="true" outlineLevel="0" collapsed="false">
      <c r="B1990" s="36"/>
      <c r="C1990" s="7"/>
      <c r="D1990" s="7"/>
      <c r="E1990" s="37"/>
      <c r="F1990" s="38"/>
      <c r="G1990" s="24" t="str">
        <f aca="false">IF(OR(C1990="",D1990="",N(E1990)=0),"",E1990*IF(F1990="",IFERROR(N(INDEX(Produtos!$K$5:$K$54,MATCH(D1990,Produtos!$B$5:$B$54,0))),0),F1990))</f>
        <v/>
      </c>
      <c r="H1990" s="24" t="str">
        <f aca="false">IF(G1990="","",E1990*IFERROR(N(INDEX(Produtos!$F$5:$F$54,MATCH(D1990,Produtos!$B$5:$B$54,0))),0))</f>
        <v/>
      </c>
      <c r="I1990" s="24" t="str">
        <f aca="false">IF(G1990="","",G1990-H1990)</f>
        <v/>
      </c>
      <c r="J1990" s="37"/>
    </row>
    <row r="1991" customFormat="false" ht="21" hidden="false" customHeight="true" outlineLevel="0" collapsed="false">
      <c r="B1991" s="36"/>
      <c r="C1991" s="7"/>
      <c r="D1991" s="7"/>
      <c r="E1991" s="37"/>
      <c r="F1991" s="38"/>
      <c r="G1991" s="24" t="str">
        <f aca="false">IF(OR(C1991="",D1991="",N(E1991)=0),"",E1991*IF(F1991="",IFERROR(N(INDEX(Produtos!$K$5:$K$54,MATCH(D1991,Produtos!$B$5:$B$54,0))),0),F1991))</f>
        <v/>
      </c>
      <c r="H1991" s="24" t="str">
        <f aca="false">IF(G1991="","",E1991*IFERROR(N(INDEX(Produtos!$F$5:$F$54,MATCH(D1991,Produtos!$B$5:$B$54,0))),0))</f>
        <v/>
      </c>
      <c r="I1991" s="24" t="str">
        <f aca="false">IF(G1991="","",G1991-H1991)</f>
        <v/>
      </c>
      <c r="J1991" s="37"/>
    </row>
    <row r="1992" customFormat="false" ht="21" hidden="false" customHeight="true" outlineLevel="0" collapsed="false">
      <c r="B1992" s="36"/>
      <c r="C1992" s="7"/>
      <c r="D1992" s="7"/>
      <c r="E1992" s="37"/>
      <c r="F1992" s="38"/>
      <c r="G1992" s="24" t="str">
        <f aca="false">IF(OR(C1992="",D1992="",N(E1992)=0),"",E1992*IF(F1992="",IFERROR(N(INDEX(Produtos!$K$5:$K$54,MATCH(D1992,Produtos!$B$5:$B$54,0))),0),F1992))</f>
        <v/>
      </c>
      <c r="H1992" s="24" t="str">
        <f aca="false">IF(G1992="","",E1992*IFERROR(N(INDEX(Produtos!$F$5:$F$54,MATCH(D1992,Produtos!$B$5:$B$54,0))),0))</f>
        <v/>
      </c>
      <c r="I1992" s="24" t="str">
        <f aca="false">IF(G1992="","",G1992-H1992)</f>
        <v/>
      </c>
      <c r="J1992" s="37"/>
    </row>
    <row r="1993" customFormat="false" ht="21" hidden="false" customHeight="true" outlineLevel="0" collapsed="false">
      <c r="B1993" s="36"/>
      <c r="C1993" s="7"/>
      <c r="D1993" s="7"/>
      <c r="E1993" s="37"/>
      <c r="F1993" s="38"/>
      <c r="G1993" s="24" t="str">
        <f aca="false">IF(OR(C1993="",D1993="",N(E1993)=0),"",E1993*IF(F1993="",IFERROR(N(INDEX(Produtos!$K$5:$K$54,MATCH(D1993,Produtos!$B$5:$B$54,0))),0),F1993))</f>
        <v/>
      </c>
      <c r="H1993" s="24" t="str">
        <f aca="false">IF(G1993="","",E1993*IFERROR(N(INDEX(Produtos!$F$5:$F$54,MATCH(D1993,Produtos!$B$5:$B$54,0))),0))</f>
        <v/>
      </c>
      <c r="I1993" s="24" t="str">
        <f aca="false">IF(G1993="","",G1993-H1993)</f>
        <v/>
      </c>
      <c r="J1993" s="37"/>
    </row>
    <row r="1994" customFormat="false" ht="21" hidden="false" customHeight="true" outlineLevel="0" collapsed="false">
      <c r="B1994" s="36"/>
      <c r="C1994" s="7"/>
      <c r="D1994" s="7"/>
      <c r="E1994" s="37"/>
      <c r="F1994" s="38"/>
      <c r="G1994" s="24" t="str">
        <f aca="false">IF(OR(C1994="",D1994="",N(E1994)=0),"",E1994*IF(F1994="",IFERROR(N(INDEX(Produtos!$K$5:$K$54,MATCH(D1994,Produtos!$B$5:$B$54,0))),0),F1994))</f>
        <v/>
      </c>
      <c r="H1994" s="24" t="str">
        <f aca="false">IF(G1994="","",E1994*IFERROR(N(INDEX(Produtos!$F$5:$F$54,MATCH(D1994,Produtos!$B$5:$B$54,0))),0))</f>
        <v/>
      </c>
      <c r="I1994" s="24" t="str">
        <f aca="false">IF(G1994="","",G1994-H1994)</f>
        <v/>
      </c>
      <c r="J1994" s="37"/>
    </row>
    <row r="1995" customFormat="false" ht="21" hidden="false" customHeight="true" outlineLevel="0" collapsed="false">
      <c r="B1995" s="36"/>
      <c r="C1995" s="7"/>
      <c r="D1995" s="7"/>
      <c r="E1995" s="37"/>
      <c r="F1995" s="38"/>
      <c r="G1995" s="24" t="str">
        <f aca="false">IF(OR(C1995="",D1995="",N(E1995)=0),"",E1995*IF(F1995="",IFERROR(N(INDEX(Produtos!$K$5:$K$54,MATCH(D1995,Produtos!$B$5:$B$54,0))),0),F1995))</f>
        <v/>
      </c>
      <c r="H1995" s="24" t="str">
        <f aca="false">IF(G1995="","",E1995*IFERROR(N(INDEX(Produtos!$F$5:$F$54,MATCH(D1995,Produtos!$B$5:$B$54,0))),0))</f>
        <v/>
      </c>
      <c r="I1995" s="24" t="str">
        <f aca="false">IF(G1995="","",G1995-H1995)</f>
        <v/>
      </c>
      <c r="J1995" s="37"/>
    </row>
    <row r="1996" customFormat="false" ht="21" hidden="false" customHeight="true" outlineLevel="0" collapsed="false">
      <c r="B1996" s="36"/>
      <c r="C1996" s="7"/>
      <c r="D1996" s="7"/>
      <c r="E1996" s="37"/>
      <c r="F1996" s="38"/>
      <c r="G1996" s="24" t="str">
        <f aca="false">IF(OR(C1996="",D1996="",N(E1996)=0),"",E1996*IF(F1996="",IFERROR(N(INDEX(Produtos!$K$5:$K$54,MATCH(D1996,Produtos!$B$5:$B$54,0))),0),F1996))</f>
        <v/>
      </c>
      <c r="H1996" s="24" t="str">
        <f aca="false">IF(G1996="","",E1996*IFERROR(N(INDEX(Produtos!$F$5:$F$54,MATCH(D1996,Produtos!$B$5:$B$54,0))),0))</f>
        <v/>
      </c>
      <c r="I1996" s="24" t="str">
        <f aca="false">IF(G1996="","",G1996-H1996)</f>
        <v/>
      </c>
      <c r="J1996" s="37"/>
    </row>
    <row r="1997" customFormat="false" ht="21" hidden="false" customHeight="true" outlineLevel="0" collapsed="false">
      <c r="B1997" s="36"/>
      <c r="C1997" s="7"/>
      <c r="D1997" s="7"/>
      <c r="E1997" s="37"/>
      <c r="F1997" s="38"/>
      <c r="G1997" s="24" t="str">
        <f aca="false">IF(OR(C1997="",D1997="",N(E1997)=0),"",E1997*IF(F1997="",IFERROR(N(INDEX(Produtos!$K$5:$K$54,MATCH(D1997,Produtos!$B$5:$B$54,0))),0),F1997))</f>
        <v/>
      </c>
      <c r="H1997" s="24" t="str">
        <f aca="false">IF(G1997="","",E1997*IFERROR(N(INDEX(Produtos!$F$5:$F$54,MATCH(D1997,Produtos!$B$5:$B$54,0))),0))</f>
        <v/>
      </c>
      <c r="I1997" s="24" t="str">
        <f aca="false">IF(G1997="","",G1997-H1997)</f>
        <v/>
      </c>
      <c r="J1997" s="37"/>
    </row>
    <row r="1998" customFormat="false" ht="21" hidden="false" customHeight="true" outlineLevel="0" collapsed="false">
      <c r="B1998" s="36"/>
      <c r="C1998" s="7"/>
      <c r="D1998" s="7"/>
      <c r="E1998" s="37"/>
      <c r="F1998" s="38"/>
      <c r="G1998" s="24" t="str">
        <f aca="false">IF(OR(C1998="",D1998="",N(E1998)=0),"",E1998*IF(F1998="",IFERROR(N(INDEX(Produtos!$K$5:$K$54,MATCH(D1998,Produtos!$B$5:$B$54,0))),0),F1998))</f>
        <v/>
      </c>
      <c r="H1998" s="24" t="str">
        <f aca="false">IF(G1998="","",E1998*IFERROR(N(INDEX(Produtos!$F$5:$F$54,MATCH(D1998,Produtos!$B$5:$B$54,0))),0))</f>
        <v/>
      </c>
      <c r="I1998" s="24" t="str">
        <f aca="false">IF(G1998="","",G1998-H1998)</f>
        <v/>
      </c>
      <c r="J1998" s="37"/>
    </row>
    <row r="1999" customFormat="false" ht="21" hidden="false" customHeight="true" outlineLevel="0" collapsed="false">
      <c r="B1999" s="36"/>
      <c r="C1999" s="7"/>
      <c r="D1999" s="7"/>
      <c r="E1999" s="37"/>
      <c r="F1999" s="38"/>
      <c r="G1999" s="24" t="str">
        <f aca="false">IF(OR(C1999="",D1999="",N(E1999)=0),"",E1999*IF(F1999="",IFERROR(N(INDEX(Produtos!$K$5:$K$54,MATCH(D1999,Produtos!$B$5:$B$54,0))),0),F1999))</f>
        <v/>
      </c>
      <c r="H1999" s="24" t="str">
        <f aca="false">IF(G1999="","",E1999*IFERROR(N(INDEX(Produtos!$F$5:$F$54,MATCH(D1999,Produtos!$B$5:$B$54,0))),0))</f>
        <v/>
      </c>
      <c r="I1999" s="24" t="str">
        <f aca="false">IF(G1999="","",G1999-H1999)</f>
        <v/>
      </c>
      <c r="J1999" s="37"/>
    </row>
    <row r="2000" customFormat="false" ht="21" hidden="false" customHeight="true" outlineLevel="0" collapsed="false">
      <c r="B2000" s="36"/>
      <c r="C2000" s="7"/>
      <c r="D2000" s="7"/>
      <c r="E2000" s="37"/>
      <c r="F2000" s="38"/>
      <c r="G2000" s="24" t="str">
        <f aca="false">IF(OR(C2000="",D2000="",N(E2000)=0),"",E2000*IF(F2000="",IFERROR(N(INDEX(Produtos!$K$5:$K$54,MATCH(D2000,Produtos!$B$5:$B$54,0))),0),F2000))</f>
        <v/>
      </c>
      <c r="H2000" s="24" t="str">
        <f aca="false">IF(G2000="","",E2000*IFERROR(N(INDEX(Produtos!$F$5:$F$54,MATCH(D2000,Produtos!$B$5:$B$54,0))),0))</f>
        <v/>
      </c>
      <c r="I2000" s="24" t="str">
        <f aca="false">IF(G2000="","",G2000-H2000)</f>
        <v/>
      </c>
      <c r="J2000" s="37"/>
    </row>
    <row r="2001" customFormat="false" ht="21" hidden="false" customHeight="true" outlineLevel="0" collapsed="false">
      <c r="B2001" s="36"/>
      <c r="C2001" s="7"/>
      <c r="D2001" s="7"/>
      <c r="E2001" s="37"/>
      <c r="F2001" s="38"/>
      <c r="G2001" s="24" t="str">
        <f aca="false">IF(OR(C2001="",D2001="",N(E2001)=0),"",E2001*IF(F2001="",IFERROR(N(INDEX(Produtos!$K$5:$K$54,MATCH(D2001,Produtos!$B$5:$B$54,0))),0),F2001))</f>
        <v/>
      </c>
      <c r="H2001" s="24" t="str">
        <f aca="false">IF(G2001="","",E2001*IFERROR(N(INDEX(Produtos!$F$5:$F$54,MATCH(D2001,Produtos!$B$5:$B$54,0))),0))</f>
        <v/>
      </c>
      <c r="I2001" s="24" t="str">
        <f aca="false">IF(G2001="","",G2001-H2001)</f>
        <v/>
      </c>
      <c r="J2001" s="37"/>
    </row>
    <row r="2002" customFormat="false" ht="21" hidden="false" customHeight="true" outlineLevel="0" collapsed="false">
      <c r="B2002" s="36"/>
      <c r="C2002" s="7"/>
      <c r="D2002" s="7"/>
      <c r="E2002" s="37"/>
      <c r="F2002" s="38"/>
      <c r="G2002" s="24" t="str">
        <f aca="false">IF(OR(C2002="",D2002="",N(E2002)=0),"",E2002*IF(F2002="",IFERROR(N(INDEX(Produtos!$K$5:$K$54,MATCH(D2002,Produtos!$B$5:$B$54,0))),0),F2002))</f>
        <v/>
      </c>
      <c r="H2002" s="24" t="str">
        <f aca="false">IF(G2002="","",E2002*IFERROR(N(INDEX(Produtos!$F$5:$F$54,MATCH(D2002,Produtos!$B$5:$B$54,0))),0))</f>
        <v/>
      </c>
      <c r="I2002" s="24" t="str">
        <f aca="false">IF(G2002="","",G2002-H2002)</f>
        <v/>
      </c>
      <c r="J2002" s="37"/>
    </row>
    <row r="2003" customFormat="false" ht="21" hidden="false" customHeight="true" outlineLevel="0" collapsed="false">
      <c r="B2003" s="36"/>
      <c r="C2003" s="7"/>
      <c r="D2003" s="7"/>
      <c r="E2003" s="37"/>
      <c r="F2003" s="38"/>
      <c r="G2003" s="24" t="str">
        <f aca="false">IF(OR(C2003="",D2003="",N(E2003)=0),"",E2003*IF(F2003="",IFERROR(N(INDEX(Produtos!$K$5:$K$54,MATCH(D2003,Produtos!$B$5:$B$54,0))),0),F2003))</f>
        <v/>
      </c>
      <c r="H2003" s="24" t="str">
        <f aca="false">IF(G2003="","",E2003*IFERROR(N(INDEX(Produtos!$F$5:$F$54,MATCH(D2003,Produtos!$B$5:$B$54,0))),0))</f>
        <v/>
      </c>
      <c r="I2003" s="24" t="str">
        <f aca="false">IF(G2003="","",G2003-H2003)</f>
        <v/>
      </c>
      <c r="J2003" s="37"/>
    </row>
    <row r="2004" customFormat="false" ht="21" hidden="false" customHeight="true" outlineLevel="0" collapsed="false">
      <c r="B2004" s="36"/>
      <c r="C2004" s="7"/>
      <c r="D2004" s="7"/>
      <c r="E2004" s="37"/>
      <c r="F2004" s="38"/>
      <c r="G2004" s="24" t="str">
        <f aca="false">IF(OR(C2004="",D2004="",N(E2004)=0),"",E2004*IF(F2004="",IFERROR(N(INDEX(Produtos!$K$5:$K$54,MATCH(D2004,Produtos!$B$5:$B$54,0))),0),F2004))</f>
        <v/>
      </c>
      <c r="H2004" s="24" t="str">
        <f aca="false">IF(G2004="","",E2004*IFERROR(N(INDEX(Produtos!$F$5:$F$54,MATCH(D2004,Produtos!$B$5:$B$54,0))),0))</f>
        <v/>
      </c>
      <c r="I2004" s="24" t="str">
        <f aca="false">IF(G2004="","",G2004-H2004)</f>
        <v/>
      </c>
      <c r="J2004" s="37"/>
    </row>
  </sheetData>
  <mergeCells count="2">
    <mergeCell ref="B1:J1"/>
    <mergeCell ref="B2:J2"/>
  </mergeCells>
  <dataValidations count="3">
    <dataValidation allowBlank="true" errorStyle="stop" operator="between" prompt="Escolha da lista ou cadastre na aba Clientes." promptTitle="Cliente" showDropDown="false" showErrorMessage="false" showInputMessage="true" sqref="C5:C2004" type="list">
      <formula1>Clientes!$B$5:$B$204</formula1>
      <formula2>0</formula2>
    </dataValidation>
    <dataValidation allowBlank="true" errorStyle="stop" operator="between" prompt="Escolha da lista da aba Produtos." promptTitle="Produto" showDropDown="false" showErrorMessage="false" showInputMessage="true" sqref="D5:D2004" type="list">
      <formula1>Produtos!$B$5:$B$54</formula1>
      <formula2>0</formula2>
    </dataValidation>
    <dataValidation allowBlank="true" errorStyle="stop" operator="between" showDropDown="false" showErrorMessage="false" showInputMessage="false" sqref="J5:J20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6F"/>
    <pageSetUpPr fitToPage="true"/>
  </sheetPr>
  <dimension ref="B1:F10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5" min="4" style="0" width="14"/>
    <col collapsed="false" customWidth="true" hidden="false" outlineLevel="0" max="6" min="6" style="0" width="32"/>
  </cols>
  <sheetData>
    <row r="1" customFormat="false" ht="39.75" hidden="false" customHeight="true" outlineLevel="0" collapsed="false">
      <c r="B1" s="1" t="s">
        <v>17</v>
      </c>
      <c r="C1" s="1"/>
      <c r="D1" s="1"/>
      <c r="E1" s="1"/>
      <c r="F1" s="1"/>
    </row>
    <row r="2" customFormat="false" ht="36" hidden="false" customHeight="true" outlineLevel="0" collapsed="false">
      <c r="B2" s="2" t="s">
        <v>102</v>
      </c>
      <c r="C2" s="2"/>
      <c r="D2" s="2"/>
      <c r="E2" s="2"/>
      <c r="F2" s="2"/>
    </row>
    <row r="3" customFormat="false" ht="9.75" hidden="false" customHeight="true" outlineLevel="0" collapsed="false"/>
    <row r="4" customFormat="false" ht="43.5" hidden="false" customHeight="true" outlineLevel="0" collapsed="false">
      <c r="B4" s="35" t="s">
        <v>85</v>
      </c>
      <c r="C4" s="35" t="s">
        <v>86</v>
      </c>
      <c r="D4" s="35" t="s">
        <v>103</v>
      </c>
      <c r="E4" s="35" t="s">
        <v>104</v>
      </c>
      <c r="F4" s="35" t="s">
        <v>105</v>
      </c>
    </row>
    <row r="5" customFormat="false" ht="21" hidden="false" customHeight="true" outlineLevel="0" collapsed="false">
      <c r="B5" s="36" t="n">
        <v>46305</v>
      </c>
      <c r="C5" s="7" t="s">
        <v>92</v>
      </c>
      <c r="D5" s="38" t="n">
        <v>24</v>
      </c>
      <c r="E5" s="37" t="s">
        <v>106</v>
      </c>
      <c r="F5" s="7"/>
    </row>
    <row r="6" customFormat="false" ht="21" hidden="false" customHeight="true" outlineLevel="0" collapsed="false">
      <c r="B6" s="36" t="n">
        <v>46310</v>
      </c>
      <c r="C6" s="7" t="s">
        <v>97</v>
      </c>
      <c r="D6" s="38" t="n">
        <v>15</v>
      </c>
      <c r="E6" s="37" t="s">
        <v>107</v>
      </c>
      <c r="F6" s="7"/>
    </row>
    <row r="7" customFormat="false" ht="21" hidden="false" customHeight="true" outlineLevel="0" collapsed="false">
      <c r="B7" s="36" t="n">
        <v>46315</v>
      </c>
      <c r="C7" s="7" t="s">
        <v>99</v>
      </c>
      <c r="D7" s="38" t="n">
        <v>50</v>
      </c>
      <c r="E7" s="37" t="s">
        <v>106</v>
      </c>
      <c r="F7" s="7" t="s">
        <v>108</v>
      </c>
    </row>
    <row r="8" customFormat="false" ht="21" hidden="false" customHeight="true" outlineLevel="0" collapsed="false">
      <c r="B8" s="36" t="n">
        <v>46320</v>
      </c>
      <c r="C8" s="7" t="s">
        <v>94</v>
      </c>
      <c r="D8" s="38" t="n">
        <v>20</v>
      </c>
      <c r="E8" s="37" t="s">
        <v>109</v>
      </c>
      <c r="F8" s="7"/>
    </row>
    <row r="9" customFormat="false" ht="21" hidden="false" customHeight="true" outlineLevel="0" collapsed="false">
      <c r="B9" s="36"/>
      <c r="C9" s="7"/>
      <c r="D9" s="38"/>
      <c r="E9" s="37"/>
      <c r="F9" s="7"/>
    </row>
    <row r="10" customFormat="false" ht="21" hidden="false" customHeight="true" outlineLevel="0" collapsed="false">
      <c r="B10" s="36"/>
      <c r="C10" s="7"/>
      <c r="D10" s="38"/>
      <c r="E10" s="37"/>
      <c r="F10" s="7"/>
    </row>
    <row r="11" customFormat="false" ht="21" hidden="false" customHeight="true" outlineLevel="0" collapsed="false">
      <c r="B11" s="36"/>
      <c r="C11" s="7"/>
      <c r="D11" s="38"/>
      <c r="E11" s="37"/>
      <c r="F11" s="7"/>
    </row>
    <row r="12" customFormat="false" ht="21" hidden="false" customHeight="true" outlineLevel="0" collapsed="false">
      <c r="B12" s="36"/>
      <c r="C12" s="7"/>
      <c r="D12" s="38"/>
      <c r="E12" s="37"/>
      <c r="F12" s="7"/>
    </row>
    <row r="13" customFormat="false" ht="21" hidden="false" customHeight="true" outlineLevel="0" collapsed="false">
      <c r="B13" s="36"/>
      <c r="C13" s="7"/>
      <c r="D13" s="38"/>
      <c r="E13" s="37"/>
      <c r="F13" s="7"/>
    </row>
    <row r="14" customFormat="false" ht="21" hidden="false" customHeight="true" outlineLevel="0" collapsed="false">
      <c r="B14" s="36"/>
      <c r="C14" s="7"/>
      <c r="D14" s="38"/>
      <c r="E14" s="37"/>
      <c r="F14" s="7"/>
    </row>
    <row r="15" customFormat="false" ht="21" hidden="false" customHeight="true" outlineLevel="0" collapsed="false">
      <c r="B15" s="36"/>
      <c r="C15" s="7"/>
      <c r="D15" s="38"/>
      <c r="E15" s="37"/>
      <c r="F15" s="7"/>
    </row>
    <row r="16" customFormat="false" ht="21" hidden="false" customHeight="true" outlineLevel="0" collapsed="false">
      <c r="B16" s="36"/>
      <c r="C16" s="7"/>
      <c r="D16" s="38"/>
      <c r="E16" s="37"/>
      <c r="F16" s="7"/>
    </row>
    <row r="17" customFormat="false" ht="21" hidden="false" customHeight="true" outlineLevel="0" collapsed="false">
      <c r="B17" s="36"/>
      <c r="C17" s="7"/>
      <c r="D17" s="38"/>
      <c r="E17" s="37"/>
      <c r="F17" s="7"/>
    </row>
    <row r="18" customFormat="false" ht="21" hidden="false" customHeight="true" outlineLevel="0" collapsed="false">
      <c r="B18" s="36"/>
      <c r="C18" s="7"/>
      <c r="D18" s="38"/>
      <c r="E18" s="37"/>
      <c r="F18" s="7"/>
    </row>
    <row r="19" customFormat="false" ht="21" hidden="false" customHeight="true" outlineLevel="0" collapsed="false">
      <c r="B19" s="36"/>
      <c r="C19" s="7"/>
      <c r="D19" s="38"/>
      <c r="E19" s="37"/>
      <c r="F19" s="7"/>
    </row>
    <row r="20" customFormat="false" ht="21" hidden="false" customHeight="true" outlineLevel="0" collapsed="false">
      <c r="B20" s="36"/>
      <c r="C20" s="7"/>
      <c r="D20" s="38"/>
      <c r="E20" s="37"/>
      <c r="F20" s="7"/>
    </row>
    <row r="21" customFormat="false" ht="21" hidden="false" customHeight="true" outlineLevel="0" collapsed="false">
      <c r="B21" s="36"/>
      <c r="C21" s="7"/>
      <c r="D21" s="38"/>
      <c r="E21" s="37"/>
      <c r="F21" s="7"/>
    </row>
    <row r="22" customFormat="false" ht="21" hidden="false" customHeight="true" outlineLevel="0" collapsed="false">
      <c r="B22" s="36"/>
      <c r="C22" s="7"/>
      <c r="D22" s="38"/>
      <c r="E22" s="37"/>
      <c r="F22" s="7"/>
    </row>
    <row r="23" customFormat="false" ht="21" hidden="false" customHeight="true" outlineLevel="0" collapsed="false">
      <c r="B23" s="36"/>
      <c r="C23" s="7"/>
      <c r="D23" s="38"/>
      <c r="E23" s="37"/>
      <c r="F23" s="7"/>
    </row>
    <row r="24" customFormat="false" ht="21" hidden="false" customHeight="true" outlineLevel="0" collapsed="false">
      <c r="B24" s="36"/>
      <c r="C24" s="7"/>
      <c r="D24" s="38"/>
      <c r="E24" s="37"/>
      <c r="F24" s="7"/>
    </row>
    <row r="25" customFormat="false" ht="21" hidden="false" customHeight="true" outlineLevel="0" collapsed="false">
      <c r="B25" s="36"/>
      <c r="C25" s="7"/>
      <c r="D25" s="38"/>
      <c r="E25" s="37"/>
      <c r="F25" s="7"/>
    </row>
    <row r="26" customFormat="false" ht="21" hidden="false" customHeight="true" outlineLevel="0" collapsed="false">
      <c r="B26" s="36"/>
      <c r="C26" s="7"/>
      <c r="D26" s="38"/>
      <c r="E26" s="37"/>
      <c r="F26" s="7"/>
    </row>
    <row r="27" customFormat="false" ht="21" hidden="false" customHeight="true" outlineLevel="0" collapsed="false">
      <c r="B27" s="36"/>
      <c r="C27" s="7"/>
      <c r="D27" s="38"/>
      <c r="E27" s="37"/>
      <c r="F27" s="7"/>
    </row>
    <row r="28" customFormat="false" ht="21" hidden="false" customHeight="true" outlineLevel="0" collapsed="false">
      <c r="B28" s="36"/>
      <c r="C28" s="7"/>
      <c r="D28" s="38"/>
      <c r="E28" s="37"/>
      <c r="F28" s="7"/>
    </row>
    <row r="29" customFormat="false" ht="21" hidden="false" customHeight="true" outlineLevel="0" collapsed="false">
      <c r="B29" s="36"/>
      <c r="C29" s="7"/>
      <c r="D29" s="38"/>
      <c r="E29" s="37"/>
      <c r="F29" s="7"/>
    </row>
    <row r="30" customFormat="false" ht="21" hidden="false" customHeight="true" outlineLevel="0" collapsed="false">
      <c r="B30" s="36"/>
      <c r="C30" s="7"/>
      <c r="D30" s="38"/>
      <c r="E30" s="37"/>
      <c r="F30" s="7"/>
    </row>
    <row r="31" customFormat="false" ht="21" hidden="false" customHeight="true" outlineLevel="0" collapsed="false">
      <c r="B31" s="36"/>
      <c r="C31" s="7"/>
      <c r="D31" s="38"/>
      <c r="E31" s="37"/>
      <c r="F31" s="7"/>
    </row>
    <row r="32" customFormat="false" ht="21" hidden="false" customHeight="true" outlineLevel="0" collapsed="false">
      <c r="B32" s="36"/>
      <c r="C32" s="7"/>
      <c r="D32" s="38"/>
      <c r="E32" s="37"/>
      <c r="F32" s="7"/>
    </row>
    <row r="33" customFormat="false" ht="21" hidden="false" customHeight="true" outlineLevel="0" collapsed="false">
      <c r="B33" s="36"/>
      <c r="C33" s="7"/>
      <c r="D33" s="38"/>
      <c r="E33" s="37"/>
      <c r="F33" s="7"/>
    </row>
    <row r="34" customFormat="false" ht="21" hidden="false" customHeight="true" outlineLevel="0" collapsed="false">
      <c r="B34" s="36"/>
      <c r="C34" s="7"/>
      <c r="D34" s="38"/>
      <c r="E34" s="37"/>
      <c r="F34" s="7"/>
    </row>
    <row r="35" customFormat="false" ht="21" hidden="false" customHeight="true" outlineLevel="0" collapsed="false">
      <c r="B35" s="36"/>
      <c r="C35" s="7"/>
      <c r="D35" s="38"/>
      <c r="E35" s="37"/>
      <c r="F35" s="7"/>
    </row>
    <row r="36" customFormat="false" ht="21" hidden="false" customHeight="true" outlineLevel="0" collapsed="false">
      <c r="B36" s="36"/>
      <c r="C36" s="7"/>
      <c r="D36" s="38"/>
      <c r="E36" s="37"/>
      <c r="F36" s="7"/>
    </row>
    <row r="37" customFormat="false" ht="21" hidden="false" customHeight="true" outlineLevel="0" collapsed="false">
      <c r="B37" s="36"/>
      <c r="C37" s="7"/>
      <c r="D37" s="38"/>
      <c r="E37" s="37"/>
      <c r="F37" s="7"/>
    </row>
    <row r="38" customFormat="false" ht="21" hidden="false" customHeight="true" outlineLevel="0" collapsed="false">
      <c r="B38" s="36"/>
      <c r="C38" s="7"/>
      <c r="D38" s="38"/>
      <c r="E38" s="37"/>
      <c r="F38" s="7"/>
    </row>
    <row r="39" customFormat="false" ht="21" hidden="false" customHeight="true" outlineLevel="0" collapsed="false">
      <c r="B39" s="36"/>
      <c r="C39" s="7"/>
      <c r="D39" s="38"/>
      <c r="E39" s="37"/>
      <c r="F39" s="7"/>
    </row>
    <row r="40" customFormat="false" ht="21" hidden="false" customHeight="true" outlineLevel="0" collapsed="false">
      <c r="B40" s="36"/>
      <c r="C40" s="7"/>
      <c r="D40" s="38"/>
      <c r="E40" s="37"/>
      <c r="F40" s="7"/>
    </row>
    <row r="41" customFormat="false" ht="21" hidden="false" customHeight="true" outlineLevel="0" collapsed="false">
      <c r="B41" s="36"/>
      <c r="C41" s="7"/>
      <c r="D41" s="38"/>
      <c r="E41" s="37"/>
      <c r="F41" s="7"/>
    </row>
    <row r="42" customFormat="false" ht="21" hidden="false" customHeight="true" outlineLevel="0" collapsed="false">
      <c r="B42" s="36"/>
      <c r="C42" s="7"/>
      <c r="D42" s="38"/>
      <c r="E42" s="37"/>
      <c r="F42" s="7"/>
    </row>
    <row r="43" customFormat="false" ht="21" hidden="false" customHeight="true" outlineLevel="0" collapsed="false">
      <c r="B43" s="36"/>
      <c r="C43" s="7"/>
      <c r="D43" s="38"/>
      <c r="E43" s="37"/>
      <c r="F43" s="7"/>
    </row>
    <row r="44" customFormat="false" ht="21" hidden="false" customHeight="true" outlineLevel="0" collapsed="false">
      <c r="B44" s="36"/>
      <c r="C44" s="7"/>
      <c r="D44" s="38"/>
      <c r="E44" s="37"/>
      <c r="F44" s="7"/>
    </row>
    <row r="45" customFormat="false" ht="21" hidden="false" customHeight="true" outlineLevel="0" collapsed="false">
      <c r="B45" s="36"/>
      <c r="C45" s="7"/>
      <c r="D45" s="38"/>
      <c r="E45" s="37"/>
      <c r="F45" s="7"/>
    </row>
    <row r="46" customFormat="false" ht="21" hidden="false" customHeight="true" outlineLevel="0" collapsed="false">
      <c r="B46" s="36"/>
      <c r="C46" s="7"/>
      <c r="D46" s="38"/>
      <c r="E46" s="37"/>
      <c r="F46" s="7"/>
    </row>
    <row r="47" customFormat="false" ht="21" hidden="false" customHeight="true" outlineLevel="0" collapsed="false">
      <c r="B47" s="36"/>
      <c r="C47" s="7"/>
      <c r="D47" s="38"/>
      <c r="E47" s="37"/>
      <c r="F47" s="7"/>
    </row>
    <row r="48" customFormat="false" ht="21" hidden="false" customHeight="true" outlineLevel="0" collapsed="false">
      <c r="B48" s="36"/>
      <c r="C48" s="7"/>
      <c r="D48" s="38"/>
      <c r="E48" s="37"/>
      <c r="F48" s="7"/>
    </row>
    <row r="49" customFormat="false" ht="21" hidden="false" customHeight="true" outlineLevel="0" collapsed="false">
      <c r="B49" s="36"/>
      <c r="C49" s="7"/>
      <c r="D49" s="38"/>
      <c r="E49" s="37"/>
      <c r="F49" s="7"/>
    </row>
    <row r="50" customFormat="false" ht="21" hidden="false" customHeight="true" outlineLevel="0" collapsed="false">
      <c r="B50" s="36"/>
      <c r="C50" s="7"/>
      <c r="D50" s="38"/>
      <c r="E50" s="37"/>
      <c r="F50" s="7"/>
    </row>
    <row r="51" customFormat="false" ht="21" hidden="false" customHeight="true" outlineLevel="0" collapsed="false">
      <c r="B51" s="36"/>
      <c r="C51" s="7"/>
      <c r="D51" s="38"/>
      <c r="E51" s="37"/>
      <c r="F51" s="7"/>
    </row>
    <row r="52" customFormat="false" ht="21" hidden="false" customHeight="true" outlineLevel="0" collapsed="false">
      <c r="B52" s="36"/>
      <c r="C52" s="7"/>
      <c r="D52" s="38"/>
      <c r="E52" s="37"/>
      <c r="F52" s="7"/>
    </row>
    <row r="53" customFormat="false" ht="21" hidden="false" customHeight="true" outlineLevel="0" collapsed="false">
      <c r="B53" s="36"/>
      <c r="C53" s="7"/>
      <c r="D53" s="38"/>
      <c r="E53" s="37"/>
      <c r="F53" s="7"/>
    </row>
    <row r="54" customFormat="false" ht="21" hidden="false" customHeight="true" outlineLevel="0" collapsed="false">
      <c r="B54" s="36"/>
      <c r="C54" s="7"/>
      <c r="D54" s="38"/>
      <c r="E54" s="37"/>
      <c r="F54" s="7"/>
    </row>
    <row r="55" customFormat="false" ht="21" hidden="false" customHeight="true" outlineLevel="0" collapsed="false">
      <c r="B55" s="36"/>
      <c r="C55" s="7"/>
      <c r="D55" s="38"/>
      <c r="E55" s="37"/>
      <c r="F55" s="7"/>
    </row>
    <row r="56" customFormat="false" ht="21" hidden="false" customHeight="true" outlineLevel="0" collapsed="false">
      <c r="B56" s="36"/>
      <c r="C56" s="7"/>
      <c r="D56" s="38"/>
      <c r="E56" s="37"/>
      <c r="F56" s="7"/>
    </row>
    <row r="57" customFormat="false" ht="21" hidden="false" customHeight="true" outlineLevel="0" collapsed="false">
      <c r="B57" s="36"/>
      <c r="C57" s="7"/>
      <c r="D57" s="38"/>
      <c r="E57" s="37"/>
      <c r="F57" s="7"/>
    </row>
    <row r="58" customFormat="false" ht="21" hidden="false" customHeight="true" outlineLevel="0" collapsed="false">
      <c r="B58" s="36"/>
      <c r="C58" s="7"/>
      <c r="D58" s="38"/>
      <c r="E58" s="37"/>
      <c r="F58" s="7"/>
    </row>
    <row r="59" customFormat="false" ht="21" hidden="false" customHeight="true" outlineLevel="0" collapsed="false">
      <c r="B59" s="36"/>
      <c r="C59" s="7"/>
      <c r="D59" s="38"/>
      <c r="E59" s="37"/>
      <c r="F59" s="7"/>
    </row>
    <row r="60" customFormat="false" ht="21" hidden="false" customHeight="true" outlineLevel="0" collapsed="false">
      <c r="B60" s="36"/>
      <c r="C60" s="7"/>
      <c r="D60" s="38"/>
      <c r="E60" s="37"/>
      <c r="F60" s="7"/>
    </row>
    <row r="61" customFormat="false" ht="21" hidden="false" customHeight="true" outlineLevel="0" collapsed="false">
      <c r="B61" s="36"/>
      <c r="C61" s="7"/>
      <c r="D61" s="38"/>
      <c r="E61" s="37"/>
      <c r="F61" s="7"/>
    </row>
    <row r="62" customFormat="false" ht="21" hidden="false" customHeight="true" outlineLevel="0" collapsed="false">
      <c r="B62" s="36"/>
      <c r="C62" s="7"/>
      <c r="D62" s="38"/>
      <c r="E62" s="37"/>
      <c r="F62" s="7"/>
    </row>
    <row r="63" customFormat="false" ht="21" hidden="false" customHeight="true" outlineLevel="0" collapsed="false">
      <c r="B63" s="36"/>
      <c r="C63" s="7"/>
      <c r="D63" s="38"/>
      <c r="E63" s="37"/>
      <c r="F63" s="7"/>
    </row>
    <row r="64" customFormat="false" ht="21" hidden="false" customHeight="true" outlineLevel="0" collapsed="false">
      <c r="B64" s="36"/>
      <c r="C64" s="7"/>
      <c r="D64" s="38"/>
      <c r="E64" s="37"/>
      <c r="F64" s="7"/>
    </row>
    <row r="65" customFormat="false" ht="21" hidden="false" customHeight="true" outlineLevel="0" collapsed="false">
      <c r="B65" s="36"/>
      <c r="C65" s="7"/>
      <c r="D65" s="38"/>
      <c r="E65" s="37"/>
      <c r="F65" s="7"/>
    </row>
    <row r="66" customFormat="false" ht="21" hidden="false" customHeight="true" outlineLevel="0" collapsed="false">
      <c r="B66" s="36"/>
      <c r="C66" s="7"/>
      <c r="D66" s="38"/>
      <c r="E66" s="37"/>
      <c r="F66" s="7"/>
    </row>
    <row r="67" customFormat="false" ht="21" hidden="false" customHeight="true" outlineLevel="0" collapsed="false">
      <c r="B67" s="36"/>
      <c r="C67" s="7"/>
      <c r="D67" s="38"/>
      <c r="E67" s="37"/>
      <c r="F67" s="7"/>
    </row>
    <row r="68" customFormat="false" ht="21" hidden="false" customHeight="true" outlineLevel="0" collapsed="false">
      <c r="B68" s="36"/>
      <c r="C68" s="7"/>
      <c r="D68" s="38"/>
      <c r="E68" s="37"/>
      <c r="F68" s="7"/>
    </row>
    <row r="69" customFormat="false" ht="21" hidden="false" customHeight="true" outlineLevel="0" collapsed="false">
      <c r="B69" s="36"/>
      <c r="C69" s="7"/>
      <c r="D69" s="38"/>
      <c r="E69" s="37"/>
      <c r="F69" s="7"/>
    </row>
    <row r="70" customFormat="false" ht="21" hidden="false" customHeight="true" outlineLevel="0" collapsed="false">
      <c r="B70" s="36"/>
      <c r="C70" s="7"/>
      <c r="D70" s="38"/>
      <c r="E70" s="37"/>
      <c r="F70" s="7"/>
    </row>
    <row r="71" customFormat="false" ht="21" hidden="false" customHeight="true" outlineLevel="0" collapsed="false">
      <c r="B71" s="36"/>
      <c r="C71" s="7"/>
      <c r="D71" s="38"/>
      <c r="E71" s="37"/>
      <c r="F71" s="7"/>
    </row>
    <row r="72" customFormat="false" ht="21" hidden="false" customHeight="true" outlineLevel="0" collapsed="false">
      <c r="B72" s="36"/>
      <c r="C72" s="7"/>
      <c r="D72" s="38"/>
      <c r="E72" s="37"/>
      <c r="F72" s="7"/>
    </row>
    <row r="73" customFormat="false" ht="21" hidden="false" customHeight="true" outlineLevel="0" collapsed="false">
      <c r="B73" s="36"/>
      <c r="C73" s="7"/>
      <c r="D73" s="38"/>
      <c r="E73" s="37"/>
      <c r="F73" s="7"/>
    </row>
    <row r="74" customFormat="false" ht="21" hidden="false" customHeight="true" outlineLevel="0" collapsed="false">
      <c r="B74" s="36"/>
      <c r="C74" s="7"/>
      <c r="D74" s="38"/>
      <c r="E74" s="37"/>
      <c r="F74" s="7"/>
    </row>
    <row r="75" customFormat="false" ht="21" hidden="false" customHeight="true" outlineLevel="0" collapsed="false">
      <c r="B75" s="36"/>
      <c r="C75" s="7"/>
      <c r="D75" s="38"/>
      <c r="E75" s="37"/>
      <c r="F75" s="7"/>
    </row>
    <row r="76" customFormat="false" ht="21" hidden="false" customHeight="true" outlineLevel="0" collapsed="false">
      <c r="B76" s="36"/>
      <c r="C76" s="7"/>
      <c r="D76" s="38"/>
      <c r="E76" s="37"/>
      <c r="F76" s="7"/>
    </row>
    <row r="77" customFormat="false" ht="21" hidden="false" customHeight="true" outlineLevel="0" collapsed="false">
      <c r="B77" s="36"/>
      <c r="C77" s="7"/>
      <c r="D77" s="38"/>
      <c r="E77" s="37"/>
      <c r="F77" s="7"/>
    </row>
    <row r="78" customFormat="false" ht="21" hidden="false" customHeight="true" outlineLevel="0" collapsed="false">
      <c r="B78" s="36"/>
      <c r="C78" s="7"/>
      <c r="D78" s="38"/>
      <c r="E78" s="37"/>
      <c r="F78" s="7"/>
    </row>
    <row r="79" customFormat="false" ht="21" hidden="false" customHeight="true" outlineLevel="0" collapsed="false">
      <c r="B79" s="36"/>
      <c r="C79" s="7"/>
      <c r="D79" s="38"/>
      <c r="E79" s="37"/>
      <c r="F79" s="7"/>
    </row>
    <row r="80" customFormat="false" ht="21" hidden="false" customHeight="true" outlineLevel="0" collapsed="false">
      <c r="B80" s="36"/>
      <c r="C80" s="7"/>
      <c r="D80" s="38"/>
      <c r="E80" s="37"/>
      <c r="F80" s="7"/>
    </row>
    <row r="81" customFormat="false" ht="21" hidden="false" customHeight="true" outlineLevel="0" collapsed="false">
      <c r="B81" s="36"/>
      <c r="C81" s="7"/>
      <c r="D81" s="38"/>
      <c r="E81" s="37"/>
      <c r="F81" s="7"/>
    </row>
    <row r="82" customFormat="false" ht="21" hidden="false" customHeight="true" outlineLevel="0" collapsed="false">
      <c r="B82" s="36"/>
      <c r="C82" s="7"/>
      <c r="D82" s="38"/>
      <c r="E82" s="37"/>
      <c r="F82" s="7"/>
    </row>
    <row r="83" customFormat="false" ht="21" hidden="false" customHeight="true" outlineLevel="0" collapsed="false">
      <c r="B83" s="36"/>
      <c r="C83" s="7"/>
      <c r="D83" s="38"/>
      <c r="E83" s="37"/>
      <c r="F83" s="7"/>
    </row>
    <row r="84" customFormat="false" ht="21" hidden="false" customHeight="true" outlineLevel="0" collapsed="false">
      <c r="B84" s="36"/>
      <c r="C84" s="7"/>
      <c r="D84" s="38"/>
      <c r="E84" s="37"/>
      <c r="F84" s="7"/>
    </row>
    <row r="85" customFormat="false" ht="21" hidden="false" customHeight="true" outlineLevel="0" collapsed="false">
      <c r="B85" s="36"/>
      <c r="C85" s="7"/>
      <c r="D85" s="38"/>
      <c r="E85" s="37"/>
      <c r="F85" s="7"/>
    </row>
    <row r="86" customFormat="false" ht="21" hidden="false" customHeight="true" outlineLevel="0" collapsed="false">
      <c r="B86" s="36"/>
      <c r="C86" s="7"/>
      <c r="D86" s="38"/>
      <c r="E86" s="37"/>
      <c r="F86" s="7"/>
    </row>
    <row r="87" customFormat="false" ht="21" hidden="false" customHeight="true" outlineLevel="0" collapsed="false">
      <c r="B87" s="36"/>
      <c r="C87" s="7"/>
      <c r="D87" s="38"/>
      <c r="E87" s="37"/>
      <c r="F87" s="7"/>
    </row>
    <row r="88" customFormat="false" ht="21" hidden="false" customHeight="true" outlineLevel="0" collapsed="false">
      <c r="B88" s="36"/>
      <c r="C88" s="7"/>
      <c r="D88" s="38"/>
      <c r="E88" s="37"/>
      <c r="F88" s="7"/>
    </row>
    <row r="89" customFormat="false" ht="21" hidden="false" customHeight="true" outlineLevel="0" collapsed="false">
      <c r="B89" s="36"/>
      <c r="C89" s="7"/>
      <c r="D89" s="38"/>
      <c r="E89" s="37"/>
      <c r="F89" s="7"/>
    </row>
    <row r="90" customFormat="false" ht="21" hidden="false" customHeight="true" outlineLevel="0" collapsed="false">
      <c r="B90" s="36"/>
      <c r="C90" s="7"/>
      <c r="D90" s="38"/>
      <c r="E90" s="37"/>
      <c r="F90" s="7"/>
    </row>
    <row r="91" customFormat="false" ht="21" hidden="false" customHeight="true" outlineLevel="0" collapsed="false">
      <c r="B91" s="36"/>
      <c r="C91" s="7"/>
      <c r="D91" s="38"/>
      <c r="E91" s="37"/>
      <c r="F91" s="7"/>
    </row>
    <row r="92" customFormat="false" ht="21" hidden="false" customHeight="true" outlineLevel="0" collapsed="false">
      <c r="B92" s="36"/>
      <c r="C92" s="7"/>
      <c r="D92" s="38"/>
      <c r="E92" s="37"/>
      <c r="F92" s="7"/>
    </row>
    <row r="93" customFormat="false" ht="21" hidden="false" customHeight="true" outlineLevel="0" collapsed="false">
      <c r="B93" s="36"/>
      <c r="C93" s="7"/>
      <c r="D93" s="38"/>
      <c r="E93" s="37"/>
      <c r="F93" s="7"/>
    </row>
    <row r="94" customFormat="false" ht="21" hidden="false" customHeight="true" outlineLevel="0" collapsed="false">
      <c r="B94" s="36"/>
      <c r="C94" s="7"/>
      <c r="D94" s="38"/>
      <c r="E94" s="37"/>
      <c r="F94" s="7"/>
    </row>
    <row r="95" customFormat="false" ht="21" hidden="false" customHeight="true" outlineLevel="0" collapsed="false">
      <c r="B95" s="36"/>
      <c r="C95" s="7"/>
      <c r="D95" s="38"/>
      <c r="E95" s="37"/>
      <c r="F95" s="7"/>
    </row>
    <row r="96" customFormat="false" ht="21" hidden="false" customHeight="true" outlineLevel="0" collapsed="false">
      <c r="B96" s="36"/>
      <c r="C96" s="7"/>
      <c r="D96" s="38"/>
      <c r="E96" s="37"/>
      <c r="F96" s="7"/>
    </row>
    <row r="97" customFormat="false" ht="21" hidden="false" customHeight="true" outlineLevel="0" collapsed="false">
      <c r="B97" s="36"/>
      <c r="C97" s="7"/>
      <c r="D97" s="38"/>
      <c r="E97" s="37"/>
      <c r="F97" s="7"/>
    </row>
    <row r="98" customFormat="false" ht="21" hidden="false" customHeight="true" outlineLevel="0" collapsed="false">
      <c r="B98" s="36"/>
      <c r="C98" s="7"/>
      <c r="D98" s="38"/>
      <c r="E98" s="37"/>
      <c r="F98" s="7"/>
    </row>
    <row r="99" customFormat="false" ht="21" hidden="false" customHeight="true" outlineLevel="0" collapsed="false">
      <c r="B99" s="36"/>
      <c r="C99" s="7"/>
      <c r="D99" s="38"/>
      <c r="E99" s="37"/>
      <c r="F99" s="7"/>
    </row>
    <row r="100" customFormat="false" ht="21" hidden="false" customHeight="true" outlineLevel="0" collapsed="false">
      <c r="B100" s="36"/>
      <c r="C100" s="7"/>
      <c r="D100" s="38"/>
      <c r="E100" s="37"/>
      <c r="F100" s="7"/>
    </row>
    <row r="101" customFormat="false" ht="21" hidden="false" customHeight="true" outlineLevel="0" collapsed="false">
      <c r="B101" s="36"/>
      <c r="C101" s="7"/>
      <c r="D101" s="38"/>
      <c r="E101" s="37"/>
      <c r="F101" s="7"/>
    </row>
    <row r="102" customFormat="false" ht="21" hidden="false" customHeight="true" outlineLevel="0" collapsed="false">
      <c r="B102" s="36"/>
      <c r="C102" s="7"/>
      <c r="D102" s="38"/>
      <c r="E102" s="37"/>
      <c r="F102" s="7"/>
    </row>
    <row r="103" customFormat="false" ht="21" hidden="false" customHeight="true" outlineLevel="0" collapsed="false">
      <c r="B103" s="36"/>
      <c r="C103" s="7"/>
      <c r="D103" s="38"/>
      <c r="E103" s="37"/>
      <c r="F103" s="7"/>
    </row>
    <row r="104" customFormat="false" ht="21" hidden="false" customHeight="true" outlineLevel="0" collapsed="false">
      <c r="B104" s="36"/>
      <c r="C104" s="7"/>
      <c r="D104" s="38"/>
      <c r="E104" s="37"/>
      <c r="F104" s="7"/>
    </row>
    <row r="105" customFormat="false" ht="21" hidden="false" customHeight="true" outlineLevel="0" collapsed="false">
      <c r="B105" s="36"/>
      <c r="C105" s="7"/>
      <c r="D105" s="38"/>
      <c r="E105" s="37"/>
      <c r="F105" s="7"/>
    </row>
    <row r="106" customFormat="false" ht="21" hidden="false" customHeight="true" outlineLevel="0" collapsed="false">
      <c r="B106" s="36"/>
      <c r="C106" s="7"/>
      <c r="D106" s="38"/>
      <c r="E106" s="37"/>
      <c r="F106" s="7"/>
    </row>
    <row r="107" customFormat="false" ht="21" hidden="false" customHeight="true" outlineLevel="0" collapsed="false">
      <c r="B107" s="36"/>
      <c r="C107" s="7"/>
      <c r="D107" s="38"/>
      <c r="E107" s="37"/>
      <c r="F107" s="7"/>
    </row>
    <row r="108" customFormat="false" ht="21" hidden="false" customHeight="true" outlineLevel="0" collapsed="false">
      <c r="B108" s="36"/>
      <c r="C108" s="7"/>
      <c r="D108" s="38"/>
      <c r="E108" s="37"/>
      <c r="F108" s="7"/>
    </row>
    <row r="109" customFormat="false" ht="21" hidden="false" customHeight="true" outlineLevel="0" collapsed="false">
      <c r="B109" s="36"/>
      <c r="C109" s="7"/>
      <c r="D109" s="38"/>
      <c r="E109" s="37"/>
      <c r="F109" s="7"/>
    </row>
    <row r="110" customFormat="false" ht="21" hidden="false" customHeight="true" outlineLevel="0" collapsed="false">
      <c r="B110" s="36"/>
      <c r="C110" s="7"/>
      <c r="D110" s="38"/>
      <c r="E110" s="37"/>
      <c r="F110" s="7"/>
    </row>
    <row r="111" customFormat="false" ht="21" hidden="false" customHeight="true" outlineLevel="0" collapsed="false">
      <c r="B111" s="36"/>
      <c r="C111" s="7"/>
      <c r="D111" s="38"/>
      <c r="E111" s="37"/>
      <c r="F111" s="7"/>
    </row>
    <row r="112" customFormat="false" ht="21" hidden="false" customHeight="true" outlineLevel="0" collapsed="false">
      <c r="B112" s="36"/>
      <c r="C112" s="7"/>
      <c r="D112" s="38"/>
      <c r="E112" s="37"/>
      <c r="F112" s="7"/>
    </row>
    <row r="113" customFormat="false" ht="21" hidden="false" customHeight="true" outlineLevel="0" collapsed="false">
      <c r="B113" s="36"/>
      <c r="C113" s="7"/>
      <c r="D113" s="38"/>
      <c r="E113" s="37"/>
      <c r="F113" s="7"/>
    </row>
    <row r="114" customFormat="false" ht="21" hidden="false" customHeight="true" outlineLevel="0" collapsed="false">
      <c r="B114" s="36"/>
      <c r="C114" s="7"/>
      <c r="D114" s="38"/>
      <c r="E114" s="37"/>
      <c r="F114" s="7"/>
    </row>
    <row r="115" customFormat="false" ht="21" hidden="false" customHeight="true" outlineLevel="0" collapsed="false">
      <c r="B115" s="36"/>
      <c r="C115" s="7"/>
      <c r="D115" s="38"/>
      <c r="E115" s="37"/>
      <c r="F115" s="7"/>
    </row>
    <row r="116" customFormat="false" ht="21" hidden="false" customHeight="true" outlineLevel="0" collapsed="false">
      <c r="B116" s="36"/>
      <c r="C116" s="7"/>
      <c r="D116" s="38"/>
      <c r="E116" s="37"/>
      <c r="F116" s="7"/>
    </row>
    <row r="117" customFormat="false" ht="21" hidden="false" customHeight="true" outlineLevel="0" collapsed="false">
      <c r="B117" s="36"/>
      <c r="C117" s="7"/>
      <c r="D117" s="38"/>
      <c r="E117" s="37"/>
      <c r="F117" s="7"/>
    </row>
    <row r="118" customFormat="false" ht="21" hidden="false" customHeight="true" outlineLevel="0" collapsed="false">
      <c r="B118" s="36"/>
      <c r="C118" s="7"/>
      <c r="D118" s="38"/>
      <c r="E118" s="37"/>
      <c r="F118" s="7"/>
    </row>
    <row r="119" customFormat="false" ht="21" hidden="false" customHeight="true" outlineLevel="0" collapsed="false">
      <c r="B119" s="36"/>
      <c r="C119" s="7"/>
      <c r="D119" s="38"/>
      <c r="E119" s="37"/>
      <c r="F119" s="7"/>
    </row>
    <row r="120" customFormat="false" ht="21" hidden="false" customHeight="true" outlineLevel="0" collapsed="false">
      <c r="B120" s="36"/>
      <c r="C120" s="7"/>
      <c r="D120" s="38"/>
      <c r="E120" s="37"/>
      <c r="F120" s="7"/>
    </row>
    <row r="121" customFormat="false" ht="21" hidden="false" customHeight="true" outlineLevel="0" collapsed="false">
      <c r="B121" s="36"/>
      <c r="C121" s="7"/>
      <c r="D121" s="38"/>
      <c r="E121" s="37"/>
      <c r="F121" s="7"/>
    </row>
    <row r="122" customFormat="false" ht="21" hidden="false" customHeight="true" outlineLevel="0" collapsed="false">
      <c r="B122" s="36"/>
      <c r="C122" s="7"/>
      <c r="D122" s="38"/>
      <c r="E122" s="37"/>
      <c r="F122" s="7"/>
    </row>
    <row r="123" customFormat="false" ht="21" hidden="false" customHeight="true" outlineLevel="0" collapsed="false">
      <c r="B123" s="36"/>
      <c r="C123" s="7"/>
      <c r="D123" s="38"/>
      <c r="E123" s="37"/>
      <c r="F123" s="7"/>
    </row>
    <row r="124" customFormat="false" ht="21" hidden="false" customHeight="true" outlineLevel="0" collapsed="false">
      <c r="B124" s="36"/>
      <c r="C124" s="7"/>
      <c r="D124" s="38"/>
      <c r="E124" s="37"/>
      <c r="F124" s="7"/>
    </row>
    <row r="125" customFormat="false" ht="21" hidden="false" customHeight="true" outlineLevel="0" collapsed="false">
      <c r="B125" s="36"/>
      <c r="C125" s="7"/>
      <c r="D125" s="38"/>
      <c r="E125" s="37"/>
      <c r="F125" s="7"/>
    </row>
    <row r="126" customFormat="false" ht="21" hidden="false" customHeight="true" outlineLevel="0" collapsed="false">
      <c r="B126" s="36"/>
      <c r="C126" s="7"/>
      <c r="D126" s="38"/>
      <c r="E126" s="37"/>
      <c r="F126" s="7"/>
    </row>
    <row r="127" customFormat="false" ht="21" hidden="false" customHeight="true" outlineLevel="0" collapsed="false">
      <c r="B127" s="36"/>
      <c r="C127" s="7"/>
      <c r="D127" s="38"/>
      <c r="E127" s="37"/>
      <c r="F127" s="7"/>
    </row>
    <row r="128" customFormat="false" ht="21" hidden="false" customHeight="true" outlineLevel="0" collapsed="false">
      <c r="B128" s="36"/>
      <c r="C128" s="7"/>
      <c r="D128" s="38"/>
      <c r="E128" s="37"/>
      <c r="F128" s="7"/>
    </row>
    <row r="129" customFormat="false" ht="21" hidden="false" customHeight="true" outlineLevel="0" collapsed="false">
      <c r="B129" s="36"/>
      <c r="C129" s="7"/>
      <c r="D129" s="38"/>
      <c r="E129" s="37"/>
      <c r="F129" s="7"/>
    </row>
    <row r="130" customFormat="false" ht="21" hidden="false" customHeight="true" outlineLevel="0" collapsed="false">
      <c r="B130" s="36"/>
      <c r="C130" s="7"/>
      <c r="D130" s="38"/>
      <c r="E130" s="37"/>
      <c r="F130" s="7"/>
    </row>
    <row r="131" customFormat="false" ht="21" hidden="false" customHeight="true" outlineLevel="0" collapsed="false">
      <c r="B131" s="36"/>
      <c r="C131" s="7"/>
      <c r="D131" s="38"/>
      <c r="E131" s="37"/>
      <c r="F131" s="7"/>
    </row>
    <row r="132" customFormat="false" ht="21" hidden="false" customHeight="true" outlineLevel="0" collapsed="false">
      <c r="B132" s="36"/>
      <c r="C132" s="7"/>
      <c r="D132" s="38"/>
      <c r="E132" s="37"/>
      <c r="F132" s="7"/>
    </row>
    <row r="133" customFormat="false" ht="21" hidden="false" customHeight="true" outlineLevel="0" collapsed="false">
      <c r="B133" s="36"/>
      <c r="C133" s="7"/>
      <c r="D133" s="38"/>
      <c r="E133" s="37"/>
      <c r="F133" s="7"/>
    </row>
    <row r="134" customFormat="false" ht="21" hidden="false" customHeight="true" outlineLevel="0" collapsed="false">
      <c r="B134" s="36"/>
      <c r="C134" s="7"/>
      <c r="D134" s="38"/>
      <c r="E134" s="37"/>
      <c r="F134" s="7"/>
    </row>
    <row r="135" customFormat="false" ht="21" hidden="false" customHeight="true" outlineLevel="0" collapsed="false">
      <c r="B135" s="36"/>
      <c r="C135" s="7"/>
      <c r="D135" s="38"/>
      <c r="E135" s="37"/>
      <c r="F135" s="7"/>
    </row>
    <row r="136" customFormat="false" ht="21" hidden="false" customHeight="true" outlineLevel="0" collapsed="false">
      <c r="B136" s="36"/>
      <c r="C136" s="7"/>
      <c r="D136" s="38"/>
      <c r="E136" s="37"/>
      <c r="F136" s="7"/>
    </row>
    <row r="137" customFormat="false" ht="21" hidden="false" customHeight="true" outlineLevel="0" collapsed="false">
      <c r="B137" s="36"/>
      <c r="C137" s="7"/>
      <c r="D137" s="38"/>
      <c r="E137" s="37"/>
      <c r="F137" s="7"/>
    </row>
    <row r="138" customFormat="false" ht="21" hidden="false" customHeight="true" outlineLevel="0" collapsed="false">
      <c r="B138" s="36"/>
      <c r="C138" s="7"/>
      <c r="D138" s="38"/>
      <c r="E138" s="37"/>
      <c r="F138" s="7"/>
    </row>
    <row r="139" customFormat="false" ht="21" hidden="false" customHeight="true" outlineLevel="0" collapsed="false">
      <c r="B139" s="36"/>
      <c r="C139" s="7"/>
      <c r="D139" s="38"/>
      <c r="E139" s="37"/>
      <c r="F139" s="7"/>
    </row>
    <row r="140" customFormat="false" ht="21" hidden="false" customHeight="true" outlineLevel="0" collapsed="false">
      <c r="B140" s="36"/>
      <c r="C140" s="7"/>
      <c r="D140" s="38"/>
      <c r="E140" s="37"/>
      <c r="F140" s="7"/>
    </row>
    <row r="141" customFormat="false" ht="21" hidden="false" customHeight="true" outlineLevel="0" collapsed="false">
      <c r="B141" s="36"/>
      <c r="C141" s="7"/>
      <c r="D141" s="38"/>
      <c r="E141" s="37"/>
      <c r="F141" s="7"/>
    </row>
    <row r="142" customFormat="false" ht="21" hidden="false" customHeight="true" outlineLevel="0" collapsed="false">
      <c r="B142" s="36"/>
      <c r="C142" s="7"/>
      <c r="D142" s="38"/>
      <c r="E142" s="37"/>
      <c r="F142" s="7"/>
    </row>
    <row r="143" customFormat="false" ht="21" hidden="false" customHeight="true" outlineLevel="0" collapsed="false">
      <c r="B143" s="36"/>
      <c r="C143" s="7"/>
      <c r="D143" s="38"/>
      <c r="E143" s="37"/>
      <c r="F143" s="7"/>
    </row>
    <row r="144" customFormat="false" ht="21" hidden="false" customHeight="true" outlineLevel="0" collapsed="false">
      <c r="B144" s="36"/>
      <c r="C144" s="7"/>
      <c r="D144" s="38"/>
      <c r="E144" s="37"/>
      <c r="F144" s="7"/>
    </row>
    <row r="145" customFormat="false" ht="21" hidden="false" customHeight="true" outlineLevel="0" collapsed="false">
      <c r="B145" s="36"/>
      <c r="C145" s="7"/>
      <c r="D145" s="38"/>
      <c r="E145" s="37"/>
      <c r="F145" s="7"/>
    </row>
    <row r="146" customFormat="false" ht="21" hidden="false" customHeight="true" outlineLevel="0" collapsed="false">
      <c r="B146" s="36"/>
      <c r="C146" s="7"/>
      <c r="D146" s="38"/>
      <c r="E146" s="37"/>
      <c r="F146" s="7"/>
    </row>
    <row r="147" customFormat="false" ht="21" hidden="false" customHeight="true" outlineLevel="0" collapsed="false">
      <c r="B147" s="36"/>
      <c r="C147" s="7"/>
      <c r="D147" s="38"/>
      <c r="E147" s="37"/>
      <c r="F147" s="7"/>
    </row>
    <row r="148" customFormat="false" ht="21" hidden="false" customHeight="true" outlineLevel="0" collapsed="false">
      <c r="B148" s="36"/>
      <c r="C148" s="7"/>
      <c r="D148" s="38"/>
      <c r="E148" s="37"/>
      <c r="F148" s="7"/>
    </row>
    <row r="149" customFormat="false" ht="21" hidden="false" customHeight="true" outlineLevel="0" collapsed="false">
      <c r="B149" s="36"/>
      <c r="C149" s="7"/>
      <c r="D149" s="38"/>
      <c r="E149" s="37"/>
      <c r="F149" s="7"/>
    </row>
    <row r="150" customFormat="false" ht="21" hidden="false" customHeight="true" outlineLevel="0" collapsed="false">
      <c r="B150" s="36"/>
      <c r="C150" s="7"/>
      <c r="D150" s="38"/>
      <c r="E150" s="37"/>
      <c r="F150" s="7"/>
    </row>
    <row r="151" customFormat="false" ht="21" hidden="false" customHeight="true" outlineLevel="0" collapsed="false">
      <c r="B151" s="36"/>
      <c r="C151" s="7"/>
      <c r="D151" s="38"/>
      <c r="E151" s="37"/>
      <c r="F151" s="7"/>
    </row>
    <row r="152" customFormat="false" ht="21" hidden="false" customHeight="true" outlineLevel="0" collapsed="false">
      <c r="B152" s="36"/>
      <c r="C152" s="7"/>
      <c r="D152" s="38"/>
      <c r="E152" s="37"/>
      <c r="F152" s="7"/>
    </row>
    <row r="153" customFormat="false" ht="21" hidden="false" customHeight="true" outlineLevel="0" collapsed="false">
      <c r="B153" s="36"/>
      <c r="C153" s="7"/>
      <c r="D153" s="38"/>
      <c r="E153" s="37"/>
      <c r="F153" s="7"/>
    </row>
    <row r="154" customFormat="false" ht="21" hidden="false" customHeight="true" outlineLevel="0" collapsed="false">
      <c r="B154" s="36"/>
      <c r="C154" s="7"/>
      <c r="D154" s="38"/>
      <c r="E154" s="37"/>
      <c r="F154" s="7"/>
    </row>
    <row r="155" customFormat="false" ht="21" hidden="false" customHeight="true" outlineLevel="0" collapsed="false">
      <c r="B155" s="36"/>
      <c r="C155" s="7"/>
      <c r="D155" s="38"/>
      <c r="E155" s="37"/>
      <c r="F155" s="7"/>
    </row>
    <row r="156" customFormat="false" ht="21" hidden="false" customHeight="true" outlineLevel="0" collapsed="false">
      <c r="B156" s="36"/>
      <c r="C156" s="7"/>
      <c r="D156" s="38"/>
      <c r="E156" s="37"/>
      <c r="F156" s="7"/>
    </row>
    <row r="157" customFormat="false" ht="21" hidden="false" customHeight="true" outlineLevel="0" collapsed="false">
      <c r="B157" s="36"/>
      <c r="C157" s="7"/>
      <c r="D157" s="38"/>
      <c r="E157" s="37"/>
      <c r="F157" s="7"/>
    </row>
    <row r="158" customFormat="false" ht="21" hidden="false" customHeight="true" outlineLevel="0" collapsed="false">
      <c r="B158" s="36"/>
      <c r="C158" s="7"/>
      <c r="D158" s="38"/>
      <c r="E158" s="37"/>
      <c r="F158" s="7"/>
    </row>
    <row r="159" customFormat="false" ht="21" hidden="false" customHeight="true" outlineLevel="0" collapsed="false">
      <c r="B159" s="36"/>
      <c r="C159" s="7"/>
      <c r="D159" s="38"/>
      <c r="E159" s="37"/>
      <c r="F159" s="7"/>
    </row>
    <row r="160" customFormat="false" ht="21" hidden="false" customHeight="true" outlineLevel="0" collapsed="false">
      <c r="B160" s="36"/>
      <c r="C160" s="7"/>
      <c r="D160" s="38"/>
      <c r="E160" s="37"/>
      <c r="F160" s="7"/>
    </row>
    <row r="161" customFormat="false" ht="21" hidden="false" customHeight="true" outlineLevel="0" collapsed="false">
      <c r="B161" s="36"/>
      <c r="C161" s="7"/>
      <c r="D161" s="38"/>
      <c r="E161" s="37"/>
      <c r="F161" s="7"/>
    </row>
    <row r="162" customFormat="false" ht="21" hidden="false" customHeight="true" outlineLevel="0" collapsed="false">
      <c r="B162" s="36"/>
      <c r="C162" s="7"/>
      <c r="D162" s="38"/>
      <c r="E162" s="37"/>
      <c r="F162" s="7"/>
    </row>
    <row r="163" customFormat="false" ht="21" hidden="false" customHeight="true" outlineLevel="0" collapsed="false">
      <c r="B163" s="36"/>
      <c r="C163" s="7"/>
      <c r="D163" s="38"/>
      <c r="E163" s="37"/>
      <c r="F163" s="7"/>
    </row>
    <row r="164" customFormat="false" ht="21" hidden="false" customHeight="true" outlineLevel="0" collapsed="false">
      <c r="B164" s="36"/>
      <c r="C164" s="7"/>
      <c r="D164" s="38"/>
      <c r="E164" s="37"/>
      <c r="F164" s="7"/>
    </row>
    <row r="165" customFormat="false" ht="21" hidden="false" customHeight="true" outlineLevel="0" collapsed="false">
      <c r="B165" s="36"/>
      <c r="C165" s="7"/>
      <c r="D165" s="38"/>
      <c r="E165" s="37"/>
      <c r="F165" s="7"/>
    </row>
    <row r="166" customFormat="false" ht="21" hidden="false" customHeight="true" outlineLevel="0" collapsed="false">
      <c r="B166" s="36"/>
      <c r="C166" s="7"/>
      <c r="D166" s="38"/>
      <c r="E166" s="37"/>
      <c r="F166" s="7"/>
    </row>
    <row r="167" customFormat="false" ht="21" hidden="false" customHeight="true" outlineLevel="0" collapsed="false">
      <c r="B167" s="36"/>
      <c r="C167" s="7"/>
      <c r="D167" s="38"/>
      <c r="E167" s="37"/>
      <c r="F167" s="7"/>
    </row>
    <row r="168" customFormat="false" ht="21" hidden="false" customHeight="true" outlineLevel="0" collapsed="false">
      <c r="B168" s="36"/>
      <c r="C168" s="7"/>
      <c r="D168" s="38"/>
      <c r="E168" s="37"/>
      <c r="F168" s="7"/>
    </row>
    <row r="169" customFormat="false" ht="21" hidden="false" customHeight="true" outlineLevel="0" collapsed="false">
      <c r="B169" s="36"/>
      <c r="C169" s="7"/>
      <c r="D169" s="38"/>
      <c r="E169" s="37"/>
      <c r="F169" s="7"/>
    </row>
    <row r="170" customFormat="false" ht="21" hidden="false" customHeight="true" outlineLevel="0" collapsed="false">
      <c r="B170" s="36"/>
      <c r="C170" s="7"/>
      <c r="D170" s="38"/>
      <c r="E170" s="37"/>
      <c r="F170" s="7"/>
    </row>
    <row r="171" customFormat="false" ht="21" hidden="false" customHeight="true" outlineLevel="0" collapsed="false">
      <c r="B171" s="36"/>
      <c r="C171" s="7"/>
      <c r="D171" s="38"/>
      <c r="E171" s="37"/>
      <c r="F171" s="7"/>
    </row>
    <row r="172" customFormat="false" ht="21" hidden="false" customHeight="true" outlineLevel="0" collapsed="false">
      <c r="B172" s="36"/>
      <c r="C172" s="7"/>
      <c r="D172" s="38"/>
      <c r="E172" s="37"/>
      <c r="F172" s="7"/>
    </row>
    <row r="173" customFormat="false" ht="21" hidden="false" customHeight="true" outlineLevel="0" collapsed="false">
      <c r="B173" s="36"/>
      <c r="C173" s="7"/>
      <c r="D173" s="38"/>
      <c r="E173" s="37"/>
      <c r="F173" s="7"/>
    </row>
    <row r="174" customFormat="false" ht="21" hidden="false" customHeight="true" outlineLevel="0" collapsed="false">
      <c r="B174" s="36"/>
      <c r="C174" s="7"/>
      <c r="D174" s="38"/>
      <c r="E174" s="37"/>
      <c r="F174" s="7"/>
    </row>
    <row r="175" customFormat="false" ht="21" hidden="false" customHeight="true" outlineLevel="0" collapsed="false">
      <c r="B175" s="36"/>
      <c r="C175" s="7"/>
      <c r="D175" s="38"/>
      <c r="E175" s="37"/>
      <c r="F175" s="7"/>
    </row>
    <row r="176" customFormat="false" ht="21" hidden="false" customHeight="true" outlineLevel="0" collapsed="false">
      <c r="B176" s="36"/>
      <c r="C176" s="7"/>
      <c r="D176" s="38"/>
      <c r="E176" s="37"/>
      <c r="F176" s="7"/>
    </row>
    <row r="177" customFormat="false" ht="21" hidden="false" customHeight="true" outlineLevel="0" collapsed="false">
      <c r="B177" s="36"/>
      <c r="C177" s="7"/>
      <c r="D177" s="38"/>
      <c r="E177" s="37"/>
      <c r="F177" s="7"/>
    </row>
    <row r="178" customFormat="false" ht="21" hidden="false" customHeight="true" outlineLevel="0" collapsed="false">
      <c r="B178" s="36"/>
      <c r="C178" s="7"/>
      <c r="D178" s="38"/>
      <c r="E178" s="37"/>
      <c r="F178" s="7"/>
    </row>
    <row r="179" customFormat="false" ht="21" hidden="false" customHeight="true" outlineLevel="0" collapsed="false">
      <c r="B179" s="36"/>
      <c r="C179" s="7"/>
      <c r="D179" s="38"/>
      <c r="E179" s="37"/>
      <c r="F179" s="7"/>
    </row>
    <row r="180" customFormat="false" ht="21" hidden="false" customHeight="true" outlineLevel="0" collapsed="false">
      <c r="B180" s="36"/>
      <c r="C180" s="7"/>
      <c r="D180" s="38"/>
      <c r="E180" s="37"/>
      <c r="F180" s="7"/>
    </row>
    <row r="181" customFormat="false" ht="21" hidden="false" customHeight="true" outlineLevel="0" collapsed="false">
      <c r="B181" s="36"/>
      <c r="C181" s="7"/>
      <c r="D181" s="38"/>
      <c r="E181" s="37"/>
      <c r="F181" s="7"/>
    </row>
    <row r="182" customFormat="false" ht="21" hidden="false" customHeight="true" outlineLevel="0" collapsed="false">
      <c r="B182" s="36"/>
      <c r="C182" s="7"/>
      <c r="D182" s="38"/>
      <c r="E182" s="37"/>
      <c r="F182" s="7"/>
    </row>
    <row r="183" customFormat="false" ht="21" hidden="false" customHeight="true" outlineLevel="0" collapsed="false">
      <c r="B183" s="36"/>
      <c r="C183" s="7"/>
      <c r="D183" s="38"/>
      <c r="E183" s="37"/>
      <c r="F183" s="7"/>
    </row>
    <row r="184" customFormat="false" ht="21" hidden="false" customHeight="true" outlineLevel="0" collapsed="false">
      <c r="B184" s="36"/>
      <c r="C184" s="7"/>
      <c r="D184" s="38"/>
      <c r="E184" s="37"/>
      <c r="F184" s="7"/>
    </row>
    <row r="185" customFormat="false" ht="21" hidden="false" customHeight="true" outlineLevel="0" collapsed="false">
      <c r="B185" s="36"/>
      <c r="C185" s="7"/>
      <c r="D185" s="38"/>
      <c r="E185" s="37"/>
      <c r="F185" s="7"/>
    </row>
    <row r="186" customFormat="false" ht="21" hidden="false" customHeight="true" outlineLevel="0" collapsed="false">
      <c r="B186" s="36"/>
      <c r="C186" s="7"/>
      <c r="D186" s="38"/>
      <c r="E186" s="37"/>
      <c r="F186" s="7"/>
    </row>
    <row r="187" customFormat="false" ht="21" hidden="false" customHeight="true" outlineLevel="0" collapsed="false">
      <c r="B187" s="36"/>
      <c r="C187" s="7"/>
      <c r="D187" s="38"/>
      <c r="E187" s="37"/>
      <c r="F187" s="7"/>
    </row>
    <row r="188" customFormat="false" ht="21" hidden="false" customHeight="true" outlineLevel="0" collapsed="false">
      <c r="B188" s="36"/>
      <c r="C188" s="7"/>
      <c r="D188" s="38"/>
      <c r="E188" s="37"/>
      <c r="F188" s="7"/>
    </row>
    <row r="189" customFormat="false" ht="21" hidden="false" customHeight="true" outlineLevel="0" collapsed="false">
      <c r="B189" s="36"/>
      <c r="C189" s="7"/>
      <c r="D189" s="38"/>
      <c r="E189" s="37"/>
      <c r="F189" s="7"/>
    </row>
    <row r="190" customFormat="false" ht="21" hidden="false" customHeight="true" outlineLevel="0" collapsed="false">
      <c r="B190" s="36"/>
      <c r="C190" s="7"/>
      <c r="D190" s="38"/>
      <c r="E190" s="37"/>
      <c r="F190" s="7"/>
    </row>
    <row r="191" customFormat="false" ht="21" hidden="false" customHeight="true" outlineLevel="0" collapsed="false">
      <c r="B191" s="36"/>
      <c r="C191" s="7"/>
      <c r="D191" s="38"/>
      <c r="E191" s="37"/>
      <c r="F191" s="7"/>
    </row>
    <row r="192" customFormat="false" ht="21" hidden="false" customHeight="true" outlineLevel="0" collapsed="false">
      <c r="B192" s="36"/>
      <c r="C192" s="7"/>
      <c r="D192" s="38"/>
      <c r="E192" s="37"/>
      <c r="F192" s="7"/>
    </row>
    <row r="193" customFormat="false" ht="21" hidden="false" customHeight="true" outlineLevel="0" collapsed="false">
      <c r="B193" s="36"/>
      <c r="C193" s="7"/>
      <c r="D193" s="38"/>
      <c r="E193" s="37"/>
      <c r="F193" s="7"/>
    </row>
    <row r="194" customFormat="false" ht="21" hidden="false" customHeight="true" outlineLevel="0" collapsed="false">
      <c r="B194" s="36"/>
      <c r="C194" s="7"/>
      <c r="D194" s="38"/>
      <c r="E194" s="37"/>
      <c r="F194" s="7"/>
    </row>
    <row r="195" customFormat="false" ht="21" hidden="false" customHeight="true" outlineLevel="0" collapsed="false">
      <c r="B195" s="36"/>
      <c r="C195" s="7"/>
      <c r="D195" s="38"/>
      <c r="E195" s="37"/>
      <c r="F195" s="7"/>
    </row>
    <row r="196" customFormat="false" ht="21" hidden="false" customHeight="true" outlineLevel="0" collapsed="false">
      <c r="B196" s="36"/>
      <c r="C196" s="7"/>
      <c r="D196" s="38"/>
      <c r="E196" s="37"/>
      <c r="F196" s="7"/>
    </row>
    <row r="197" customFormat="false" ht="21" hidden="false" customHeight="true" outlineLevel="0" collapsed="false">
      <c r="B197" s="36"/>
      <c r="C197" s="7"/>
      <c r="D197" s="38"/>
      <c r="E197" s="37"/>
      <c r="F197" s="7"/>
    </row>
    <row r="198" customFormat="false" ht="21" hidden="false" customHeight="true" outlineLevel="0" collapsed="false">
      <c r="B198" s="36"/>
      <c r="C198" s="7"/>
      <c r="D198" s="38"/>
      <c r="E198" s="37"/>
      <c r="F198" s="7"/>
    </row>
    <row r="199" customFormat="false" ht="21" hidden="false" customHeight="true" outlineLevel="0" collapsed="false">
      <c r="B199" s="36"/>
      <c r="C199" s="7"/>
      <c r="D199" s="38"/>
      <c r="E199" s="37"/>
      <c r="F199" s="7"/>
    </row>
    <row r="200" customFormat="false" ht="21" hidden="false" customHeight="true" outlineLevel="0" collapsed="false">
      <c r="B200" s="36"/>
      <c r="C200" s="7"/>
      <c r="D200" s="38"/>
      <c r="E200" s="37"/>
      <c r="F200" s="7"/>
    </row>
    <row r="201" customFormat="false" ht="21" hidden="false" customHeight="true" outlineLevel="0" collapsed="false">
      <c r="B201" s="36"/>
      <c r="C201" s="7"/>
      <c r="D201" s="38"/>
      <c r="E201" s="37"/>
      <c r="F201" s="7"/>
    </row>
    <row r="202" customFormat="false" ht="21" hidden="false" customHeight="true" outlineLevel="0" collapsed="false">
      <c r="B202" s="36"/>
      <c r="C202" s="7"/>
      <c r="D202" s="38"/>
      <c r="E202" s="37"/>
      <c r="F202" s="7"/>
    </row>
    <row r="203" customFormat="false" ht="21" hidden="false" customHeight="true" outlineLevel="0" collapsed="false">
      <c r="B203" s="36"/>
      <c r="C203" s="7"/>
      <c r="D203" s="38"/>
      <c r="E203" s="37"/>
      <c r="F203" s="7"/>
    </row>
    <row r="204" customFormat="false" ht="21" hidden="false" customHeight="true" outlineLevel="0" collapsed="false">
      <c r="B204" s="36"/>
      <c r="C204" s="7"/>
      <c r="D204" s="38"/>
      <c r="E204" s="37"/>
      <c r="F204" s="7"/>
    </row>
    <row r="205" customFormat="false" ht="21" hidden="false" customHeight="true" outlineLevel="0" collapsed="false">
      <c r="B205" s="36"/>
      <c r="C205" s="7"/>
      <c r="D205" s="38"/>
      <c r="E205" s="37"/>
      <c r="F205" s="7"/>
    </row>
    <row r="206" customFormat="false" ht="21" hidden="false" customHeight="true" outlineLevel="0" collapsed="false">
      <c r="B206" s="36"/>
      <c r="C206" s="7"/>
      <c r="D206" s="38"/>
      <c r="E206" s="37"/>
      <c r="F206" s="7"/>
    </row>
    <row r="207" customFormat="false" ht="21" hidden="false" customHeight="true" outlineLevel="0" collapsed="false">
      <c r="B207" s="36"/>
      <c r="C207" s="7"/>
      <c r="D207" s="38"/>
      <c r="E207" s="37"/>
      <c r="F207" s="7"/>
    </row>
    <row r="208" customFormat="false" ht="21" hidden="false" customHeight="true" outlineLevel="0" collapsed="false">
      <c r="B208" s="36"/>
      <c r="C208" s="7"/>
      <c r="D208" s="38"/>
      <c r="E208" s="37"/>
      <c r="F208" s="7"/>
    </row>
    <row r="209" customFormat="false" ht="21" hidden="false" customHeight="true" outlineLevel="0" collapsed="false">
      <c r="B209" s="36"/>
      <c r="C209" s="7"/>
      <c r="D209" s="38"/>
      <c r="E209" s="37"/>
      <c r="F209" s="7"/>
    </row>
    <row r="210" customFormat="false" ht="21" hidden="false" customHeight="true" outlineLevel="0" collapsed="false">
      <c r="B210" s="36"/>
      <c r="C210" s="7"/>
      <c r="D210" s="38"/>
      <c r="E210" s="37"/>
      <c r="F210" s="7"/>
    </row>
    <row r="211" customFormat="false" ht="21" hidden="false" customHeight="true" outlineLevel="0" collapsed="false">
      <c r="B211" s="36"/>
      <c r="C211" s="7"/>
      <c r="D211" s="38"/>
      <c r="E211" s="37"/>
      <c r="F211" s="7"/>
    </row>
    <row r="212" customFormat="false" ht="21" hidden="false" customHeight="true" outlineLevel="0" collapsed="false">
      <c r="B212" s="36"/>
      <c r="C212" s="7"/>
      <c r="D212" s="38"/>
      <c r="E212" s="37"/>
      <c r="F212" s="7"/>
    </row>
    <row r="213" customFormat="false" ht="21" hidden="false" customHeight="true" outlineLevel="0" collapsed="false">
      <c r="B213" s="36"/>
      <c r="C213" s="7"/>
      <c r="D213" s="38"/>
      <c r="E213" s="37"/>
      <c r="F213" s="7"/>
    </row>
    <row r="214" customFormat="false" ht="21" hidden="false" customHeight="true" outlineLevel="0" collapsed="false">
      <c r="B214" s="36"/>
      <c r="C214" s="7"/>
      <c r="D214" s="38"/>
      <c r="E214" s="37"/>
      <c r="F214" s="7"/>
    </row>
    <row r="215" customFormat="false" ht="21" hidden="false" customHeight="true" outlineLevel="0" collapsed="false">
      <c r="B215" s="36"/>
      <c r="C215" s="7"/>
      <c r="D215" s="38"/>
      <c r="E215" s="37"/>
      <c r="F215" s="7"/>
    </row>
    <row r="216" customFormat="false" ht="21" hidden="false" customHeight="true" outlineLevel="0" collapsed="false">
      <c r="B216" s="36"/>
      <c r="C216" s="7"/>
      <c r="D216" s="38"/>
      <c r="E216" s="37"/>
      <c r="F216" s="7"/>
    </row>
    <row r="217" customFormat="false" ht="21" hidden="false" customHeight="true" outlineLevel="0" collapsed="false">
      <c r="B217" s="36"/>
      <c r="C217" s="7"/>
      <c r="D217" s="38"/>
      <c r="E217" s="37"/>
      <c r="F217" s="7"/>
    </row>
    <row r="218" customFormat="false" ht="21" hidden="false" customHeight="true" outlineLevel="0" collapsed="false">
      <c r="B218" s="36"/>
      <c r="C218" s="7"/>
      <c r="D218" s="38"/>
      <c r="E218" s="37"/>
      <c r="F218" s="7"/>
    </row>
    <row r="219" customFormat="false" ht="21" hidden="false" customHeight="true" outlineLevel="0" collapsed="false">
      <c r="B219" s="36"/>
      <c r="C219" s="7"/>
      <c r="D219" s="38"/>
      <c r="E219" s="37"/>
      <c r="F219" s="7"/>
    </row>
    <row r="220" customFormat="false" ht="21" hidden="false" customHeight="true" outlineLevel="0" collapsed="false">
      <c r="B220" s="36"/>
      <c r="C220" s="7"/>
      <c r="D220" s="38"/>
      <c r="E220" s="37"/>
      <c r="F220" s="7"/>
    </row>
    <row r="221" customFormat="false" ht="21" hidden="false" customHeight="true" outlineLevel="0" collapsed="false">
      <c r="B221" s="36"/>
      <c r="C221" s="7"/>
      <c r="D221" s="38"/>
      <c r="E221" s="37"/>
      <c r="F221" s="7"/>
    </row>
    <row r="222" customFormat="false" ht="21" hidden="false" customHeight="true" outlineLevel="0" collapsed="false">
      <c r="B222" s="36"/>
      <c r="C222" s="7"/>
      <c r="D222" s="38"/>
      <c r="E222" s="37"/>
      <c r="F222" s="7"/>
    </row>
    <row r="223" customFormat="false" ht="21" hidden="false" customHeight="true" outlineLevel="0" collapsed="false">
      <c r="B223" s="36"/>
      <c r="C223" s="7"/>
      <c r="D223" s="38"/>
      <c r="E223" s="37"/>
      <c r="F223" s="7"/>
    </row>
    <row r="224" customFormat="false" ht="21" hidden="false" customHeight="true" outlineLevel="0" collapsed="false">
      <c r="B224" s="36"/>
      <c r="C224" s="7"/>
      <c r="D224" s="38"/>
      <c r="E224" s="37"/>
      <c r="F224" s="7"/>
    </row>
    <row r="225" customFormat="false" ht="21" hidden="false" customHeight="true" outlineLevel="0" collapsed="false">
      <c r="B225" s="36"/>
      <c r="C225" s="7"/>
      <c r="D225" s="38"/>
      <c r="E225" s="37"/>
      <c r="F225" s="7"/>
    </row>
    <row r="226" customFormat="false" ht="21" hidden="false" customHeight="true" outlineLevel="0" collapsed="false">
      <c r="B226" s="36"/>
      <c r="C226" s="7"/>
      <c r="D226" s="38"/>
      <c r="E226" s="37"/>
      <c r="F226" s="7"/>
    </row>
    <row r="227" customFormat="false" ht="21" hidden="false" customHeight="true" outlineLevel="0" collapsed="false">
      <c r="B227" s="36"/>
      <c r="C227" s="7"/>
      <c r="D227" s="38"/>
      <c r="E227" s="37"/>
      <c r="F227" s="7"/>
    </row>
    <row r="228" customFormat="false" ht="21" hidden="false" customHeight="true" outlineLevel="0" collapsed="false">
      <c r="B228" s="36"/>
      <c r="C228" s="7"/>
      <c r="D228" s="38"/>
      <c r="E228" s="37"/>
      <c r="F228" s="7"/>
    </row>
    <row r="229" customFormat="false" ht="21" hidden="false" customHeight="true" outlineLevel="0" collapsed="false">
      <c r="B229" s="36"/>
      <c r="C229" s="7"/>
      <c r="D229" s="38"/>
      <c r="E229" s="37"/>
      <c r="F229" s="7"/>
    </row>
    <row r="230" customFormat="false" ht="21" hidden="false" customHeight="true" outlineLevel="0" collapsed="false">
      <c r="B230" s="36"/>
      <c r="C230" s="7"/>
      <c r="D230" s="38"/>
      <c r="E230" s="37"/>
      <c r="F230" s="7"/>
    </row>
    <row r="231" customFormat="false" ht="21" hidden="false" customHeight="true" outlineLevel="0" collapsed="false">
      <c r="B231" s="36"/>
      <c r="C231" s="7"/>
      <c r="D231" s="38"/>
      <c r="E231" s="37"/>
      <c r="F231" s="7"/>
    </row>
    <row r="232" customFormat="false" ht="21" hidden="false" customHeight="true" outlineLevel="0" collapsed="false">
      <c r="B232" s="36"/>
      <c r="C232" s="7"/>
      <c r="D232" s="38"/>
      <c r="E232" s="37"/>
      <c r="F232" s="7"/>
    </row>
    <row r="233" customFormat="false" ht="21" hidden="false" customHeight="true" outlineLevel="0" collapsed="false">
      <c r="B233" s="36"/>
      <c r="C233" s="7"/>
      <c r="D233" s="38"/>
      <c r="E233" s="37"/>
      <c r="F233" s="7"/>
    </row>
    <row r="234" customFormat="false" ht="21" hidden="false" customHeight="true" outlineLevel="0" collapsed="false">
      <c r="B234" s="36"/>
      <c r="C234" s="7"/>
      <c r="D234" s="38"/>
      <c r="E234" s="37"/>
      <c r="F234" s="7"/>
    </row>
    <row r="235" customFormat="false" ht="21" hidden="false" customHeight="true" outlineLevel="0" collapsed="false">
      <c r="B235" s="36"/>
      <c r="C235" s="7"/>
      <c r="D235" s="38"/>
      <c r="E235" s="37"/>
      <c r="F235" s="7"/>
    </row>
    <row r="236" customFormat="false" ht="21" hidden="false" customHeight="true" outlineLevel="0" collapsed="false">
      <c r="B236" s="36"/>
      <c r="C236" s="7"/>
      <c r="D236" s="38"/>
      <c r="E236" s="37"/>
      <c r="F236" s="7"/>
    </row>
    <row r="237" customFormat="false" ht="21" hidden="false" customHeight="true" outlineLevel="0" collapsed="false">
      <c r="B237" s="36"/>
      <c r="C237" s="7"/>
      <c r="D237" s="38"/>
      <c r="E237" s="37"/>
      <c r="F237" s="7"/>
    </row>
    <row r="238" customFormat="false" ht="21" hidden="false" customHeight="true" outlineLevel="0" collapsed="false">
      <c r="B238" s="36"/>
      <c r="C238" s="7"/>
      <c r="D238" s="38"/>
      <c r="E238" s="37"/>
      <c r="F238" s="7"/>
    </row>
    <row r="239" customFormat="false" ht="21" hidden="false" customHeight="true" outlineLevel="0" collapsed="false">
      <c r="B239" s="36"/>
      <c r="C239" s="7"/>
      <c r="D239" s="38"/>
      <c r="E239" s="37"/>
      <c r="F239" s="7"/>
    </row>
    <row r="240" customFormat="false" ht="21" hidden="false" customHeight="true" outlineLevel="0" collapsed="false">
      <c r="B240" s="36"/>
      <c r="C240" s="7"/>
      <c r="D240" s="38"/>
      <c r="E240" s="37"/>
      <c r="F240" s="7"/>
    </row>
    <row r="241" customFormat="false" ht="21" hidden="false" customHeight="true" outlineLevel="0" collapsed="false">
      <c r="B241" s="36"/>
      <c r="C241" s="7"/>
      <c r="D241" s="38"/>
      <c r="E241" s="37"/>
      <c r="F241" s="7"/>
    </row>
    <row r="242" customFormat="false" ht="21" hidden="false" customHeight="true" outlineLevel="0" collapsed="false">
      <c r="B242" s="36"/>
      <c r="C242" s="7"/>
      <c r="D242" s="38"/>
      <c r="E242" s="37"/>
      <c r="F242" s="7"/>
    </row>
    <row r="243" customFormat="false" ht="21" hidden="false" customHeight="true" outlineLevel="0" collapsed="false">
      <c r="B243" s="36"/>
      <c r="C243" s="7"/>
      <c r="D243" s="38"/>
      <c r="E243" s="37"/>
      <c r="F243" s="7"/>
    </row>
    <row r="244" customFormat="false" ht="21" hidden="false" customHeight="true" outlineLevel="0" collapsed="false">
      <c r="B244" s="36"/>
      <c r="C244" s="7"/>
      <c r="D244" s="38"/>
      <c r="E244" s="37"/>
      <c r="F244" s="7"/>
    </row>
    <row r="245" customFormat="false" ht="21" hidden="false" customHeight="true" outlineLevel="0" collapsed="false">
      <c r="B245" s="36"/>
      <c r="C245" s="7"/>
      <c r="D245" s="38"/>
      <c r="E245" s="37"/>
      <c r="F245" s="7"/>
    </row>
    <row r="246" customFormat="false" ht="21" hidden="false" customHeight="true" outlineLevel="0" collapsed="false">
      <c r="B246" s="36"/>
      <c r="C246" s="7"/>
      <c r="D246" s="38"/>
      <c r="E246" s="37"/>
      <c r="F246" s="7"/>
    </row>
    <row r="247" customFormat="false" ht="21" hidden="false" customHeight="true" outlineLevel="0" collapsed="false">
      <c r="B247" s="36"/>
      <c r="C247" s="7"/>
      <c r="D247" s="38"/>
      <c r="E247" s="37"/>
      <c r="F247" s="7"/>
    </row>
    <row r="248" customFormat="false" ht="21" hidden="false" customHeight="true" outlineLevel="0" collapsed="false">
      <c r="B248" s="36"/>
      <c r="C248" s="7"/>
      <c r="D248" s="38"/>
      <c r="E248" s="37"/>
      <c r="F248" s="7"/>
    </row>
    <row r="249" customFormat="false" ht="21" hidden="false" customHeight="true" outlineLevel="0" collapsed="false">
      <c r="B249" s="36"/>
      <c r="C249" s="7"/>
      <c r="D249" s="38"/>
      <c r="E249" s="37"/>
      <c r="F249" s="7"/>
    </row>
    <row r="250" customFormat="false" ht="21" hidden="false" customHeight="true" outlineLevel="0" collapsed="false">
      <c r="B250" s="36"/>
      <c r="C250" s="7"/>
      <c r="D250" s="38"/>
      <c r="E250" s="37"/>
      <c r="F250" s="7"/>
    </row>
    <row r="251" customFormat="false" ht="21" hidden="false" customHeight="true" outlineLevel="0" collapsed="false">
      <c r="B251" s="36"/>
      <c r="C251" s="7"/>
      <c r="D251" s="38"/>
      <c r="E251" s="37"/>
      <c r="F251" s="7"/>
    </row>
    <row r="252" customFormat="false" ht="21" hidden="false" customHeight="true" outlineLevel="0" collapsed="false">
      <c r="B252" s="36"/>
      <c r="C252" s="7"/>
      <c r="D252" s="38"/>
      <c r="E252" s="37"/>
      <c r="F252" s="7"/>
    </row>
    <row r="253" customFormat="false" ht="21" hidden="false" customHeight="true" outlineLevel="0" collapsed="false">
      <c r="B253" s="36"/>
      <c r="C253" s="7"/>
      <c r="D253" s="38"/>
      <c r="E253" s="37"/>
      <c r="F253" s="7"/>
    </row>
    <row r="254" customFormat="false" ht="21" hidden="false" customHeight="true" outlineLevel="0" collapsed="false">
      <c r="B254" s="36"/>
      <c r="C254" s="7"/>
      <c r="D254" s="38"/>
      <c r="E254" s="37"/>
      <c r="F254" s="7"/>
    </row>
    <row r="255" customFormat="false" ht="21" hidden="false" customHeight="true" outlineLevel="0" collapsed="false">
      <c r="B255" s="36"/>
      <c r="C255" s="7"/>
      <c r="D255" s="38"/>
      <c r="E255" s="37"/>
      <c r="F255" s="7"/>
    </row>
    <row r="256" customFormat="false" ht="21" hidden="false" customHeight="true" outlineLevel="0" collapsed="false">
      <c r="B256" s="36"/>
      <c r="C256" s="7"/>
      <c r="D256" s="38"/>
      <c r="E256" s="37"/>
      <c r="F256" s="7"/>
    </row>
    <row r="257" customFormat="false" ht="21" hidden="false" customHeight="true" outlineLevel="0" collapsed="false">
      <c r="B257" s="36"/>
      <c r="C257" s="7"/>
      <c r="D257" s="38"/>
      <c r="E257" s="37"/>
      <c r="F257" s="7"/>
    </row>
    <row r="258" customFormat="false" ht="21" hidden="false" customHeight="true" outlineLevel="0" collapsed="false">
      <c r="B258" s="36"/>
      <c r="C258" s="7"/>
      <c r="D258" s="38"/>
      <c r="E258" s="37"/>
      <c r="F258" s="7"/>
    </row>
    <row r="259" customFormat="false" ht="21" hidden="false" customHeight="true" outlineLevel="0" collapsed="false">
      <c r="B259" s="36"/>
      <c r="C259" s="7"/>
      <c r="D259" s="38"/>
      <c r="E259" s="37"/>
      <c r="F259" s="7"/>
    </row>
    <row r="260" customFormat="false" ht="21" hidden="false" customHeight="true" outlineLevel="0" collapsed="false">
      <c r="B260" s="36"/>
      <c r="C260" s="7"/>
      <c r="D260" s="38"/>
      <c r="E260" s="37"/>
      <c r="F260" s="7"/>
    </row>
    <row r="261" customFormat="false" ht="21" hidden="false" customHeight="true" outlineLevel="0" collapsed="false">
      <c r="B261" s="36"/>
      <c r="C261" s="7"/>
      <c r="D261" s="38"/>
      <c r="E261" s="37"/>
      <c r="F261" s="7"/>
    </row>
    <row r="262" customFormat="false" ht="21" hidden="false" customHeight="true" outlineLevel="0" collapsed="false">
      <c r="B262" s="36"/>
      <c r="C262" s="7"/>
      <c r="D262" s="38"/>
      <c r="E262" s="37"/>
      <c r="F262" s="7"/>
    </row>
    <row r="263" customFormat="false" ht="21" hidden="false" customHeight="true" outlineLevel="0" collapsed="false">
      <c r="B263" s="36"/>
      <c r="C263" s="7"/>
      <c r="D263" s="38"/>
      <c r="E263" s="37"/>
      <c r="F263" s="7"/>
    </row>
    <row r="264" customFormat="false" ht="21" hidden="false" customHeight="true" outlineLevel="0" collapsed="false">
      <c r="B264" s="36"/>
      <c r="C264" s="7"/>
      <c r="D264" s="38"/>
      <c r="E264" s="37"/>
      <c r="F264" s="7"/>
    </row>
    <row r="265" customFormat="false" ht="21" hidden="false" customHeight="true" outlineLevel="0" collapsed="false">
      <c r="B265" s="36"/>
      <c r="C265" s="7"/>
      <c r="D265" s="38"/>
      <c r="E265" s="37"/>
      <c r="F265" s="7"/>
    </row>
    <row r="266" customFormat="false" ht="21" hidden="false" customHeight="true" outlineLevel="0" collapsed="false">
      <c r="B266" s="36"/>
      <c r="C266" s="7"/>
      <c r="D266" s="38"/>
      <c r="E266" s="37"/>
      <c r="F266" s="7"/>
    </row>
    <row r="267" customFormat="false" ht="21" hidden="false" customHeight="true" outlineLevel="0" collapsed="false">
      <c r="B267" s="36"/>
      <c r="C267" s="7"/>
      <c r="D267" s="38"/>
      <c r="E267" s="37"/>
      <c r="F267" s="7"/>
    </row>
    <row r="268" customFormat="false" ht="21" hidden="false" customHeight="true" outlineLevel="0" collapsed="false">
      <c r="B268" s="36"/>
      <c r="C268" s="7"/>
      <c r="D268" s="38"/>
      <c r="E268" s="37"/>
      <c r="F268" s="7"/>
    </row>
    <row r="269" customFormat="false" ht="21" hidden="false" customHeight="true" outlineLevel="0" collapsed="false">
      <c r="B269" s="36"/>
      <c r="C269" s="7"/>
      <c r="D269" s="38"/>
      <c r="E269" s="37"/>
      <c r="F269" s="7"/>
    </row>
    <row r="270" customFormat="false" ht="21" hidden="false" customHeight="true" outlineLevel="0" collapsed="false">
      <c r="B270" s="36"/>
      <c r="C270" s="7"/>
      <c r="D270" s="38"/>
      <c r="E270" s="37"/>
      <c r="F270" s="7"/>
    </row>
    <row r="271" customFormat="false" ht="21" hidden="false" customHeight="true" outlineLevel="0" collapsed="false">
      <c r="B271" s="36"/>
      <c r="C271" s="7"/>
      <c r="D271" s="38"/>
      <c r="E271" s="37"/>
      <c r="F271" s="7"/>
    </row>
    <row r="272" customFormat="false" ht="21" hidden="false" customHeight="true" outlineLevel="0" collapsed="false">
      <c r="B272" s="36"/>
      <c r="C272" s="7"/>
      <c r="D272" s="38"/>
      <c r="E272" s="37"/>
      <c r="F272" s="7"/>
    </row>
    <row r="273" customFormat="false" ht="21" hidden="false" customHeight="true" outlineLevel="0" collapsed="false">
      <c r="B273" s="36"/>
      <c r="C273" s="7"/>
      <c r="D273" s="38"/>
      <c r="E273" s="37"/>
      <c r="F273" s="7"/>
    </row>
    <row r="274" customFormat="false" ht="21" hidden="false" customHeight="true" outlineLevel="0" collapsed="false">
      <c r="B274" s="36"/>
      <c r="C274" s="7"/>
      <c r="D274" s="38"/>
      <c r="E274" s="37"/>
      <c r="F274" s="7"/>
    </row>
    <row r="275" customFormat="false" ht="21" hidden="false" customHeight="true" outlineLevel="0" collapsed="false">
      <c r="B275" s="36"/>
      <c r="C275" s="7"/>
      <c r="D275" s="38"/>
      <c r="E275" s="37"/>
      <c r="F275" s="7"/>
    </row>
    <row r="276" customFormat="false" ht="21" hidden="false" customHeight="true" outlineLevel="0" collapsed="false">
      <c r="B276" s="36"/>
      <c r="C276" s="7"/>
      <c r="D276" s="38"/>
      <c r="E276" s="37"/>
      <c r="F276" s="7"/>
    </row>
    <row r="277" customFormat="false" ht="21" hidden="false" customHeight="true" outlineLevel="0" collapsed="false">
      <c r="B277" s="36"/>
      <c r="C277" s="7"/>
      <c r="D277" s="38"/>
      <c r="E277" s="37"/>
      <c r="F277" s="7"/>
    </row>
    <row r="278" customFormat="false" ht="21" hidden="false" customHeight="true" outlineLevel="0" collapsed="false">
      <c r="B278" s="36"/>
      <c r="C278" s="7"/>
      <c r="D278" s="38"/>
      <c r="E278" s="37"/>
      <c r="F278" s="7"/>
    </row>
    <row r="279" customFormat="false" ht="21" hidden="false" customHeight="true" outlineLevel="0" collapsed="false">
      <c r="B279" s="36"/>
      <c r="C279" s="7"/>
      <c r="D279" s="38"/>
      <c r="E279" s="37"/>
      <c r="F279" s="7"/>
    </row>
    <row r="280" customFormat="false" ht="21" hidden="false" customHeight="true" outlineLevel="0" collapsed="false">
      <c r="B280" s="36"/>
      <c r="C280" s="7"/>
      <c r="D280" s="38"/>
      <c r="E280" s="37"/>
      <c r="F280" s="7"/>
    </row>
    <row r="281" customFormat="false" ht="21" hidden="false" customHeight="true" outlineLevel="0" collapsed="false">
      <c r="B281" s="36"/>
      <c r="C281" s="7"/>
      <c r="D281" s="38"/>
      <c r="E281" s="37"/>
      <c r="F281" s="7"/>
    </row>
    <row r="282" customFormat="false" ht="21" hidden="false" customHeight="true" outlineLevel="0" collapsed="false">
      <c r="B282" s="36"/>
      <c r="C282" s="7"/>
      <c r="D282" s="38"/>
      <c r="E282" s="37"/>
      <c r="F282" s="7"/>
    </row>
    <row r="283" customFormat="false" ht="21" hidden="false" customHeight="true" outlineLevel="0" collapsed="false">
      <c r="B283" s="36"/>
      <c r="C283" s="7"/>
      <c r="D283" s="38"/>
      <c r="E283" s="37"/>
      <c r="F283" s="7"/>
    </row>
    <row r="284" customFormat="false" ht="21" hidden="false" customHeight="true" outlineLevel="0" collapsed="false">
      <c r="B284" s="36"/>
      <c r="C284" s="7"/>
      <c r="D284" s="38"/>
      <c r="E284" s="37"/>
      <c r="F284" s="7"/>
    </row>
    <row r="285" customFormat="false" ht="21" hidden="false" customHeight="true" outlineLevel="0" collapsed="false">
      <c r="B285" s="36"/>
      <c r="C285" s="7"/>
      <c r="D285" s="38"/>
      <c r="E285" s="37"/>
      <c r="F285" s="7"/>
    </row>
    <row r="286" customFormat="false" ht="21" hidden="false" customHeight="true" outlineLevel="0" collapsed="false">
      <c r="B286" s="36"/>
      <c r="C286" s="7"/>
      <c r="D286" s="38"/>
      <c r="E286" s="37"/>
      <c r="F286" s="7"/>
    </row>
    <row r="287" customFormat="false" ht="21" hidden="false" customHeight="true" outlineLevel="0" collapsed="false">
      <c r="B287" s="36"/>
      <c r="C287" s="7"/>
      <c r="D287" s="38"/>
      <c r="E287" s="37"/>
      <c r="F287" s="7"/>
    </row>
    <row r="288" customFormat="false" ht="21" hidden="false" customHeight="true" outlineLevel="0" collapsed="false">
      <c r="B288" s="36"/>
      <c r="C288" s="7"/>
      <c r="D288" s="38"/>
      <c r="E288" s="37"/>
      <c r="F288" s="7"/>
    </row>
    <row r="289" customFormat="false" ht="21" hidden="false" customHeight="true" outlineLevel="0" collapsed="false">
      <c r="B289" s="36"/>
      <c r="C289" s="7"/>
      <c r="D289" s="38"/>
      <c r="E289" s="37"/>
      <c r="F289" s="7"/>
    </row>
    <row r="290" customFormat="false" ht="21" hidden="false" customHeight="true" outlineLevel="0" collapsed="false">
      <c r="B290" s="36"/>
      <c r="C290" s="7"/>
      <c r="D290" s="38"/>
      <c r="E290" s="37"/>
      <c r="F290" s="7"/>
    </row>
    <row r="291" customFormat="false" ht="21" hidden="false" customHeight="true" outlineLevel="0" collapsed="false">
      <c r="B291" s="36"/>
      <c r="C291" s="7"/>
      <c r="D291" s="38"/>
      <c r="E291" s="37"/>
      <c r="F291" s="7"/>
    </row>
    <row r="292" customFormat="false" ht="21" hidden="false" customHeight="true" outlineLevel="0" collapsed="false">
      <c r="B292" s="36"/>
      <c r="C292" s="7"/>
      <c r="D292" s="38"/>
      <c r="E292" s="37"/>
      <c r="F292" s="7"/>
    </row>
    <row r="293" customFormat="false" ht="21" hidden="false" customHeight="true" outlineLevel="0" collapsed="false">
      <c r="B293" s="36"/>
      <c r="C293" s="7"/>
      <c r="D293" s="38"/>
      <c r="E293" s="37"/>
      <c r="F293" s="7"/>
    </row>
    <row r="294" customFormat="false" ht="21" hidden="false" customHeight="true" outlineLevel="0" collapsed="false">
      <c r="B294" s="36"/>
      <c r="C294" s="7"/>
      <c r="D294" s="38"/>
      <c r="E294" s="37"/>
      <c r="F294" s="7"/>
    </row>
    <row r="295" customFormat="false" ht="21" hidden="false" customHeight="true" outlineLevel="0" collapsed="false">
      <c r="B295" s="36"/>
      <c r="C295" s="7"/>
      <c r="D295" s="38"/>
      <c r="E295" s="37"/>
      <c r="F295" s="7"/>
    </row>
    <row r="296" customFormat="false" ht="21" hidden="false" customHeight="true" outlineLevel="0" collapsed="false">
      <c r="B296" s="36"/>
      <c r="C296" s="7"/>
      <c r="D296" s="38"/>
      <c r="E296" s="37"/>
      <c r="F296" s="7"/>
    </row>
    <row r="297" customFormat="false" ht="21" hidden="false" customHeight="true" outlineLevel="0" collapsed="false">
      <c r="B297" s="36"/>
      <c r="C297" s="7"/>
      <c r="D297" s="38"/>
      <c r="E297" s="37"/>
      <c r="F297" s="7"/>
    </row>
    <row r="298" customFormat="false" ht="21" hidden="false" customHeight="true" outlineLevel="0" collapsed="false">
      <c r="B298" s="36"/>
      <c r="C298" s="7"/>
      <c r="D298" s="38"/>
      <c r="E298" s="37"/>
      <c r="F298" s="7"/>
    </row>
    <row r="299" customFormat="false" ht="21" hidden="false" customHeight="true" outlineLevel="0" collapsed="false">
      <c r="B299" s="36"/>
      <c r="C299" s="7"/>
      <c r="D299" s="38"/>
      <c r="E299" s="37"/>
      <c r="F299" s="7"/>
    </row>
    <row r="300" customFormat="false" ht="21" hidden="false" customHeight="true" outlineLevel="0" collapsed="false">
      <c r="B300" s="36"/>
      <c r="C300" s="7"/>
      <c r="D300" s="38"/>
      <c r="E300" s="37"/>
      <c r="F300" s="7"/>
    </row>
    <row r="301" customFormat="false" ht="21" hidden="false" customHeight="true" outlineLevel="0" collapsed="false">
      <c r="B301" s="36"/>
      <c r="C301" s="7"/>
      <c r="D301" s="38"/>
      <c r="E301" s="37"/>
      <c r="F301" s="7"/>
    </row>
    <row r="302" customFormat="false" ht="21" hidden="false" customHeight="true" outlineLevel="0" collapsed="false">
      <c r="B302" s="36"/>
      <c r="C302" s="7"/>
      <c r="D302" s="38"/>
      <c r="E302" s="37"/>
      <c r="F302" s="7"/>
    </row>
    <row r="303" customFormat="false" ht="21" hidden="false" customHeight="true" outlineLevel="0" collapsed="false">
      <c r="B303" s="36"/>
      <c r="C303" s="7"/>
      <c r="D303" s="38"/>
      <c r="E303" s="37"/>
      <c r="F303" s="7"/>
    </row>
    <row r="304" customFormat="false" ht="21" hidden="false" customHeight="true" outlineLevel="0" collapsed="false">
      <c r="B304" s="36"/>
      <c r="C304" s="7"/>
      <c r="D304" s="38"/>
      <c r="E304" s="37"/>
      <c r="F304" s="7"/>
    </row>
    <row r="305" customFormat="false" ht="21" hidden="false" customHeight="true" outlineLevel="0" collapsed="false">
      <c r="B305" s="36"/>
      <c r="C305" s="7"/>
      <c r="D305" s="38"/>
      <c r="E305" s="37"/>
      <c r="F305" s="7"/>
    </row>
    <row r="306" customFormat="false" ht="21" hidden="false" customHeight="true" outlineLevel="0" collapsed="false">
      <c r="B306" s="36"/>
      <c r="C306" s="7"/>
      <c r="D306" s="38"/>
      <c r="E306" s="37"/>
      <c r="F306" s="7"/>
    </row>
    <row r="307" customFormat="false" ht="21" hidden="false" customHeight="true" outlineLevel="0" collapsed="false">
      <c r="B307" s="36"/>
      <c r="C307" s="7"/>
      <c r="D307" s="38"/>
      <c r="E307" s="37"/>
      <c r="F307" s="7"/>
    </row>
    <row r="308" customFormat="false" ht="21" hidden="false" customHeight="true" outlineLevel="0" collapsed="false">
      <c r="B308" s="36"/>
      <c r="C308" s="7"/>
      <c r="D308" s="38"/>
      <c r="E308" s="37"/>
      <c r="F308" s="7"/>
    </row>
    <row r="309" customFormat="false" ht="21" hidden="false" customHeight="true" outlineLevel="0" collapsed="false">
      <c r="B309" s="36"/>
      <c r="C309" s="7"/>
      <c r="D309" s="38"/>
      <c r="E309" s="37"/>
      <c r="F309" s="7"/>
    </row>
    <row r="310" customFormat="false" ht="21" hidden="false" customHeight="true" outlineLevel="0" collapsed="false">
      <c r="B310" s="36"/>
      <c r="C310" s="7"/>
      <c r="D310" s="38"/>
      <c r="E310" s="37"/>
      <c r="F310" s="7"/>
    </row>
    <row r="311" customFormat="false" ht="21" hidden="false" customHeight="true" outlineLevel="0" collapsed="false">
      <c r="B311" s="36"/>
      <c r="C311" s="7"/>
      <c r="D311" s="38"/>
      <c r="E311" s="37"/>
      <c r="F311" s="7"/>
    </row>
    <row r="312" customFormat="false" ht="21" hidden="false" customHeight="true" outlineLevel="0" collapsed="false">
      <c r="B312" s="36"/>
      <c r="C312" s="7"/>
      <c r="D312" s="38"/>
      <c r="E312" s="37"/>
      <c r="F312" s="7"/>
    </row>
    <row r="313" customFormat="false" ht="21" hidden="false" customHeight="true" outlineLevel="0" collapsed="false">
      <c r="B313" s="36"/>
      <c r="C313" s="7"/>
      <c r="D313" s="38"/>
      <c r="E313" s="37"/>
      <c r="F313" s="7"/>
    </row>
    <row r="314" customFormat="false" ht="21" hidden="false" customHeight="true" outlineLevel="0" collapsed="false">
      <c r="B314" s="36"/>
      <c r="C314" s="7"/>
      <c r="D314" s="38"/>
      <c r="E314" s="37"/>
      <c r="F314" s="7"/>
    </row>
    <row r="315" customFormat="false" ht="21" hidden="false" customHeight="true" outlineLevel="0" collapsed="false">
      <c r="B315" s="36"/>
      <c r="C315" s="7"/>
      <c r="D315" s="38"/>
      <c r="E315" s="37"/>
      <c r="F315" s="7"/>
    </row>
    <row r="316" customFormat="false" ht="21" hidden="false" customHeight="true" outlineLevel="0" collapsed="false">
      <c r="B316" s="36"/>
      <c r="C316" s="7"/>
      <c r="D316" s="38"/>
      <c r="E316" s="37"/>
      <c r="F316" s="7"/>
    </row>
    <row r="317" customFormat="false" ht="21" hidden="false" customHeight="true" outlineLevel="0" collapsed="false">
      <c r="B317" s="36"/>
      <c r="C317" s="7"/>
      <c r="D317" s="38"/>
      <c r="E317" s="37"/>
      <c r="F317" s="7"/>
    </row>
    <row r="318" customFormat="false" ht="21" hidden="false" customHeight="true" outlineLevel="0" collapsed="false">
      <c r="B318" s="36"/>
      <c r="C318" s="7"/>
      <c r="D318" s="38"/>
      <c r="E318" s="37"/>
      <c r="F318" s="7"/>
    </row>
    <row r="319" customFormat="false" ht="21" hidden="false" customHeight="true" outlineLevel="0" collapsed="false">
      <c r="B319" s="36"/>
      <c r="C319" s="7"/>
      <c r="D319" s="38"/>
      <c r="E319" s="37"/>
      <c r="F319" s="7"/>
    </row>
    <row r="320" customFormat="false" ht="21" hidden="false" customHeight="true" outlineLevel="0" collapsed="false">
      <c r="B320" s="36"/>
      <c r="C320" s="7"/>
      <c r="D320" s="38"/>
      <c r="E320" s="37"/>
      <c r="F320" s="7"/>
    </row>
    <row r="321" customFormat="false" ht="21" hidden="false" customHeight="true" outlineLevel="0" collapsed="false">
      <c r="B321" s="36"/>
      <c r="C321" s="7"/>
      <c r="D321" s="38"/>
      <c r="E321" s="37"/>
      <c r="F321" s="7"/>
    </row>
    <row r="322" customFormat="false" ht="21" hidden="false" customHeight="true" outlineLevel="0" collapsed="false">
      <c r="B322" s="36"/>
      <c r="C322" s="7"/>
      <c r="D322" s="38"/>
      <c r="E322" s="37"/>
      <c r="F322" s="7"/>
    </row>
    <row r="323" customFormat="false" ht="21" hidden="false" customHeight="true" outlineLevel="0" collapsed="false">
      <c r="B323" s="36"/>
      <c r="C323" s="7"/>
      <c r="D323" s="38"/>
      <c r="E323" s="37"/>
      <c r="F323" s="7"/>
    </row>
    <row r="324" customFormat="false" ht="21" hidden="false" customHeight="true" outlineLevel="0" collapsed="false">
      <c r="B324" s="36"/>
      <c r="C324" s="7"/>
      <c r="D324" s="38"/>
      <c r="E324" s="37"/>
      <c r="F324" s="7"/>
    </row>
    <row r="325" customFormat="false" ht="21" hidden="false" customHeight="true" outlineLevel="0" collapsed="false">
      <c r="B325" s="36"/>
      <c r="C325" s="7"/>
      <c r="D325" s="38"/>
      <c r="E325" s="37"/>
      <c r="F325" s="7"/>
    </row>
    <row r="326" customFormat="false" ht="21" hidden="false" customHeight="true" outlineLevel="0" collapsed="false">
      <c r="B326" s="36"/>
      <c r="C326" s="7"/>
      <c r="D326" s="38"/>
      <c r="E326" s="37"/>
      <c r="F326" s="7"/>
    </row>
    <row r="327" customFormat="false" ht="21" hidden="false" customHeight="true" outlineLevel="0" collapsed="false">
      <c r="B327" s="36"/>
      <c r="C327" s="7"/>
      <c r="D327" s="38"/>
      <c r="E327" s="37"/>
      <c r="F327" s="7"/>
    </row>
    <row r="328" customFormat="false" ht="21" hidden="false" customHeight="true" outlineLevel="0" collapsed="false">
      <c r="B328" s="36"/>
      <c r="C328" s="7"/>
      <c r="D328" s="38"/>
      <c r="E328" s="37"/>
      <c r="F328" s="7"/>
    </row>
    <row r="329" customFormat="false" ht="21" hidden="false" customHeight="true" outlineLevel="0" collapsed="false">
      <c r="B329" s="36"/>
      <c r="C329" s="7"/>
      <c r="D329" s="38"/>
      <c r="E329" s="37"/>
      <c r="F329" s="7"/>
    </row>
    <row r="330" customFormat="false" ht="21" hidden="false" customHeight="true" outlineLevel="0" collapsed="false">
      <c r="B330" s="36"/>
      <c r="C330" s="7"/>
      <c r="D330" s="38"/>
      <c r="E330" s="37"/>
      <c r="F330" s="7"/>
    </row>
    <row r="331" customFormat="false" ht="21" hidden="false" customHeight="true" outlineLevel="0" collapsed="false">
      <c r="B331" s="36"/>
      <c r="C331" s="7"/>
      <c r="D331" s="38"/>
      <c r="E331" s="37"/>
      <c r="F331" s="7"/>
    </row>
    <row r="332" customFormat="false" ht="21" hidden="false" customHeight="true" outlineLevel="0" collapsed="false">
      <c r="B332" s="36"/>
      <c r="C332" s="7"/>
      <c r="D332" s="38"/>
      <c r="E332" s="37"/>
      <c r="F332" s="7"/>
    </row>
    <row r="333" customFormat="false" ht="21" hidden="false" customHeight="true" outlineLevel="0" collapsed="false">
      <c r="B333" s="36"/>
      <c r="C333" s="7"/>
      <c r="D333" s="38"/>
      <c r="E333" s="37"/>
      <c r="F333" s="7"/>
    </row>
    <row r="334" customFormat="false" ht="21" hidden="false" customHeight="true" outlineLevel="0" collapsed="false">
      <c r="B334" s="36"/>
      <c r="C334" s="7"/>
      <c r="D334" s="38"/>
      <c r="E334" s="37"/>
      <c r="F334" s="7"/>
    </row>
    <row r="335" customFormat="false" ht="21" hidden="false" customHeight="true" outlineLevel="0" collapsed="false">
      <c r="B335" s="36"/>
      <c r="C335" s="7"/>
      <c r="D335" s="38"/>
      <c r="E335" s="37"/>
      <c r="F335" s="7"/>
    </row>
    <row r="336" customFormat="false" ht="21" hidden="false" customHeight="true" outlineLevel="0" collapsed="false">
      <c r="B336" s="36"/>
      <c r="C336" s="7"/>
      <c r="D336" s="38"/>
      <c r="E336" s="37"/>
      <c r="F336" s="7"/>
    </row>
    <row r="337" customFormat="false" ht="21" hidden="false" customHeight="true" outlineLevel="0" collapsed="false">
      <c r="B337" s="36"/>
      <c r="C337" s="7"/>
      <c r="D337" s="38"/>
      <c r="E337" s="37"/>
      <c r="F337" s="7"/>
    </row>
    <row r="338" customFormat="false" ht="21" hidden="false" customHeight="true" outlineLevel="0" collapsed="false">
      <c r="B338" s="36"/>
      <c r="C338" s="7"/>
      <c r="D338" s="38"/>
      <c r="E338" s="37"/>
      <c r="F338" s="7"/>
    </row>
    <row r="339" customFormat="false" ht="21" hidden="false" customHeight="true" outlineLevel="0" collapsed="false">
      <c r="B339" s="36"/>
      <c r="C339" s="7"/>
      <c r="D339" s="38"/>
      <c r="E339" s="37"/>
      <c r="F339" s="7"/>
    </row>
    <row r="340" customFormat="false" ht="21" hidden="false" customHeight="true" outlineLevel="0" collapsed="false">
      <c r="B340" s="36"/>
      <c r="C340" s="7"/>
      <c r="D340" s="38"/>
      <c r="E340" s="37"/>
      <c r="F340" s="7"/>
    </row>
    <row r="341" customFormat="false" ht="21" hidden="false" customHeight="true" outlineLevel="0" collapsed="false">
      <c r="B341" s="36"/>
      <c r="C341" s="7"/>
      <c r="D341" s="38"/>
      <c r="E341" s="37"/>
      <c r="F341" s="7"/>
    </row>
    <row r="342" customFormat="false" ht="21" hidden="false" customHeight="true" outlineLevel="0" collapsed="false">
      <c r="B342" s="36"/>
      <c r="C342" s="7"/>
      <c r="D342" s="38"/>
      <c r="E342" s="37"/>
      <c r="F342" s="7"/>
    </row>
    <row r="343" customFormat="false" ht="21" hidden="false" customHeight="true" outlineLevel="0" collapsed="false">
      <c r="B343" s="36"/>
      <c r="C343" s="7"/>
      <c r="D343" s="38"/>
      <c r="E343" s="37"/>
      <c r="F343" s="7"/>
    </row>
    <row r="344" customFormat="false" ht="21" hidden="false" customHeight="true" outlineLevel="0" collapsed="false">
      <c r="B344" s="36"/>
      <c r="C344" s="7"/>
      <c r="D344" s="38"/>
      <c r="E344" s="37"/>
      <c r="F344" s="7"/>
    </row>
    <row r="345" customFormat="false" ht="21" hidden="false" customHeight="true" outlineLevel="0" collapsed="false">
      <c r="B345" s="36"/>
      <c r="C345" s="7"/>
      <c r="D345" s="38"/>
      <c r="E345" s="37"/>
      <c r="F345" s="7"/>
    </row>
    <row r="346" customFormat="false" ht="21" hidden="false" customHeight="true" outlineLevel="0" collapsed="false">
      <c r="B346" s="36"/>
      <c r="C346" s="7"/>
      <c r="D346" s="38"/>
      <c r="E346" s="37"/>
      <c r="F346" s="7"/>
    </row>
    <row r="347" customFormat="false" ht="21" hidden="false" customHeight="true" outlineLevel="0" collapsed="false">
      <c r="B347" s="36"/>
      <c r="C347" s="7"/>
      <c r="D347" s="38"/>
      <c r="E347" s="37"/>
      <c r="F347" s="7"/>
    </row>
    <row r="348" customFormat="false" ht="21" hidden="false" customHeight="true" outlineLevel="0" collapsed="false">
      <c r="B348" s="36"/>
      <c r="C348" s="7"/>
      <c r="D348" s="38"/>
      <c r="E348" s="37"/>
      <c r="F348" s="7"/>
    </row>
    <row r="349" customFormat="false" ht="21" hidden="false" customHeight="true" outlineLevel="0" collapsed="false">
      <c r="B349" s="36"/>
      <c r="C349" s="7"/>
      <c r="D349" s="38"/>
      <c r="E349" s="37"/>
      <c r="F349" s="7"/>
    </row>
    <row r="350" customFormat="false" ht="21" hidden="false" customHeight="true" outlineLevel="0" collapsed="false">
      <c r="B350" s="36"/>
      <c r="C350" s="7"/>
      <c r="D350" s="38"/>
      <c r="E350" s="37"/>
      <c r="F350" s="7"/>
    </row>
    <row r="351" customFormat="false" ht="21" hidden="false" customHeight="true" outlineLevel="0" collapsed="false">
      <c r="B351" s="36"/>
      <c r="C351" s="7"/>
      <c r="D351" s="38"/>
      <c r="E351" s="37"/>
      <c r="F351" s="7"/>
    </row>
    <row r="352" customFormat="false" ht="21" hidden="false" customHeight="true" outlineLevel="0" collapsed="false">
      <c r="B352" s="36"/>
      <c r="C352" s="7"/>
      <c r="D352" s="38"/>
      <c r="E352" s="37"/>
      <c r="F352" s="7"/>
    </row>
    <row r="353" customFormat="false" ht="21" hidden="false" customHeight="true" outlineLevel="0" collapsed="false">
      <c r="B353" s="36"/>
      <c r="C353" s="7"/>
      <c r="D353" s="38"/>
      <c r="E353" s="37"/>
      <c r="F353" s="7"/>
    </row>
    <row r="354" customFormat="false" ht="21" hidden="false" customHeight="true" outlineLevel="0" collapsed="false">
      <c r="B354" s="36"/>
      <c r="C354" s="7"/>
      <c r="D354" s="38"/>
      <c r="E354" s="37"/>
      <c r="F354" s="7"/>
    </row>
    <row r="355" customFormat="false" ht="21" hidden="false" customHeight="true" outlineLevel="0" collapsed="false">
      <c r="B355" s="36"/>
      <c r="C355" s="7"/>
      <c r="D355" s="38"/>
      <c r="E355" s="37"/>
      <c r="F355" s="7"/>
    </row>
    <row r="356" customFormat="false" ht="21" hidden="false" customHeight="true" outlineLevel="0" collapsed="false">
      <c r="B356" s="36"/>
      <c r="C356" s="7"/>
      <c r="D356" s="38"/>
      <c r="E356" s="37"/>
      <c r="F356" s="7"/>
    </row>
    <row r="357" customFormat="false" ht="21" hidden="false" customHeight="true" outlineLevel="0" collapsed="false">
      <c r="B357" s="36"/>
      <c r="C357" s="7"/>
      <c r="D357" s="38"/>
      <c r="E357" s="37"/>
      <c r="F357" s="7"/>
    </row>
    <row r="358" customFormat="false" ht="21" hidden="false" customHeight="true" outlineLevel="0" collapsed="false">
      <c r="B358" s="36"/>
      <c r="C358" s="7"/>
      <c r="D358" s="38"/>
      <c r="E358" s="37"/>
      <c r="F358" s="7"/>
    </row>
    <row r="359" customFormat="false" ht="21" hidden="false" customHeight="true" outlineLevel="0" collapsed="false">
      <c r="B359" s="36"/>
      <c r="C359" s="7"/>
      <c r="D359" s="38"/>
      <c r="E359" s="37"/>
      <c r="F359" s="7"/>
    </row>
    <row r="360" customFormat="false" ht="21" hidden="false" customHeight="true" outlineLevel="0" collapsed="false">
      <c r="B360" s="36"/>
      <c r="C360" s="7"/>
      <c r="D360" s="38"/>
      <c r="E360" s="37"/>
      <c r="F360" s="7"/>
    </row>
    <row r="361" customFormat="false" ht="21" hidden="false" customHeight="true" outlineLevel="0" collapsed="false">
      <c r="B361" s="36"/>
      <c r="C361" s="7"/>
      <c r="D361" s="38"/>
      <c r="E361" s="37"/>
      <c r="F361" s="7"/>
    </row>
    <row r="362" customFormat="false" ht="21" hidden="false" customHeight="true" outlineLevel="0" collapsed="false">
      <c r="B362" s="36"/>
      <c r="C362" s="7"/>
      <c r="D362" s="38"/>
      <c r="E362" s="37"/>
      <c r="F362" s="7"/>
    </row>
    <row r="363" customFormat="false" ht="21" hidden="false" customHeight="true" outlineLevel="0" collapsed="false">
      <c r="B363" s="36"/>
      <c r="C363" s="7"/>
      <c r="D363" s="38"/>
      <c r="E363" s="37"/>
      <c r="F363" s="7"/>
    </row>
    <row r="364" customFormat="false" ht="21" hidden="false" customHeight="true" outlineLevel="0" collapsed="false">
      <c r="B364" s="36"/>
      <c r="C364" s="7"/>
      <c r="D364" s="38"/>
      <c r="E364" s="37"/>
      <c r="F364" s="7"/>
    </row>
    <row r="365" customFormat="false" ht="21" hidden="false" customHeight="true" outlineLevel="0" collapsed="false">
      <c r="B365" s="36"/>
      <c r="C365" s="7"/>
      <c r="D365" s="38"/>
      <c r="E365" s="37"/>
      <c r="F365" s="7"/>
    </row>
    <row r="366" customFormat="false" ht="21" hidden="false" customHeight="true" outlineLevel="0" collapsed="false">
      <c r="B366" s="36"/>
      <c r="C366" s="7"/>
      <c r="D366" s="38"/>
      <c r="E366" s="37"/>
      <c r="F366" s="7"/>
    </row>
    <row r="367" customFormat="false" ht="21" hidden="false" customHeight="true" outlineLevel="0" collapsed="false">
      <c r="B367" s="36"/>
      <c r="C367" s="7"/>
      <c r="D367" s="38"/>
      <c r="E367" s="37"/>
      <c r="F367" s="7"/>
    </row>
    <row r="368" customFormat="false" ht="21" hidden="false" customHeight="true" outlineLevel="0" collapsed="false">
      <c r="B368" s="36"/>
      <c r="C368" s="7"/>
      <c r="D368" s="38"/>
      <c r="E368" s="37"/>
      <c r="F368" s="7"/>
    </row>
    <row r="369" customFormat="false" ht="21" hidden="false" customHeight="true" outlineLevel="0" collapsed="false">
      <c r="B369" s="36"/>
      <c r="C369" s="7"/>
      <c r="D369" s="38"/>
      <c r="E369" s="37"/>
      <c r="F369" s="7"/>
    </row>
    <row r="370" customFormat="false" ht="21" hidden="false" customHeight="true" outlineLevel="0" collapsed="false">
      <c r="B370" s="36"/>
      <c r="C370" s="7"/>
      <c r="D370" s="38"/>
      <c r="E370" s="37"/>
      <c r="F370" s="7"/>
    </row>
    <row r="371" customFormat="false" ht="21" hidden="false" customHeight="true" outlineLevel="0" collapsed="false">
      <c r="B371" s="36"/>
      <c r="C371" s="7"/>
      <c r="D371" s="38"/>
      <c r="E371" s="37"/>
      <c r="F371" s="7"/>
    </row>
    <row r="372" customFormat="false" ht="21" hidden="false" customHeight="true" outlineLevel="0" collapsed="false">
      <c r="B372" s="36"/>
      <c r="C372" s="7"/>
      <c r="D372" s="38"/>
      <c r="E372" s="37"/>
      <c r="F372" s="7"/>
    </row>
    <row r="373" customFormat="false" ht="21" hidden="false" customHeight="true" outlineLevel="0" collapsed="false">
      <c r="B373" s="36"/>
      <c r="C373" s="7"/>
      <c r="D373" s="38"/>
      <c r="E373" s="37"/>
      <c r="F373" s="7"/>
    </row>
    <row r="374" customFormat="false" ht="21" hidden="false" customHeight="true" outlineLevel="0" collapsed="false">
      <c r="B374" s="36"/>
      <c r="C374" s="7"/>
      <c r="D374" s="38"/>
      <c r="E374" s="37"/>
      <c r="F374" s="7"/>
    </row>
    <row r="375" customFormat="false" ht="21" hidden="false" customHeight="true" outlineLevel="0" collapsed="false">
      <c r="B375" s="36"/>
      <c r="C375" s="7"/>
      <c r="D375" s="38"/>
      <c r="E375" s="37"/>
      <c r="F375" s="7"/>
    </row>
    <row r="376" customFormat="false" ht="21" hidden="false" customHeight="true" outlineLevel="0" collapsed="false">
      <c r="B376" s="36"/>
      <c r="C376" s="7"/>
      <c r="D376" s="38"/>
      <c r="E376" s="37"/>
      <c r="F376" s="7"/>
    </row>
    <row r="377" customFormat="false" ht="21" hidden="false" customHeight="true" outlineLevel="0" collapsed="false">
      <c r="B377" s="36"/>
      <c r="C377" s="7"/>
      <c r="D377" s="38"/>
      <c r="E377" s="37"/>
      <c r="F377" s="7"/>
    </row>
    <row r="378" customFormat="false" ht="21" hidden="false" customHeight="true" outlineLevel="0" collapsed="false">
      <c r="B378" s="36"/>
      <c r="C378" s="7"/>
      <c r="D378" s="38"/>
      <c r="E378" s="37"/>
      <c r="F378" s="7"/>
    </row>
    <row r="379" customFormat="false" ht="21" hidden="false" customHeight="true" outlineLevel="0" collapsed="false">
      <c r="B379" s="36"/>
      <c r="C379" s="7"/>
      <c r="D379" s="38"/>
      <c r="E379" s="37"/>
      <c r="F379" s="7"/>
    </row>
    <row r="380" customFormat="false" ht="21" hidden="false" customHeight="true" outlineLevel="0" collapsed="false">
      <c r="B380" s="36"/>
      <c r="C380" s="7"/>
      <c r="D380" s="38"/>
      <c r="E380" s="37"/>
      <c r="F380" s="7"/>
    </row>
    <row r="381" customFormat="false" ht="21" hidden="false" customHeight="true" outlineLevel="0" collapsed="false">
      <c r="B381" s="36"/>
      <c r="C381" s="7"/>
      <c r="D381" s="38"/>
      <c r="E381" s="37"/>
      <c r="F381" s="7"/>
    </row>
    <row r="382" customFormat="false" ht="21" hidden="false" customHeight="true" outlineLevel="0" collapsed="false">
      <c r="B382" s="36"/>
      <c r="C382" s="7"/>
      <c r="D382" s="38"/>
      <c r="E382" s="37"/>
      <c r="F382" s="7"/>
    </row>
    <row r="383" customFormat="false" ht="21" hidden="false" customHeight="true" outlineLevel="0" collapsed="false">
      <c r="B383" s="36"/>
      <c r="C383" s="7"/>
      <c r="D383" s="38"/>
      <c r="E383" s="37"/>
      <c r="F383" s="7"/>
    </row>
    <row r="384" customFormat="false" ht="21" hidden="false" customHeight="true" outlineLevel="0" collapsed="false">
      <c r="B384" s="36"/>
      <c r="C384" s="7"/>
      <c r="D384" s="38"/>
      <c r="E384" s="37"/>
      <c r="F384" s="7"/>
    </row>
    <row r="385" customFormat="false" ht="21" hidden="false" customHeight="true" outlineLevel="0" collapsed="false">
      <c r="B385" s="36"/>
      <c r="C385" s="7"/>
      <c r="D385" s="38"/>
      <c r="E385" s="37"/>
      <c r="F385" s="7"/>
    </row>
    <row r="386" customFormat="false" ht="21" hidden="false" customHeight="true" outlineLevel="0" collapsed="false">
      <c r="B386" s="36"/>
      <c r="C386" s="7"/>
      <c r="D386" s="38"/>
      <c r="E386" s="37"/>
      <c r="F386" s="7"/>
    </row>
    <row r="387" customFormat="false" ht="21" hidden="false" customHeight="true" outlineLevel="0" collapsed="false">
      <c r="B387" s="36"/>
      <c r="C387" s="7"/>
      <c r="D387" s="38"/>
      <c r="E387" s="37"/>
      <c r="F387" s="7"/>
    </row>
    <row r="388" customFormat="false" ht="21" hidden="false" customHeight="true" outlineLevel="0" collapsed="false">
      <c r="B388" s="36"/>
      <c r="C388" s="7"/>
      <c r="D388" s="38"/>
      <c r="E388" s="37"/>
      <c r="F388" s="7"/>
    </row>
    <row r="389" customFormat="false" ht="21" hidden="false" customHeight="true" outlineLevel="0" collapsed="false">
      <c r="B389" s="36"/>
      <c r="C389" s="7"/>
      <c r="D389" s="38"/>
      <c r="E389" s="37"/>
      <c r="F389" s="7"/>
    </row>
    <row r="390" customFormat="false" ht="21" hidden="false" customHeight="true" outlineLevel="0" collapsed="false">
      <c r="B390" s="36"/>
      <c r="C390" s="7"/>
      <c r="D390" s="38"/>
      <c r="E390" s="37"/>
      <c r="F390" s="7"/>
    </row>
    <row r="391" customFormat="false" ht="21" hidden="false" customHeight="true" outlineLevel="0" collapsed="false">
      <c r="B391" s="36"/>
      <c r="C391" s="7"/>
      <c r="D391" s="38"/>
      <c r="E391" s="37"/>
      <c r="F391" s="7"/>
    </row>
    <row r="392" customFormat="false" ht="21" hidden="false" customHeight="true" outlineLevel="0" collapsed="false">
      <c r="B392" s="36"/>
      <c r="C392" s="7"/>
      <c r="D392" s="38"/>
      <c r="E392" s="37"/>
      <c r="F392" s="7"/>
    </row>
    <row r="393" customFormat="false" ht="21" hidden="false" customHeight="true" outlineLevel="0" collapsed="false">
      <c r="B393" s="36"/>
      <c r="C393" s="7"/>
      <c r="D393" s="38"/>
      <c r="E393" s="37"/>
      <c r="F393" s="7"/>
    </row>
    <row r="394" customFormat="false" ht="21" hidden="false" customHeight="true" outlineLevel="0" collapsed="false">
      <c r="B394" s="36"/>
      <c r="C394" s="7"/>
      <c r="D394" s="38"/>
      <c r="E394" s="37"/>
      <c r="F394" s="7"/>
    </row>
    <row r="395" customFormat="false" ht="21" hidden="false" customHeight="true" outlineLevel="0" collapsed="false">
      <c r="B395" s="36"/>
      <c r="C395" s="7"/>
      <c r="D395" s="38"/>
      <c r="E395" s="37"/>
      <c r="F395" s="7"/>
    </row>
    <row r="396" customFormat="false" ht="21" hidden="false" customHeight="true" outlineLevel="0" collapsed="false">
      <c r="B396" s="36"/>
      <c r="C396" s="7"/>
      <c r="D396" s="38"/>
      <c r="E396" s="37"/>
      <c r="F396" s="7"/>
    </row>
    <row r="397" customFormat="false" ht="21" hidden="false" customHeight="true" outlineLevel="0" collapsed="false">
      <c r="B397" s="36"/>
      <c r="C397" s="7"/>
      <c r="D397" s="38"/>
      <c r="E397" s="37"/>
      <c r="F397" s="7"/>
    </row>
    <row r="398" customFormat="false" ht="21" hidden="false" customHeight="true" outlineLevel="0" collapsed="false">
      <c r="B398" s="36"/>
      <c r="C398" s="7"/>
      <c r="D398" s="38"/>
      <c r="E398" s="37"/>
      <c r="F398" s="7"/>
    </row>
    <row r="399" customFormat="false" ht="21" hidden="false" customHeight="true" outlineLevel="0" collapsed="false">
      <c r="B399" s="36"/>
      <c r="C399" s="7"/>
      <c r="D399" s="38"/>
      <c r="E399" s="37"/>
      <c r="F399" s="7"/>
    </row>
    <row r="400" customFormat="false" ht="21" hidden="false" customHeight="true" outlineLevel="0" collapsed="false">
      <c r="B400" s="36"/>
      <c r="C400" s="7"/>
      <c r="D400" s="38"/>
      <c r="E400" s="37"/>
      <c r="F400" s="7"/>
    </row>
    <row r="401" customFormat="false" ht="21" hidden="false" customHeight="true" outlineLevel="0" collapsed="false">
      <c r="B401" s="36"/>
      <c r="C401" s="7"/>
      <c r="D401" s="38"/>
      <c r="E401" s="37"/>
      <c r="F401" s="7"/>
    </row>
    <row r="402" customFormat="false" ht="21" hidden="false" customHeight="true" outlineLevel="0" collapsed="false">
      <c r="B402" s="36"/>
      <c r="C402" s="7"/>
      <c r="D402" s="38"/>
      <c r="E402" s="37"/>
      <c r="F402" s="7"/>
    </row>
    <row r="403" customFormat="false" ht="21" hidden="false" customHeight="true" outlineLevel="0" collapsed="false">
      <c r="B403" s="36"/>
      <c r="C403" s="7"/>
      <c r="D403" s="38"/>
      <c r="E403" s="37"/>
      <c r="F403" s="7"/>
    </row>
    <row r="404" customFormat="false" ht="21" hidden="false" customHeight="true" outlineLevel="0" collapsed="false">
      <c r="B404" s="36"/>
      <c r="C404" s="7"/>
      <c r="D404" s="38"/>
      <c r="E404" s="37"/>
      <c r="F404" s="7"/>
    </row>
    <row r="405" customFormat="false" ht="21" hidden="false" customHeight="true" outlineLevel="0" collapsed="false">
      <c r="B405" s="36"/>
      <c r="C405" s="7"/>
      <c r="D405" s="38"/>
      <c r="E405" s="37"/>
      <c r="F405" s="7"/>
    </row>
    <row r="406" customFormat="false" ht="21" hidden="false" customHeight="true" outlineLevel="0" collapsed="false">
      <c r="B406" s="36"/>
      <c r="C406" s="7"/>
      <c r="D406" s="38"/>
      <c r="E406" s="37"/>
      <c r="F406" s="7"/>
    </row>
    <row r="407" customFormat="false" ht="21" hidden="false" customHeight="true" outlineLevel="0" collapsed="false">
      <c r="B407" s="36"/>
      <c r="C407" s="7"/>
      <c r="D407" s="38"/>
      <c r="E407" s="37"/>
      <c r="F407" s="7"/>
    </row>
    <row r="408" customFormat="false" ht="21" hidden="false" customHeight="true" outlineLevel="0" collapsed="false">
      <c r="B408" s="36"/>
      <c r="C408" s="7"/>
      <c r="D408" s="38"/>
      <c r="E408" s="37"/>
      <c r="F408" s="7"/>
    </row>
    <row r="409" customFormat="false" ht="21" hidden="false" customHeight="true" outlineLevel="0" collapsed="false">
      <c r="B409" s="36"/>
      <c r="C409" s="7"/>
      <c r="D409" s="38"/>
      <c r="E409" s="37"/>
      <c r="F409" s="7"/>
    </row>
    <row r="410" customFormat="false" ht="21" hidden="false" customHeight="true" outlineLevel="0" collapsed="false">
      <c r="B410" s="36"/>
      <c r="C410" s="7"/>
      <c r="D410" s="38"/>
      <c r="E410" s="37"/>
      <c r="F410" s="7"/>
    </row>
    <row r="411" customFormat="false" ht="21" hidden="false" customHeight="true" outlineLevel="0" collapsed="false">
      <c r="B411" s="36"/>
      <c r="C411" s="7"/>
      <c r="D411" s="38"/>
      <c r="E411" s="37"/>
      <c r="F411" s="7"/>
    </row>
    <row r="412" customFormat="false" ht="21" hidden="false" customHeight="true" outlineLevel="0" collapsed="false">
      <c r="B412" s="36"/>
      <c r="C412" s="7"/>
      <c r="D412" s="38"/>
      <c r="E412" s="37"/>
      <c r="F412" s="7"/>
    </row>
    <row r="413" customFormat="false" ht="21" hidden="false" customHeight="true" outlineLevel="0" collapsed="false">
      <c r="B413" s="36"/>
      <c r="C413" s="7"/>
      <c r="D413" s="38"/>
      <c r="E413" s="37"/>
      <c r="F413" s="7"/>
    </row>
    <row r="414" customFormat="false" ht="21" hidden="false" customHeight="true" outlineLevel="0" collapsed="false">
      <c r="B414" s="36"/>
      <c r="C414" s="7"/>
      <c r="D414" s="38"/>
      <c r="E414" s="37"/>
      <c r="F414" s="7"/>
    </row>
    <row r="415" customFormat="false" ht="21" hidden="false" customHeight="true" outlineLevel="0" collapsed="false">
      <c r="B415" s="36"/>
      <c r="C415" s="7"/>
      <c r="D415" s="38"/>
      <c r="E415" s="37"/>
      <c r="F415" s="7"/>
    </row>
    <row r="416" customFormat="false" ht="21" hidden="false" customHeight="true" outlineLevel="0" collapsed="false">
      <c r="B416" s="36"/>
      <c r="C416" s="7"/>
      <c r="D416" s="38"/>
      <c r="E416" s="37"/>
      <c r="F416" s="7"/>
    </row>
    <row r="417" customFormat="false" ht="21" hidden="false" customHeight="true" outlineLevel="0" collapsed="false">
      <c r="B417" s="36"/>
      <c r="C417" s="7"/>
      <c r="D417" s="38"/>
      <c r="E417" s="37"/>
      <c r="F417" s="7"/>
    </row>
    <row r="418" customFormat="false" ht="21" hidden="false" customHeight="true" outlineLevel="0" collapsed="false">
      <c r="B418" s="36"/>
      <c r="C418" s="7"/>
      <c r="D418" s="38"/>
      <c r="E418" s="37"/>
      <c r="F418" s="7"/>
    </row>
    <row r="419" customFormat="false" ht="21" hidden="false" customHeight="true" outlineLevel="0" collapsed="false">
      <c r="B419" s="36"/>
      <c r="C419" s="7"/>
      <c r="D419" s="38"/>
      <c r="E419" s="37"/>
      <c r="F419" s="7"/>
    </row>
    <row r="420" customFormat="false" ht="21" hidden="false" customHeight="true" outlineLevel="0" collapsed="false">
      <c r="B420" s="36"/>
      <c r="C420" s="7"/>
      <c r="D420" s="38"/>
      <c r="E420" s="37"/>
      <c r="F420" s="7"/>
    </row>
    <row r="421" customFormat="false" ht="21" hidden="false" customHeight="true" outlineLevel="0" collapsed="false">
      <c r="B421" s="36"/>
      <c r="C421" s="7"/>
      <c r="D421" s="38"/>
      <c r="E421" s="37"/>
      <c r="F421" s="7"/>
    </row>
    <row r="422" customFormat="false" ht="21" hidden="false" customHeight="true" outlineLevel="0" collapsed="false">
      <c r="B422" s="36"/>
      <c r="C422" s="7"/>
      <c r="D422" s="38"/>
      <c r="E422" s="37"/>
      <c r="F422" s="7"/>
    </row>
    <row r="423" customFormat="false" ht="21" hidden="false" customHeight="true" outlineLevel="0" collapsed="false">
      <c r="B423" s="36"/>
      <c r="C423" s="7"/>
      <c r="D423" s="38"/>
      <c r="E423" s="37"/>
      <c r="F423" s="7"/>
    </row>
    <row r="424" customFormat="false" ht="21" hidden="false" customHeight="true" outlineLevel="0" collapsed="false">
      <c r="B424" s="36"/>
      <c r="C424" s="7"/>
      <c r="D424" s="38"/>
      <c r="E424" s="37"/>
      <c r="F424" s="7"/>
    </row>
    <row r="425" customFormat="false" ht="21" hidden="false" customHeight="true" outlineLevel="0" collapsed="false">
      <c r="B425" s="36"/>
      <c r="C425" s="7"/>
      <c r="D425" s="38"/>
      <c r="E425" s="37"/>
      <c r="F425" s="7"/>
    </row>
    <row r="426" customFormat="false" ht="21" hidden="false" customHeight="true" outlineLevel="0" collapsed="false">
      <c r="B426" s="36"/>
      <c r="C426" s="7"/>
      <c r="D426" s="38"/>
      <c r="E426" s="37"/>
      <c r="F426" s="7"/>
    </row>
    <row r="427" customFormat="false" ht="21" hidden="false" customHeight="true" outlineLevel="0" collapsed="false">
      <c r="B427" s="36"/>
      <c r="C427" s="7"/>
      <c r="D427" s="38"/>
      <c r="E427" s="37"/>
      <c r="F427" s="7"/>
    </row>
    <row r="428" customFormat="false" ht="21" hidden="false" customHeight="true" outlineLevel="0" collapsed="false">
      <c r="B428" s="36"/>
      <c r="C428" s="7"/>
      <c r="D428" s="38"/>
      <c r="E428" s="37"/>
      <c r="F428" s="7"/>
    </row>
    <row r="429" customFormat="false" ht="21" hidden="false" customHeight="true" outlineLevel="0" collapsed="false">
      <c r="B429" s="36"/>
      <c r="C429" s="7"/>
      <c r="D429" s="38"/>
      <c r="E429" s="37"/>
      <c r="F429" s="7"/>
    </row>
    <row r="430" customFormat="false" ht="21" hidden="false" customHeight="true" outlineLevel="0" collapsed="false">
      <c r="B430" s="36"/>
      <c r="C430" s="7"/>
      <c r="D430" s="38"/>
      <c r="E430" s="37"/>
      <c r="F430" s="7"/>
    </row>
    <row r="431" customFormat="false" ht="21" hidden="false" customHeight="true" outlineLevel="0" collapsed="false">
      <c r="B431" s="36"/>
      <c r="C431" s="7"/>
      <c r="D431" s="38"/>
      <c r="E431" s="37"/>
      <c r="F431" s="7"/>
    </row>
    <row r="432" customFormat="false" ht="21" hidden="false" customHeight="true" outlineLevel="0" collapsed="false">
      <c r="B432" s="36"/>
      <c r="C432" s="7"/>
      <c r="D432" s="38"/>
      <c r="E432" s="37"/>
      <c r="F432" s="7"/>
    </row>
    <row r="433" customFormat="false" ht="21" hidden="false" customHeight="true" outlineLevel="0" collapsed="false">
      <c r="B433" s="36"/>
      <c r="C433" s="7"/>
      <c r="D433" s="38"/>
      <c r="E433" s="37"/>
      <c r="F433" s="7"/>
    </row>
    <row r="434" customFormat="false" ht="21" hidden="false" customHeight="true" outlineLevel="0" collapsed="false">
      <c r="B434" s="36"/>
      <c r="C434" s="7"/>
      <c r="D434" s="38"/>
      <c r="E434" s="37"/>
      <c r="F434" s="7"/>
    </row>
    <row r="435" customFormat="false" ht="21" hidden="false" customHeight="true" outlineLevel="0" collapsed="false">
      <c r="B435" s="36"/>
      <c r="C435" s="7"/>
      <c r="D435" s="38"/>
      <c r="E435" s="37"/>
      <c r="F435" s="7"/>
    </row>
    <row r="436" customFormat="false" ht="21" hidden="false" customHeight="true" outlineLevel="0" collapsed="false">
      <c r="B436" s="36"/>
      <c r="C436" s="7"/>
      <c r="D436" s="38"/>
      <c r="E436" s="37"/>
      <c r="F436" s="7"/>
    </row>
    <row r="437" customFormat="false" ht="21" hidden="false" customHeight="true" outlineLevel="0" collapsed="false">
      <c r="B437" s="36"/>
      <c r="C437" s="7"/>
      <c r="D437" s="38"/>
      <c r="E437" s="37"/>
      <c r="F437" s="7"/>
    </row>
    <row r="438" customFormat="false" ht="21" hidden="false" customHeight="true" outlineLevel="0" collapsed="false">
      <c r="B438" s="36"/>
      <c r="C438" s="7"/>
      <c r="D438" s="38"/>
      <c r="E438" s="37"/>
      <c r="F438" s="7"/>
    </row>
    <row r="439" customFormat="false" ht="21" hidden="false" customHeight="true" outlineLevel="0" collapsed="false">
      <c r="B439" s="36"/>
      <c r="C439" s="7"/>
      <c r="D439" s="38"/>
      <c r="E439" s="37"/>
      <c r="F439" s="7"/>
    </row>
    <row r="440" customFormat="false" ht="21" hidden="false" customHeight="true" outlineLevel="0" collapsed="false">
      <c r="B440" s="36"/>
      <c r="C440" s="7"/>
      <c r="D440" s="38"/>
      <c r="E440" s="37"/>
      <c r="F440" s="7"/>
    </row>
    <row r="441" customFormat="false" ht="21" hidden="false" customHeight="true" outlineLevel="0" collapsed="false">
      <c r="B441" s="36"/>
      <c r="C441" s="7"/>
      <c r="D441" s="38"/>
      <c r="E441" s="37"/>
      <c r="F441" s="7"/>
    </row>
    <row r="442" customFormat="false" ht="21" hidden="false" customHeight="true" outlineLevel="0" collapsed="false">
      <c r="B442" s="36"/>
      <c r="C442" s="7"/>
      <c r="D442" s="38"/>
      <c r="E442" s="37"/>
      <c r="F442" s="7"/>
    </row>
    <row r="443" customFormat="false" ht="21" hidden="false" customHeight="true" outlineLevel="0" collapsed="false">
      <c r="B443" s="36"/>
      <c r="C443" s="7"/>
      <c r="D443" s="38"/>
      <c r="E443" s="37"/>
      <c r="F443" s="7"/>
    </row>
    <row r="444" customFormat="false" ht="21" hidden="false" customHeight="true" outlineLevel="0" collapsed="false">
      <c r="B444" s="36"/>
      <c r="C444" s="7"/>
      <c r="D444" s="38"/>
      <c r="E444" s="37"/>
      <c r="F444" s="7"/>
    </row>
    <row r="445" customFormat="false" ht="21" hidden="false" customHeight="true" outlineLevel="0" collapsed="false">
      <c r="B445" s="36"/>
      <c r="C445" s="7"/>
      <c r="D445" s="38"/>
      <c r="E445" s="37"/>
      <c r="F445" s="7"/>
    </row>
    <row r="446" customFormat="false" ht="21" hidden="false" customHeight="true" outlineLevel="0" collapsed="false">
      <c r="B446" s="36"/>
      <c r="C446" s="7"/>
      <c r="D446" s="38"/>
      <c r="E446" s="37"/>
      <c r="F446" s="7"/>
    </row>
    <row r="447" customFormat="false" ht="21" hidden="false" customHeight="true" outlineLevel="0" collapsed="false">
      <c r="B447" s="36"/>
      <c r="C447" s="7"/>
      <c r="D447" s="38"/>
      <c r="E447" s="37"/>
      <c r="F447" s="7"/>
    </row>
    <row r="448" customFormat="false" ht="21" hidden="false" customHeight="true" outlineLevel="0" collapsed="false">
      <c r="B448" s="36"/>
      <c r="C448" s="7"/>
      <c r="D448" s="38"/>
      <c r="E448" s="37"/>
      <c r="F448" s="7"/>
    </row>
    <row r="449" customFormat="false" ht="21" hidden="false" customHeight="true" outlineLevel="0" collapsed="false">
      <c r="B449" s="36"/>
      <c r="C449" s="7"/>
      <c r="D449" s="38"/>
      <c r="E449" s="37"/>
      <c r="F449" s="7"/>
    </row>
    <row r="450" customFormat="false" ht="21" hidden="false" customHeight="true" outlineLevel="0" collapsed="false">
      <c r="B450" s="36"/>
      <c r="C450" s="7"/>
      <c r="D450" s="38"/>
      <c r="E450" s="37"/>
      <c r="F450" s="7"/>
    </row>
    <row r="451" customFormat="false" ht="21" hidden="false" customHeight="true" outlineLevel="0" collapsed="false">
      <c r="B451" s="36"/>
      <c r="C451" s="7"/>
      <c r="D451" s="38"/>
      <c r="E451" s="37"/>
      <c r="F451" s="7"/>
    </row>
    <row r="452" customFormat="false" ht="21" hidden="false" customHeight="true" outlineLevel="0" collapsed="false">
      <c r="B452" s="36"/>
      <c r="C452" s="7"/>
      <c r="D452" s="38"/>
      <c r="E452" s="37"/>
      <c r="F452" s="7"/>
    </row>
    <row r="453" customFormat="false" ht="21" hidden="false" customHeight="true" outlineLevel="0" collapsed="false">
      <c r="B453" s="36"/>
      <c r="C453" s="7"/>
      <c r="D453" s="38"/>
      <c r="E453" s="37"/>
      <c r="F453" s="7"/>
    </row>
    <row r="454" customFormat="false" ht="21" hidden="false" customHeight="true" outlineLevel="0" collapsed="false">
      <c r="B454" s="36"/>
      <c r="C454" s="7"/>
      <c r="D454" s="38"/>
      <c r="E454" s="37"/>
      <c r="F454" s="7"/>
    </row>
    <row r="455" customFormat="false" ht="21" hidden="false" customHeight="true" outlineLevel="0" collapsed="false">
      <c r="B455" s="36"/>
      <c r="C455" s="7"/>
      <c r="D455" s="38"/>
      <c r="E455" s="37"/>
      <c r="F455" s="7"/>
    </row>
    <row r="456" customFormat="false" ht="21" hidden="false" customHeight="true" outlineLevel="0" collapsed="false">
      <c r="B456" s="36"/>
      <c r="C456" s="7"/>
      <c r="D456" s="38"/>
      <c r="E456" s="37"/>
      <c r="F456" s="7"/>
    </row>
    <row r="457" customFormat="false" ht="21" hidden="false" customHeight="true" outlineLevel="0" collapsed="false">
      <c r="B457" s="36"/>
      <c r="C457" s="7"/>
      <c r="D457" s="38"/>
      <c r="E457" s="37"/>
      <c r="F457" s="7"/>
    </row>
    <row r="458" customFormat="false" ht="21" hidden="false" customHeight="true" outlineLevel="0" collapsed="false">
      <c r="B458" s="36"/>
      <c r="C458" s="7"/>
      <c r="D458" s="38"/>
      <c r="E458" s="37"/>
      <c r="F458" s="7"/>
    </row>
    <row r="459" customFormat="false" ht="21" hidden="false" customHeight="true" outlineLevel="0" collapsed="false">
      <c r="B459" s="36"/>
      <c r="C459" s="7"/>
      <c r="D459" s="38"/>
      <c r="E459" s="37"/>
      <c r="F459" s="7"/>
    </row>
    <row r="460" customFormat="false" ht="21" hidden="false" customHeight="true" outlineLevel="0" collapsed="false">
      <c r="B460" s="36"/>
      <c r="C460" s="7"/>
      <c r="D460" s="38"/>
      <c r="E460" s="37"/>
      <c r="F460" s="7"/>
    </row>
    <row r="461" customFormat="false" ht="21" hidden="false" customHeight="true" outlineLevel="0" collapsed="false">
      <c r="B461" s="36"/>
      <c r="C461" s="7"/>
      <c r="D461" s="38"/>
      <c r="E461" s="37"/>
      <c r="F461" s="7"/>
    </row>
    <row r="462" customFormat="false" ht="21" hidden="false" customHeight="true" outlineLevel="0" collapsed="false">
      <c r="B462" s="36"/>
      <c r="C462" s="7"/>
      <c r="D462" s="38"/>
      <c r="E462" s="37"/>
      <c r="F462" s="7"/>
    </row>
    <row r="463" customFormat="false" ht="21" hidden="false" customHeight="true" outlineLevel="0" collapsed="false">
      <c r="B463" s="36"/>
      <c r="C463" s="7"/>
      <c r="D463" s="38"/>
      <c r="E463" s="37"/>
      <c r="F463" s="7"/>
    </row>
    <row r="464" customFormat="false" ht="21" hidden="false" customHeight="true" outlineLevel="0" collapsed="false">
      <c r="B464" s="36"/>
      <c r="C464" s="7"/>
      <c r="D464" s="38"/>
      <c r="E464" s="37"/>
      <c r="F464" s="7"/>
    </row>
    <row r="465" customFormat="false" ht="21" hidden="false" customHeight="true" outlineLevel="0" collapsed="false">
      <c r="B465" s="36"/>
      <c r="C465" s="7"/>
      <c r="D465" s="38"/>
      <c r="E465" s="37"/>
      <c r="F465" s="7"/>
    </row>
    <row r="466" customFormat="false" ht="21" hidden="false" customHeight="true" outlineLevel="0" collapsed="false">
      <c r="B466" s="36"/>
      <c r="C466" s="7"/>
      <c r="D466" s="38"/>
      <c r="E466" s="37"/>
      <c r="F466" s="7"/>
    </row>
    <row r="467" customFormat="false" ht="21" hidden="false" customHeight="true" outlineLevel="0" collapsed="false">
      <c r="B467" s="36"/>
      <c r="C467" s="7"/>
      <c r="D467" s="38"/>
      <c r="E467" s="37"/>
      <c r="F467" s="7"/>
    </row>
    <row r="468" customFormat="false" ht="21" hidden="false" customHeight="true" outlineLevel="0" collapsed="false">
      <c r="B468" s="36"/>
      <c r="C468" s="7"/>
      <c r="D468" s="38"/>
      <c r="E468" s="37"/>
      <c r="F468" s="7"/>
    </row>
    <row r="469" customFormat="false" ht="21" hidden="false" customHeight="true" outlineLevel="0" collapsed="false">
      <c r="B469" s="36"/>
      <c r="C469" s="7"/>
      <c r="D469" s="38"/>
      <c r="E469" s="37"/>
      <c r="F469" s="7"/>
    </row>
    <row r="470" customFormat="false" ht="21" hidden="false" customHeight="true" outlineLevel="0" collapsed="false">
      <c r="B470" s="36"/>
      <c r="C470" s="7"/>
      <c r="D470" s="38"/>
      <c r="E470" s="37"/>
      <c r="F470" s="7"/>
    </row>
    <row r="471" customFormat="false" ht="21" hidden="false" customHeight="true" outlineLevel="0" collapsed="false">
      <c r="B471" s="36"/>
      <c r="C471" s="7"/>
      <c r="D471" s="38"/>
      <c r="E471" s="37"/>
      <c r="F471" s="7"/>
    </row>
    <row r="472" customFormat="false" ht="21" hidden="false" customHeight="true" outlineLevel="0" collapsed="false">
      <c r="B472" s="36"/>
      <c r="C472" s="7"/>
      <c r="D472" s="38"/>
      <c r="E472" s="37"/>
      <c r="F472" s="7"/>
    </row>
    <row r="473" customFormat="false" ht="21" hidden="false" customHeight="true" outlineLevel="0" collapsed="false">
      <c r="B473" s="36"/>
      <c r="C473" s="7"/>
      <c r="D473" s="38"/>
      <c r="E473" s="37"/>
      <c r="F473" s="7"/>
    </row>
    <row r="474" customFormat="false" ht="21" hidden="false" customHeight="true" outlineLevel="0" collapsed="false">
      <c r="B474" s="36"/>
      <c r="C474" s="7"/>
      <c r="D474" s="38"/>
      <c r="E474" s="37"/>
      <c r="F474" s="7"/>
    </row>
    <row r="475" customFormat="false" ht="21" hidden="false" customHeight="true" outlineLevel="0" collapsed="false">
      <c r="B475" s="36"/>
      <c r="C475" s="7"/>
      <c r="D475" s="38"/>
      <c r="E475" s="37"/>
      <c r="F475" s="7"/>
    </row>
    <row r="476" customFormat="false" ht="21" hidden="false" customHeight="true" outlineLevel="0" collapsed="false">
      <c r="B476" s="36"/>
      <c r="C476" s="7"/>
      <c r="D476" s="38"/>
      <c r="E476" s="37"/>
      <c r="F476" s="7"/>
    </row>
    <row r="477" customFormat="false" ht="21" hidden="false" customHeight="true" outlineLevel="0" collapsed="false">
      <c r="B477" s="36"/>
      <c r="C477" s="7"/>
      <c r="D477" s="38"/>
      <c r="E477" s="37"/>
      <c r="F477" s="7"/>
    </row>
    <row r="478" customFormat="false" ht="21" hidden="false" customHeight="true" outlineLevel="0" collapsed="false">
      <c r="B478" s="36"/>
      <c r="C478" s="7"/>
      <c r="D478" s="38"/>
      <c r="E478" s="37"/>
      <c r="F478" s="7"/>
    </row>
    <row r="479" customFormat="false" ht="21" hidden="false" customHeight="true" outlineLevel="0" collapsed="false">
      <c r="B479" s="36"/>
      <c r="C479" s="7"/>
      <c r="D479" s="38"/>
      <c r="E479" s="37"/>
      <c r="F479" s="7"/>
    </row>
    <row r="480" customFormat="false" ht="21" hidden="false" customHeight="true" outlineLevel="0" collapsed="false">
      <c r="B480" s="36"/>
      <c r="C480" s="7"/>
      <c r="D480" s="38"/>
      <c r="E480" s="37"/>
      <c r="F480" s="7"/>
    </row>
    <row r="481" customFormat="false" ht="21" hidden="false" customHeight="true" outlineLevel="0" collapsed="false">
      <c r="B481" s="36"/>
      <c r="C481" s="7"/>
      <c r="D481" s="38"/>
      <c r="E481" s="37"/>
      <c r="F481" s="7"/>
    </row>
    <row r="482" customFormat="false" ht="21" hidden="false" customHeight="true" outlineLevel="0" collapsed="false">
      <c r="B482" s="36"/>
      <c r="C482" s="7"/>
      <c r="D482" s="38"/>
      <c r="E482" s="37"/>
      <c r="F482" s="7"/>
    </row>
    <row r="483" customFormat="false" ht="21" hidden="false" customHeight="true" outlineLevel="0" collapsed="false">
      <c r="B483" s="36"/>
      <c r="C483" s="7"/>
      <c r="D483" s="38"/>
      <c r="E483" s="37"/>
      <c r="F483" s="7"/>
    </row>
    <row r="484" customFormat="false" ht="21" hidden="false" customHeight="true" outlineLevel="0" collapsed="false">
      <c r="B484" s="36"/>
      <c r="C484" s="7"/>
      <c r="D484" s="38"/>
      <c r="E484" s="37"/>
      <c r="F484" s="7"/>
    </row>
    <row r="485" customFormat="false" ht="21" hidden="false" customHeight="true" outlineLevel="0" collapsed="false">
      <c r="B485" s="36"/>
      <c r="C485" s="7"/>
      <c r="D485" s="38"/>
      <c r="E485" s="37"/>
      <c r="F485" s="7"/>
    </row>
    <row r="486" customFormat="false" ht="21" hidden="false" customHeight="true" outlineLevel="0" collapsed="false">
      <c r="B486" s="36"/>
      <c r="C486" s="7"/>
      <c r="D486" s="38"/>
      <c r="E486" s="37"/>
      <c r="F486" s="7"/>
    </row>
    <row r="487" customFormat="false" ht="21" hidden="false" customHeight="true" outlineLevel="0" collapsed="false">
      <c r="B487" s="36"/>
      <c r="C487" s="7"/>
      <c r="D487" s="38"/>
      <c r="E487" s="37"/>
      <c r="F487" s="7"/>
    </row>
    <row r="488" customFormat="false" ht="21" hidden="false" customHeight="true" outlineLevel="0" collapsed="false">
      <c r="B488" s="36"/>
      <c r="C488" s="7"/>
      <c r="D488" s="38"/>
      <c r="E488" s="37"/>
      <c r="F488" s="7"/>
    </row>
    <row r="489" customFormat="false" ht="21" hidden="false" customHeight="true" outlineLevel="0" collapsed="false">
      <c r="B489" s="36"/>
      <c r="C489" s="7"/>
      <c r="D489" s="38"/>
      <c r="E489" s="37"/>
      <c r="F489" s="7"/>
    </row>
    <row r="490" customFormat="false" ht="21" hidden="false" customHeight="true" outlineLevel="0" collapsed="false">
      <c r="B490" s="36"/>
      <c r="C490" s="7"/>
      <c r="D490" s="38"/>
      <c r="E490" s="37"/>
      <c r="F490" s="7"/>
    </row>
    <row r="491" customFormat="false" ht="21" hidden="false" customHeight="true" outlineLevel="0" collapsed="false">
      <c r="B491" s="36"/>
      <c r="C491" s="7"/>
      <c r="D491" s="38"/>
      <c r="E491" s="37"/>
      <c r="F491" s="7"/>
    </row>
    <row r="492" customFormat="false" ht="21" hidden="false" customHeight="true" outlineLevel="0" collapsed="false">
      <c r="B492" s="36"/>
      <c r="C492" s="7"/>
      <c r="D492" s="38"/>
      <c r="E492" s="37"/>
      <c r="F492" s="7"/>
    </row>
    <row r="493" customFormat="false" ht="21" hidden="false" customHeight="true" outlineLevel="0" collapsed="false">
      <c r="B493" s="36"/>
      <c r="C493" s="7"/>
      <c r="D493" s="38"/>
      <c r="E493" s="37"/>
      <c r="F493" s="7"/>
    </row>
    <row r="494" customFormat="false" ht="21" hidden="false" customHeight="true" outlineLevel="0" collapsed="false">
      <c r="B494" s="36"/>
      <c r="C494" s="7"/>
      <c r="D494" s="38"/>
      <c r="E494" s="37"/>
      <c r="F494" s="7"/>
    </row>
    <row r="495" customFormat="false" ht="21" hidden="false" customHeight="true" outlineLevel="0" collapsed="false">
      <c r="B495" s="36"/>
      <c r="C495" s="7"/>
      <c r="D495" s="38"/>
      <c r="E495" s="37"/>
      <c r="F495" s="7"/>
    </row>
    <row r="496" customFormat="false" ht="21" hidden="false" customHeight="true" outlineLevel="0" collapsed="false">
      <c r="B496" s="36"/>
      <c r="C496" s="7"/>
      <c r="D496" s="38"/>
      <c r="E496" s="37"/>
      <c r="F496" s="7"/>
    </row>
    <row r="497" customFormat="false" ht="21" hidden="false" customHeight="true" outlineLevel="0" collapsed="false">
      <c r="B497" s="36"/>
      <c r="C497" s="7"/>
      <c r="D497" s="38"/>
      <c r="E497" s="37"/>
      <c r="F497" s="7"/>
    </row>
    <row r="498" customFormat="false" ht="21" hidden="false" customHeight="true" outlineLevel="0" collapsed="false">
      <c r="B498" s="36"/>
      <c r="C498" s="7"/>
      <c r="D498" s="38"/>
      <c r="E498" s="37"/>
      <c r="F498" s="7"/>
    </row>
    <row r="499" customFormat="false" ht="21" hidden="false" customHeight="true" outlineLevel="0" collapsed="false">
      <c r="B499" s="36"/>
      <c r="C499" s="7"/>
      <c r="D499" s="38"/>
      <c r="E499" s="37"/>
      <c r="F499" s="7"/>
    </row>
    <row r="500" customFormat="false" ht="21" hidden="false" customHeight="true" outlineLevel="0" collapsed="false">
      <c r="B500" s="36"/>
      <c r="C500" s="7"/>
      <c r="D500" s="38"/>
      <c r="E500" s="37"/>
      <c r="F500" s="7"/>
    </row>
    <row r="501" customFormat="false" ht="21" hidden="false" customHeight="true" outlineLevel="0" collapsed="false">
      <c r="B501" s="36"/>
      <c r="C501" s="7"/>
      <c r="D501" s="38"/>
      <c r="E501" s="37"/>
      <c r="F501" s="7"/>
    </row>
    <row r="502" customFormat="false" ht="21" hidden="false" customHeight="true" outlineLevel="0" collapsed="false">
      <c r="B502" s="36"/>
      <c r="C502" s="7"/>
      <c r="D502" s="38"/>
      <c r="E502" s="37"/>
      <c r="F502" s="7"/>
    </row>
    <row r="503" customFormat="false" ht="21" hidden="false" customHeight="true" outlineLevel="0" collapsed="false">
      <c r="B503" s="36"/>
      <c r="C503" s="7"/>
      <c r="D503" s="38"/>
      <c r="E503" s="37"/>
      <c r="F503" s="7"/>
    </row>
    <row r="504" customFormat="false" ht="21" hidden="false" customHeight="true" outlineLevel="0" collapsed="false">
      <c r="B504" s="36"/>
      <c r="C504" s="7"/>
      <c r="D504" s="38"/>
      <c r="E504" s="37"/>
      <c r="F504" s="7"/>
    </row>
    <row r="505" customFormat="false" ht="21" hidden="false" customHeight="true" outlineLevel="0" collapsed="false">
      <c r="B505" s="36"/>
      <c r="C505" s="7"/>
      <c r="D505" s="38"/>
      <c r="E505" s="37"/>
      <c r="F505" s="7"/>
    </row>
    <row r="506" customFormat="false" ht="21" hidden="false" customHeight="true" outlineLevel="0" collapsed="false">
      <c r="B506" s="36"/>
      <c r="C506" s="7"/>
      <c r="D506" s="38"/>
      <c r="E506" s="37"/>
      <c r="F506" s="7"/>
    </row>
    <row r="507" customFormat="false" ht="21" hidden="false" customHeight="true" outlineLevel="0" collapsed="false">
      <c r="B507" s="36"/>
      <c r="C507" s="7"/>
      <c r="D507" s="38"/>
      <c r="E507" s="37"/>
      <c r="F507" s="7"/>
    </row>
    <row r="508" customFormat="false" ht="21" hidden="false" customHeight="true" outlineLevel="0" collapsed="false">
      <c r="B508" s="36"/>
      <c r="C508" s="7"/>
      <c r="D508" s="38"/>
      <c r="E508" s="37"/>
      <c r="F508" s="7"/>
    </row>
    <row r="509" customFormat="false" ht="21" hidden="false" customHeight="true" outlineLevel="0" collapsed="false">
      <c r="B509" s="36"/>
      <c r="C509" s="7"/>
      <c r="D509" s="38"/>
      <c r="E509" s="37"/>
      <c r="F509" s="7"/>
    </row>
    <row r="510" customFormat="false" ht="21" hidden="false" customHeight="true" outlineLevel="0" collapsed="false">
      <c r="B510" s="36"/>
      <c r="C510" s="7"/>
      <c r="D510" s="38"/>
      <c r="E510" s="37"/>
      <c r="F510" s="7"/>
    </row>
    <row r="511" customFormat="false" ht="21" hidden="false" customHeight="true" outlineLevel="0" collapsed="false">
      <c r="B511" s="36"/>
      <c r="C511" s="7"/>
      <c r="D511" s="38"/>
      <c r="E511" s="37"/>
      <c r="F511" s="7"/>
    </row>
    <row r="512" customFormat="false" ht="21" hidden="false" customHeight="true" outlineLevel="0" collapsed="false">
      <c r="B512" s="36"/>
      <c r="C512" s="7"/>
      <c r="D512" s="38"/>
      <c r="E512" s="37"/>
      <c r="F512" s="7"/>
    </row>
    <row r="513" customFormat="false" ht="21" hidden="false" customHeight="true" outlineLevel="0" collapsed="false">
      <c r="B513" s="36"/>
      <c r="C513" s="7"/>
      <c r="D513" s="38"/>
      <c r="E513" s="37"/>
      <c r="F513" s="7"/>
    </row>
    <row r="514" customFormat="false" ht="21" hidden="false" customHeight="true" outlineLevel="0" collapsed="false">
      <c r="B514" s="36"/>
      <c r="C514" s="7"/>
      <c r="D514" s="38"/>
      <c r="E514" s="37"/>
      <c r="F514" s="7"/>
    </row>
    <row r="515" customFormat="false" ht="21" hidden="false" customHeight="true" outlineLevel="0" collapsed="false">
      <c r="B515" s="36"/>
      <c r="C515" s="7"/>
      <c r="D515" s="38"/>
      <c r="E515" s="37"/>
      <c r="F515" s="7"/>
    </row>
    <row r="516" customFormat="false" ht="21" hidden="false" customHeight="true" outlineLevel="0" collapsed="false">
      <c r="B516" s="36"/>
      <c r="C516" s="7"/>
      <c r="D516" s="38"/>
      <c r="E516" s="37"/>
      <c r="F516" s="7"/>
    </row>
    <row r="517" customFormat="false" ht="21" hidden="false" customHeight="true" outlineLevel="0" collapsed="false">
      <c r="B517" s="36"/>
      <c r="C517" s="7"/>
      <c r="D517" s="38"/>
      <c r="E517" s="37"/>
      <c r="F517" s="7"/>
    </row>
    <row r="518" customFormat="false" ht="21" hidden="false" customHeight="true" outlineLevel="0" collapsed="false">
      <c r="B518" s="36"/>
      <c r="C518" s="7"/>
      <c r="D518" s="38"/>
      <c r="E518" s="37"/>
      <c r="F518" s="7"/>
    </row>
    <row r="519" customFormat="false" ht="21" hidden="false" customHeight="true" outlineLevel="0" collapsed="false">
      <c r="B519" s="36"/>
      <c r="C519" s="7"/>
      <c r="D519" s="38"/>
      <c r="E519" s="37"/>
      <c r="F519" s="7"/>
    </row>
    <row r="520" customFormat="false" ht="21" hidden="false" customHeight="true" outlineLevel="0" collapsed="false">
      <c r="B520" s="36"/>
      <c r="C520" s="7"/>
      <c r="D520" s="38"/>
      <c r="E520" s="37"/>
      <c r="F520" s="7"/>
    </row>
    <row r="521" customFormat="false" ht="21" hidden="false" customHeight="true" outlineLevel="0" collapsed="false">
      <c r="B521" s="36"/>
      <c r="C521" s="7"/>
      <c r="D521" s="38"/>
      <c r="E521" s="37"/>
      <c r="F521" s="7"/>
    </row>
    <row r="522" customFormat="false" ht="21" hidden="false" customHeight="true" outlineLevel="0" collapsed="false">
      <c r="B522" s="36"/>
      <c r="C522" s="7"/>
      <c r="D522" s="38"/>
      <c r="E522" s="37"/>
      <c r="F522" s="7"/>
    </row>
    <row r="523" customFormat="false" ht="21" hidden="false" customHeight="true" outlineLevel="0" collapsed="false">
      <c r="B523" s="36"/>
      <c r="C523" s="7"/>
      <c r="D523" s="38"/>
      <c r="E523" s="37"/>
      <c r="F523" s="7"/>
    </row>
    <row r="524" customFormat="false" ht="21" hidden="false" customHeight="true" outlineLevel="0" collapsed="false">
      <c r="B524" s="36"/>
      <c r="C524" s="7"/>
      <c r="D524" s="38"/>
      <c r="E524" s="37"/>
      <c r="F524" s="7"/>
    </row>
    <row r="525" customFormat="false" ht="21" hidden="false" customHeight="true" outlineLevel="0" collapsed="false">
      <c r="B525" s="36"/>
      <c r="C525" s="7"/>
      <c r="D525" s="38"/>
      <c r="E525" s="37"/>
      <c r="F525" s="7"/>
    </row>
    <row r="526" customFormat="false" ht="21" hidden="false" customHeight="true" outlineLevel="0" collapsed="false">
      <c r="B526" s="36"/>
      <c r="C526" s="7"/>
      <c r="D526" s="38"/>
      <c r="E526" s="37"/>
      <c r="F526" s="7"/>
    </row>
    <row r="527" customFormat="false" ht="21" hidden="false" customHeight="true" outlineLevel="0" collapsed="false">
      <c r="B527" s="36"/>
      <c r="C527" s="7"/>
      <c r="D527" s="38"/>
      <c r="E527" s="37"/>
      <c r="F527" s="7"/>
    </row>
    <row r="528" customFormat="false" ht="21" hidden="false" customHeight="true" outlineLevel="0" collapsed="false">
      <c r="B528" s="36"/>
      <c r="C528" s="7"/>
      <c r="D528" s="38"/>
      <c r="E528" s="37"/>
      <c r="F528" s="7"/>
    </row>
    <row r="529" customFormat="false" ht="21" hidden="false" customHeight="true" outlineLevel="0" collapsed="false">
      <c r="B529" s="36"/>
      <c r="C529" s="7"/>
      <c r="D529" s="38"/>
      <c r="E529" s="37"/>
      <c r="F529" s="7"/>
    </row>
    <row r="530" customFormat="false" ht="21" hidden="false" customHeight="true" outlineLevel="0" collapsed="false">
      <c r="B530" s="36"/>
      <c r="C530" s="7"/>
      <c r="D530" s="38"/>
      <c r="E530" s="37"/>
      <c r="F530" s="7"/>
    </row>
    <row r="531" customFormat="false" ht="21" hidden="false" customHeight="true" outlineLevel="0" collapsed="false">
      <c r="B531" s="36"/>
      <c r="C531" s="7"/>
      <c r="D531" s="38"/>
      <c r="E531" s="37"/>
      <c r="F531" s="7"/>
    </row>
    <row r="532" customFormat="false" ht="21" hidden="false" customHeight="true" outlineLevel="0" collapsed="false">
      <c r="B532" s="36"/>
      <c r="C532" s="7"/>
      <c r="D532" s="38"/>
      <c r="E532" s="37"/>
      <c r="F532" s="7"/>
    </row>
    <row r="533" customFormat="false" ht="21" hidden="false" customHeight="true" outlineLevel="0" collapsed="false">
      <c r="B533" s="36"/>
      <c r="C533" s="7"/>
      <c r="D533" s="38"/>
      <c r="E533" s="37"/>
      <c r="F533" s="7"/>
    </row>
    <row r="534" customFormat="false" ht="21" hidden="false" customHeight="true" outlineLevel="0" collapsed="false">
      <c r="B534" s="36"/>
      <c r="C534" s="7"/>
      <c r="D534" s="38"/>
      <c r="E534" s="37"/>
      <c r="F534" s="7"/>
    </row>
    <row r="535" customFormat="false" ht="21" hidden="false" customHeight="true" outlineLevel="0" collapsed="false">
      <c r="B535" s="36"/>
      <c r="C535" s="7"/>
      <c r="D535" s="38"/>
      <c r="E535" s="37"/>
      <c r="F535" s="7"/>
    </row>
    <row r="536" customFormat="false" ht="21" hidden="false" customHeight="true" outlineLevel="0" collapsed="false">
      <c r="B536" s="36"/>
      <c r="C536" s="7"/>
      <c r="D536" s="38"/>
      <c r="E536" s="37"/>
      <c r="F536" s="7"/>
    </row>
    <row r="537" customFormat="false" ht="21" hidden="false" customHeight="true" outlineLevel="0" collapsed="false">
      <c r="B537" s="36"/>
      <c r="C537" s="7"/>
      <c r="D537" s="38"/>
      <c r="E537" s="37"/>
      <c r="F537" s="7"/>
    </row>
    <row r="538" customFormat="false" ht="21" hidden="false" customHeight="true" outlineLevel="0" collapsed="false">
      <c r="B538" s="36"/>
      <c r="C538" s="7"/>
      <c r="D538" s="38"/>
      <c r="E538" s="37"/>
      <c r="F538" s="7"/>
    </row>
    <row r="539" customFormat="false" ht="21" hidden="false" customHeight="true" outlineLevel="0" collapsed="false">
      <c r="B539" s="36"/>
      <c r="C539" s="7"/>
      <c r="D539" s="38"/>
      <c r="E539" s="37"/>
      <c r="F539" s="7"/>
    </row>
    <row r="540" customFormat="false" ht="21" hidden="false" customHeight="true" outlineLevel="0" collapsed="false">
      <c r="B540" s="36"/>
      <c r="C540" s="7"/>
      <c r="D540" s="38"/>
      <c r="E540" s="37"/>
      <c r="F540" s="7"/>
    </row>
    <row r="541" customFormat="false" ht="21" hidden="false" customHeight="true" outlineLevel="0" collapsed="false">
      <c r="B541" s="36"/>
      <c r="C541" s="7"/>
      <c r="D541" s="38"/>
      <c r="E541" s="37"/>
      <c r="F541" s="7"/>
    </row>
    <row r="542" customFormat="false" ht="21" hidden="false" customHeight="true" outlineLevel="0" collapsed="false">
      <c r="B542" s="36"/>
      <c r="C542" s="7"/>
      <c r="D542" s="38"/>
      <c r="E542" s="37"/>
      <c r="F542" s="7"/>
    </row>
    <row r="543" customFormat="false" ht="21" hidden="false" customHeight="true" outlineLevel="0" collapsed="false">
      <c r="B543" s="36"/>
      <c r="C543" s="7"/>
      <c r="D543" s="38"/>
      <c r="E543" s="37"/>
      <c r="F543" s="7"/>
    </row>
    <row r="544" customFormat="false" ht="21" hidden="false" customHeight="true" outlineLevel="0" collapsed="false">
      <c r="B544" s="36"/>
      <c r="C544" s="7"/>
      <c r="D544" s="38"/>
      <c r="E544" s="37"/>
      <c r="F544" s="7"/>
    </row>
    <row r="545" customFormat="false" ht="21" hidden="false" customHeight="true" outlineLevel="0" collapsed="false">
      <c r="B545" s="36"/>
      <c r="C545" s="7"/>
      <c r="D545" s="38"/>
      <c r="E545" s="37"/>
      <c r="F545" s="7"/>
    </row>
    <row r="546" customFormat="false" ht="21" hidden="false" customHeight="true" outlineLevel="0" collapsed="false">
      <c r="B546" s="36"/>
      <c r="C546" s="7"/>
      <c r="D546" s="38"/>
      <c r="E546" s="37"/>
      <c r="F546" s="7"/>
    </row>
    <row r="547" customFormat="false" ht="21" hidden="false" customHeight="true" outlineLevel="0" collapsed="false">
      <c r="B547" s="36"/>
      <c r="C547" s="7"/>
      <c r="D547" s="38"/>
      <c r="E547" s="37"/>
      <c r="F547" s="7"/>
    </row>
    <row r="548" customFormat="false" ht="21" hidden="false" customHeight="true" outlineLevel="0" collapsed="false">
      <c r="B548" s="36"/>
      <c r="C548" s="7"/>
      <c r="D548" s="38"/>
      <c r="E548" s="37"/>
      <c r="F548" s="7"/>
    </row>
    <row r="549" customFormat="false" ht="21" hidden="false" customHeight="true" outlineLevel="0" collapsed="false">
      <c r="B549" s="36"/>
      <c r="C549" s="7"/>
      <c r="D549" s="38"/>
      <c r="E549" s="37"/>
      <c r="F549" s="7"/>
    </row>
    <row r="550" customFormat="false" ht="21" hidden="false" customHeight="true" outlineLevel="0" collapsed="false">
      <c r="B550" s="36"/>
      <c r="C550" s="7"/>
      <c r="D550" s="38"/>
      <c r="E550" s="37"/>
      <c r="F550" s="7"/>
    </row>
    <row r="551" customFormat="false" ht="21" hidden="false" customHeight="true" outlineLevel="0" collapsed="false">
      <c r="B551" s="36"/>
      <c r="C551" s="7"/>
      <c r="D551" s="38"/>
      <c r="E551" s="37"/>
      <c r="F551" s="7"/>
    </row>
    <row r="552" customFormat="false" ht="21" hidden="false" customHeight="true" outlineLevel="0" collapsed="false">
      <c r="B552" s="36"/>
      <c r="C552" s="7"/>
      <c r="D552" s="38"/>
      <c r="E552" s="37"/>
      <c r="F552" s="7"/>
    </row>
    <row r="553" customFormat="false" ht="21" hidden="false" customHeight="true" outlineLevel="0" collapsed="false">
      <c r="B553" s="36"/>
      <c r="C553" s="7"/>
      <c r="D553" s="38"/>
      <c r="E553" s="37"/>
      <c r="F553" s="7"/>
    </row>
    <row r="554" customFormat="false" ht="21" hidden="false" customHeight="true" outlineLevel="0" collapsed="false">
      <c r="B554" s="36"/>
      <c r="C554" s="7"/>
      <c r="D554" s="38"/>
      <c r="E554" s="37"/>
      <c r="F554" s="7"/>
    </row>
    <row r="555" customFormat="false" ht="21" hidden="false" customHeight="true" outlineLevel="0" collapsed="false">
      <c r="B555" s="36"/>
      <c r="C555" s="7"/>
      <c r="D555" s="38"/>
      <c r="E555" s="37"/>
      <c r="F555" s="7"/>
    </row>
    <row r="556" customFormat="false" ht="21" hidden="false" customHeight="true" outlineLevel="0" collapsed="false">
      <c r="B556" s="36"/>
      <c r="C556" s="7"/>
      <c r="D556" s="38"/>
      <c r="E556" s="37"/>
      <c r="F556" s="7"/>
    </row>
    <row r="557" customFormat="false" ht="21" hidden="false" customHeight="true" outlineLevel="0" collapsed="false">
      <c r="B557" s="36"/>
      <c r="C557" s="7"/>
      <c r="D557" s="38"/>
      <c r="E557" s="37"/>
      <c r="F557" s="7"/>
    </row>
    <row r="558" customFormat="false" ht="21" hidden="false" customHeight="true" outlineLevel="0" collapsed="false">
      <c r="B558" s="36"/>
      <c r="C558" s="7"/>
      <c r="D558" s="38"/>
      <c r="E558" s="37"/>
      <c r="F558" s="7"/>
    </row>
    <row r="559" customFormat="false" ht="21" hidden="false" customHeight="true" outlineLevel="0" collapsed="false">
      <c r="B559" s="36"/>
      <c r="C559" s="7"/>
      <c r="D559" s="38"/>
      <c r="E559" s="37"/>
      <c r="F559" s="7"/>
    </row>
    <row r="560" customFormat="false" ht="21" hidden="false" customHeight="true" outlineLevel="0" collapsed="false">
      <c r="B560" s="36"/>
      <c r="C560" s="7"/>
      <c r="D560" s="38"/>
      <c r="E560" s="37"/>
      <c r="F560" s="7"/>
    </row>
    <row r="561" customFormat="false" ht="21" hidden="false" customHeight="true" outlineLevel="0" collapsed="false">
      <c r="B561" s="36"/>
      <c r="C561" s="7"/>
      <c r="D561" s="38"/>
      <c r="E561" s="37"/>
      <c r="F561" s="7"/>
    </row>
    <row r="562" customFormat="false" ht="21" hidden="false" customHeight="true" outlineLevel="0" collapsed="false">
      <c r="B562" s="36"/>
      <c r="C562" s="7"/>
      <c r="D562" s="38"/>
      <c r="E562" s="37"/>
      <c r="F562" s="7"/>
    </row>
    <row r="563" customFormat="false" ht="21" hidden="false" customHeight="true" outlineLevel="0" collapsed="false">
      <c r="B563" s="36"/>
      <c r="C563" s="7"/>
      <c r="D563" s="38"/>
      <c r="E563" s="37"/>
      <c r="F563" s="7"/>
    </row>
    <row r="564" customFormat="false" ht="21" hidden="false" customHeight="true" outlineLevel="0" collapsed="false">
      <c r="B564" s="36"/>
      <c r="C564" s="7"/>
      <c r="D564" s="38"/>
      <c r="E564" s="37"/>
      <c r="F564" s="7"/>
    </row>
    <row r="565" customFormat="false" ht="21" hidden="false" customHeight="true" outlineLevel="0" collapsed="false">
      <c r="B565" s="36"/>
      <c r="C565" s="7"/>
      <c r="D565" s="38"/>
      <c r="E565" s="37"/>
      <c r="F565" s="7"/>
    </row>
    <row r="566" customFormat="false" ht="21" hidden="false" customHeight="true" outlineLevel="0" collapsed="false">
      <c r="B566" s="36"/>
      <c r="C566" s="7"/>
      <c r="D566" s="38"/>
      <c r="E566" s="37"/>
      <c r="F566" s="7"/>
    </row>
    <row r="567" customFormat="false" ht="21" hidden="false" customHeight="true" outlineLevel="0" collapsed="false">
      <c r="B567" s="36"/>
      <c r="C567" s="7"/>
      <c r="D567" s="38"/>
      <c r="E567" s="37"/>
      <c r="F567" s="7"/>
    </row>
    <row r="568" customFormat="false" ht="21" hidden="false" customHeight="true" outlineLevel="0" collapsed="false">
      <c r="B568" s="36"/>
      <c r="C568" s="7"/>
      <c r="D568" s="38"/>
      <c r="E568" s="37"/>
      <c r="F568" s="7"/>
    </row>
    <row r="569" customFormat="false" ht="21" hidden="false" customHeight="true" outlineLevel="0" collapsed="false">
      <c r="B569" s="36"/>
      <c r="C569" s="7"/>
      <c r="D569" s="38"/>
      <c r="E569" s="37"/>
      <c r="F569" s="7"/>
    </row>
    <row r="570" customFormat="false" ht="21" hidden="false" customHeight="true" outlineLevel="0" collapsed="false">
      <c r="B570" s="36"/>
      <c r="C570" s="7"/>
      <c r="D570" s="38"/>
      <c r="E570" s="37"/>
      <c r="F570" s="7"/>
    </row>
    <row r="571" customFormat="false" ht="21" hidden="false" customHeight="true" outlineLevel="0" collapsed="false">
      <c r="B571" s="36"/>
      <c r="C571" s="7"/>
      <c r="D571" s="38"/>
      <c r="E571" s="37"/>
      <c r="F571" s="7"/>
    </row>
    <row r="572" customFormat="false" ht="21" hidden="false" customHeight="true" outlineLevel="0" collapsed="false">
      <c r="B572" s="36"/>
      <c r="C572" s="7"/>
      <c r="D572" s="38"/>
      <c r="E572" s="37"/>
      <c r="F572" s="7"/>
    </row>
    <row r="573" customFormat="false" ht="21" hidden="false" customHeight="true" outlineLevel="0" collapsed="false">
      <c r="B573" s="36"/>
      <c r="C573" s="7"/>
      <c r="D573" s="38"/>
      <c r="E573" s="37"/>
      <c r="F573" s="7"/>
    </row>
    <row r="574" customFormat="false" ht="21" hidden="false" customHeight="true" outlineLevel="0" collapsed="false">
      <c r="B574" s="36"/>
      <c r="C574" s="7"/>
      <c r="D574" s="38"/>
      <c r="E574" s="37"/>
      <c r="F574" s="7"/>
    </row>
    <row r="575" customFormat="false" ht="21" hidden="false" customHeight="true" outlineLevel="0" collapsed="false">
      <c r="B575" s="36"/>
      <c r="C575" s="7"/>
      <c r="D575" s="38"/>
      <c r="E575" s="37"/>
      <c r="F575" s="7"/>
    </row>
    <row r="576" customFormat="false" ht="21" hidden="false" customHeight="true" outlineLevel="0" collapsed="false">
      <c r="B576" s="36"/>
      <c r="C576" s="7"/>
      <c r="D576" s="38"/>
      <c r="E576" s="37"/>
      <c r="F576" s="7"/>
    </row>
    <row r="577" customFormat="false" ht="21" hidden="false" customHeight="true" outlineLevel="0" collapsed="false">
      <c r="B577" s="36"/>
      <c r="C577" s="7"/>
      <c r="D577" s="38"/>
      <c r="E577" s="37"/>
      <c r="F577" s="7"/>
    </row>
    <row r="578" customFormat="false" ht="21" hidden="false" customHeight="true" outlineLevel="0" collapsed="false">
      <c r="B578" s="36"/>
      <c r="C578" s="7"/>
      <c r="D578" s="38"/>
      <c r="E578" s="37"/>
      <c r="F578" s="7"/>
    </row>
    <row r="579" customFormat="false" ht="21" hidden="false" customHeight="true" outlineLevel="0" collapsed="false">
      <c r="B579" s="36"/>
      <c r="C579" s="7"/>
      <c r="D579" s="38"/>
      <c r="E579" s="37"/>
      <c r="F579" s="7"/>
    </row>
    <row r="580" customFormat="false" ht="21" hidden="false" customHeight="true" outlineLevel="0" collapsed="false">
      <c r="B580" s="36"/>
      <c r="C580" s="7"/>
      <c r="D580" s="38"/>
      <c r="E580" s="37"/>
      <c r="F580" s="7"/>
    </row>
    <row r="581" customFormat="false" ht="21" hidden="false" customHeight="true" outlineLevel="0" collapsed="false">
      <c r="B581" s="36"/>
      <c r="C581" s="7"/>
      <c r="D581" s="38"/>
      <c r="E581" s="37"/>
      <c r="F581" s="7"/>
    </row>
    <row r="582" customFormat="false" ht="21" hidden="false" customHeight="true" outlineLevel="0" collapsed="false">
      <c r="B582" s="36"/>
      <c r="C582" s="7"/>
      <c r="D582" s="38"/>
      <c r="E582" s="37"/>
      <c r="F582" s="7"/>
    </row>
    <row r="583" customFormat="false" ht="21" hidden="false" customHeight="true" outlineLevel="0" collapsed="false">
      <c r="B583" s="36"/>
      <c r="C583" s="7"/>
      <c r="D583" s="38"/>
      <c r="E583" s="37"/>
      <c r="F583" s="7"/>
    </row>
    <row r="584" customFormat="false" ht="21" hidden="false" customHeight="true" outlineLevel="0" collapsed="false">
      <c r="B584" s="36"/>
      <c r="C584" s="7"/>
      <c r="D584" s="38"/>
      <c r="E584" s="37"/>
      <c r="F584" s="7"/>
    </row>
    <row r="585" customFormat="false" ht="21" hidden="false" customHeight="true" outlineLevel="0" collapsed="false">
      <c r="B585" s="36"/>
      <c r="C585" s="7"/>
      <c r="D585" s="38"/>
      <c r="E585" s="37"/>
      <c r="F585" s="7"/>
    </row>
    <row r="586" customFormat="false" ht="21" hidden="false" customHeight="true" outlineLevel="0" collapsed="false">
      <c r="B586" s="36"/>
      <c r="C586" s="7"/>
      <c r="D586" s="38"/>
      <c r="E586" s="37"/>
      <c r="F586" s="7"/>
    </row>
    <row r="587" customFormat="false" ht="21" hidden="false" customHeight="true" outlineLevel="0" collapsed="false">
      <c r="B587" s="36"/>
      <c r="C587" s="7"/>
      <c r="D587" s="38"/>
      <c r="E587" s="37"/>
      <c r="F587" s="7"/>
    </row>
    <row r="588" customFormat="false" ht="21" hidden="false" customHeight="true" outlineLevel="0" collapsed="false">
      <c r="B588" s="36"/>
      <c r="C588" s="7"/>
      <c r="D588" s="38"/>
      <c r="E588" s="37"/>
      <c r="F588" s="7"/>
    </row>
    <row r="589" customFormat="false" ht="21" hidden="false" customHeight="true" outlineLevel="0" collapsed="false">
      <c r="B589" s="36"/>
      <c r="C589" s="7"/>
      <c r="D589" s="38"/>
      <c r="E589" s="37"/>
      <c r="F589" s="7"/>
    </row>
    <row r="590" customFormat="false" ht="21" hidden="false" customHeight="true" outlineLevel="0" collapsed="false">
      <c r="B590" s="36"/>
      <c r="C590" s="7"/>
      <c r="D590" s="38"/>
      <c r="E590" s="37"/>
      <c r="F590" s="7"/>
    </row>
    <row r="591" customFormat="false" ht="21" hidden="false" customHeight="true" outlineLevel="0" collapsed="false">
      <c r="B591" s="36"/>
      <c r="C591" s="7"/>
      <c r="D591" s="38"/>
      <c r="E591" s="37"/>
      <c r="F591" s="7"/>
    </row>
    <row r="592" customFormat="false" ht="21" hidden="false" customHeight="true" outlineLevel="0" collapsed="false">
      <c r="B592" s="36"/>
      <c r="C592" s="7"/>
      <c r="D592" s="38"/>
      <c r="E592" s="37"/>
      <c r="F592" s="7"/>
    </row>
    <row r="593" customFormat="false" ht="21" hidden="false" customHeight="true" outlineLevel="0" collapsed="false">
      <c r="B593" s="36"/>
      <c r="C593" s="7"/>
      <c r="D593" s="38"/>
      <c r="E593" s="37"/>
      <c r="F593" s="7"/>
    </row>
    <row r="594" customFormat="false" ht="21" hidden="false" customHeight="true" outlineLevel="0" collapsed="false">
      <c r="B594" s="36"/>
      <c r="C594" s="7"/>
      <c r="D594" s="38"/>
      <c r="E594" s="37"/>
      <c r="F594" s="7"/>
    </row>
    <row r="595" customFormat="false" ht="21" hidden="false" customHeight="true" outlineLevel="0" collapsed="false">
      <c r="B595" s="36"/>
      <c r="C595" s="7"/>
      <c r="D595" s="38"/>
      <c r="E595" s="37"/>
      <c r="F595" s="7"/>
    </row>
    <row r="596" customFormat="false" ht="21" hidden="false" customHeight="true" outlineLevel="0" collapsed="false">
      <c r="B596" s="36"/>
      <c r="C596" s="7"/>
      <c r="D596" s="38"/>
      <c r="E596" s="37"/>
      <c r="F596" s="7"/>
    </row>
    <row r="597" customFormat="false" ht="21" hidden="false" customHeight="true" outlineLevel="0" collapsed="false">
      <c r="B597" s="36"/>
      <c r="C597" s="7"/>
      <c r="D597" s="38"/>
      <c r="E597" s="37"/>
      <c r="F597" s="7"/>
    </row>
    <row r="598" customFormat="false" ht="21" hidden="false" customHeight="true" outlineLevel="0" collapsed="false">
      <c r="B598" s="36"/>
      <c r="C598" s="7"/>
      <c r="D598" s="38"/>
      <c r="E598" s="37"/>
      <c r="F598" s="7"/>
    </row>
    <row r="599" customFormat="false" ht="21" hidden="false" customHeight="true" outlineLevel="0" collapsed="false">
      <c r="B599" s="36"/>
      <c r="C599" s="7"/>
      <c r="D599" s="38"/>
      <c r="E599" s="37"/>
      <c r="F599" s="7"/>
    </row>
    <row r="600" customFormat="false" ht="21" hidden="false" customHeight="true" outlineLevel="0" collapsed="false">
      <c r="B600" s="36"/>
      <c r="C600" s="7"/>
      <c r="D600" s="38"/>
      <c r="E600" s="37"/>
      <c r="F600" s="7"/>
    </row>
    <row r="601" customFormat="false" ht="21" hidden="false" customHeight="true" outlineLevel="0" collapsed="false">
      <c r="B601" s="36"/>
      <c r="C601" s="7"/>
      <c r="D601" s="38"/>
      <c r="E601" s="37"/>
      <c r="F601" s="7"/>
    </row>
    <row r="602" customFormat="false" ht="21" hidden="false" customHeight="true" outlineLevel="0" collapsed="false">
      <c r="B602" s="36"/>
      <c r="C602" s="7"/>
      <c r="D602" s="38"/>
      <c r="E602" s="37"/>
      <c r="F602" s="7"/>
    </row>
    <row r="603" customFormat="false" ht="21" hidden="false" customHeight="true" outlineLevel="0" collapsed="false">
      <c r="B603" s="36"/>
      <c r="C603" s="7"/>
      <c r="D603" s="38"/>
      <c r="E603" s="37"/>
      <c r="F603" s="7"/>
    </row>
    <row r="604" customFormat="false" ht="21" hidden="false" customHeight="true" outlineLevel="0" collapsed="false">
      <c r="B604" s="36"/>
      <c r="C604" s="7"/>
      <c r="D604" s="38"/>
      <c r="E604" s="37"/>
      <c r="F604" s="7"/>
    </row>
    <row r="605" customFormat="false" ht="21" hidden="false" customHeight="true" outlineLevel="0" collapsed="false">
      <c r="B605" s="36"/>
      <c r="C605" s="7"/>
      <c r="D605" s="38"/>
      <c r="E605" s="37"/>
      <c r="F605" s="7"/>
    </row>
    <row r="606" customFormat="false" ht="21" hidden="false" customHeight="true" outlineLevel="0" collapsed="false">
      <c r="B606" s="36"/>
      <c r="C606" s="7"/>
      <c r="D606" s="38"/>
      <c r="E606" s="37"/>
      <c r="F606" s="7"/>
    </row>
    <row r="607" customFormat="false" ht="21" hidden="false" customHeight="true" outlineLevel="0" collapsed="false">
      <c r="B607" s="36"/>
      <c r="C607" s="7"/>
      <c r="D607" s="38"/>
      <c r="E607" s="37"/>
      <c r="F607" s="7"/>
    </row>
    <row r="608" customFormat="false" ht="21" hidden="false" customHeight="true" outlineLevel="0" collapsed="false">
      <c r="B608" s="36"/>
      <c r="C608" s="7"/>
      <c r="D608" s="38"/>
      <c r="E608" s="37"/>
      <c r="F608" s="7"/>
    </row>
    <row r="609" customFormat="false" ht="21" hidden="false" customHeight="true" outlineLevel="0" collapsed="false">
      <c r="B609" s="36"/>
      <c r="C609" s="7"/>
      <c r="D609" s="38"/>
      <c r="E609" s="37"/>
      <c r="F609" s="7"/>
    </row>
    <row r="610" customFormat="false" ht="21" hidden="false" customHeight="true" outlineLevel="0" collapsed="false">
      <c r="B610" s="36"/>
      <c r="C610" s="7"/>
      <c r="D610" s="38"/>
      <c r="E610" s="37"/>
      <c r="F610" s="7"/>
    </row>
    <row r="611" customFormat="false" ht="21" hidden="false" customHeight="true" outlineLevel="0" collapsed="false">
      <c r="B611" s="36"/>
      <c r="C611" s="7"/>
      <c r="D611" s="38"/>
      <c r="E611" s="37"/>
      <c r="F611" s="7"/>
    </row>
    <row r="612" customFormat="false" ht="21" hidden="false" customHeight="true" outlineLevel="0" collapsed="false">
      <c r="B612" s="36"/>
      <c r="C612" s="7"/>
      <c r="D612" s="38"/>
      <c r="E612" s="37"/>
      <c r="F612" s="7"/>
    </row>
    <row r="613" customFormat="false" ht="21" hidden="false" customHeight="true" outlineLevel="0" collapsed="false">
      <c r="B613" s="36"/>
      <c r="C613" s="7"/>
      <c r="D613" s="38"/>
      <c r="E613" s="37"/>
      <c r="F613" s="7"/>
    </row>
    <row r="614" customFormat="false" ht="21" hidden="false" customHeight="true" outlineLevel="0" collapsed="false">
      <c r="B614" s="36"/>
      <c r="C614" s="7"/>
      <c r="D614" s="38"/>
      <c r="E614" s="37"/>
      <c r="F614" s="7"/>
    </row>
    <row r="615" customFormat="false" ht="21" hidden="false" customHeight="true" outlineLevel="0" collapsed="false">
      <c r="B615" s="36"/>
      <c r="C615" s="7"/>
      <c r="D615" s="38"/>
      <c r="E615" s="37"/>
      <c r="F615" s="7"/>
    </row>
    <row r="616" customFormat="false" ht="21" hidden="false" customHeight="true" outlineLevel="0" collapsed="false">
      <c r="B616" s="36"/>
      <c r="C616" s="7"/>
      <c r="D616" s="38"/>
      <c r="E616" s="37"/>
      <c r="F616" s="7"/>
    </row>
    <row r="617" customFormat="false" ht="21" hidden="false" customHeight="true" outlineLevel="0" collapsed="false">
      <c r="B617" s="36"/>
      <c r="C617" s="7"/>
      <c r="D617" s="38"/>
      <c r="E617" s="37"/>
      <c r="F617" s="7"/>
    </row>
    <row r="618" customFormat="false" ht="21" hidden="false" customHeight="true" outlineLevel="0" collapsed="false">
      <c r="B618" s="36"/>
      <c r="C618" s="7"/>
      <c r="D618" s="38"/>
      <c r="E618" s="37"/>
      <c r="F618" s="7"/>
    </row>
    <row r="619" customFormat="false" ht="21" hidden="false" customHeight="true" outlineLevel="0" collapsed="false">
      <c r="B619" s="36"/>
      <c r="C619" s="7"/>
      <c r="D619" s="38"/>
      <c r="E619" s="37"/>
      <c r="F619" s="7"/>
    </row>
    <row r="620" customFormat="false" ht="21" hidden="false" customHeight="true" outlineLevel="0" collapsed="false">
      <c r="B620" s="36"/>
      <c r="C620" s="7"/>
      <c r="D620" s="38"/>
      <c r="E620" s="37"/>
      <c r="F620" s="7"/>
    </row>
    <row r="621" customFormat="false" ht="21" hidden="false" customHeight="true" outlineLevel="0" collapsed="false">
      <c r="B621" s="36"/>
      <c r="C621" s="7"/>
      <c r="D621" s="38"/>
      <c r="E621" s="37"/>
      <c r="F621" s="7"/>
    </row>
    <row r="622" customFormat="false" ht="21" hidden="false" customHeight="true" outlineLevel="0" collapsed="false">
      <c r="B622" s="36"/>
      <c r="C622" s="7"/>
      <c r="D622" s="38"/>
      <c r="E622" s="37"/>
      <c r="F622" s="7"/>
    </row>
    <row r="623" customFormat="false" ht="21" hidden="false" customHeight="true" outlineLevel="0" collapsed="false">
      <c r="B623" s="36"/>
      <c r="C623" s="7"/>
      <c r="D623" s="38"/>
      <c r="E623" s="37"/>
      <c r="F623" s="7"/>
    </row>
    <row r="624" customFormat="false" ht="21" hidden="false" customHeight="true" outlineLevel="0" collapsed="false">
      <c r="B624" s="36"/>
      <c r="C624" s="7"/>
      <c r="D624" s="38"/>
      <c r="E624" s="37"/>
      <c r="F624" s="7"/>
    </row>
    <row r="625" customFormat="false" ht="21" hidden="false" customHeight="true" outlineLevel="0" collapsed="false">
      <c r="B625" s="36"/>
      <c r="C625" s="7"/>
      <c r="D625" s="38"/>
      <c r="E625" s="37"/>
      <c r="F625" s="7"/>
    </row>
    <row r="626" customFormat="false" ht="21" hidden="false" customHeight="true" outlineLevel="0" collapsed="false">
      <c r="B626" s="36"/>
      <c r="C626" s="7"/>
      <c r="D626" s="38"/>
      <c r="E626" s="37"/>
      <c r="F626" s="7"/>
    </row>
    <row r="627" customFormat="false" ht="21" hidden="false" customHeight="true" outlineLevel="0" collapsed="false">
      <c r="B627" s="36"/>
      <c r="C627" s="7"/>
      <c r="D627" s="38"/>
      <c r="E627" s="37"/>
      <c r="F627" s="7"/>
    </row>
    <row r="628" customFormat="false" ht="21" hidden="false" customHeight="true" outlineLevel="0" collapsed="false">
      <c r="B628" s="36"/>
      <c r="C628" s="7"/>
      <c r="D628" s="38"/>
      <c r="E628" s="37"/>
      <c r="F628" s="7"/>
    </row>
    <row r="629" customFormat="false" ht="21" hidden="false" customHeight="true" outlineLevel="0" collapsed="false">
      <c r="B629" s="36"/>
      <c r="C629" s="7"/>
      <c r="D629" s="38"/>
      <c r="E629" s="37"/>
      <c r="F629" s="7"/>
    </row>
    <row r="630" customFormat="false" ht="21" hidden="false" customHeight="true" outlineLevel="0" collapsed="false">
      <c r="B630" s="36"/>
      <c r="C630" s="7"/>
      <c r="D630" s="38"/>
      <c r="E630" s="37"/>
      <c r="F630" s="7"/>
    </row>
    <row r="631" customFormat="false" ht="21" hidden="false" customHeight="true" outlineLevel="0" collapsed="false">
      <c r="B631" s="36"/>
      <c r="C631" s="7"/>
      <c r="D631" s="38"/>
      <c r="E631" s="37"/>
      <c r="F631" s="7"/>
    </row>
    <row r="632" customFormat="false" ht="21" hidden="false" customHeight="true" outlineLevel="0" collapsed="false">
      <c r="B632" s="36"/>
      <c r="C632" s="7"/>
      <c r="D632" s="38"/>
      <c r="E632" s="37"/>
      <c r="F632" s="7"/>
    </row>
    <row r="633" customFormat="false" ht="21" hidden="false" customHeight="true" outlineLevel="0" collapsed="false">
      <c r="B633" s="36"/>
      <c r="C633" s="7"/>
      <c r="D633" s="38"/>
      <c r="E633" s="37"/>
      <c r="F633" s="7"/>
    </row>
    <row r="634" customFormat="false" ht="21" hidden="false" customHeight="true" outlineLevel="0" collapsed="false">
      <c r="B634" s="36"/>
      <c r="C634" s="7"/>
      <c r="D634" s="38"/>
      <c r="E634" s="37"/>
      <c r="F634" s="7"/>
    </row>
    <row r="635" customFormat="false" ht="21" hidden="false" customHeight="true" outlineLevel="0" collapsed="false">
      <c r="B635" s="36"/>
      <c r="C635" s="7"/>
      <c r="D635" s="38"/>
      <c r="E635" s="37"/>
      <c r="F635" s="7"/>
    </row>
    <row r="636" customFormat="false" ht="21" hidden="false" customHeight="true" outlineLevel="0" collapsed="false">
      <c r="B636" s="36"/>
      <c r="C636" s="7"/>
      <c r="D636" s="38"/>
      <c r="E636" s="37"/>
      <c r="F636" s="7"/>
    </row>
    <row r="637" customFormat="false" ht="21" hidden="false" customHeight="true" outlineLevel="0" collapsed="false">
      <c r="B637" s="36"/>
      <c r="C637" s="7"/>
      <c r="D637" s="38"/>
      <c r="E637" s="37"/>
      <c r="F637" s="7"/>
    </row>
    <row r="638" customFormat="false" ht="21" hidden="false" customHeight="true" outlineLevel="0" collapsed="false">
      <c r="B638" s="36"/>
      <c r="C638" s="7"/>
      <c r="D638" s="38"/>
      <c r="E638" s="37"/>
      <c r="F638" s="7"/>
    </row>
    <row r="639" customFormat="false" ht="21" hidden="false" customHeight="true" outlineLevel="0" collapsed="false">
      <c r="B639" s="36"/>
      <c r="C639" s="7"/>
      <c r="D639" s="38"/>
      <c r="E639" s="37"/>
      <c r="F639" s="7"/>
    </row>
    <row r="640" customFormat="false" ht="21" hidden="false" customHeight="true" outlineLevel="0" collapsed="false">
      <c r="B640" s="36"/>
      <c r="C640" s="7"/>
      <c r="D640" s="38"/>
      <c r="E640" s="37"/>
      <c r="F640" s="7"/>
    </row>
    <row r="641" customFormat="false" ht="21" hidden="false" customHeight="true" outlineLevel="0" collapsed="false">
      <c r="B641" s="36"/>
      <c r="C641" s="7"/>
      <c r="D641" s="38"/>
      <c r="E641" s="37"/>
      <c r="F641" s="7"/>
    </row>
    <row r="642" customFormat="false" ht="21" hidden="false" customHeight="true" outlineLevel="0" collapsed="false">
      <c r="B642" s="36"/>
      <c r="C642" s="7"/>
      <c r="D642" s="38"/>
      <c r="E642" s="37"/>
      <c r="F642" s="7"/>
    </row>
    <row r="643" customFormat="false" ht="21" hidden="false" customHeight="true" outlineLevel="0" collapsed="false">
      <c r="B643" s="36"/>
      <c r="C643" s="7"/>
      <c r="D643" s="38"/>
      <c r="E643" s="37"/>
      <c r="F643" s="7"/>
    </row>
    <row r="644" customFormat="false" ht="21" hidden="false" customHeight="true" outlineLevel="0" collapsed="false">
      <c r="B644" s="36"/>
      <c r="C644" s="7"/>
      <c r="D644" s="38"/>
      <c r="E644" s="37"/>
      <c r="F644" s="7"/>
    </row>
    <row r="645" customFormat="false" ht="21" hidden="false" customHeight="true" outlineLevel="0" collapsed="false">
      <c r="B645" s="36"/>
      <c r="C645" s="7"/>
      <c r="D645" s="38"/>
      <c r="E645" s="37"/>
      <c r="F645" s="7"/>
    </row>
    <row r="646" customFormat="false" ht="21" hidden="false" customHeight="true" outlineLevel="0" collapsed="false">
      <c r="B646" s="36"/>
      <c r="C646" s="7"/>
      <c r="D646" s="38"/>
      <c r="E646" s="37"/>
      <c r="F646" s="7"/>
    </row>
    <row r="647" customFormat="false" ht="21" hidden="false" customHeight="true" outlineLevel="0" collapsed="false">
      <c r="B647" s="36"/>
      <c r="C647" s="7"/>
      <c r="D647" s="38"/>
      <c r="E647" s="37"/>
      <c r="F647" s="7"/>
    </row>
    <row r="648" customFormat="false" ht="21" hidden="false" customHeight="true" outlineLevel="0" collapsed="false">
      <c r="B648" s="36"/>
      <c r="C648" s="7"/>
      <c r="D648" s="38"/>
      <c r="E648" s="37"/>
      <c r="F648" s="7"/>
    </row>
    <row r="649" customFormat="false" ht="21" hidden="false" customHeight="true" outlineLevel="0" collapsed="false">
      <c r="B649" s="36"/>
      <c r="C649" s="7"/>
      <c r="D649" s="38"/>
      <c r="E649" s="37"/>
      <c r="F649" s="7"/>
    </row>
    <row r="650" customFormat="false" ht="21" hidden="false" customHeight="true" outlineLevel="0" collapsed="false">
      <c r="B650" s="36"/>
      <c r="C650" s="7"/>
      <c r="D650" s="38"/>
      <c r="E650" s="37"/>
      <c r="F650" s="7"/>
    </row>
    <row r="651" customFormat="false" ht="21" hidden="false" customHeight="true" outlineLevel="0" collapsed="false">
      <c r="B651" s="36"/>
      <c r="C651" s="7"/>
      <c r="D651" s="38"/>
      <c r="E651" s="37"/>
      <c r="F651" s="7"/>
    </row>
    <row r="652" customFormat="false" ht="21" hidden="false" customHeight="true" outlineLevel="0" collapsed="false">
      <c r="B652" s="36"/>
      <c r="C652" s="7"/>
      <c r="D652" s="38"/>
      <c r="E652" s="37"/>
      <c r="F652" s="7"/>
    </row>
    <row r="653" customFormat="false" ht="21" hidden="false" customHeight="true" outlineLevel="0" collapsed="false">
      <c r="B653" s="36"/>
      <c r="C653" s="7"/>
      <c r="D653" s="38"/>
      <c r="E653" s="37"/>
      <c r="F653" s="7"/>
    </row>
    <row r="654" customFormat="false" ht="21" hidden="false" customHeight="true" outlineLevel="0" collapsed="false">
      <c r="B654" s="36"/>
      <c r="C654" s="7"/>
      <c r="D654" s="38"/>
      <c r="E654" s="37"/>
      <c r="F654" s="7"/>
    </row>
    <row r="655" customFormat="false" ht="21" hidden="false" customHeight="true" outlineLevel="0" collapsed="false">
      <c r="B655" s="36"/>
      <c r="C655" s="7"/>
      <c r="D655" s="38"/>
      <c r="E655" s="37"/>
      <c r="F655" s="7"/>
    </row>
    <row r="656" customFormat="false" ht="21" hidden="false" customHeight="true" outlineLevel="0" collapsed="false">
      <c r="B656" s="36"/>
      <c r="C656" s="7"/>
      <c r="D656" s="38"/>
      <c r="E656" s="37"/>
      <c r="F656" s="7"/>
    </row>
    <row r="657" customFormat="false" ht="21" hidden="false" customHeight="true" outlineLevel="0" collapsed="false">
      <c r="B657" s="36"/>
      <c r="C657" s="7"/>
      <c r="D657" s="38"/>
      <c r="E657" s="37"/>
      <c r="F657" s="7"/>
    </row>
    <row r="658" customFormat="false" ht="21" hidden="false" customHeight="true" outlineLevel="0" collapsed="false">
      <c r="B658" s="36"/>
      <c r="C658" s="7"/>
      <c r="D658" s="38"/>
      <c r="E658" s="37"/>
      <c r="F658" s="7"/>
    </row>
    <row r="659" customFormat="false" ht="21" hidden="false" customHeight="true" outlineLevel="0" collapsed="false">
      <c r="B659" s="36"/>
      <c r="C659" s="7"/>
      <c r="D659" s="38"/>
      <c r="E659" s="37"/>
      <c r="F659" s="7"/>
    </row>
    <row r="660" customFormat="false" ht="21" hidden="false" customHeight="true" outlineLevel="0" collapsed="false">
      <c r="B660" s="36"/>
      <c r="C660" s="7"/>
      <c r="D660" s="38"/>
      <c r="E660" s="37"/>
      <c r="F660" s="7"/>
    </row>
    <row r="661" customFormat="false" ht="21" hidden="false" customHeight="true" outlineLevel="0" collapsed="false">
      <c r="B661" s="36"/>
      <c r="C661" s="7"/>
      <c r="D661" s="38"/>
      <c r="E661" s="37"/>
      <c r="F661" s="7"/>
    </row>
    <row r="662" customFormat="false" ht="21" hidden="false" customHeight="true" outlineLevel="0" collapsed="false">
      <c r="B662" s="36"/>
      <c r="C662" s="7"/>
      <c r="D662" s="38"/>
      <c r="E662" s="37"/>
      <c r="F662" s="7"/>
    </row>
    <row r="663" customFormat="false" ht="21" hidden="false" customHeight="true" outlineLevel="0" collapsed="false">
      <c r="B663" s="36"/>
      <c r="C663" s="7"/>
      <c r="D663" s="38"/>
      <c r="E663" s="37"/>
      <c r="F663" s="7"/>
    </row>
    <row r="664" customFormat="false" ht="21" hidden="false" customHeight="true" outlineLevel="0" collapsed="false">
      <c r="B664" s="36"/>
      <c r="C664" s="7"/>
      <c r="D664" s="38"/>
      <c r="E664" s="37"/>
      <c r="F664" s="7"/>
    </row>
    <row r="665" customFormat="false" ht="21" hidden="false" customHeight="true" outlineLevel="0" collapsed="false">
      <c r="B665" s="36"/>
      <c r="C665" s="7"/>
      <c r="D665" s="38"/>
      <c r="E665" s="37"/>
      <c r="F665" s="7"/>
    </row>
    <row r="666" customFormat="false" ht="21" hidden="false" customHeight="true" outlineLevel="0" collapsed="false">
      <c r="B666" s="36"/>
      <c r="C666" s="7"/>
      <c r="D666" s="38"/>
      <c r="E666" s="37"/>
      <c r="F666" s="7"/>
    </row>
    <row r="667" customFormat="false" ht="21" hidden="false" customHeight="true" outlineLevel="0" collapsed="false">
      <c r="B667" s="36"/>
      <c r="C667" s="7"/>
      <c r="D667" s="38"/>
      <c r="E667" s="37"/>
      <c r="F667" s="7"/>
    </row>
    <row r="668" customFormat="false" ht="21" hidden="false" customHeight="true" outlineLevel="0" collapsed="false">
      <c r="B668" s="36"/>
      <c r="C668" s="7"/>
      <c r="D668" s="38"/>
      <c r="E668" s="37"/>
      <c r="F668" s="7"/>
    </row>
    <row r="669" customFormat="false" ht="21" hidden="false" customHeight="true" outlineLevel="0" collapsed="false">
      <c r="B669" s="36"/>
      <c r="C669" s="7"/>
      <c r="D669" s="38"/>
      <c r="E669" s="37"/>
      <c r="F669" s="7"/>
    </row>
    <row r="670" customFormat="false" ht="21" hidden="false" customHeight="true" outlineLevel="0" collapsed="false">
      <c r="B670" s="36"/>
      <c r="C670" s="7"/>
      <c r="D670" s="38"/>
      <c r="E670" s="37"/>
      <c r="F670" s="7"/>
    </row>
    <row r="671" customFormat="false" ht="21" hidden="false" customHeight="true" outlineLevel="0" collapsed="false">
      <c r="B671" s="36"/>
      <c r="C671" s="7"/>
      <c r="D671" s="38"/>
      <c r="E671" s="37"/>
      <c r="F671" s="7"/>
    </row>
    <row r="672" customFormat="false" ht="21" hidden="false" customHeight="true" outlineLevel="0" collapsed="false">
      <c r="B672" s="36"/>
      <c r="C672" s="7"/>
      <c r="D672" s="38"/>
      <c r="E672" s="37"/>
      <c r="F672" s="7"/>
    </row>
    <row r="673" customFormat="false" ht="21" hidden="false" customHeight="true" outlineLevel="0" collapsed="false">
      <c r="B673" s="36"/>
      <c r="C673" s="7"/>
      <c r="D673" s="38"/>
      <c r="E673" s="37"/>
      <c r="F673" s="7"/>
    </row>
    <row r="674" customFormat="false" ht="21" hidden="false" customHeight="true" outlineLevel="0" collapsed="false">
      <c r="B674" s="36"/>
      <c r="C674" s="7"/>
      <c r="D674" s="38"/>
      <c r="E674" s="37"/>
      <c r="F674" s="7"/>
    </row>
    <row r="675" customFormat="false" ht="21" hidden="false" customHeight="true" outlineLevel="0" collapsed="false">
      <c r="B675" s="36"/>
      <c r="C675" s="7"/>
      <c r="D675" s="38"/>
      <c r="E675" s="37"/>
      <c r="F675" s="7"/>
    </row>
    <row r="676" customFormat="false" ht="21" hidden="false" customHeight="true" outlineLevel="0" collapsed="false">
      <c r="B676" s="36"/>
      <c r="C676" s="7"/>
      <c r="D676" s="38"/>
      <c r="E676" s="37"/>
      <c r="F676" s="7"/>
    </row>
    <row r="677" customFormat="false" ht="21" hidden="false" customHeight="true" outlineLevel="0" collapsed="false">
      <c r="B677" s="36"/>
      <c r="C677" s="7"/>
      <c r="D677" s="38"/>
      <c r="E677" s="37"/>
      <c r="F677" s="7"/>
    </row>
    <row r="678" customFormat="false" ht="21" hidden="false" customHeight="true" outlineLevel="0" collapsed="false">
      <c r="B678" s="36"/>
      <c r="C678" s="7"/>
      <c r="D678" s="38"/>
      <c r="E678" s="37"/>
      <c r="F678" s="7"/>
    </row>
    <row r="679" customFormat="false" ht="21" hidden="false" customHeight="true" outlineLevel="0" collapsed="false">
      <c r="B679" s="36"/>
      <c r="C679" s="7"/>
      <c r="D679" s="38"/>
      <c r="E679" s="37"/>
      <c r="F679" s="7"/>
    </row>
    <row r="680" customFormat="false" ht="21" hidden="false" customHeight="true" outlineLevel="0" collapsed="false">
      <c r="B680" s="36"/>
      <c r="C680" s="7"/>
      <c r="D680" s="38"/>
      <c r="E680" s="37"/>
      <c r="F680" s="7"/>
    </row>
    <row r="681" customFormat="false" ht="21" hidden="false" customHeight="true" outlineLevel="0" collapsed="false">
      <c r="B681" s="36"/>
      <c r="C681" s="7"/>
      <c r="D681" s="38"/>
      <c r="E681" s="37"/>
      <c r="F681" s="7"/>
    </row>
    <row r="682" customFormat="false" ht="21" hidden="false" customHeight="true" outlineLevel="0" collapsed="false">
      <c r="B682" s="36"/>
      <c r="C682" s="7"/>
      <c r="D682" s="38"/>
      <c r="E682" s="37"/>
      <c r="F682" s="7"/>
    </row>
    <row r="683" customFormat="false" ht="21" hidden="false" customHeight="true" outlineLevel="0" collapsed="false">
      <c r="B683" s="36"/>
      <c r="C683" s="7"/>
      <c r="D683" s="38"/>
      <c r="E683" s="37"/>
      <c r="F683" s="7"/>
    </row>
    <row r="684" customFormat="false" ht="21" hidden="false" customHeight="true" outlineLevel="0" collapsed="false">
      <c r="B684" s="36"/>
      <c r="C684" s="7"/>
      <c r="D684" s="38"/>
      <c r="E684" s="37"/>
      <c r="F684" s="7"/>
    </row>
    <row r="685" customFormat="false" ht="21" hidden="false" customHeight="true" outlineLevel="0" collapsed="false">
      <c r="B685" s="36"/>
      <c r="C685" s="7"/>
      <c r="D685" s="38"/>
      <c r="E685" s="37"/>
      <c r="F685" s="7"/>
    </row>
    <row r="686" customFormat="false" ht="21" hidden="false" customHeight="true" outlineLevel="0" collapsed="false">
      <c r="B686" s="36"/>
      <c r="C686" s="7"/>
      <c r="D686" s="38"/>
      <c r="E686" s="37"/>
      <c r="F686" s="7"/>
    </row>
    <row r="687" customFormat="false" ht="21" hidden="false" customHeight="true" outlineLevel="0" collapsed="false">
      <c r="B687" s="36"/>
      <c r="C687" s="7"/>
      <c r="D687" s="38"/>
      <c r="E687" s="37"/>
      <c r="F687" s="7"/>
    </row>
    <row r="688" customFormat="false" ht="21" hidden="false" customHeight="true" outlineLevel="0" collapsed="false">
      <c r="B688" s="36"/>
      <c r="C688" s="7"/>
      <c r="D688" s="38"/>
      <c r="E688" s="37"/>
      <c r="F688" s="7"/>
    </row>
    <row r="689" customFormat="false" ht="21" hidden="false" customHeight="true" outlineLevel="0" collapsed="false">
      <c r="B689" s="36"/>
      <c r="C689" s="7"/>
      <c r="D689" s="38"/>
      <c r="E689" s="37"/>
      <c r="F689" s="7"/>
    </row>
    <row r="690" customFormat="false" ht="21" hidden="false" customHeight="true" outlineLevel="0" collapsed="false">
      <c r="B690" s="36"/>
      <c r="C690" s="7"/>
      <c r="D690" s="38"/>
      <c r="E690" s="37"/>
      <c r="F690" s="7"/>
    </row>
    <row r="691" customFormat="false" ht="21" hidden="false" customHeight="true" outlineLevel="0" collapsed="false">
      <c r="B691" s="36"/>
      <c r="C691" s="7"/>
      <c r="D691" s="38"/>
      <c r="E691" s="37"/>
      <c r="F691" s="7"/>
    </row>
    <row r="692" customFormat="false" ht="21" hidden="false" customHeight="true" outlineLevel="0" collapsed="false">
      <c r="B692" s="36"/>
      <c r="C692" s="7"/>
      <c r="D692" s="38"/>
      <c r="E692" s="37"/>
      <c r="F692" s="7"/>
    </row>
    <row r="693" customFormat="false" ht="21" hidden="false" customHeight="true" outlineLevel="0" collapsed="false">
      <c r="B693" s="36"/>
      <c r="C693" s="7"/>
      <c r="D693" s="38"/>
      <c r="E693" s="37"/>
      <c r="F693" s="7"/>
    </row>
    <row r="694" customFormat="false" ht="21" hidden="false" customHeight="true" outlineLevel="0" collapsed="false">
      <c r="B694" s="36"/>
      <c r="C694" s="7"/>
      <c r="D694" s="38"/>
      <c r="E694" s="37"/>
      <c r="F694" s="7"/>
    </row>
    <row r="695" customFormat="false" ht="21" hidden="false" customHeight="true" outlineLevel="0" collapsed="false">
      <c r="B695" s="36"/>
      <c r="C695" s="7"/>
      <c r="D695" s="38"/>
      <c r="E695" s="37"/>
      <c r="F695" s="7"/>
    </row>
    <row r="696" customFormat="false" ht="21" hidden="false" customHeight="true" outlineLevel="0" collapsed="false">
      <c r="B696" s="36"/>
      <c r="C696" s="7"/>
      <c r="D696" s="38"/>
      <c r="E696" s="37"/>
      <c r="F696" s="7"/>
    </row>
    <row r="697" customFormat="false" ht="21" hidden="false" customHeight="true" outlineLevel="0" collapsed="false">
      <c r="B697" s="36"/>
      <c r="C697" s="7"/>
      <c r="D697" s="38"/>
      <c r="E697" s="37"/>
      <c r="F697" s="7"/>
    </row>
    <row r="698" customFormat="false" ht="21" hidden="false" customHeight="true" outlineLevel="0" collapsed="false">
      <c r="B698" s="36"/>
      <c r="C698" s="7"/>
      <c r="D698" s="38"/>
      <c r="E698" s="37"/>
      <c r="F698" s="7"/>
    </row>
    <row r="699" customFormat="false" ht="21" hidden="false" customHeight="true" outlineLevel="0" collapsed="false">
      <c r="B699" s="36"/>
      <c r="C699" s="7"/>
      <c r="D699" s="38"/>
      <c r="E699" s="37"/>
      <c r="F699" s="7"/>
    </row>
    <row r="700" customFormat="false" ht="21" hidden="false" customHeight="true" outlineLevel="0" collapsed="false">
      <c r="B700" s="36"/>
      <c r="C700" s="7"/>
      <c r="D700" s="38"/>
      <c r="E700" s="37"/>
      <c r="F700" s="7"/>
    </row>
    <row r="701" customFormat="false" ht="21" hidden="false" customHeight="true" outlineLevel="0" collapsed="false">
      <c r="B701" s="36"/>
      <c r="C701" s="7"/>
      <c r="D701" s="38"/>
      <c r="E701" s="37"/>
      <c r="F701" s="7"/>
    </row>
    <row r="702" customFormat="false" ht="21" hidden="false" customHeight="true" outlineLevel="0" collapsed="false">
      <c r="B702" s="36"/>
      <c r="C702" s="7"/>
      <c r="D702" s="38"/>
      <c r="E702" s="37"/>
      <c r="F702" s="7"/>
    </row>
    <row r="703" customFormat="false" ht="21" hidden="false" customHeight="true" outlineLevel="0" collapsed="false">
      <c r="B703" s="36"/>
      <c r="C703" s="7"/>
      <c r="D703" s="38"/>
      <c r="E703" s="37"/>
      <c r="F703" s="7"/>
    </row>
    <row r="704" customFormat="false" ht="21" hidden="false" customHeight="true" outlineLevel="0" collapsed="false">
      <c r="B704" s="36"/>
      <c r="C704" s="7"/>
      <c r="D704" s="38"/>
      <c r="E704" s="37"/>
      <c r="F704" s="7"/>
    </row>
    <row r="705" customFormat="false" ht="21" hidden="false" customHeight="true" outlineLevel="0" collapsed="false">
      <c r="B705" s="36"/>
      <c r="C705" s="7"/>
      <c r="D705" s="38"/>
      <c r="E705" s="37"/>
      <c r="F705" s="7"/>
    </row>
    <row r="706" customFormat="false" ht="21" hidden="false" customHeight="true" outlineLevel="0" collapsed="false">
      <c r="B706" s="36"/>
      <c r="C706" s="7"/>
      <c r="D706" s="38"/>
      <c r="E706" s="37"/>
      <c r="F706" s="7"/>
    </row>
    <row r="707" customFormat="false" ht="21" hidden="false" customHeight="true" outlineLevel="0" collapsed="false">
      <c r="B707" s="36"/>
      <c r="C707" s="7"/>
      <c r="D707" s="38"/>
      <c r="E707" s="37"/>
      <c r="F707" s="7"/>
    </row>
    <row r="708" customFormat="false" ht="21" hidden="false" customHeight="true" outlineLevel="0" collapsed="false">
      <c r="B708" s="36"/>
      <c r="C708" s="7"/>
      <c r="D708" s="38"/>
      <c r="E708" s="37"/>
      <c r="F708" s="7"/>
    </row>
    <row r="709" customFormat="false" ht="21" hidden="false" customHeight="true" outlineLevel="0" collapsed="false">
      <c r="B709" s="36"/>
      <c r="C709" s="7"/>
      <c r="D709" s="38"/>
      <c r="E709" s="37"/>
      <c r="F709" s="7"/>
    </row>
    <row r="710" customFormat="false" ht="21" hidden="false" customHeight="true" outlineLevel="0" collapsed="false">
      <c r="B710" s="36"/>
      <c r="C710" s="7"/>
      <c r="D710" s="38"/>
      <c r="E710" s="37"/>
      <c r="F710" s="7"/>
    </row>
    <row r="711" customFormat="false" ht="21" hidden="false" customHeight="true" outlineLevel="0" collapsed="false">
      <c r="B711" s="36"/>
      <c r="C711" s="7"/>
      <c r="D711" s="38"/>
      <c r="E711" s="37"/>
      <c r="F711" s="7"/>
    </row>
    <row r="712" customFormat="false" ht="21" hidden="false" customHeight="true" outlineLevel="0" collapsed="false">
      <c r="B712" s="36"/>
      <c r="C712" s="7"/>
      <c r="D712" s="38"/>
      <c r="E712" s="37"/>
      <c r="F712" s="7"/>
    </row>
    <row r="713" customFormat="false" ht="21" hidden="false" customHeight="true" outlineLevel="0" collapsed="false">
      <c r="B713" s="36"/>
      <c r="C713" s="7"/>
      <c r="D713" s="38"/>
      <c r="E713" s="37"/>
      <c r="F713" s="7"/>
    </row>
    <row r="714" customFormat="false" ht="21" hidden="false" customHeight="true" outlineLevel="0" collapsed="false">
      <c r="B714" s="36"/>
      <c r="C714" s="7"/>
      <c r="D714" s="38"/>
      <c r="E714" s="37"/>
      <c r="F714" s="7"/>
    </row>
    <row r="715" customFormat="false" ht="21" hidden="false" customHeight="true" outlineLevel="0" collapsed="false">
      <c r="B715" s="36"/>
      <c r="C715" s="7"/>
      <c r="D715" s="38"/>
      <c r="E715" s="37"/>
      <c r="F715" s="7"/>
    </row>
    <row r="716" customFormat="false" ht="21" hidden="false" customHeight="true" outlineLevel="0" collapsed="false">
      <c r="B716" s="36"/>
      <c r="C716" s="7"/>
      <c r="D716" s="38"/>
      <c r="E716" s="37"/>
      <c r="F716" s="7"/>
    </row>
    <row r="717" customFormat="false" ht="21" hidden="false" customHeight="true" outlineLevel="0" collapsed="false">
      <c r="B717" s="36"/>
      <c r="C717" s="7"/>
      <c r="D717" s="38"/>
      <c r="E717" s="37"/>
      <c r="F717" s="7"/>
    </row>
    <row r="718" customFormat="false" ht="21" hidden="false" customHeight="true" outlineLevel="0" collapsed="false">
      <c r="B718" s="36"/>
      <c r="C718" s="7"/>
      <c r="D718" s="38"/>
      <c r="E718" s="37"/>
      <c r="F718" s="7"/>
    </row>
    <row r="719" customFormat="false" ht="21" hidden="false" customHeight="true" outlineLevel="0" collapsed="false">
      <c r="B719" s="36"/>
      <c r="C719" s="7"/>
      <c r="D719" s="38"/>
      <c r="E719" s="37"/>
      <c r="F719" s="7"/>
    </row>
    <row r="720" customFormat="false" ht="21" hidden="false" customHeight="true" outlineLevel="0" collapsed="false">
      <c r="B720" s="36"/>
      <c r="C720" s="7"/>
      <c r="D720" s="38"/>
      <c r="E720" s="37"/>
      <c r="F720" s="7"/>
    </row>
    <row r="721" customFormat="false" ht="21" hidden="false" customHeight="true" outlineLevel="0" collapsed="false">
      <c r="B721" s="36"/>
      <c r="C721" s="7"/>
      <c r="D721" s="38"/>
      <c r="E721" s="37"/>
      <c r="F721" s="7"/>
    </row>
    <row r="722" customFormat="false" ht="21" hidden="false" customHeight="true" outlineLevel="0" collapsed="false">
      <c r="B722" s="36"/>
      <c r="C722" s="7"/>
      <c r="D722" s="38"/>
      <c r="E722" s="37"/>
      <c r="F722" s="7"/>
    </row>
    <row r="723" customFormat="false" ht="21" hidden="false" customHeight="true" outlineLevel="0" collapsed="false">
      <c r="B723" s="36"/>
      <c r="C723" s="7"/>
      <c r="D723" s="38"/>
      <c r="E723" s="37"/>
      <c r="F723" s="7"/>
    </row>
    <row r="724" customFormat="false" ht="21" hidden="false" customHeight="true" outlineLevel="0" collapsed="false">
      <c r="B724" s="36"/>
      <c r="C724" s="7"/>
      <c r="D724" s="38"/>
      <c r="E724" s="37"/>
      <c r="F724" s="7"/>
    </row>
    <row r="725" customFormat="false" ht="21" hidden="false" customHeight="true" outlineLevel="0" collapsed="false">
      <c r="B725" s="36"/>
      <c r="C725" s="7"/>
      <c r="D725" s="38"/>
      <c r="E725" s="37"/>
      <c r="F725" s="7"/>
    </row>
    <row r="726" customFormat="false" ht="21" hidden="false" customHeight="true" outlineLevel="0" collapsed="false">
      <c r="B726" s="36"/>
      <c r="C726" s="7"/>
      <c r="D726" s="38"/>
      <c r="E726" s="37"/>
      <c r="F726" s="7"/>
    </row>
    <row r="727" customFormat="false" ht="21" hidden="false" customHeight="true" outlineLevel="0" collapsed="false">
      <c r="B727" s="36"/>
      <c r="C727" s="7"/>
      <c r="D727" s="38"/>
      <c r="E727" s="37"/>
      <c r="F727" s="7"/>
    </row>
    <row r="728" customFormat="false" ht="21" hidden="false" customHeight="true" outlineLevel="0" collapsed="false">
      <c r="B728" s="36"/>
      <c r="C728" s="7"/>
      <c r="D728" s="38"/>
      <c r="E728" s="37"/>
      <c r="F728" s="7"/>
    </row>
    <row r="729" customFormat="false" ht="21" hidden="false" customHeight="true" outlineLevel="0" collapsed="false">
      <c r="B729" s="36"/>
      <c r="C729" s="7"/>
      <c r="D729" s="38"/>
      <c r="E729" s="37"/>
      <c r="F729" s="7"/>
    </row>
    <row r="730" customFormat="false" ht="21" hidden="false" customHeight="true" outlineLevel="0" collapsed="false">
      <c r="B730" s="36"/>
      <c r="C730" s="7"/>
      <c r="D730" s="38"/>
      <c r="E730" s="37"/>
      <c r="F730" s="7"/>
    </row>
    <row r="731" customFormat="false" ht="21" hidden="false" customHeight="true" outlineLevel="0" collapsed="false">
      <c r="B731" s="36"/>
      <c r="C731" s="7"/>
      <c r="D731" s="38"/>
      <c r="E731" s="37"/>
      <c r="F731" s="7"/>
    </row>
    <row r="732" customFormat="false" ht="21" hidden="false" customHeight="true" outlineLevel="0" collapsed="false">
      <c r="B732" s="36"/>
      <c r="C732" s="7"/>
      <c r="D732" s="38"/>
      <c r="E732" s="37"/>
      <c r="F732" s="7"/>
    </row>
    <row r="733" customFormat="false" ht="21" hidden="false" customHeight="true" outlineLevel="0" collapsed="false">
      <c r="B733" s="36"/>
      <c r="C733" s="7"/>
      <c r="D733" s="38"/>
      <c r="E733" s="37"/>
      <c r="F733" s="7"/>
    </row>
    <row r="734" customFormat="false" ht="21" hidden="false" customHeight="true" outlineLevel="0" collapsed="false">
      <c r="B734" s="36"/>
      <c r="C734" s="7"/>
      <c r="D734" s="38"/>
      <c r="E734" s="37"/>
      <c r="F734" s="7"/>
    </row>
    <row r="735" customFormat="false" ht="21" hidden="false" customHeight="true" outlineLevel="0" collapsed="false">
      <c r="B735" s="36"/>
      <c r="C735" s="7"/>
      <c r="D735" s="38"/>
      <c r="E735" s="37"/>
      <c r="F735" s="7"/>
    </row>
    <row r="736" customFormat="false" ht="21" hidden="false" customHeight="true" outlineLevel="0" collapsed="false">
      <c r="B736" s="36"/>
      <c r="C736" s="7"/>
      <c r="D736" s="38"/>
      <c r="E736" s="37"/>
      <c r="F736" s="7"/>
    </row>
    <row r="737" customFormat="false" ht="21" hidden="false" customHeight="true" outlineLevel="0" collapsed="false">
      <c r="B737" s="36"/>
      <c r="C737" s="7"/>
      <c r="D737" s="38"/>
      <c r="E737" s="37"/>
      <c r="F737" s="7"/>
    </row>
    <row r="738" customFormat="false" ht="21" hidden="false" customHeight="true" outlineLevel="0" collapsed="false">
      <c r="B738" s="36"/>
      <c r="C738" s="7"/>
      <c r="D738" s="38"/>
      <c r="E738" s="37"/>
      <c r="F738" s="7"/>
    </row>
    <row r="739" customFormat="false" ht="21" hidden="false" customHeight="true" outlineLevel="0" collapsed="false">
      <c r="B739" s="36"/>
      <c r="C739" s="7"/>
      <c r="D739" s="38"/>
      <c r="E739" s="37"/>
      <c r="F739" s="7"/>
    </row>
    <row r="740" customFormat="false" ht="21" hidden="false" customHeight="true" outlineLevel="0" collapsed="false">
      <c r="B740" s="36"/>
      <c r="C740" s="7"/>
      <c r="D740" s="38"/>
      <c r="E740" s="37"/>
      <c r="F740" s="7"/>
    </row>
    <row r="741" customFormat="false" ht="21" hidden="false" customHeight="true" outlineLevel="0" collapsed="false">
      <c r="B741" s="36"/>
      <c r="C741" s="7"/>
      <c r="D741" s="38"/>
      <c r="E741" s="37"/>
      <c r="F741" s="7"/>
    </row>
    <row r="742" customFormat="false" ht="21" hidden="false" customHeight="true" outlineLevel="0" collapsed="false">
      <c r="B742" s="36"/>
      <c r="C742" s="7"/>
      <c r="D742" s="38"/>
      <c r="E742" s="37"/>
      <c r="F742" s="7"/>
    </row>
    <row r="743" customFormat="false" ht="21" hidden="false" customHeight="true" outlineLevel="0" collapsed="false">
      <c r="B743" s="36"/>
      <c r="C743" s="7"/>
      <c r="D743" s="38"/>
      <c r="E743" s="37"/>
      <c r="F743" s="7"/>
    </row>
    <row r="744" customFormat="false" ht="21" hidden="false" customHeight="true" outlineLevel="0" collapsed="false">
      <c r="B744" s="36"/>
      <c r="C744" s="7"/>
      <c r="D744" s="38"/>
      <c r="E744" s="37"/>
      <c r="F744" s="7"/>
    </row>
    <row r="745" customFormat="false" ht="21" hidden="false" customHeight="true" outlineLevel="0" collapsed="false">
      <c r="B745" s="36"/>
      <c r="C745" s="7"/>
      <c r="D745" s="38"/>
      <c r="E745" s="37"/>
      <c r="F745" s="7"/>
    </row>
    <row r="746" customFormat="false" ht="21" hidden="false" customHeight="true" outlineLevel="0" collapsed="false">
      <c r="B746" s="36"/>
      <c r="C746" s="7"/>
      <c r="D746" s="38"/>
      <c r="E746" s="37"/>
      <c r="F746" s="7"/>
    </row>
    <row r="747" customFormat="false" ht="21" hidden="false" customHeight="true" outlineLevel="0" collapsed="false">
      <c r="B747" s="36"/>
      <c r="C747" s="7"/>
      <c r="D747" s="38"/>
      <c r="E747" s="37"/>
      <c r="F747" s="7"/>
    </row>
    <row r="748" customFormat="false" ht="21" hidden="false" customHeight="true" outlineLevel="0" collapsed="false">
      <c r="B748" s="36"/>
      <c r="C748" s="7"/>
      <c r="D748" s="38"/>
      <c r="E748" s="37"/>
      <c r="F748" s="7"/>
    </row>
    <row r="749" customFormat="false" ht="21" hidden="false" customHeight="true" outlineLevel="0" collapsed="false">
      <c r="B749" s="36"/>
      <c r="C749" s="7"/>
      <c r="D749" s="38"/>
      <c r="E749" s="37"/>
      <c r="F749" s="7"/>
    </row>
    <row r="750" customFormat="false" ht="21" hidden="false" customHeight="true" outlineLevel="0" collapsed="false">
      <c r="B750" s="36"/>
      <c r="C750" s="7"/>
      <c r="D750" s="38"/>
      <c r="E750" s="37"/>
      <c r="F750" s="7"/>
    </row>
    <row r="751" customFormat="false" ht="21" hidden="false" customHeight="true" outlineLevel="0" collapsed="false">
      <c r="B751" s="36"/>
      <c r="C751" s="7"/>
      <c r="D751" s="38"/>
      <c r="E751" s="37"/>
      <c r="F751" s="7"/>
    </row>
    <row r="752" customFormat="false" ht="21" hidden="false" customHeight="true" outlineLevel="0" collapsed="false">
      <c r="B752" s="36"/>
      <c r="C752" s="7"/>
      <c r="D752" s="38"/>
      <c r="E752" s="37"/>
      <c r="F752" s="7"/>
    </row>
    <row r="753" customFormat="false" ht="21" hidden="false" customHeight="true" outlineLevel="0" collapsed="false">
      <c r="B753" s="36"/>
      <c r="C753" s="7"/>
      <c r="D753" s="38"/>
      <c r="E753" s="37"/>
      <c r="F753" s="7"/>
    </row>
    <row r="754" customFormat="false" ht="21" hidden="false" customHeight="true" outlineLevel="0" collapsed="false">
      <c r="B754" s="36"/>
      <c r="C754" s="7"/>
      <c r="D754" s="38"/>
      <c r="E754" s="37"/>
      <c r="F754" s="7"/>
    </row>
    <row r="755" customFormat="false" ht="21" hidden="false" customHeight="true" outlineLevel="0" collapsed="false">
      <c r="B755" s="36"/>
      <c r="C755" s="7"/>
      <c r="D755" s="38"/>
      <c r="E755" s="37"/>
      <c r="F755" s="7"/>
    </row>
    <row r="756" customFormat="false" ht="21" hidden="false" customHeight="true" outlineLevel="0" collapsed="false">
      <c r="B756" s="36"/>
      <c r="C756" s="7"/>
      <c r="D756" s="38"/>
      <c r="E756" s="37"/>
      <c r="F756" s="7"/>
    </row>
    <row r="757" customFormat="false" ht="21" hidden="false" customHeight="true" outlineLevel="0" collapsed="false">
      <c r="B757" s="36"/>
      <c r="C757" s="7"/>
      <c r="D757" s="38"/>
      <c r="E757" s="37"/>
      <c r="F757" s="7"/>
    </row>
    <row r="758" customFormat="false" ht="21" hidden="false" customHeight="true" outlineLevel="0" collapsed="false">
      <c r="B758" s="36"/>
      <c r="C758" s="7"/>
      <c r="D758" s="38"/>
      <c r="E758" s="37"/>
      <c r="F758" s="7"/>
    </row>
    <row r="759" customFormat="false" ht="21" hidden="false" customHeight="true" outlineLevel="0" collapsed="false">
      <c r="B759" s="36"/>
      <c r="C759" s="7"/>
      <c r="D759" s="38"/>
      <c r="E759" s="37"/>
      <c r="F759" s="7"/>
    </row>
    <row r="760" customFormat="false" ht="21" hidden="false" customHeight="true" outlineLevel="0" collapsed="false">
      <c r="B760" s="36"/>
      <c r="C760" s="7"/>
      <c r="D760" s="38"/>
      <c r="E760" s="37"/>
      <c r="F760" s="7"/>
    </row>
    <row r="761" customFormat="false" ht="21" hidden="false" customHeight="true" outlineLevel="0" collapsed="false">
      <c r="B761" s="36"/>
      <c r="C761" s="7"/>
      <c r="D761" s="38"/>
      <c r="E761" s="37"/>
      <c r="F761" s="7"/>
    </row>
    <row r="762" customFormat="false" ht="21" hidden="false" customHeight="true" outlineLevel="0" collapsed="false">
      <c r="B762" s="36"/>
      <c r="C762" s="7"/>
      <c r="D762" s="38"/>
      <c r="E762" s="37"/>
      <c r="F762" s="7"/>
    </row>
    <row r="763" customFormat="false" ht="21" hidden="false" customHeight="true" outlineLevel="0" collapsed="false">
      <c r="B763" s="36"/>
      <c r="C763" s="7"/>
      <c r="D763" s="38"/>
      <c r="E763" s="37"/>
      <c r="F763" s="7"/>
    </row>
    <row r="764" customFormat="false" ht="21" hidden="false" customHeight="true" outlineLevel="0" collapsed="false">
      <c r="B764" s="36"/>
      <c r="C764" s="7"/>
      <c r="D764" s="38"/>
      <c r="E764" s="37"/>
      <c r="F764" s="7"/>
    </row>
    <row r="765" customFormat="false" ht="21" hidden="false" customHeight="true" outlineLevel="0" collapsed="false">
      <c r="B765" s="36"/>
      <c r="C765" s="7"/>
      <c r="D765" s="38"/>
      <c r="E765" s="37"/>
      <c r="F765" s="7"/>
    </row>
    <row r="766" customFormat="false" ht="21" hidden="false" customHeight="true" outlineLevel="0" collapsed="false">
      <c r="B766" s="36"/>
      <c r="C766" s="7"/>
      <c r="D766" s="38"/>
      <c r="E766" s="37"/>
      <c r="F766" s="7"/>
    </row>
    <row r="767" customFormat="false" ht="21" hidden="false" customHeight="true" outlineLevel="0" collapsed="false">
      <c r="B767" s="36"/>
      <c r="C767" s="7"/>
      <c r="D767" s="38"/>
      <c r="E767" s="37"/>
      <c r="F767" s="7"/>
    </row>
    <row r="768" customFormat="false" ht="21" hidden="false" customHeight="true" outlineLevel="0" collapsed="false">
      <c r="B768" s="36"/>
      <c r="C768" s="7"/>
      <c r="D768" s="38"/>
      <c r="E768" s="37"/>
      <c r="F768" s="7"/>
    </row>
    <row r="769" customFormat="false" ht="21" hidden="false" customHeight="true" outlineLevel="0" collapsed="false">
      <c r="B769" s="36"/>
      <c r="C769" s="7"/>
      <c r="D769" s="38"/>
      <c r="E769" s="37"/>
      <c r="F769" s="7"/>
    </row>
    <row r="770" customFormat="false" ht="21" hidden="false" customHeight="true" outlineLevel="0" collapsed="false">
      <c r="B770" s="36"/>
      <c r="C770" s="7"/>
      <c r="D770" s="38"/>
      <c r="E770" s="37"/>
      <c r="F770" s="7"/>
    </row>
    <row r="771" customFormat="false" ht="21" hidden="false" customHeight="true" outlineLevel="0" collapsed="false">
      <c r="B771" s="36"/>
      <c r="C771" s="7"/>
      <c r="D771" s="38"/>
      <c r="E771" s="37"/>
      <c r="F771" s="7"/>
    </row>
    <row r="772" customFormat="false" ht="21" hidden="false" customHeight="true" outlineLevel="0" collapsed="false">
      <c r="B772" s="36"/>
      <c r="C772" s="7"/>
      <c r="D772" s="38"/>
      <c r="E772" s="37"/>
      <c r="F772" s="7"/>
    </row>
    <row r="773" customFormat="false" ht="21" hidden="false" customHeight="true" outlineLevel="0" collapsed="false">
      <c r="B773" s="36"/>
      <c r="C773" s="7"/>
      <c r="D773" s="38"/>
      <c r="E773" s="37"/>
      <c r="F773" s="7"/>
    </row>
    <row r="774" customFormat="false" ht="21" hidden="false" customHeight="true" outlineLevel="0" collapsed="false">
      <c r="B774" s="36"/>
      <c r="C774" s="7"/>
      <c r="D774" s="38"/>
      <c r="E774" s="37"/>
      <c r="F774" s="7"/>
    </row>
    <row r="775" customFormat="false" ht="21" hidden="false" customHeight="true" outlineLevel="0" collapsed="false">
      <c r="B775" s="36"/>
      <c r="C775" s="7"/>
      <c r="D775" s="38"/>
      <c r="E775" s="37"/>
      <c r="F775" s="7"/>
    </row>
    <row r="776" customFormat="false" ht="21" hidden="false" customHeight="true" outlineLevel="0" collapsed="false">
      <c r="B776" s="36"/>
      <c r="C776" s="7"/>
      <c r="D776" s="38"/>
      <c r="E776" s="37"/>
      <c r="F776" s="7"/>
    </row>
    <row r="777" customFormat="false" ht="21" hidden="false" customHeight="true" outlineLevel="0" collapsed="false">
      <c r="B777" s="36"/>
      <c r="C777" s="7"/>
      <c r="D777" s="38"/>
      <c r="E777" s="37"/>
      <c r="F777" s="7"/>
    </row>
    <row r="778" customFormat="false" ht="21" hidden="false" customHeight="true" outlineLevel="0" collapsed="false">
      <c r="B778" s="36"/>
      <c r="C778" s="7"/>
      <c r="D778" s="38"/>
      <c r="E778" s="37"/>
      <c r="F778" s="7"/>
    </row>
    <row r="779" customFormat="false" ht="21" hidden="false" customHeight="true" outlineLevel="0" collapsed="false">
      <c r="B779" s="36"/>
      <c r="C779" s="7"/>
      <c r="D779" s="38"/>
      <c r="E779" s="37"/>
      <c r="F779" s="7"/>
    </row>
    <row r="780" customFormat="false" ht="21" hidden="false" customHeight="true" outlineLevel="0" collapsed="false">
      <c r="B780" s="36"/>
      <c r="C780" s="7"/>
      <c r="D780" s="38"/>
      <c r="E780" s="37"/>
      <c r="F780" s="7"/>
    </row>
    <row r="781" customFormat="false" ht="21" hidden="false" customHeight="true" outlineLevel="0" collapsed="false">
      <c r="B781" s="36"/>
      <c r="C781" s="7"/>
      <c r="D781" s="38"/>
      <c r="E781" s="37"/>
      <c r="F781" s="7"/>
    </row>
    <row r="782" customFormat="false" ht="21" hidden="false" customHeight="true" outlineLevel="0" collapsed="false">
      <c r="B782" s="36"/>
      <c r="C782" s="7"/>
      <c r="D782" s="38"/>
      <c r="E782" s="37"/>
      <c r="F782" s="7"/>
    </row>
    <row r="783" customFormat="false" ht="21" hidden="false" customHeight="true" outlineLevel="0" collapsed="false">
      <c r="B783" s="36"/>
      <c r="C783" s="7"/>
      <c r="D783" s="38"/>
      <c r="E783" s="37"/>
      <c r="F783" s="7"/>
    </row>
    <row r="784" customFormat="false" ht="21" hidden="false" customHeight="true" outlineLevel="0" collapsed="false">
      <c r="B784" s="36"/>
      <c r="C784" s="7"/>
      <c r="D784" s="38"/>
      <c r="E784" s="37"/>
      <c r="F784" s="7"/>
    </row>
    <row r="785" customFormat="false" ht="21" hidden="false" customHeight="true" outlineLevel="0" collapsed="false">
      <c r="B785" s="36"/>
      <c r="C785" s="7"/>
      <c r="D785" s="38"/>
      <c r="E785" s="37"/>
      <c r="F785" s="7"/>
    </row>
    <row r="786" customFormat="false" ht="21" hidden="false" customHeight="true" outlineLevel="0" collapsed="false">
      <c r="B786" s="36"/>
      <c r="C786" s="7"/>
      <c r="D786" s="38"/>
      <c r="E786" s="37"/>
      <c r="F786" s="7"/>
    </row>
    <row r="787" customFormat="false" ht="21" hidden="false" customHeight="true" outlineLevel="0" collapsed="false">
      <c r="B787" s="36"/>
      <c r="C787" s="7"/>
      <c r="D787" s="38"/>
      <c r="E787" s="37"/>
      <c r="F787" s="7"/>
    </row>
    <row r="788" customFormat="false" ht="21" hidden="false" customHeight="true" outlineLevel="0" collapsed="false">
      <c r="B788" s="36"/>
      <c r="C788" s="7"/>
      <c r="D788" s="38"/>
      <c r="E788" s="37"/>
      <c r="F788" s="7"/>
    </row>
    <row r="789" customFormat="false" ht="21" hidden="false" customHeight="true" outlineLevel="0" collapsed="false">
      <c r="B789" s="36"/>
      <c r="C789" s="7"/>
      <c r="D789" s="38"/>
      <c r="E789" s="37"/>
      <c r="F789" s="7"/>
    </row>
    <row r="790" customFormat="false" ht="21" hidden="false" customHeight="true" outlineLevel="0" collapsed="false">
      <c r="B790" s="36"/>
      <c r="C790" s="7"/>
      <c r="D790" s="38"/>
      <c r="E790" s="37"/>
      <c r="F790" s="7"/>
    </row>
    <row r="791" customFormat="false" ht="21" hidden="false" customHeight="true" outlineLevel="0" collapsed="false">
      <c r="B791" s="36"/>
      <c r="C791" s="7"/>
      <c r="D791" s="38"/>
      <c r="E791" s="37"/>
      <c r="F791" s="7"/>
    </row>
    <row r="792" customFormat="false" ht="21" hidden="false" customHeight="true" outlineLevel="0" collapsed="false">
      <c r="B792" s="36"/>
      <c r="C792" s="7"/>
      <c r="D792" s="38"/>
      <c r="E792" s="37"/>
      <c r="F792" s="7"/>
    </row>
    <row r="793" customFormat="false" ht="21" hidden="false" customHeight="true" outlineLevel="0" collapsed="false">
      <c r="B793" s="36"/>
      <c r="C793" s="7"/>
      <c r="D793" s="38"/>
      <c r="E793" s="37"/>
      <c r="F793" s="7"/>
    </row>
    <row r="794" customFormat="false" ht="21" hidden="false" customHeight="true" outlineLevel="0" collapsed="false">
      <c r="B794" s="36"/>
      <c r="C794" s="7"/>
      <c r="D794" s="38"/>
      <c r="E794" s="37"/>
      <c r="F794" s="7"/>
    </row>
    <row r="795" customFormat="false" ht="21" hidden="false" customHeight="true" outlineLevel="0" collapsed="false">
      <c r="B795" s="36"/>
      <c r="C795" s="7"/>
      <c r="D795" s="38"/>
      <c r="E795" s="37"/>
      <c r="F795" s="7"/>
    </row>
    <row r="796" customFormat="false" ht="21" hidden="false" customHeight="true" outlineLevel="0" collapsed="false">
      <c r="B796" s="36"/>
      <c r="C796" s="7"/>
      <c r="D796" s="38"/>
      <c r="E796" s="37"/>
      <c r="F796" s="7"/>
    </row>
    <row r="797" customFormat="false" ht="21" hidden="false" customHeight="true" outlineLevel="0" collapsed="false">
      <c r="B797" s="36"/>
      <c r="C797" s="7"/>
      <c r="D797" s="38"/>
      <c r="E797" s="37"/>
      <c r="F797" s="7"/>
    </row>
    <row r="798" customFormat="false" ht="21" hidden="false" customHeight="true" outlineLevel="0" collapsed="false">
      <c r="B798" s="36"/>
      <c r="C798" s="7"/>
      <c r="D798" s="38"/>
      <c r="E798" s="37"/>
      <c r="F798" s="7"/>
    </row>
    <row r="799" customFormat="false" ht="21" hidden="false" customHeight="true" outlineLevel="0" collapsed="false">
      <c r="B799" s="36"/>
      <c r="C799" s="7"/>
      <c r="D799" s="38"/>
      <c r="E799" s="37"/>
      <c r="F799" s="7"/>
    </row>
    <row r="800" customFormat="false" ht="21" hidden="false" customHeight="true" outlineLevel="0" collapsed="false">
      <c r="B800" s="36"/>
      <c r="C800" s="7"/>
      <c r="D800" s="38"/>
      <c r="E800" s="37"/>
      <c r="F800" s="7"/>
    </row>
    <row r="801" customFormat="false" ht="21" hidden="false" customHeight="true" outlineLevel="0" collapsed="false">
      <c r="B801" s="36"/>
      <c r="C801" s="7"/>
      <c r="D801" s="38"/>
      <c r="E801" s="37"/>
      <c r="F801" s="7"/>
    </row>
    <row r="802" customFormat="false" ht="21" hidden="false" customHeight="true" outlineLevel="0" collapsed="false">
      <c r="B802" s="36"/>
      <c r="C802" s="7"/>
      <c r="D802" s="38"/>
      <c r="E802" s="37"/>
      <c r="F802" s="7"/>
    </row>
    <row r="803" customFormat="false" ht="21" hidden="false" customHeight="true" outlineLevel="0" collapsed="false">
      <c r="B803" s="36"/>
      <c r="C803" s="7"/>
      <c r="D803" s="38"/>
      <c r="E803" s="37"/>
      <c r="F803" s="7"/>
    </row>
    <row r="804" customFormat="false" ht="21" hidden="false" customHeight="true" outlineLevel="0" collapsed="false">
      <c r="B804" s="36"/>
      <c r="C804" s="7"/>
      <c r="D804" s="38"/>
      <c r="E804" s="37"/>
      <c r="F804" s="7"/>
    </row>
    <row r="805" customFormat="false" ht="21" hidden="false" customHeight="true" outlineLevel="0" collapsed="false">
      <c r="B805" s="36"/>
      <c r="C805" s="7"/>
      <c r="D805" s="38"/>
      <c r="E805" s="37"/>
      <c r="F805" s="7"/>
    </row>
    <row r="806" customFormat="false" ht="21" hidden="false" customHeight="true" outlineLevel="0" collapsed="false">
      <c r="B806" s="36"/>
      <c r="C806" s="7"/>
      <c r="D806" s="38"/>
      <c r="E806" s="37"/>
      <c r="F806" s="7"/>
    </row>
    <row r="807" customFormat="false" ht="21" hidden="false" customHeight="true" outlineLevel="0" collapsed="false">
      <c r="B807" s="36"/>
      <c r="C807" s="7"/>
      <c r="D807" s="38"/>
      <c r="E807" s="37"/>
      <c r="F807" s="7"/>
    </row>
    <row r="808" customFormat="false" ht="21" hidden="false" customHeight="true" outlineLevel="0" collapsed="false">
      <c r="B808" s="36"/>
      <c r="C808" s="7"/>
      <c r="D808" s="38"/>
      <c r="E808" s="37"/>
      <c r="F808" s="7"/>
    </row>
    <row r="809" customFormat="false" ht="21" hidden="false" customHeight="true" outlineLevel="0" collapsed="false">
      <c r="B809" s="36"/>
      <c r="C809" s="7"/>
      <c r="D809" s="38"/>
      <c r="E809" s="37"/>
      <c r="F809" s="7"/>
    </row>
    <row r="810" customFormat="false" ht="21" hidden="false" customHeight="true" outlineLevel="0" collapsed="false">
      <c r="B810" s="36"/>
      <c r="C810" s="7"/>
      <c r="D810" s="38"/>
      <c r="E810" s="37"/>
      <c r="F810" s="7"/>
    </row>
    <row r="811" customFormat="false" ht="21" hidden="false" customHeight="true" outlineLevel="0" collapsed="false">
      <c r="B811" s="36"/>
      <c r="C811" s="7"/>
      <c r="D811" s="38"/>
      <c r="E811" s="37"/>
      <c r="F811" s="7"/>
    </row>
    <row r="812" customFormat="false" ht="21" hidden="false" customHeight="true" outlineLevel="0" collapsed="false">
      <c r="B812" s="36"/>
      <c r="C812" s="7"/>
      <c r="D812" s="38"/>
      <c r="E812" s="37"/>
      <c r="F812" s="7"/>
    </row>
    <row r="813" customFormat="false" ht="21" hidden="false" customHeight="true" outlineLevel="0" collapsed="false">
      <c r="B813" s="36"/>
      <c r="C813" s="7"/>
      <c r="D813" s="38"/>
      <c r="E813" s="37"/>
      <c r="F813" s="7"/>
    </row>
    <row r="814" customFormat="false" ht="21" hidden="false" customHeight="true" outlineLevel="0" collapsed="false">
      <c r="B814" s="36"/>
      <c r="C814" s="7"/>
      <c r="D814" s="38"/>
      <c r="E814" s="37"/>
      <c r="F814" s="7"/>
    </row>
    <row r="815" customFormat="false" ht="21" hidden="false" customHeight="true" outlineLevel="0" collapsed="false">
      <c r="B815" s="36"/>
      <c r="C815" s="7"/>
      <c r="D815" s="38"/>
      <c r="E815" s="37"/>
      <c r="F815" s="7"/>
    </row>
    <row r="816" customFormat="false" ht="21" hidden="false" customHeight="true" outlineLevel="0" collapsed="false">
      <c r="B816" s="36"/>
      <c r="C816" s="7"/>
      <c r="D816" s="38"/>
      <c r="E816" s="37"/>
      <c r="F816" s="7"/>
    </row>
    <row r="817" customFormat="false" ht="21" hidden="false" customHeight="true" outlineLevel="0" collapsed="false">
      <c r="B817" s="36"/>
      <c r="C817" s="7"/>
      <c r="D817" s="38"/>
      <c r="E817" s="37"/>
      <c r="F817" s="7"/>
    </row>
    <row r="818" customFormat="false" ht="21" hidden="false" customHeight="true" outlineLevel="0" collapsed="false">
      <c r="B818" s="36"/>
      <c r="C818" s="7"/>
      <c r="D818" s="38"/>
      <c r="E818" s="37"/>
      <c r="F818" s="7"/>
    </row>
    <row r="819" customFormat="false" ht="21" hidden="false" customHeight="true" outlineLevel="0" collapsed="false">
      <c r="B819" s="36"/>
      <c r="C819" s="7"/>
      <c r="D819" s="38"/>
      <c r="E819" s="37"/>
      <c r="F819" s="7"/>
    </row>
    <row r="820" customFormat="false" ht="21" hidden="false" customHeight="true" outlineLevel="0" collapsed="false">
      <c r="B820" s="36"/>
      <c r="C820" s="7"/>
      <c r="D820" s="38"/>
      <c r="E820" s="37"/>
      <c r="F820" s="7"/>
    </row>
    <row r="821" customFormat="false" ht="21" hidden="false" customHeight="true" outlineLevel="0" collapsed="false">
      <c r="B821" s="36"/>
      <c r="C821" s="7"/>
      <c r="D821" s="38"/>
      <c r="E821" s="37"/>
      <c r="F821" s="7"/>
    </row>
    <row r="822" customFormat="false" ht="21" hidden="false" customHeight="true" outlineLevel="0" collapsed="false">
      <c r="B822" s="36"/>
      <c r="C822" s="7"/>
      <c r="D822" s="38"/>
      <c r="E822" s="37"/>
      <c r="F822" s="7"/>
    </row>
    <row r="823" customFormat="false" ht="21" hidden="false" customHeight="true" outlineLevel="0" collapsed="false">
      <c r="B823" s="36"/>
      <c r="C823" s="7"/>
      <c r="D823" s="38"/>
      <c r="E823" s="37"/>
      <c r="F823" s="7"/>
    </row>
    <row r="824" customFormat="false" ht="21" hidden="false" customHeight="true" outlineLevel="0" collapsed="false">
      <c r="B824" s="36"/>
      <c r="C824" s="7"/>
      <c r="D824" s="38"/>
      <c r="E824" s="37"/>
      <c r="F824" s="7"/>
    </row>
    <row r="825" customFormat="false" ht="21" hidden="false" customHeight="true" outlineLevel="0" collapsed="false">
      <c r="B825" s="36"/>
      <c r="C825" s="7"/>
      <c r="D825" s="38"/>
      <c r="E825" s="37"/>
      <c r="F825" s="7"/>
    </row>
    <row r="826" customFormat="false" ht="21" hidden="false" customHeight="true" outlineLevel="0" collapsed="false">
      <c r="B826" s="36"/>
      <c r="C826" s="7"/>
      <c r="D826" s="38"/>
      <c r="E826" s="37"/>
      <c r="F826" s="7"/>
    </row>
    <row r="827" customFormat="false" ht="21" hidden="false" customHeight="true" outlineLevel="0" collapsed="false">
      <c r="B827" s="36"/>
      <c r="C827" s="7"/>
      <c r="D827" s="38"/>
      <c r="E827" s="37"/>
      <c r="F827" s="7"/>
    </row>
    <row r="828" customFormat="false" ht="21" hidden="false" customHeight="true" outlineLevel="0" collapsed="false">
      <c r="B828" s="36"/>
      <c r="C828" s="7"/>
      <c r="D828" s="38"/>
      <c r="E828" s="37"/>
      <c r="F828" s="7"/>
    </row>
    <row r="829" customFormat="false" ht="21" hidden="false" customHeight="true" outlineLevel="0" collapsed="false">
      <c r="B829" s="36"/>
      <c r="C829" s="7"/>
      <c r="D829" s="38"/>
      <c r="E829" s="37"/>
      <c r="F829" s="7"/>
    </row>
    <row r="830" customFormat="false" ht="21" hidden="false" customHeight="true" outlineLevel="0" collapsed="false">
      <c r="B830" s="36"/>
      <c r="C830" s="7"/>
      <c r="D830" s="38"/>
      <c r="E830" s="37"/>
      <c r="F830" s="7"/>
    </row>
    <row r="831" customFormat="false" ht="21" hidden="false" customHeight="true" outlineLevel="0" collapsed="false">
      <c r="B831" s="36"/>
      <c r="C831" s="7"/>
      <c r="D831" s="38"/>
      <c r="E831" s="37"/>
      <c r="F831" s="7"/>
    </row>
    <row r="832" customFormat="false" ht="21" hidden="false" customHeight="true" outlineLevel="0" collapsed="false">
      <c r="B832" s="36"/>
      <c r="C832" s="7"/>
      <c r="D832" s="38"/>
      <c r="E832" s="37"/>
      <c r="F832" s="7"/>
    </row>
    <row r="833" customFormat="false" ht="21" hidden="false" customHeight="true" outlineLevel="0" collapsed="false">
      <c r="B833" s="36"/>
      <c r="C833" s="7"/>
      <c r="D833" s="38"/>
      <c r="E833" s="37"/>
      <c r="F833" s="7"/>
    </row>
    <row r="834" customFormat="false" ht="21" hidden="false" customHeight="true" outlineLevel="0" collapsed="false">
      <c r="B834" s="36"/>
      <c r="C834" s="7"/>
      <c r="D834" s="38"/>
      <c r="E834" s="37"/>
      <c r="F834" s="7"/>
    </row>
    <row r="835" customFormat="false" ht="21" hidden="false" customHeight="true" outlineLevel="0" collapsed="false">
      <c r="B835" s="36"/>
      <c r="C835" s="7"/>
      <c r="D835" s="38"/>
      <c r="E835" s="37"/>
      <c r="F835" s="7"/>
    </row>
    <row r="836" customFormat="false" ht="21" hidden="false" customHeight="true" outlineLevel="0" collapsed="false">
      <c r="B836" s="36"/>
      <c r="C836" s="7"/>
      <c r="D836" s="38"/>
      <c r="E836" s="37"/>
      <c r="F836" s="7"/>
    </row>
    <row r="837" customFormat="false" ht="21" hidden="false" customHeight="true" outlineLevel="0" collapsed="false">
      <c r="B837" s="36"/>
      <c r="C837" s="7"/>
      <c r="D837" s="38"/>
      <c r="E837" s="37"/>
      <c r="F837" s="7"/>
    </row>
    <row r="838" customFormat="false" ht="21" hidden="false" customHeight="true" outlineLevel="0" collapsed="false">
      <c r="B838" s="36"/>
      <c r="C838" s="7"/>
      <c r="D838" s="38"/>
      <c r="E838" s="37"/>
      <c r="F838" s="7"/>
    </row>
    <row r="839" customFormat="false" ht="21" hidden="false" customHeight="true" outlineLevel="0" collapsed="false">
      <c r="B839" s="36"/>
      <c r="C839" s="7"/>
      <c r="D839" s="38"/>
      <c r="E839" s="37"/>
      <c r="F839" s="7"/>
    </row>
    <row r="840" customFormat="false" ht="21" hidden="false" customHeight="true" outlineLevel="0" collapsed="false">
      <c r="B840" s="36"/>
      <c r="C840" s="7"/>
      <c r="D840" s="38"/>
      <c r="E840" s="37"/>
      <c r="F840" s="7"/>
    </row>
    <row r="841" customFormat="false" ht="21" hidden="false" customHeight="true" outlineLevel="0" collapsed="false">
      <c r="B841" s="36"/>
      <c r="C841" s="7"/>
      <c r="D841" s="38"/>
      <c r="E841" s="37"/>
      <c r="F841" s="7"/>
    </row>
    <row r="842" customFormat="false" ht="21" hidden="false" customHeight="true" outlineLevel="0" collapsed="false">
      <c r="B842" s="36"/>
      <c r="C842" s="7"/>
      <c r="D842" s="38"/>
      <c r="E842" s="37"/>
      <c r="F842" s="7"/>
    </row>
    <row r="843" customFormat="false" ht="21" hidden="false" customHeight="true" outlineLevel="0" collapsed="false">
      <c r="B843" s="36"/>
      <c r="C843" s="7"/>
      <c r="D843" s="38"/>
      <c r="E843" s="37"/>
      <c r="F843" s="7"/>
    </row>
    <row r="844" customFormat="false" ht="21" hidden="false" customHeight="true" outlineLevel="0" collapsed="false">
      <c r="B844" s="36"/>
      <c r="C844" s="7"/>
      <c r="D844" s="38"/>
      <c r="E844" s="37"/>
      <c r="F844" s="7"/>
    </row>
    <row r="845" customFormat="false" ht="21" hidden="false" customHeight="true" outlineLevel="0" collapsed="false">
      <c r="B845" s="36"/>
      <c r="C845" s="7"/>
      <c r="D845" s="38"/>
      <c r="E845" s="37"/>
      <c r="F845" s="7"/>
    </row>
    <row r="846" customFormat="false" ht="21" hidden="false" customHeight="true" outlineLevel="0" collapsed="false">
      <c r="B846" s="36"/>
      <c r="C846" s="7"/>
      <c r="D846" s="38"/>
      <c r="E846" s="37"/>
      <c r="F846" s="7"/>
    </row>
    <row r="847" customFormat="false" ht="21" hidden="false" customHeight="true" outlineLevel="0" collapsed="false">
      <c r="B847" s="36"/>
      <c r="C847" s="7"/>
      <c r="D847" s="38"/>
      <c r="E847" s="37"/>
      <c r="F847" s="7"/>
    </row>
    <row r="848" customFormat="false" ht="21" hidden="false" customHeight="true" outlineLevel="0" collapsed="false">
      <c r="B848" s="36"/>
      <c r="C848" s="7"/>
      <c r="D848" s="38"/>
      <c r="E848" s="37"/>
      <c r="F848" s="7"/>
    </row>
    <row r="849" customFormat="false" ht="21" hidden="false" customHeight="true" outlineLevel="0" collapsed="false">
      <c r="B849" s="36"/>
      <c r="C849" s="7"/>
      <c r="D849" s="38"/>
      <c r="E849" s="37"/>
      <c r="F849" s="7"/>
    </row>
    <row r="850" customFormat="false" ht="21" hidden="false" customHeight="true" outlineLevel="0" collapsed="false">
      <c r="B850" s="36"/>
      <c r="C850" s="7"/>
      <c r="D850" s="38"/>
      <c r="E850" s="37"/>
      <c r="F850" s="7"/>
    </row>
    <row r="851" customFormat="false" ht="21" hidden="false" customHeight="true" outlineLevel="0" collapsed="false">
      <c r="B851" s="36"/>
      <c r="C851" s="7"/>
      <c r="D851" s="38"/>
      <c r="E851" s="37"/>
      <c r="F851" s="7"/>
    </row>
    <row r="852" customFormat="false" ht="21" hidden="false" customHeight="true" outlineLevel="0" collapsed="false">
      <c r="B852" s="36"/>
      <c r="C852" s="7"/>
      <c r="D852" s="38"/>
      <c r="E852" s="37"/>
      <c r="F852" s="7"/>
    </row>
    <row r="853" customFormat="false" ht="21" hidden="false" customHeight="true" outlineLevel="0" collapsed="false">
      <c r="B853" s="36"/>
      <c r="C853" s="7"/>
      <c r="D853" s="38"/>
      <c r="E853" s="37"/>
      <c r="F853" s="7"/>
    </row>
    <row r="854" customFormat="false" ht="21" hidden="false" customHeight="true" outlineLevel="0" collapsed="false">
      <c r="B854" s="36"/>
      <c r="C854" s="7"/>
      <c r="D854" s="38"/>
      <c r="E854" s="37"/>
      <c r="F854" s="7"/>
    </row>
    <row r="855" customFormat="false" ht="21" hidden="false" customHeight="true" outlineLevel="0" collapsed="false">
      <c r="B855" s="36"/>
      <c r="C855" s="7"/>
      <c r="D855" s="38"/>
      <c r="E855" s="37"/>
      <c r="F855" s="7"/>
    </row>
    <row r="856" customFormat="false" ht="21" hidden="false" customHeight="true" outlineLevel="0" collapsed="false">
      <c r="B856" s="36"/>
      <c r="C856" s="7"/>
      <c r="D856" s="38"/>
      <c r="E856" s="37"/>
      <c r="F856" s="7"/>
    </row>
    <row r="857" customFormat="false" ht="21" hidden="false" customHeight="true" outlineLevel="0" collapsed="false">
      <c r="B857" s="36"/>
      <c r="C857" s="7"/>
      <c r="D857" s="38"/>
      <c r="E857" s="37"/>
      <c r="F857" s="7"/>
    </row>
    <row r="858" customFormat="false" ht="21" hidden="false" customHeight="true" outlineLevel="0" collapsed="false">
      <c r="B858" s="36"/>
      <c r="C858" s="7"/>
      <c r="D858" s="38"/>
      <c r="E858" s="37"/>
      <c r="F858" s="7"/>
    </row>
    <row r="859" customFormat="false" ht="21" hidden="false" customHeight="true" outlineLevel="0" collapsed="false">
      <c r="B859" s="36"/>
      <c r="C859" s="7"/>
      <c r="D859" s="38"/>
      <c r="E859" s="37"/>
      <c r="F859" s="7"/>
    </row>
    <row r="860" customFormat="false" ht="21" hidden="false" customHeight="true" outlineLevel="0" collapsed="false">
      <c r="B860" s="36"/>
      <c r="C860" s="7"/>
      <c r="D860" s="38"/>
      <c r="E860" s="37"/>
      <c r="F860" s="7"/>
    </row>
    <row r="861" customFormat="false" ht="21" hidden="false" customHeight="true" outlineLevel="0" collapsed="false">
      <c r="B861" s="36"/>
      <c r="C861" s="7"/>
      <c r="D861" s="38"/>
      <c r="E861" s="37"/>
      <c r="F861" s="7"/>
    </row>
    <row r="862" customFormat="false" ht="21" hidden="false" customHeight="true" outlineLevel="0" collapsed="false">
      <c r="B862" s="36"/>
      <c r="C862" s="7"/>
      <c r="D862" s="38"/>
      <c r="E862" s="37"/>
      <c r="F862" s="7"/>
    </row>
    <row r="863" customFormat="false" ht="21" hidden="false" customHeight="true" outlineLevel="0" collapsed="false">
      <c r="B863" s="36"/>
      <c r="C863" s="7"/>
      <c r="D863" s="38"/>
      <c r="E863" s="37"/>
      <c r="F863" s="7"/>
    </row>
    <row r="864" customFormat="false" ht="21" hidden="false" customHeight="true" outlineLevel="0" collapsed="false">
      <c r="B864" s="36"/>
      <c r="C864" s="7"/>
      <c r="D864" s="38"/>
      <c r="E864" s="37"/>
      <c r="F864" s="7"/>
    </row>
    <row r="865" customFormat="false" ht="21" hidden="false" customHeight="true" outlineLevel="0" collapsed="false">
      <c r="B865" s="36"/>
      <c r="C865" s="7"/>
      <c r="D865" s="38"/>
      <c r="E865" s="37"/>
      <c r="F865" s="7"/>
    </row>
    <row r="866" customFormat="false" ht="21" hidden="false" customHeight="true" outlineLevel="0" collapsed="false">
      <c r="B866" s="36"/>
      <c r="C866" s="7"/>
      <c r="D866" s="38"/>
      <c r="E866" s="37"/>
      <c r="F866" s="7"/>
    </row>
    <row r="867" customFormat="false" ht="21" hidden="false" customHeight="true" outlineLevel="0" collapsed="false">
      <c r="B867" s="36"/>
      <c r="C867" s="7"/>
      <c r="D867" s="38"/>
      <c r="E867" s="37"/>
      <c r="F867" s="7"/>
    </row>
    <row r="868" customFormat="false" ht="21" hidden="false" customHeight="true" outlineLevel="0" collapsed="false">
      <c r="B868" s="36"/>
      <c r="C868" s="7"/>
      <c r="D868" s="38"/>
      <c r="E868" s="37"/>
      <c r="F868" s="7"/>
    </row>
    <row r="869" customFormat="false" ht="21" hidden="false" customHeight="true" outlineLevel="0" collapsed="false">
      <c r="B869" s="36"/>
      <c r="C869" s="7"/>
      <c r="D869" s="38"/>
      <c r="E869" s="37"/>
      <c r="F869" s="7"/>
    </row>
    <row r="870" customFormat="false" ht="21" hidden="false" customHeight="true" outlineLevel="0" collapsed="false">
      <c r="B870" s="36"/>
      <c r="C870" s="7"/>
      <c r="D870" s="38"/>
      <c r="E870" s="37"/>
      <c r="F870" s="7"/>
    </row>
    <row r="871" customFormat="false" ht="21" hidden="false" customHeight="true" outlineLevel="0" collapsed="false">
      <c r="B871" s="36"/>
      <c r="C871" s="7"/>
      <c r="D871" s="38"/>
      <c r="E871" s="37"/>
      <c r="F871" s="7"/>
    </row>
    <row r="872" customFormat="false" ht="21" hidden="false" customHeight="true" outlineLevel="0" collapsed="false">
      <c r="B872" s="36"/>
      <c r="C872" s="7"/>
      <c r="D872" s="38"/>
      <c r="E872" s="37"/>
      <c r="F872" s="7"/>
    </row>
    <row r="873" customFormat="false" ht="21" hidden="false" customHeight="true" outlineLevel="0" collapsed="false">
      <c r="B873" s="36"/>
      <c r="C873" s="7"/>
      <c r="D873" s="38"/>
      <c r="E873" s="37"/>
      <c r="F873" s="7"/>
    </row>
    <row r="874" customFormat="false" ht="21" hidden="false" customHeight="true" outlineLevel="0" collapsed="false">
      <c r="B874" s="36"/>
      <c r="C874" s="7"/>
      <c r="D874" s="38"/>
      <c r="E874" s="37"/>
      <c r="F874" s="7"/>
    </row>
    <row r="875" customFormat="false" ht="21" hidden="false" customHeight="true" outlineLevel="0" collapsed="false">
      <c r="B875" s="36"/>
      <c r="C875" s="7"/>
      <c r="D875" s="38"/>
      <c r="E875" s="37"/>
      <c r="F875" s="7"/>
    </row>
    <row r="876" customFormat="false" ht="21" hidden="false" customHeight="true" outlineLevel="0" collapsed="false">
      <c r="B876" s="36"/>
      <c r="C876" s="7"/>
      <c r="D876" s="38"/>
      <c r="E876" s="37"/>
      <c r="F876" s="7"/>
    </row>
    <row r="877" customFormat="false" ht="21" hidden="false" customHeight="true" outlineLevel="0" collapsed="false">
      <c r="B877" s="36"/>
      <c r="C877" s="7"/>
      <c r="D877" s="38"/>
      <c r="E877" s="37"/>
      <c r="F877" s="7"/>
    </row>
    <row r="878" customFormat="false" ht="21" hidden="false" customHeight="true" outlineLevel="0" collapsed="false">
      <c r="B878" s="36"/>
      <c r="C878" s="7"/>
      <c r="D878" s="38"/>
      <c r="E878" s="37"/>
      <c r="F878" s="7"/>
    </row>
    <row r="879" customFormat="false" ht="21" hidden="false" customHeight="true" outlineLevel="0" collapsed="false">
      <c r="B879" s="36"/>
      <c r="C879" s="7"/>
      <c r="D879" s="38"/>
      <c r="E879" s="37"/>
      <c r="F879" s="7"/>
    </row>
    <row r="880" customFormat="false" ht="21" hidden="false" customHeight="true" outlineLevel="0" collapsed="false">
      <c r="B880" s="36"/>
      <c r="C880" s="7"/>
      <c r="D880" s="38"/>
      <c r="E880" s="37"/>
      <c r="F880" s="7"/>
    </row>
    <row r="881" customFormat="false" ht="21" hidden="false" customHeight="true" outlineLevel="0" collapsed="false">
      <c r="B881" s="36"/>
      <c r="C881" s="7"/>
      <c r="D881" s="38"/>
      <c r="E881" s="37"/>
      <c r="F881" s="7"/>
    </row>
    <row r="882" customFormat="false" ht="21" hidden="false" customHeight="true" outlineLevel="0" collapsed="false">
      <c r="B882" s="36"/>
      <c r="C882" s="7"/>
      <c r="D882" s="38"/>
      <c r="E882" s="37"/>
      <c r="F882" s="7"/>
    </row>
    <row r="883" customFormat="false" ht="21" hidden="false" customHeight="true" outlineLevel="0" collapsed="false">
      <c r="B883" s="36"/>
      <c r="C883" s="7"/>
      <c r="D883" s="38"/>
      <c r="E883" s="37"/>
      <c r="F883" s="7"/>
    </row>
    <row r="884" customFormat="false" ht="21" hidden="false" customHeight="true" outlineLevel="0" collapsed="false">
      <c r="B884" s="36"/>
      <c r="C884" s="7"/>
      <c r="D884" s="38"/>
      <c r="E884" s="37"/>
      <c r="F884" s="7"/>
    </row>
    <row r="885" customFormat="false" ht="21" hidden="false" customHeight="true" outlineLevel="0" collapsed="false">
      <c r="B885" s="36"/>
      <c r="C885" s="7"/>
      <c r="D885" s="38"/>
      <c r="E885" s="37"/>
      <c r="F885" s="7"/>
    </row>
    <row r="886" customFormat="false" ht="21" hidden="false" customHeight="true" outlineLevel="0" collapsed="false">
      <c r="B886" s="36"/>
      <c r="C886" s="7"/>
      <c r="D886" s="38"/>
      <c r="E886" s="37"/>
      <c r="F886" s="7"/>
    </row>
    <row r="887" customFormat="false" ht="21" hidden="false" customHeight="true" outlineLevel="0" collapsed="false">
      <c r="B887" s="36"/>
      <c r="C887" s="7"/>
      <c r="D887" s="38"/>
      <c r="E887" s="37"/>
      <c r="F887" s="7"/>
    </row>
    <row r="888" customFormat="false" ht="21" hidden="false" customHeight="true" outlineLevel="0" collapsed="false">
      <c r="B888" s="36"/>
      <c r="C888" s="7"/>
      <c r="D888" s="38"/>
      <c r="E888" s="37"/>
      <c r="F888" s="7"/>
    </row>
    <row r="889" customFormat="false" ht="21" hidden="false" customHeight="true" outlineLevel="0" collapsed="false">
      <c r="B889" s="36"/>
      <c r="C889" s="7"/>
      <c r="D889" s="38"/>
      <c r="E889" s="37"/>
      <c r="F889" s="7"/>
    </row>
    <row r="890" customFormat="false" ht="21" hidden="false" customHeight="true" outlineLevel="0" collapsed="false">
      <c r="B890" s="36"/>
      <c r="C890" s="7"/>
      <c r="D890" s="38"/>
      <c r="E890" s="37"/>
      <c r="F890" s="7"/>
    </row>
    <row r="891" customFormat="false" ht="21" hidden="false" customHeight="true" outlineLevel="0" collapsed="false">
      <c r="B891" s="36"/>
      <c r="C891" s="7"/>
      <c r="D891" s="38"/>
      <c r="E891" s="37"/>
      <c r="F891" s="7"/>
    </row>
    <row r="892" customFormat="false" ht="21" hidden="false" customHeight="true" outlineLevel="0" collapsed="false">
      <c r="B892" s="36"/>
      <c r="C892" s="7"/>
      <c r="D892" s="38"/>
      <c r="E892" s="37"/>
      <c r="F892" s="7"/>
    </row>
    <row r="893" customFormat="false" ht="21" hidden="false" customHeight="true" outlineLevel="0" collapsed="false">
      <c r="B893" s="36"/>
      <c r="C893" s="7"/>
      <c r="D893" s="38"/>
      <c r="E893" s="37"/>
      <c r="F893" s="7"/>
    </row>
    <row r="894" customFormat="false" ht="21" hidden="false" customHeight="true" outlineLevel="0" collapsed="false">
      <c r="B894" s="36"/>
      <c r="C894" s="7"/>
      <c r="D894" s="38"/>
      <c r="E894" s="37"/>
      <c r="F894" s="7"/>
    </row>
    <row r="895" customFormat="false" ht="21" hidden="false" customHeight="true" outlineLevel="0" collapsed="false">
      <c r="B895" s="36"/>
      <c r="C895" s="7"/>
      <c r="D895" s="38"/>
      <c r="E895" s="37"/>
      <c r="F895" s="7"/>
    </row>
    <row r="896" customFormat="false" ht="21" hidden="false" customHeight="true" outlineLevel="0" collapsed="false">
      <c r="B896" s="36"/>
      <c r="C896" s="7"/>
      <c r="D896" s="38"/>
      <c r="E896" s="37"/>
      <c r="F896" s="7"/>
    </row>
    <row r="897" customFormat="false" ht="21" hidden="false" customHeight="true" outlineLevel="0" collapsed="false">
      <c r="B897" s="36"/>
      <c r="C897" s="7"/>
      <c r="D897" s="38"/>
      <c r="E897" s="37"/>
      <c r="F897" s="7"/>
    </row>
    <row r="898" customFormat="false" ht="21" hidden="false" customHeight="true" outlineLevel="0" collapsed="false">
      <c r="B898" s="36"/>
      <c r="C898" s="7"/>
      <c r="D898" s="38"/>
      <c r="E898" s="37"/>
      <c r="F898" s="7"/>
    </row>
    <row r="899" customFormat="false" ht="21" hidden="false" customHeight="true" outlineLevel="0" collapsed="false">
      <c r="B899" s="36"/>
      <c r="C899" s="7"/>
      <c r="D899" s="38"/>
      <c r="E899" s="37"/>
      <c r="F899" s="7"/>
    </row>
    <row r="900" customFormat="false" ht="21" hidden="false" customHeight="true" outlineLevel="0" collapsed="false">
      <c r="B900" s="36"/>
      <c r="C900" s="7"/>
      <c r="D900" s="38"/>
      <c r="E900" s="37"/>
      <c r="F900" s="7"/>
    </row>
    <row r="901" customFormat="false" ht="21" hidden="false" customHeight="true" outlineLevel="0" collapsed="false">
      <c r="B901" s="36"/>
      <c r="C901" s="7"/>
      <c r="D901" s="38"/>
      <c r="E901" s="37"/>
      <c r="F901" s="7"/>
    </row>
    <row r="902" customFormat="false" ht="21" hidden="false" customHeight="true" outlineLevel="0" collapsed="false">
      <c r="B902" s="36"/>
      <c r="C902" s="7"/>
      <c r="D902" s="38"/>
      <c r="E902" s="37"/>
      <c r="F902" s="7"/>
    </row>
    <row r="903" customFormat="false" ht="21" hidden="false" customHeight="true" outlineLevel="0" collapsed="false">
      <c r="B903" s="36"/>
      <c r="C903" s="7"/>
      <c r="D903" s="38"/>
      <c r="E903" s="37"/>
      <c r="F903" s="7"/>
    </row>
    <row r="904" customFormat="false" ht="21" hidden="false" customHeight="true" outlineLevel="0" collapsed="false">
      <c r="B904" s="36"/>
      <c r="C904" s="7"/>
      <c r="D904" s="38"/>
      <c r="E904" s="37"/>
      <c r="F904" s="7"/>
    </row>
    <row r="905" customFormat="false" ht="21" hidden="false" customHeight="true" outlineLevel="0" collapsed="false">
      <c r="B905" s="36"/>
      <c r="C905" s="7"/>
      <c r="D905" s="38"/>
      <c r="E905" s="37"/>
      <c r="F905" s="7"/>
    </row>
    <row r="906" customFormat="false" ht="21" hidden="false" customHeight="true" outlineLevel="0" collapsed="false">
      <c r="B906" s="36"/>
      <c r="C906" s="7"/>
      <c r="D906" s="38"/>
      <c r="E906" s="37"/>
      <c r="F906" s="7"/>
    </row>
    <row r="907" customFormat="false" ht="21" hidden="false" customHeight="true" outlineLevel="0" collapsed="false">
      <c r="B907" s="36"/>
      <c r="C907" s="7"/>
      <c r="D907" s="38"/>
      <c r="E907" s="37"/>
      <c r="F907" s="7"/>
    </row>
    <row r="908" customFormat="false" ht="21" hidden="false" customHeight="true" outlineLevel="0" collapsed="false">
      <c r="B908" s="36"/>
      <c r="C908" s="7"/>
      <c r="D908" s="38"/>
      <c r="E908" s="37"/>
      <c r="F908" s="7"/>
    </row>
    <row r="909" customFormat="false" ht="21" hidden="false" customHeight="true" outlineLevel="0" collapsed="false">
      <c r="B909" s="36"/>
      <c r="C909" s="7"/>
      <c r="D909" s="38"/>
      <c r="E909" s="37"/>
      <c r="F909" s="7"/>
    </row>
    <row r="910" customFormat="false" ht="21" hidden="false" customHeight="true" outlineLevel="0" collapsed="false">
      <c r="B910" s="36"/>
      <c r="C910" s="7"/>
      <c r="D910" s="38"/>
      <c r="E910" s="37"/>
      <c r="F910" s="7"/>
    </row>
    <row r="911" customFormat="false" ht="21" hidden="false" customHeight="true" outlineLevel="0" collapsed="false">
      <c r="B911" s="36"/>
      <c r="C911" s="7"/>
      <c r="D911" s="38"/>
      <c r="E911" s="37"/>
      <c r="F911" s="7"/>
    </row>
    <row r="912" customFormat="false" ht="21" hidden="false" customHeight="true" outlineLevel="0" collapsed="false">
      <c r="B912" s="36"/>
      <c r="C912" s="7"/>
      <c r="D912" s="38"/>
      <c r="E912" s="37"/>
      <c r="F912" s="7"/>
    </row>
    <row r="913" customFormat="false" ht="21" hidden="false" customHeight="true" outlineLevel="0" collapsed="false">
      <c r="B913" s="36"/>
      <c r="C913" s="7"/>
      <c r="D913" s="38"/>
      <c r="E913" s="37"/>
      <c r="F913" s="7"/>
    </row>
    <row r="914" customFormat="false" ht="21" hidden="false" customHeight="true" outlineLevel="0" collapsed="false">
      <c r="B914" s="36"/>
      <c r="C914" s="7"/>
      <c r="D914" s="38"/>
      <c r="E914" s="37"/>
      <c r="F914" s="7"/>
    </row>
    <row r="915" customFormat="false" ht="21" hidden="false" customHeight="true" outlineLevel="0" collapsed="false">
      <c r="B915" s="36"/>
      <c r="C915" s="7"/>
      <c r="D915" s="38"/>
      <c r="E915" s="37"/>
      <c r="F915" s="7"/>
    </row>
    <row r="916" customFormat="false" ht="21" hidden="false" customHeight="true" outlineLevel="0" collapsed="false">
      <c r="B916" s="36"/>
      <c r="C916" s="7"/>
      <c r="D916" s="38"/>
      <c r="E916" s="37"/>
      <c r="F916" s="7"/>
    </row>
    <row r="917" customFormat="false" ht="21" hidden="false" customHeight="true" outlineLevel="0" collapsed="false">
      <c r="B917" s="36"/>
      <c r="C917" s="7"/>
      <c r="D917" s="38"/>
      <c r="E917" s="37"/>
      <c r="F917" s="7"/>
    </row>
    <row r="918" customFormat="false" ht="21" hidden="false" customHeight="true" outlineLevel="0" collapsed="false">
      <c r="B918" s="36"/>
      <c r="C918" s="7"/>
      <c r="D918" s="38"/>
      <c r="E918" s="37"/>
      <c r="F918" s="7"/>
    </row>
    <row r="919" customFormat="false" ht="21" hidden="false" customHeight="true" outlineLevel="0" collapsed="false">
      <c r="B919" s="36"/>
      <c r="C919" s="7"/>
      <c r="D919" s="38"/>
      <c r="E919" s="37"/>
      <c r="F919" s="7"/>
    </row>
    <row r="920" customFormat="false" ht="21" hidden="false" customHeight="true" outlineLevel="0" collapsed="false">
      <c r="B920" s="36"/>
      <c r="C920" s="7"/>
      <c r="D920" s="38"/>
      <c r="E920" s="37"/>
      <c r="F920" s="7"/>
    </row>
    <row r="921" customFormat="false" ht="21" hidden="false" customHeight="true" outlineLevel="0" collapsed="false">
      <c r="B921" s="36"/>
      <c r="C921" s="7"/>
      <c r="D921" s="38"/>
      <c r="E921" s="37"/>
      <c r="F921" s="7"/>
    </row>
    <row r="922" customFormat="false" ht="21" hidden="false" customHeight="true" outlineLevel="0" collapsed="false">
      <c r="B922" s="36"/>
      <c r="C922" s="7"/>
      <c r="D922" s="38"/>
      <c r="E922" s="37"/>
      <c r="F922" s="7"/>
    </row>
    <row r="923" customFormat="false" ht="21" hidden="false" customHeight="true" outlineLevel="0" collapsed="false">
      <c r="B923" s="36"/>
      <c r="C923" s="7"/>
      <c r="D923" s="38"/>
      <c r="E923" s="37"/>
      <c r="F923" s="7"/>
    </row>
    <row r="924" customFormat="false" ht="21" hidden="false" customHeight="true" outlineLevel="0" collapsed="false">
      <c r="B924" s="36"/>
      <c r="C924" s="7"/>
      <c r="D924" s="38"/>
      <c r="E924" s="37"/>
      <c r="F924" s="7"/>
    </row>
    <row r="925" customFormat="false" ht="21" hidden="false" customHeight="true" outlineLevel="0" collapsed="false">
      <c r="B925" s="36"/>
      <c r="C925" s="7"/>
      <c r="D925" s="38"/>
      <c r="E925" s="37"/>
      <c r="F925" s="7"/>
    </row>
    <row r="926" customFormat="false" ht="21" hidden="false" customHeight="true" outlineLevel="0" collapsed="false">
      <c r="B926" s="36"/>
      <c r="C926" s="7"/>
      <c r="D926" s="38"/>
      <c r="E926" s="37"/>
      <c r="F926" s="7"/>
    </row>
    <row r="927" customFormat="false" ht="21" hidden="false" customHeight="true" outlineLevel="0" collapsed="false">
      <c r="B927" s="36"/>
      <c r="C927" s="7"/>
      <c r="D927" s="38"/>
      <c r="E927" s="37"/>
      <c r="F927" s="7"/>
    </row>
    <row r="928" customFormat="false" ht="21" hidden="false" customHeight="true" outlineLevel="0" collapsed="false">
      <c r="B928" s="36"/>
      <c r="C928" s="7"/>
      <c r="D928" s="38"/>
      <c r="E928" s="37"/>
      <c r="F928" s="7"/>
    </row>
    <row r="929" customFormat="false" ht="21" hidden="false" customHeight="true" outlineLevel="0" collapsed="false">
      <c r="B929" s="36"/>
      <c r="C929" s="7"/>
      <c r="D929" s="38"/>
      <c r="E929" s="37"/>
      <c r="F929" s="7"/>
    </row>
    <row r="930" customFormat="false" ht="21" hidden="false" customHeight="true" outlineLevel="0" collapsed="false">
      <c r="B930" s="36"/>
      <c r="C930" s="7"/>
      <c r="D930" s="38"/>
      <c r="E930" s="37"/>
      <c r="F930" s="7"/>
    </row>
    <row r="931" customFormat="false" ht="21" hidden="false" customHeight="true" outlineLevel="0" collapsed="false">
      <c r="B931" s="36"/>
      <c r="C931" s="7"/>
      <c r="D931" s="38"/>
      <c r="E931" s="37"/>
      <c r="F931" s="7"/>
    </row>
    <row r="932" customFormat="false" ht="21" hidden="false" customHeight="true" outlineLevel="0" collapsed="false">
      <c r="B932" s="36"/>
      <c r="C932" s="7"/>
      <c r="D932" s="38"/>
      <c r="E932" s="37"/>
      <c r="F932" s="7"/>
    </row>
    <row r="933" customFormat="false" ht="21" hidden="false" customHeight="true" outlineLevel="0" collapsed="false">
      <c r="B933" s="36"/>
      <c r="C933" s="7"/>
      <c r="D933" s="38"/>
      <c r="E933" s="37"/>
      <c r="F933" s="7"/>
    </row>
    <row r="934" customFormat="false" ht="21" hidden="false" customHeight="true" outlineLevel="0" collapsed="false">
      <c r="B934" s="36"/>
      <c r="C934" s="7"/>
      <c r="D934" s="38"/>
      <c r="E934" s="37"/>
      <c r="F934" s="7"/>
    </row>
    <row r="935" customFormat="false" ht="21" hidden="false" customHeight="true" outlineLevel="0" collapsed="false">
      <c r="B935" s="36"/>
      <c r="C935" s="7"/>
      <c r="D935" s="38"/>
      <c r="E935" s="37"/>
      <c r="F935" s="7"/>
    </row>
    <row r="936" customFormat="false" ht="21" hidden="false" customHeight="true" outlineLevel="0" collapsed="false">
      <c r="B936" s="36"/>
      <c r="C936" s="7"/>
      <c r="D936" s="38"/>
      <c r="E936" s="37"/>
      <c r="F936" s="7"/>
    </row>
    <row r="937" customFormat="false" ht="21" hidden="false" customHeight="true" outlineLevel="0" collapsed="false">
      <c r="B937" s="36"/>
      <c r="C937" s="7"/>
      <c r="D937" s="38"/>
      <c r="E937" s="37"/>
      <c r="F937" s="7"/>
    </row>
    <row r="938" customFormat="false" ht="21" hidden="false" customHeight="true" outlineLevel="0" collapsed="false">
      <c r="B938" s="36"/>
      <c r="C938" s="7"/>
      <c r="D938" s="38"/>
      <c r="E938" s="37"/>
      <c r="F938" s="7"/>
    </row>
    <row r="939" customFormat="false" ht="21" hidden="false" customHeight="true" outlineLevel="0" collapsed="false">
      <c r="B939" s="36"/>
      <c r="C939" s="7"/>
      <c r="D939" s="38"/>
      <c r="E939" s="37"/>
      <c r="F939" s="7"/>
    </row>
    <row r="940" customFormat="false" ht="21" hidden="false" customHeight="true" outlineLevel="0" collapsed="false">
      <c r="B940" s="36"/>
      <c r="C940" s="7"/>
      <c r="D940" s="38"/>
      <c r="E940" s="37"/>
      <c r="F940" s="7"/>
    </row>
    <row r="941" customFormat="false" ht="21" hidden="false" customHeight="true" outlineLevel="0" collapsed="false">
      <c r="B941" s="36"/>
      <c r="C941" s="7"/>
      <c r="D941" s="38"/>
      <c r="E941" s="37"/>
      <c r="F941" s="7"/>
    </row>
    <row r="942" customFormat="false" ht="21" hidden="false" customHeight="true" outlineLevel="0" collapsed="false">
      <c r="B942" s="36"/>
      <c r="C942" s="7"/>
      <c r="D942" s="38"/>
      <c r="E942" s="37"/>
      <c r="F942" s="7"/>
    </row>
    <row r="943" customFormat="false" ht="21" hidden="false" customHeight="true" outlineLevel="0" collapsed="false">
      <c r="B943" s="36"/>
      <c r="C943" s="7"/>
      <c r="D943" s="38"/>
      <c r="E943" s="37"/>
      <c r="F943" s="7"/>
    </row>
    <row r="944" customFormat="false" ht="21" hidden="false" customHeight="true" outlineLevel="0" collapsed="false">
      <c r="B944" s="36"/>
      <c r="C944" s="7"/>
      <c r="D944" s="38"/>
      <c r="E944" s="37"/>
      <c r="F944" s="7"/>
    </row>
    <row r="945" customFormat="false" ht="21" hidden="false" customHeight="true" outlineLevel="0" collapsed="false">
      <c r="B945" s="36"/>
      <c r="C945" s="7"/>
      <c r="D945" s="38"/>
      <c r="E945" s="37"/>
      <c r="F945" s="7"/>
    </row>
    <row r="946" customFormat="false" ht="21" hidden="false" customHeight="true" outlineLevel="0" collapsed="false">
      <c r="B946" s="36"/>
      <c r="C946" s="7"/>
      <c r="D946" s="38"/>
      <c r="E946" s="37"/>
      <c r="F946" s="7"/>
    </row>
    <row r="947" customFormat="false" ht="21" hidden="false" customHeight="true" outlineLevel="0" collapsed="false">
      <c r="B947" s="36"/>
      <c r="C947" s="7"/>
      <c r="D947" s="38"/>
      <c r="E947" s="37"/>
      <c r="F947" s="7"/>
    </row>
    <row r="948" customFormat="false" ht="21" hidden="false" customHeight="true" outlineLevel="0" collapsed="false">
      <c r="B948" s="36"/>
      <c r="C948" s="7"/>
      <c r="D948" s="38"/>
      <c r="E948" s="37"/>
      <c r="F948" s="7"/>
    </row>
    <row r="949" customFormat="false" ht="21" hidden="false" customHeight="true" outlineLevel="0" collapsed="false">
      <c r="B949" s="36"/>
      <c r="C949" s="7"/>
      <c r="D949" s="38"/>
      <c r="E949" s="37"/>
      <c r="F949" s="7"/>
    </row>
    <row r="950" customFormat="false" ht="21" hidden="false" customHeight="true" outlineLevel="0" collapsed="false">
      <c r="B950" s="36"/>
      <c r="C950" s="7"/>
      <c r="D950" s="38"/>
      <c r="E950" s="37"/>
      <c r="F950" s="7"/>
    </row>
    <row r="951" customFormat="false" ht="21" hidden="false" customHeight="true" outlineLevel="0" collapsed="false">
      <c r="B951" s="36"/>
      <c r="C951" s="7"/>
      <c r="D951" s="38"/>
      <c r="E951" s="37"/>
      <c r="F951" s="7"/>
    </row>
    <row r="952" customFormat="false" ht="21" hidden="false" customHeight="true" outlineLevel="0" collapsed="false">
      <c r="B952" s="36"/>
      <c r="C952" s="7"/>
      <c r="D952" s="38"/>
      <c r="E952" s="37"/>
      <c r="F952" s="7"/>
    </row>
    <row r="953" customFormat="false" ht="21" hidden="false" customHeight="true" outlineLevel="0" collapsed="false">
      <c r="B953" s="36"/>
      <c r="C953" s="7"/>
      <c r="D953" s="38"/>
      <c r="E953" s="37"/>
      <c r="F953" s="7"/>
    </row>
    <row r="954" customFormat="false" ht="21" hidden="false" customHeight="true" outlineLevel="0" collapsed="false">
      <c r="B954" s="36"/>
      <c r="C954" s="7"/>
      <c r="D954" s="38"/>
      <c r="E954" s="37"/>
      <c r="F954" s="7"/>
    </row>
    <row r="955" customFormat="false" ht="21" hidden="false" customHeight="true" outlineLevel="0" collapsed="false">
      <c r="B955" s="36"/>
      <c r="C955" s="7"/>
      <c r="D955" s="38"/>
      <c r="E955" s="37"/>
      <c r="F955" s="7"/>
    </row>
    <row r="956" customFormat="false" ht="21" hidden="false" customHeight="true" outlineLevel="0" collapsed="false">
      <c r="B956" s="36"/>
      <c r="C956" s="7"/>
      <c r="D956" s="38"/>
      <c r="E956" s="37"/>
      <c r="F956" s="7"/>
    </row>
    <row r="957" customFormat="false" ht="21" hidden="false" customHeight="true" outlineLevel="0" collapsed="false">
      <c r="B957" s="36"/>
      <c r="C957" s="7"/>
      <c r="D957" s="38"/>
      <c r="E957" s="37"/>
      <c r="F957" s="7"/>
    </row>
    <row r="958" customFormat="false" ht="21" hidden="false" customHeight="true" outlineLevel="0" collapsed="false">
      <c r="B958" s="36"/>
      <c r="C958" s="7"/>
      <c r="D958" s="38"/>
      <c r="E958" s="37"/>
      <c r="F958" s="7"/>
    </row>
    <row r="959" customFormat="false" ht="21" hidden="false" customHeight="true" outlineLevel="0" collapsed="false">
      <c r="B959" s="36"/>
      <c r="C959" s="7"/>
      <c r="D959" s="38"/>
      <c r="E959" s="37"/>
      <c r="F959" s="7"/>
    </row>
    <row r="960" customFormat="false" ht="21" hidden="false" customHeight="true" outlineLevel="0" collapsed="false">
      <c r="B960" s="36"/>
      <c r="C960" s="7"/>
      <c r="D960" s="38"/>
      <c r="E960" s="37"/>
      <c r="F960" s="7"/>
    </row>
    <row r="961" customFormat="false" ht="21" hidden="false" customHeight="true" outlineLevel="0" collapsed="false">
      <c r="B961" s="36"/>
      <c r="C961" s="7"/>
      <c r="D961" s="38"/>
      <c r="E961" s="37"/>
      <c r="F961" s="7"/>
    </row>
    <row r="962" customFormat="false" ht="21" hidden="false" customHeight="true" outlineLevel="0" collapsed="false">
      <c r="B962" s="36"/>
      <c r="C962" s="7"/>
      <c r="D962" s="38"/>
      <c r="E962" s="37"/>
      <c r="F962" s="7"/>
    </row>
    <row r="963" customFormat="false" ht="21" hidden="false" customHeight="true" outlineLevel="0" collapsed="false">
      <c r="B963" s="36"/>
      <c r="C963" s="7"/>
      <c r="D963" s="38"/>
      <c r="E963" s="37"/>
      <c r="F963" s="7"/>
    </row>
    <row r="964" customFormat="false" ht="21" hidden="false" customHeight="true" outlineLevel="0" collapsed="false">
      <c r="B964" s="36"/>
      <c r="C964" s="7"/>
      <c r="D964" s="38"/>
      <c r="E964" s="37"/>
      <c r="F964" s="7"/>
    </row>
    <row r="965" customFormat="false" ht="21" hidden="false" customHeight="true" outlineLevel="0" collapsed="false">
      <c r="B965" s="36"/>
      <c r="C965" s="7"/>
      <c r="D965" s="38"/>
      <c r="E965" s="37"/>
      <c r="F965" s="7"/>
    </row>
    <row r="966" customFormat="false" ht="21" hidden="false" customHeight="true" outlineLevel="0" collapsed="false">
      <c r="B966" s="36"/>
      <c r="C966" s="7"/>
      <c r="D966" s="38"/>
      <c r="E966" s="37"/>
      <c r="F966" s="7"/>
    </row>
    <row r="967" customFormat="false" ht="21" hidden="false" customHeight="true" outlineLevel="0" collapsed="false">
      <c r="B967" s="36"/>
      <c r="C967" s="7"/>
      <c r="D967" s="38"/>
      <c r="E967" s="37"/>
      <c r="F967" s="7"/>
    </row>
    <row r="968" customFormat="false" ht="21" hidden="false" customHeight="true" outlineLevel="0" collapsed="false">
      <c r="B968" s="36"/>
      <c r="C968" s="7"/>
      <c r="D968" s="38"/>
      <c r="E968" s="37"/>
      <c r="F968" s="7"/>
    </row>
    <row r="969" customFormat="false" ht="21" hidden="false" customHeight="true" outlineLevel="0" collapsed="false">
      <c r="B969" s="36"/>
      <c r="C969" s="7"/>
      <c r="D969" s="38"/>
      <c r="E969" s="37"/>
      <c r="F969" s="7"/>
    </row>
    <row r="970" customFormat="false" ht="21" hidden="false" customHeight="true" outlineLevel="0" collapsed="false">
      <c r="B970" s="36"/>
      <c r="C970" s="7"/>
      <c r="D970" s="38"/>
      <c r="E970" s="37"/>
      <c r="F970" s="7"/>
    </row>
    <row r="971" customFormat="false" ht="21" hidden="false" customHeight="true" outlineLevel="0" collapsed="false">
      <c r="B971" s="36"/>
      <c r="C971" s="7"/>
      <c r="D971" s="38"/>
      <c r="E971" s="37"/>
      <c r="F971" s="7"/>
    </row>
    <row r="972" customFormat="false" ht="21" hidden="false" customHeight="true" outlineLevel="0" collapsed="false">
      <c r="B972" s="36"/>
      <c r="C972" s="7"/>
      <c r="D972" s="38"/>
      <c r="E972" s="37"/>
      <c r="F972" s="7"/>
    </row>
    <row r="973" customFormat="false" ht="21" hidden="false" customHeight="true" outlineLevel="0" collapsed="false">
      <c r="B973" s="36"/>
      <c r="C973" s="7"/>
      <c r="D973" s="38"/>
      <c r="E973" s="37"/>
      <c r="F973" s="7"/>
    </row>
    <row r="974" customFormat="false" ht="21" hidden="false" customHeight="true" outlineLevel="0" collapsed="false">
      <c r="B974" s="36"/>
      <c r="C974" s="7"/>
      <c r="D974" s="38"/>
      <c r="E974" s="37"/>
      <c r="F974" s="7"/>
    </row>
    <row r="975" customFormat="false" ht="21" hidden="false" customHeight="true" outlineLevel="0" collapsed="false">
      <c r="B975" s="36"/>
      <c r="C975" s="7"/>
      <c r="D975" s="38"/>
      <c r="E975" s="37"/>
      <c r="F975" s="7"/>
    </row>
    <row r="976" customFormat="false" ht="21" hidden="false" customHeight="true" outlineLevel="0" collapsed="false">
      <c r="B976" s="36"/>
      <c r="C976" s="7"/>
      <c r="D976" s="38"/>
      <c r="E976" s="37"/>
      <c r="F976" s="7"/>
    </row>
    <row r="977" customFormat="false" ht="21" hidden="false" customHeight="true" outlineLevel="0" collapsed="false">
      <c r="B977" s="36"/>
      <c r="C977" s="7"/>
      <c r="D977" s="38"/>
      <c r="E977" s="37"/>
      <c r="F977" s="7"/>
    </row>
    <row r="978" customFormat="false" ht="21" hidden="false" customHeight="true" outlineLevel="0" collapsed="false">
      <c r="B978" s="36"/>
      <c r="C978" s="7"/>
      <c r="D978" s="38"/>
      <c r="E978" s="37"/>
      <c r="F978" s="7"/>
    </row>
    <row r="979" customFormat="false" ht="21" hidden="false" customHeight="true" outlineLevel="0" collapsed="false">
      <c r="B979" s="36"/>
      <c r="C979" s="7"/>
      <c r="D979" s="38"/>
      <c r="E979" s="37"/>
      <c r="F979" s="7"/>
    </row>
    <row r="980" customFormat="false" ht="21" hidden="false" customHeight="true" outlineLevel="0" collapsed="false">
      <c r="B980" s="36"/>
      <c r="C980" s="7"/>
      <c r="D980" s="38"/>
      <c r="E980" s="37"/>
      <c r="F980" s="7"/>
    </row>
    <row r="981" customFormat="false" ht="21" hidden="false" customHeight="true" outlineLevel="0" collapsed="false">
      <c r="B981" s="36"/>
      <c r="C981" s="7"/>
      <c r="D981" s="38"/>
      <c r="E981" s="37"/>
      <c r="F981" s="7"/>
    </row>
    <row r="982" customFormat="false" ht="21" hidden="false" customHeight="true" outlineLevel="0" collapsed="false">
      <c r="B982" s="36"/>
      <c r="C982" s="7"/>
      <c r="D982" s="38"/>
      <c r="E982" s="37"/>
      <c r="F982" s="7"/>
    </row>
    <row r="983" customFormat="false" ht="21" hidden="false" customHeight="true" outlineLevel="0" collapsed="false">
      <c r="B983" s="36"/>
      <c r="C983" s="7"/>
      <c r="D983" s="38"/>
      <c r="E983" s="37"/>
      <c r="F983" s="7"/>
    </row>
    <row r="984" customFormat="false" ht="21" hidden="false" customHeight="true" outlineLevel="0" collapsed="false">
      <c r="B984" s="36"/>
      <c r="C984" s="7"/>
      <c r="D984" s="38"/>
      <c r="E984" s="37"/>
      <c r="F984" s="7"/>
    </row>
    <row r="985" customFormat="false" ht="21" hidden="false" customHeight="true" outlineLevel="0" collapsed="false">
      <c r="B985" s="36"/>
      <c r="C985" s="7"/>
      <c r="D985" s="38"/>
      <c r="E985" s="37"/>
      <c r="F985" s="7"/>
    </row>
    <row r="986" customFormat="false" ht="21" hidden="false" customHeight="true" outlineLevel="0" collapsed="false">
      <c r="B986" s="36"/>
      <c r="C986" s="7"/>
      <c r="D986" s="38"/>
      <c r="E986" s="37"/>
      <c r="F986" s="7"/>
    </row>
    <row r="987" customFormat="false" ht="21" hidden="false" customHeight="true" outlineLevel="0" collapsed="false">
      <c r="B987" s="36"/>
      <c r="C987" s="7"/>
      <c r="D987" s="38"/>
      <c r="E987" s="37"/>
      <c r="F987" s="7"/>
    </row>
    <row r="988" customFormat="false" ht="21" hidden="false" customHeight="true" outlineLevel="0" collapsed="false">
      <c r="B988" s="36"/>
      <c r="C988" s="7"/>
      <c r="D988" s="38"/>
      <c r="E988" s="37"/>
      <c r="F988" s="7"/>
    </row>
    <row r="989" customFormat="false" ht="21" hidden="false" customHeight="true" outlineLevel="0" collapsed="false">
      <c r="B989" s="36"/>
      <c r="C989" s="7"/>
      <c r="D989" s="38"/>
      <c r="E989" s="37"/>
      <c r="F989" s="7"/>
    </row>
    <row r="990" customFormat="false" ht="21" hidden="false" customHeight="true" outlineLevel="0" collapsed="false">
      <c r="B990" s="36"/>
      <c r="C990" s="7"/>
      <c r="D990" s="38"/>
      <c r="E990" s="37"/>
      <c r="F990" s="7"/>
    </row>
    <row r="991" customFormat="false" ht="21" hidden="false" customHeight="true" outlineLevel="0" collapsed="false">
      <c r="B991" s="36"/>
      <c r="C991" s="7"/>
      <c r="D991" s="38"/>
      <c r="E991" s="37"/>
      <c r="F991" s="7"/>
    </row>
    <row r="992" customFormat="false" ht="21" hidden="false" customHeight="true" outlineLevel="0" collapsed="false">
      <c r="B992" s="36"/>
      <c r="C992" s="7"/>
      <c r="D992" s="38"/>
      <c r="E992" s="37"/>
      <c r="F992" s="7"/>
    </row>
    <row r="993" customFormat="false" ht="21" hidden="false" customHeight="true" outlineLevel="0" collapsed="false">
      <c r="B993" s="36"/>
      <c r="C993" s="7"/>
      <c r="D993" s="38"/>
      <c r="E993" s="37"/>
      <c r="F993" s="7"/>
    </row>
    <row r="994" customFormat="false" ht="21" hidden="false" customHeight="true" outlineLevel="0" collapsed="false">
      <c r="B994" s="36"/>
      <c r="C994" s="7"/>
      <c r="D994" s="38"/>
      <c r="E994" s="37"/>
      <c r="F994" s="7"/>
    </row>
    <row r="995" customFormat="false" ht="21" hidden="false" customHeight="true" outlineLevel="0" collapsed="false">
      <c r="B995" s="36"/>
      <c r="C995" s="7"/>
      <c r="D995" s="38"/>
      <c r="E995" s="37"/>
      <c r="F995" s="7"/>
    </row>
    <row r="996" customFormat="false" ht="21" hidden="false" customHeight="true" outlineLevel="0" collapsed="false">
      <c r="B996" s="36"/>
      <c r="C996" s="7"/>
      <c r="D996" s="38"/>
      <c r="E996" s="37"/>
      <c r="F996" s="7"/>
    </row>
    <row r="997" customFormat="false" ht="21" hidden="false" customHeight="true" outlineLevel="0" collapsed="false">
      <c r="B997" s="36"/>
      <c r="C997" s="7"/>
      <c r="D997" s="38"/>
      <c r="E997" s="37"/>
      <c r="F997" s="7"/>
    </row>
    <row r="998" customFormat="false" ht="21" hidden="false" customHeight="true" outlineLevel="0" collapsed="false">
      <c r="B998" s="36"/>
      <c r="C998" s="7"/>
      <c r="D998" s="38"/>
      <c r="E998" s="37"/>
      <c r="F998" s="7"/>
    </row>
    <row r="999" customFormat="false" ht="21" hidden="false" customHeight="true" outlineLevel="0" collapsed="false">
      <c r="B999" s="36"/>
      <c r="C999" s="7"/>
      <c r="D999" s="38"/>
      <c r="E999" s="37"/>
      <c r="F999" s="7"/>
    </row>
    <row r="1000" customFormat="false" ht="21" hidden="false" customHeight="true" outlineLevel="0" collapsed="false">
      <c r="B1000" s="36"/>
      <c r="C1000" s="7"/>
      <c r="D1000" s="38"/>
      <c r="E1000" s="37"/>
      <c r="F1000" s="7"/>
    </row>
    <row r="1001" customFormat="false" ht="21" hidden="false" customHeight="true" outlineLevel="0" collapsed="false">
      <c r="B1001" s="36"/>
      <c r="C1001" s="7"/>
      <c r="D1001" s="38"/>
      <c r="E1001" s="37"/>
      <c r="F1001" s="7"/>
    </row>
    <row r="1002" customFormat="false" ht="21" hidden="false" customHeight="true" outlineLevel="0" collapsed="false">
      <c r="B1002" s="36"/>
      <c r="C1002" s="7"/>
      <c r="D1002" s="38"/>
      <c r="E1002" s="37"/>
      <c r="F1002" s="7"/>
    </row>
    <row r="1003" customFormat="false" ht="21" hidden="false" customHeight="true" outlineLevel="0" collapsed="false">
      <c r="B1003" s="36"/>
      <c r="C1003" s="7"/>
      <c r="D1003" s="38"/>
      <c r="E1003" s="37"/>
      <c r="F1003" s="7"/>
    </row>
    <row r="1004" customFormat="false" ht="21" hidden="false" customHeight="true" outlineLevel="0" collapsed="false">
      <c r="B1004" s="36"/>
      <c r="C1004" s="7"/>
      <c r="D1004" s="38"/>
      <c r="E1004" s="37"/>
      <c r="F1004" s="7"/>
    </row>
    <row r="1005" customFormat="false" ht="21" hidden="false" customHeight="true" outlineLevel="0" collapsed="false">
      <c r="B1005" s="36"/>
      <c r="C1005" s="7"/>
      <c r="D1005" s="38"/>
      <c r="E1005" s="37"/>
      <c r="F1005" s="7"/>
    </row>
    <row r="1006" customFormat="false" ht="21" hidden="false" customHeight="true" outlineLevel="0" collapsed="false">
      <c r="B1006" s="36"/>
      <c r="C1006" s="7"/>
      <c r="D1006" s="38"/>
      <c r="E1006" s="37"/>
      <c r="F1006" s="7"/>
    </row>
    <row r="1007" customFormat="false" ht="21" hidden="false" customHeight="true" outlineLevel="0" collapsed="false">
      <c r="B1007" s="36"/>
      <c r="C1007" s="7"/>
      <c r="D1007" s="38"/>
      <c r="E1007" s="37"/>
      <c r="F1007" s="7"/>
    </row>
    <row r="1008" customFormat="false" ht="21" hidden="false" customHeight="true" outlineLevel="0" collapsed="false">
      <c r="B1008" s="36"/>
      <c r="C1008" s="7"/>
      <c r="D1008" s="38"/>
      <c r="E1008" s="37"/>
      <c r="F1008" s="7"/>
    </row>
    <row r="1009" customFormat="false" ht="21" hidden="false" customHeight="true" outlineLevel="0" collapsed="false"/>
    <row r="1010" customFormat="false" ht="21" hidden="false" customHeight="true" outlineLevel="0" collapsed="false"/>
    <row r="1011" customFormat="false" ht="21" hidden="false" customHeight="true" outlineLevel="0" collapsed="false"/>
    <row r="1012" customFormat="false" ht="21" hidden="false" customHeight="true" outlineLevel="0" collapsed="false"/>
    <row r="1013" customFormat="false" ht="21" hidden="false" customHeight="true" outlineLevel="0" collapsed="false"/>
    <row r="1014" customFormat="false" ht="21" hidden="false" customHeight="true" outlineLevel="0" collapsed="false"/>
    <row r="1015" customFormat="false" ht="21" hidden="false" customHeight="true" outlineLevel="0" collapsed="false"/>
    <row r="1016" customFormat="false" ht="21" hidden="false" customHeight="true" outlineLevel="0" collapsed="false"/>
    <row r="1017" customFormat="false" ht="21" hidden="false" customHeight="true" outlineLevel="0" collapsed="false"/>
    <row r="1018" customFormat="false" ht="21" hidden="false" customHeight="true" outlineLevel="0" collapsed="false"/>
    <row r="1019" customFormat="false" ht="21" hidden="false" customHeight="true" outlineLevel="0" collapsed="false"/>
    <row r="1020" customFormat="false" ht="21" hidden="false" customHeight="true" outlineLevel="0" collapsed="false"/>
    <row r="1021" customFormat="false" ht="21" hidden="false" customHeight="true" outlineLevel="0" collapsed="false"/>
    <row r="1022" customFormat="false" ht="21" hidden="false" customHeight="true" outlineLevel="0" collapsed="false"/>
    <row r="1023" customFormat="false" ht="21" hidden="false" customHeight="true" outlineLevel="0" collapsed="false"/>
    <row r="1024" customFormat="false" ht="21" hidden="false" customHeight="true" outlineLevel="0" collapsed="false"/>
    <row r="1025" customFormat="false" ht="21" hidden="false" customHeight="true" outlineLevel="0" collapsed="false"/>
    <row r="1026" customFormat="false" ht="21" hidden="false" customHeight="true" outlineLevel="0" collapsed="false"/>
    <row r="1027" customFormat="false" ht="21" hidden="false" customHeight="true" outlineLevel="0" collapsed="false"/>
    <row r="1028" customFormat="false" ht="21" hidden="false" customHeight="true" outlineLevel="0" collapsed="false"/>
    <row r="1029" customFormat="false" ht="21" hidden="false" customHeight="true" outlineLevel="0" collapsed="false"/>
    <row r="1030" customFormat="false" ht="21" hidden="false" customHeight="true" outlineLevel="0" collapsed="false"/>
    <row r="1031" customFormat="false" ht="21" hidden="false" customHeight="true" outlineLevel="0" collapsed="false"/>
    <row r="1032" customFormat="false" ht="21" hidden="false" customHeight="true" outlineLevel="0" collapsed="false"/>
    <row r="1033" customFormat="false" ht="21" hidden="false" customHeight="true" outlineLevel="0" collapsed="false"/>
    <row r="1034" customFormat="false" ht="21" hidden="false" customHeight="true" outlineLevel="0" collapsed="false"/>
    <row r="1035" customFormat="false" ht="21" hidden="false" customHeight="true" outlineLevel="0" collapsed="false"/>
    <row r="1036" customFormat="false" ht="21" hidden="false" customHeight="true" outlineLevel="0" collapsed="false"/>
    <row r="1037" customFormat="false" ht="21" hidden="false" customHeight="true" outlineLevel="0" collapsed="false"/>
    <row r="1038" customFormat="false" ht="21" hidden="false" customHeight="true" outlineLevel="0" collapsed="false"/>
    <row r="1039" customFormat="false" ht="21" hidden="false" customHeight="true" outlineLevel="0" collapsed="false"/>
    <row r="1040" customFormat="false" ht="21" hidden="false" customHeight="true" outlineLevel="0" collapsed="false"/>
    <row r="1041" customFormat="false" ht="21" hidden="false" customHeight="true" outlineLevel="0" collapsed="false"/>
    <row r="1042" customFormat="false" ht="21" hidden="false" customHeight="true" outlineLevel="0" collapsed="false"/>
    <row r="1043" customFormat="false" ht="21" hidden="false" customHeight="true" outlineLevel="0" collapsed="false"/>
    <row r="1044" customFormat="false" ht="21" hidden="false" customHeight="true" outlineLevel="0" collapsed="false"/>
    <row r="1045" customFormat="false" ht="21" hidden="false" customHeight="true" outlineLevel="0" collapsed="false"/>
    <row r="1046" customFormat="false" ht="21" hidden="false" customHeight="true" outlineLevel="0" collapsed="false"/>
    <row r="1047" customFormat="false" ht="21" hidden="false" customHeight="true" outlineLevel="0" collapsed="false"/>
    <row r="1048" customFormat="false" ht="21" hidden="false" customHeight="true" outlineLevel="0" collapsed="false"/>
    <row r="1049" customFormat="false" ht="21" hidden="false" customHeight="true" outlineLevel="0" collapsed="false"/>
    <row r="1050" customFormat="false" ht="21" hidden="false" customHeight="true" outlineLevel="0" collapsed="false"/>
    <row r="1051" customFormat="false" ht="21" hidden="false" customHeight="true" outlineLevel="0" collapsed="false"/>
    <row r="1052" customFormat="false" ht="21" hidden="false" customHeight="true" outlineLevel="0" collapsed="false"/>
    <row r="1053" customFormat="false" ht="21" hidden="false" customHeight="true" outlineLevel="0" collapsed="false"/>
    <row r="1054" customFormat="false" ht="21" hidden="false" customHeight="true" outlineLevel="0" collapsed="false"/>
    <row r="1055" customFormat="false" ht="21" hidden="false" customHeight="true" outlineLevel="0" collapsed="false"/>
    <row r="1056" customFormat="false" ht="21" hidden="false" customHeight="true" outlineLevel="0" collapsed="false"/>
    <row r="1057" customFormat="false" ht="21" hidden="false" customHeight="true" outlineLevel="0" collapsed="false"/>
    <row r="1058" customFormat="false" ht="21" hidden="false" customHeight="true" outlineLevel="0" collapsed="false"/>
    <row r="1059" customFormat="false" ht="21" hidden="false" customHeight="true" outlineLevel="0" collapsed="false"/>
    <row r="1060" customFormat="false" ht="21" hidden="false" customHeight="true" outlineLevel="0" collapsed="false"/>
    <row r="1061" customFormat="false" ht="21" hidden="false" customHeight="true" outlineLevel="0" collapsed="false"/>
    <row r="1062" customFormat="false" ht="21" hidden="false" customHeight="true" outlineLevel="0" collapsed="false"/>
    <row r="1063" customFormat="false" ht="21" hidden="false" customHeight="true" outlineLevel="0" collapsed="false"/>
    <row r="1064" customFormat="false" ht="21" hidden="false" customHeight="true" outlineLevel="0" collapsed="false"/>
    <row r="1065" customFormat="false" ht="21" hidden="false" customHeight="true" outlineLevel="0" collapsed="false"/>
    <row r="1066" customFormat="false" ht="21" hidden="false" customHeight="true" outlineLevel="0" collapsed="false"/>
    <row r="1067" customFormat="false" ht="21" hidden="false" customHeight="true" outlineLevel="0" collapsed="false"/>
    <row r="1068" customFormat="false" ht="21" hidden="false" customHeight="true" outlineLevel="0" collapsed="false"/>
    <row r="1069" customFormat="false" ht="21" hidden="false" customHeight="true" outlineLevel="0" collapsed="false"/>
    <row r="1070" customFormat="false" ht="21" hidden="false" customHeight="true" outlineLevel="0" collapsed="false"/>
    <row r="1071" customFormat="false" ht="21" hidden="false" customHeight="true" outlineLevel="0" collapsed="false"/>
    <row r="1072" customFormat="false" ht="21" hidden="false" customHeight="true" outlineLevel="0" collapsed="false"/>
    <row r="1073" customFormat="false" ht="21" hidden="false" customHeight="true" outlineLevel="0" collapsed="false"/>
    <row r="1074" customFormat="false" ht="21" hidden="false" customHeight="true" outlineLevel="0" collapsed="false"/>
    <row r="1075" customFormat="false" ht="21" hidden="false" customHeight="true" outlineLevel="0" collapsed="false"/>
    <row r="1076" customFormat="false" ht="21" hidden="false" customHeight="true" outlineLevel="0" collapsed="false"/>
    <row r="1077" customFormat="false" ht="21" hidden="false" customHeight="true" outlineLevel="0" collapsed="false"/>
    <row r="1078" customFormat="false" ht="21" hidden="false" customHeight="true" outlineLevel="0" collapsed="false"/>
    <row r="1079" customFormat="false" ht="21" hidden="false" customHeight="true" outlineLevel="0" collapsed="false"/>
    <row r="1080" customFormat="false" ht="21" hidden="false" customHeight="true" outlineLevel="0" collapsed="false"/>
    <row r="1081" customFormat="false" ht="21" hidden="false" customHeight="true" outlineLevel="0" collapsed="false"/>
    <row r="1082" customFormat="false" ht="21" hidden="false" customHeight="true" outlineLevel="0" collapsed="false"/>
    <row r="1083" customFormat="false" ht="21" hidden="false" customHeight="true" outlineLevel="0" collapsed="false"/>
    <row r="1084" customFormat="false" ht="21" hidden="false" customHeight="true" outlineLevel="0" collapsed="false"/>
    <row r="1085" customFormat="false" ht="21" hidden="false" customHeight="true" outlineLevel="0" collapsed="false"/>
    <row r="1086" customFormat="false" ht="21" hidden="false" customHeight="true" outlineLevel="0" collapsed="false"/>
    <row r="1087" customFormat="false" ht="21" hidden="false" customHeight="true" outlineLevel="0" collapsed="false"/>
    <row r="1088" customFormat="false" ht="21" hidden="false" customHeight="true" outlineLevel="0" collapsed="false"/>
    <row r="1089" customFormat="false" ht="21" hidden="false" customHeight="true" outlineLevel="0" collapsed="false"/>
    <row r="1090" customFormat="false" ht="21" hidden="false" customHeight="true" outlineLevel="0" collapsed="false"/>
    <row r="1091" customFormat="false" ht="21" hidden="false" customHeight="true" outlineLevel="0" collapsed="false"/>
    <row r="1092" customFormat="false" ht="21" hidden="false" customHeight="true" outlineLevel="0" collapsed="false"/>
    <row r="1093" customFormat="false" ht="21" hidden="false" customHeight="true" outlineLevel="0" collapsed="false"/>
    <row r="1094" customFormat="false" ht="21" hidden="false" customHeight="true" outlineLevel="0" collapsed="false"/>
    <row r="1095" customFormat="false" ht="21" hidden="false" customHeight="true" outlineLevel="0" collapsed="false"/>
    <row r="1096" customFormat="false" ht="21" hidden="false" customHeight="true" outlineLevel="0" collapsed="false"/>
    <row r="1097" customFormat="false" ht="21" hidden="false" customHeight="true" outlineLevel="0" collapsed="false"/>
    <row r="1098" customFormat="false" ht="21" hidden="false" customHeight="true" outlineLevel="0" collapsed="false"/>
    <row r="1099" customFormat="false" ht="21" hidden="false" customHeight="true" outlineLevel="0" collapsed="false"/>
    <row r="1100" customFormat="false" ht="21" hidden="false" customHeight="true" outlineLevel="0" collapsed="false"/>
    <row r="1101" customFormat="false" ht="21" hidden="false" customHeight="true" outlineLevel="0" collapsed="false"/>
    <row r="1102" customFormat="false" ht="21" hidden="false" customHeight="true" outlineLevel="0" collapsed="false"/>
    <row r="1103" customFormat="false" ht="21" hidden="false" customHeight="true" outlineLevel="0" collapsed="false"/>
    <row r="1104" customFormat="false" ht="21" hidden="false" customHeight="true" outlineLevel="0" collapsed="false"/>
    <row r="1105" customFormat="false" ht="21" hidden="false" customHeight="true" outlineLevel="0" collapsed="false"/>
    <row r="1106" customFormat="false" ht="21" hidden="false" customHeight="true" outlineLevel="0" collapsed="false"/>
    <row r="1107" customFormat="false" ht="21" hidden="false" customHeight="true" outlineLevel="0" collapsed="false"/>
    <row r="1108" customFormat="false" ht="21" hidden="false" customHeight="true" outlineLevel="0" collapsed="false"/>
    <row r="1109" customFormat="false" ht="21" hidden="false" customHeight="true" outlineLevel="0" collapsed="false"/>
    <row r="1110" customFormat="false" ht="21" hidden="false" customHeight="true" outlineLevel="0" collapsed="false"/>
    <row r="1111" customFormat="false" ht="21" hidden="false" customHeight="true" outlineLevel="0" collapsed="false"/>
    <row r="1112" customFormat="false" ht="21" hidden="false" customHeight="true" outlineLevel="0" collapsed="false"/>
    <row r="1113" customFormat="false" ht="21" hidden="false" customHeight="true" outlineLevel="0" collapsed="false"/>
    <row r="1114" customFormat="false" ht="21" hidden="false" customHeight="true" outlineLevel="0" collapsed="false"/>
    <row r="1115" customFormat="false" ht="21" hidden="false" customHeight="true" outlineLevel="0" collapsed="false"/>
    <row r="1116" customFormat="false" ht="21" hidden="false" customHeight="true" outlineLevel="0" collapsed="false"/>
    <row r="1117" customFormat="false" ht="21" hidden="false" customHeight="true" outlineLevel="0" collapsed="false"/>
    <row r="1118" customFormat="false" ht="21" hidden="false" customHeight="true" outlineLevel="0" collapsed="false"/>
    <row r="1119" customFormat="false" ht="21" hidden="false" customHeight="true" outlineLevel="0" collapsed="false"/>
    <row r="1120" customFormat="false" ht="21" hidden="false" customHeight="true" outlineLevel="0" collapsed="false"/>
    <row r="1121" customFormat="false" ht="21" hidden="false" customHeight="true" outlineLevel="0" collapsed="false"/>
    <row r="1122" customFormat="false" ht="21" hidden="false" customHeight="true" outlineLevel="0" collapsed="false"/>
    <row r="1123" customFormat="false" ht="21" hidden="false" customHeight="true" outlineLevel="0" collapsed="false"/>
    <row r="1124" customFormat="false" ht="21" hidden="false" customHeight="true" outlineLevel="0" collapsed="false"/>
    <row r="1125" customFormat="false" ht="21" hidden="false" customHeight="true" outlineLevel="0" collapsed="false"/>
    <row r="1126" customFormat="false" ht="21" hidden="false" customHeight="true" outlineLevel="0" collapsed="false"/>
    <row r="1127" customFormat="false" ht="21" hidden="false" customHeight="true" outlineLevel="0" collapsed="false"/>
    <row r="1128" customFormat="false" ht="21" hidden="false" customHeight="true" outlineLevel="0" collapsed="false"/>
    <row r="1129" customFormat="false" ht="21" hidden="false" customHeight="true" outlineLevel="0" collapsed="false"/>
    <row r="1130" customFormat="false" ht="21" hidden="false" customHeight="true" outlineLevel="0" collapsed="false"/>
    <row r="1131" customFormat="false" ht="21" hidden="false" customHeight="true" outlineLevel="0" collapsed="false"/>
    <row r="1132" customFormat="false" ht="21" hidden="false" customHeight="true" outlineLevel="0" collapsed="false"/>
    <row r="1133" customFormat="false" ht="21" hidden="false" customHeight="true" outlineLevel="0" collapsed="false"/>
    <row r="1134" customFormat="false" ht="21" hidden="false" customHeight="true" outlineLevel="0" collapsed="false"/>
    <row r="1135" customFormat="false" ht="21" hidden="false" customHeight="true" outlineLevel="0" collapsed="false"/>
    <row r="1136" customFormat="false" ht="21" hidden="false" customHeight="true" outlineLevel="0" collapsed="false"/>
    <row r="1137" customFormat="false" ht="21" hidden="false" customHeight="true" outlineLevel="0" collapsed="false"/>
    <row r="1138" customFormat="false" ht="21" hidden="false" customHeight="true" outlineLevel="0" collapsed="false"/>
    <row r="1139" customFormat="false" ht="21" hidden="false" customHeight="true" outlineLevel="0" collapsed="false"/>
    <row r="1140" customFormat="false" ht="21" hidden="false" customHeight="true" outlineLevel="0" collapsed="false"/>
    <row r="1141" customFormat="false" ht="21" hidden="false" customHeight="true" outlineLevel="0" collapsed="false"/>
    <row r="1142" customFormat="false" ht="21" hidden="false" customHeight="true" outlineLevel="0" collapsed="false"/>
    <row r="1143" customFormat="false" ht="21" hidden="false" customHeight="true" outlineLevel="0" collapsed="false"/>
    <row r="1144" customFormat="false" ht="21" hidden="false" customHeight="true" outlineLevel="0" collapsed="false"/>
    <row r="1145" customFormat="false" ht="21" hidden="false" customHeight="true" outlineLevel="0" collapsed="false"/>
    <row r="1146" customFormat="false" ht="21" hidden="false" customHeight="true" outlineLevel="0" collapsed="false"/>
    <row r="1147" customFormat="false" ht="21" hidden="false" customHeight="true" outlineLevel="0" collapsed="false"/>
    <row r="1148" customFormat="false" ht="21" hidden="false" customHeight="true" outlineLevel="0" collapsed="false"/>
    <row r="1149" customFormat="false" ht="21" hidden="false" customHeight="true" outlineLevel="0" collapsed="false"/>
    <row r="1150" customFormat="false" ht="21" hidden="false" customHeight="true" outlineLevel="0" collapsed="false"/>
    <row r="1151" customFormat="false" ht="21" hidden="false" customHeight="true" outlineLevel="0" collapsed="false"/>
    <row r="1152" customFormat="false" ht="21" hidden="false" customHeight="true" outlineLevel="0" collapsed="false"/>
    <row r="1153" customFormat="false" ht="21" hidden="false" customHeight="true" outlineLevel="0" collapsed="false"/>
    <row r="1154" customFormat="false" ht="21" hidden="false" customHeight="true" outlineLevel="0" collapsed="false"/>
    <row r="1155" customFormat="false" ht="21" hidden="false" customHeight="true" outlineLevel="0" collapsed="false"/>
    <row r="1156" customFormat="false" ht="21" hidden="false" customHeight="true" outlineLevel="0" collapsed="false"/>
    <row r="1157" customFormat="false" ht="21" hidden="false" customHeight="true" outlineLevel="0" collapsed="false"/>
    <row r="1158" customFormat="false" ht="21" hidden="false" customHeight="true" outlineLevel="0" collapsed="false"/>
    <row r="1159" customFormat="false" ht="21" hidden="false" customHeight="true" outlineLevel="0" collapsed="false"/>
    <row r="1160" customFormat="false" ht="21" hidden="false" customHeight="true" outlineLevel="0" collapsed="false"/>
    <row r="1161" customFormat="false" ht="21" hidden="false" customHeight="true" outlineLevel="0" collapsed="false"/>
    <row r="1162" customFormat="false" ht="21" hidden="false" customHeight="true" outlineLevel="0" collapsed="false"/>
    <row r="1163" customFormat="false" ht="21" hidden="false" customHeight="true" outlineLevel="0" collapsed="false"/>
    <row r="1164" customFormat="false" ht="21" hidden="false" customHeight="true" outlineLevel="0" collapsed="false"/>
    <row r="1165" customFormat="false" ht="21" hidden="false" customHeight="true" outlineLevel="0" collapsed="false"/>
    <row r="1166" customFormat="false" ht="21" hidden="false" customHeight="true" outlineLevel="0" collapsed="false"/>
    <row r="1167" customFormat="false" ht="21" hidden="false" customHeight="true" outlineLevel="0" collapsed="false"/>
    <row r="1168" customFormat="false" ht="21" hidden="false" customHeight="true" outlineLevel="0" collapsed="false"/>
    <row r="1169" customFormat="false" ht="21" hidden="false" customHeight="true" outlineLevel="0" collapsed="false"/>
    <row r="1170" customFormat="false" ht="21" hidden="false" customHeight="true" outlineLevel="0" collapsed="false"/>
    <row r="1171" customFormat="false" ht="21" hidden="false" customHeight="true" outlineLevel="0" collapsed="false"/>
    <row r="1172" customFormat="false" ht="21" hidden="false" customHeight="true" outlineLevel="0" collapsed="false"/>
    <row r="1173" customFormat="false" ht="21" hidden="false" customHeight="true" outlineLevel="0" collapsed="false"/>
    <row r="1174" customFormat="false" ht="21" hidden="false" customHeight="true" outlineLevel="0" collapsed="false"/>
    <row r="1175" customFormat="false" ht="21" hidden="false" customHeight="true" outlineLevel="0" collapsed="false"/>
    <row r="1176" customFormat="false" ht="21" hidden="false" customHeight="true" outlineLevel="0" collapsed="false"/>
    <row r="1177" customFormat="false" ht="21" hidden="false" customHeight="true" outlineLevel="0" collapsed="false"/>
    <row r="1178" customFormat="false" ht="21" hidden="false" customHeight="true" outlineLevel="0" collapsed="false"/>
    <row r="1179" customFormat="false" ht="21" hidden="false" customHeight="true" outlineLevel="0" collapsed="false"/>
    <row r="1180" customFormat="false" ht="21" hidden="false" customHeight="true" outlineLevel="0" collapsed="false"/>
    <row r="1181" customFormat="false" ht="21" hidden="false" customHeight="true" outlineLevel="0" collapsed="false"/>
    <row r="1182" customFormat="false" ht="21" hidden="false" customHeight="true" outlineLevel="0" collapsed="false"/>
    <row r="1183" customFormat="false" ht="21" hidden="false" customHeight="true" outlineLevel="0" collapsed="false"/>
    <row r="1184" customFormat="false" ht="21" hidden="false" customHeight="true" outlineLevel="0" collapsed="false"/>
    <row r="1185" customFormat="false" ht="21" hidden="false" customHeight="true" outlineLevel="0" collapsed="false"/>
    <row r="1186" customFormat="false" ht="21" hidden="false" customHeight="true" outlineLevel="0" collapsed="false"/>
    <row r="1187" customFormat="false" ht="21" hidden="false" customHeight="true" outlineLevel="0" collapsed="false"/>
    <row r="1188" customFormat="false" ht="21" hidden="false" customHeight="true" outlineLevel="0" collapsed="false"/>
    <row r="1189" customFormat="false" ht="21" hidden="false" customHeight="true" outlineLevel="0" collapsed="false"/>
    <row r="1190" customFormat="false" ht="21" hidden="false" customHeight="true" outlineLevel="0" collapsed="false"/>
    <row r="1191" customFormat="false" ht="21" hidden="false" customHeight="true" outlineLevel="0" collapsed="false"/>
    <row r="1192" customFormat="false" ht="21" hidden="false" customHeight="true" outlineLevel="0" collapsed="false"/>
    <row r="1193" customFormat="false" ht="21" hidden="false" customHeight="true" outlineLevel="0" collapsed="false"/>
    <row r="1194" customFormat="false" ht="21" hidden="false" customHeight="true" outlineLevel="0" collapsed="false"/>
    <row r="1195" customFormat="false" ht="21" hidden="false" customHeight="true" outlineLevel="0" collapsed="false"/>
    <row r="1196" customFormat="false" ht="21" hidden="false" customHeight="true" outlineLevel="0" collapsed="false"/>
    <row r="1197" customFormat="false" ht="21" hidden="false" customHeight="true" outlineLevel="0" collapsed="false"/>
    <row r="1198" customFormat="false" ht="21" hidden="false" customHeight="true" outlineLevel="0" collapsed="false"/>
    <row r="1199" customFormat="false" ht="21" hidden="false" customHeight="true" outlineLevel="0" collapsed="false"/>
    <row r="1200" customFormat="false" ht="21" hidden="false" customHeight="true" outlineLevel="0" collapsed="false"/>
    <row r="1201" customFormat="false" ht="21" hidden="false" customHeight="true" outlineLevel="0" collapsed="false"/>
    <row r="1202" customFormat="false" ht="21" hidden="false" customHeight="true" outlineLevel="0" collapsed="false"/>
    <row r="1203" customFormat="false" ht="21" hidden="false" customHeight="true" outlineLevel="0" collapsed="false"/>
    <row r="1204" customFormat="false" ht="21" hidden="false" customHeight="true" outlineLevel="0" collapsed="false"/>
    <row r="1205" customFormat="false" ht="21" hidden="false" customHeight="true" outlineLevel="0" collapsed="false"/>
    <row r="1206" customFormat="false" ht="21" hidden="false" customHeight="true" outlineLevel="0" collapsed="false"/>
    <row r="1207" customFormat="false" ht="21" hidden="false" customHeight="true" outlineLevel="0" collapsed="false"/>
    <row r="1208" customFormat="false" ht="21" hidden="false" customHeight="true" outlineLevel="0" collapsed="false"/>
    <row r="1209" customFormat="false" ht="21" hidden="false" customHeight="true" outlineLevel="0" collapsed="false"/>
    <row r="1210" customFormat="false" ht="21" hidden="false" customHeight="true" outlineLevel="0" collapsed="false"/>
    <row r="1211" customFormat="false" ht="21" hidden="false" customHeight="true" outlineLevel="0" collapsed="false"/>
    <row r="1212" customFormat="false" ht="21" hidden="false" customHeight="true" outlineLevel="0" collapsed="false"/>
    <row r="1213" customFormat="false" ht="21" hidden="false" customHeight="true" outlineLevel="0" collapsed="false"/>
    <row r="1214" customFormat="false" ht="21" hidden="false" customHeight="true" outlineLevel="0" collapsed="false"/>
    <row r="1215" customFormat="false" ht="21" hidden="false" customHeight="true" outlineLevel="0" collapsed="false"/>
    <row r="1216" customFormat="false" ht="21" hidden="false" customHeight="true" outlineLevel="0" collapsed="false"/>
    <row r="1217" customFormat="false" ht="21" hidden="false" customHeight="true" outlineLevel="0" collapsed="false"/>
    <row r="1218" customFormat="false" ht="21" hidden="false" customHeight="true" outlineLevel="0" collapsed="false"/>
    <row r="1219" customFormat="false" ht="21" hidden="false" customHeight="true" outlineLevel="0" collapsed="false"/>
    <row r="1220" customFormat="false" ht="21" hidden="false" customHeight="true" outlineLevel="0" collapsed="false"/>
    <row r="1221" customFormat="false" ht="21" hidden="false" customHeight="true" outlineLevel="0" collapsed="false"/>
    <row r="1222" customFormat="false" ht="21" hidden="false" customHeight="true" outlineLevel="0" collapsed="false"/>
    <row r="1223" customFormat="false" ht="21" hidden="false" customHeight="true" outlineLevel="0" collapsed="false"/>
    <row r="1224" customFormat="false" ht="21" hidden="false" customHeight="true" outlineLevel="0" collapsed="false"/>
    <row r="1225" customFormat="false" ht="21" hidden="false" customHeight="true" outlineLevel="0" collapsed="false"/>
    <row r="1226" customFormat="false" ht="21" hidden="false" customHeight="true" outlineLevel="0" collapsed="false"/>
    <row r="1227" customFormat="false" ht="21" hidden="false" customHeight="true" outlineLevel="0" collapsed="false"/>
    <row r="1228" customFormat="false" ht="21" hidden="false" customHeight="true" outlineLevel="0" collapsed="false"/>
    <row r="1229" customFormat="false" ht="21" hidden="false" customHeight="true" outlineLevel="0" collapsed="false"/>
    <row r="1230" customFormat="false" ht="21" hidden="false" customHeight="true" outlineLevel="0" collapsed="false"/>
    <row r="1231" customFormat="false" ht="21" hidden="false" customHeight="true" outlineLevel="0" collapsed="false"/>
    <row r="1232" customFormat="false" ht="21" hidden="false" customHeight="true" outlineLevel="0" collapsed="false"/>
    <row r="1233" customFormat="false" ht="21" hidden="false" customHeight="true" outlineLevel="0" collapsed="false"/>
    <row r="1234" customFormat="false" ht="21" hidden="false" customHeight="true" outlineLevel="0" collapsed="false"/>
    <row r="1235" customFormat="false" ht="21" hidden="false" customHeight="true" outlineLevel="0" collapsed="false"/>
    <row r="1236" customFormat="false" ht="21" hidden="false" customHeight="true" outlineLevel="0" collapsed="false"/>
    <row r="1237" customFormat="false" ht="21" hidden="false" customHeight="true" outlineLevel="0" collapsed="false"/>
    <row r="1238" customFormat="false" ht="21" hidden="false" customHeight="true" outlineLevel="0" collapsed="false"/>
    <row r="1239" customFormat="false" ht="21" hidden="false" customHeight="true" outlineLevel="0" collapsed="false"/>
    <row r="1240" customFormat="false" ht="21" hidden="false" customHeight="true" outlineLevel="0" collapsed="false"/>
    <row r="1241" customFormat="false" ht="21" hidden="false" customHeight="true" outlineLevel="0" collapsed="false"/>
    <row r="1242" customFormat="false" ht="21" hidden="false" customHeight="true" outlineLevel="0" collapsed="false"/>
    <row r="1243" customFormat="false" ht="21" hidden="false" customHeight="true" outlineLevel="0" collapsed="false"/>
    <row r="1244" customFormat="false" ht="21" hidden="false" customHeight="true" outlineLevel="0" collapsed="false"/>
    <row r="1245" customFormat="false" ht="21" hidden="false" customHeight="true" outlineLevel="0" collapsed="false"/>
    <row r="1246" customFormat="false" ht="21" hidden="false" customHeight="true" outlineLevel="0" collapsed="false"/>
    <row r="1247" customFormat="false" ht="21" hidden="false" customHeight="true" outlineLevel="0" collapsed="false"/>
    <row r="1248" customFormat="false" ht="21" hidden="false" customHeight="true" outlineLevel="0" collapsed="false"/>
    <row r="1249" customFormat="false" ht="21" hidden="false" customHeight="true" outlineLevel="0" collapsed="false"/>
    <row r="1250" customFormat="false" ht="21" hidden="false" customHeight="true" outlineLevel="0" collapsed="false"/>
    <row r="1251" customFormat="false" ht="21" hidden="false" customHeight="true" outlineLevel="0" collapsed="false"/>
    <row r="1252" customFormat="false" ht="21" hidden="false" customHeight="true" outlineLevel="0" collapsed="false"/>
    <row r="1253" customFormat="false" ht="21" hidden="false" customHeight="true" outlineLevel="0" collapsed="false"/>
    <row r="1254" customFormat="false" ht="21" hidden="false" customHeight="true" outlineLevel="0" collapsed="false"/>
    <row r="1255" customFormat="false" ht="21" hidden="false" customHeight="true" outlineLevel="0" collapsed="false"/>
    <row r="1256" customFormat="false" ht="21" hidden="false" customHeight="true" outlineLevel="0" collapsed="false"/>
    <row r="1257" customFormat="false" ht="21" hidden="false" customHeight="true" outlineLevel="0" collapsed="false"/>
    <row r="1258" customFormat="false" ht="21" hidden="false" customHeight="true" outlineLevel="0" collapsed="false"/>
    <row r="1259" customFormat="false" ht="21" hidden="false" customHeight="true" outlineLevel="0" collapsed="false"/>
    <row r="1260" customFormat="false" ht="21" hidden="false" customHeight="true" outlineLevel="0" collapsed="false"/>
    <row r="1261" customFormat="false" ht="21" hidden="false" customHeight="true" outlineLevel="0" collapsed="false"/>
    <row r="1262" customFormat="false" ht="21" hidden="false" customHeight="true" outlineLevel="0" collapsed="false"/>
    <row r="1263" customFormat="false" ht="21" hidden="false" customHeight="true" outlineLevel="0" collapsed="false"/>
    <row r="1264" customFormat="false" ht="21" hidden="false" customHeight="true" outlineLevel="0" collapsed="false"/>
    <row r="1265" customFormat="false" ht="21" hidden="false" customHeight="true" outlineLevel="0" collapsed="false"/>
    <row r="1266" customFormat="false" ht="21" hidden="false" customHeight="true" outlineLevel="0" collapsed="false"/>
    <row r="1267" customFormat="false" ht="21" hidden="false" customHeight="true" outlineLevel="0" collapsed="false"/>
    <row r="1268" customFormat="false" ht="21" hidden="false" customHeight="true" outlineLevel="0" collapsed="false"/>
    <row r="1269" customFormat="false" ht="21" hidden="false" customHeight="true" outlineLevel="0" collapsed="false"/>
    <row r="1270" customFormat="false" ht="21" hidden="false" customHeight="true" outlineLevel="0" collapsed="false"/>
    <row r="1271" customFormat="false" ht="21" hidden="false" customHeight="true" outlineLevel="0" collapsed="false"/>
    <row r="1272" customFormat="false" ht="21" hidden="false" customHeight="true" outlineLevel="0" collapsed="false"/>
    <row r="1273" customFormat="false" ht="21" hidden="false" customHeight="true" outlineLevel="0" collapsed="false"/>
    <row r="1274" customFormat="false" ht="21" hidden="false" customHeight="true" outlineLevel="0" collapsed="false"/>
    <row r="1275" customFormat="false" ht="21" hidden="false" customHeight="true" outlineLevel="0" collapsed="false"/>
    <row r="1276" customFormat="false" ht="21" hidden="false" customHeight="true" outlineLevel="0" collapsed="false"/>
    <row r="1277" customFormat="false" ht="21" hidden="false" customHeight="true" outlineLevel="0" collapsed="false"/>
    <row r="1278" customFormat="false" ht="21" hidden="false" customHeight="true" outlineLevel="0" collapsed="false"/>
    <row r="1279" customFormat="false" ht="21" hidden="false" customHeight="true" outlineLevel="0" collapsed="false"/>
    <row r="1280" customFormat="false" ht="21" hidden="false" customHeight="true" outlineLevel="0" collapsed="false"/>
    <row r="1281" customFormat="false" ht="21" hidden="false" customHeight="true" outlineLevel="0" collapsed="false"/>
    <row r="1282" customFormat="false" ht="21" hidden="false" customHeight="true" outlineLevel="0" collapsed="false"/>
    <row r="1283" customFormat="false" ht="21" hidden="false" customHeight="true" outlineLevel="0" collapsed="false"/>
    <row r="1284" customFormat="false" ht="21" hidden="false" customHeight="true" outlineLevel="0" collapsed="false"/>
    <row r="1285" customFormat="false" ht="21" hidden="false" customHeight="true" outlineLevel="0" collapsed="false"/>
    <row r="1286" customFormat="false" ht="21" hidden="false" customHeight="true" outlineLevel="0" collapsed="false"/>
    <row r="1287" customFormat="false" ht="21" hidden="false" customHeight="true" outlineLevel="0" collapsed="false"/>
    <row r="1288" customFormat="false" ht="21" hidden="false" customHeight="true" outlineLevel="0" collapsed="false"/>
    <row r="1289" customFormat="false" ht="21" hidden="false" customHeight="true" outlineLevel="0" collapsed="false"/>
    <row r="1290" customFormat="false" ht="21" hidden="false" customHeight="true" outlineLevel="0" collapsed="false"/>
    <row r="1291" customFormat="false" ht="21" hidden="false" customHeight="true" outlineLevel="0" collapsed="false"/>
    <row r="1292" customFormat="false" ht="21" hidden="false" customHeight="true" outlineLevel="0" collapsed="false"/>
    <row r="1293" customFormat="false" ht="21" hidden="false" customHeight="true" outlineLevel="0" collapsed="false"/>
    <row r="1294" customFormat="false" ht="21" hidden="false" customHeight="true" outlineLevel="0" collapsed="false"/>
    <row r="1295" customFormat="false" ht="21" hidden="false" customHeight="true" outlineLevel="0" collapsed="false"/>
    <row r="1296" customFormat="false" ht="21" hidden="false" customHeight="true" outlineLevel="0" collapsed="false"/>
    <row r="1297" customFormat="false" ht="21" hidden="false" customHeight="true" outlineLevel="0" collapsed="false"/>
    <row r="1298" customFormat="false" ht="21" hidden="false" customHeight="true" outlineLevel="0" collapsed="false"/>
    <row r="1299" customFormat="false" ht="21" hidden="false" customHeight="true" outlineLevel="0" collapsed="false"/>
    <row r="1300" customFormat="false" ht="21" hidden="false" customHeight="true" outlineLevel="0" collapsed="false"/>
    <row r="1301" customFormat="false" ht="21" hidden="false" customHeight="true" outlineLevel="0" collapsed="false"/>
    <row r="1302" customFormat="false" ht="21" hidden="false" customHeight="true" outlineLevel="0" collapsed="false"/>
    <row r="1303" customFormat="false" ht="21" hidden="false" customHeight="true" outlineLevel="0" collapsed="false"/>
    <row r="1304" customFormat="false" ht="21" hidden="false" customHeight="true" outlineLevel="0" collapsed="false"/>
    <row r="1305" customFormat="false" ht="21" hidden="false" customHeight="true" outlineLevel="0" collapsed="false"/>
    <row r="1306" customFormat="false" ht="21" hidden="false" customHeight="true" outlineLevel="0" collapsed="false"/>
    <row r="1307" customFormat="false" ht="21" hidden="false" customHeight="true" outlineLevel="0" collapsed="false"/>
    <row r="1308" customFormat="false" ht="21" hidden="false" customHeight="true" outlineLevel="0" collapsed="false"/>
    <row r="1309" customFormat="false" ht="21" hidden="false" customHeight="true" outlineLevel="0" collapsed="false"/>
    <row r="1310" customFormat="false" ht="21" hidden="false" customHeight="true" outlineLevel="0" collapsed="false"/>
    <row r="1311" customFormat="false" ht="21" hidden="false" customHeight="true" outlineLevel="0" collapsed="false"/>
    <row r="1312" customFormat="false" ht="21" hidden="false" customHeight="true" outlineLevel="0" collapsed="false"/>
    <row r="1313" customFormat="false" ht="21" hidden="false" customHeight="true" outlineLevel="0" collapsed="false"/>
    <row r="1314" customFormat="false" ht="21" hidden="false" customHeight="true" outlineLevel="0" collapsed="false"/>
    <row r="1315" customFormat="false" ht="21" hidden="false" customHeight="true" outlineLevel="0" collapsed="false"/>
    <row r="1316" customFormat="false" ht="21" hidden="false" customHeight="true" outlineLevel="0" collapsed="false"/>
    <row r="1317" customFormat="false" ht="21" hidden="false" customHeight="true" outlineLevel="0" collapsed="false"/>
    <row r="1318" customFormat="false" ht="21" hidden="false" customHeight="true" outlineLevel="0" collapsed="false"/>
    <row r="1319" customFormat="false" ht="21" hidden="false" customHeight="true" outlineLevel="0" collapsed="false"/>
    <row r="1320" customFormat="false" ht="21" hidden="false" customHeight="true" outlineLevel="0" collapsed="false"/>
    <row r="1321" customFormat="false" ht="21" hidden="false" customHeight="true" outlineLevel="0" collapsed="false"/>
    <row r="1322" customFormat="false" ht="21" hidden="false" customHeight="true" outlineLevel="0" collapsed="false"/>
    <row r="1323" customFormat="false" ht="21" hidden="false" customHeight="true" outlineLevel="0" collapsed="false"/>
    <row r="1324" customFormat="false" ht="21" hidden="false" customHeight="true" outlineLevel="0" collapsed="false"/>
    <row r="1325" customFormat="false" ht="21" hidden="false" customHeight="true" outlineLevel="0" collapsed="false"/>
    <row r="1326" customFormat="false" ht="21" hidden="false" customHeight="true" outlineLevel="0" collapsed="false"/>
    <row r="1327" customFormat="false" ht="21" hidden="false" customHeight="true" outlineLevel="0" collapsed="false"/>
    <row r="1328" customFormat="false" ht="21" hidden="false" customHeight="true" outlineLevel="0" collapsed="false"/>
    <row r="1329" customFormat="false" ht="21" hidden="false" customHeight="true" outlineLevel="0" collapsed="false"/>
    <row r="1330" customFormat="false" ht="21" hidden="false" customHeight="true" outlineLevel="0" collapsed="false"/>
    <row r="1331" customFormat="false" ht="21" hidden="false" customHeight="true" outlineLevel="0" collapsed="false"/>
    <row r="1332" customFormat="false" ht="21" hidden="false" customHeight="true" outlineLevel="0" collapsed="false"/>
    <row r="1333" customFormat="false" ht="21" hidden="false" customHeight="true" outlineLevel="0" collapsed="false"/>
    <row r="1334" customFormat="false" ht="21" hidden="false" customHeight="true" outlineLevel="0" collapsed="false"/>
    <row r="1335" customFormat="false" ht="21" hidden="false" customHeight="true" outlineLevel="0" collapsed="false"/>
    <row r="1336" customFormat="false" ht="21" hidden="false" customHeight="true" outlineLevel="0" collapsed="false"/>
    <row r="1337" customFormat="false" ht="21" hidden="false" customHeight="true" outlineLevel="0" collapsed="false"/>
    <row r="1338" customFormat="false" ht="21" hidden="false" customHeight="true" outlineLevel="0" collapsed="false"/>
    <row r="1339" customFormat="false" ht="21" hidden="false" customHeight="true" outlineLevel="0" collapsed="false"/>
    <row r="1340" customFormat="false" ht="21" hidden="false" customHeight="true" outlineLevel="0" collapsed="false"/>
    <row r="1341" customFormat="false" ht="21" hidden="false" customHeight="true" outlineLevel="0" collapsed="false"/>
    <row r="1342" customFormat="false" ht="21" hidden="false" customHeight="true" outlineLevel="0" collapsed="false"/>
    <row r="1343" customFormat="false" ht="21" hidden="false" customHeight="true" outlineLevel="0" collapsed="false"/>
    <row r="1344" customFormat="false" ht="21" hidden="false" customHeight="true" outlineLevel="0" collapsed="false"/>
    <row r="1345" customFormat="false" ht="21" hidden="false" customHeight="true" outlineLevel="0" collapsed="false"/>
    <row r="1346" customFormat="false" ht="21" hidden="false" customHeight="true" outlineLevel="0" collapsed="false"/>
    <row r="1347" customFormat="false" ht="21" hidden="false" customHeight="true" outlineLevel="0" collapsed="false"/>
    <row r="1348" customFormat="false" ht="21" hidden="false" customHeight="true" outlineLevel="0" collapsed="false"/>
    <row r="1349" customFormat="false" ht="21" hidden="false" customHeight="true" outlineLevel="0" collapsed="false"/>
    <row r="1350" customFormat="false" ht="21" hidden="false" customHeight="true" outlineLevel="0" collapsed="false"/>
    <row r="1351" customFormat="false" ht="21" hidden="false" customHeight="true" outlineLevel="0" collapsed="false"/>
    <row r="1352" customFormat="false" ht="21" hidden="false" customHeight="true" outlineLevel="0" collapsed="false"/>
    <row r="1353" customFormat="false" ht="21" hidden="false" customHeight="true" outlineLevel="0" collapsed="false"/>
    <row r="1354" customFormat="false" ht="21" hidden="false" customHeight="true" outlineLevel="0" collapsed="false"/>
    <row r="1355" customFormat="false" ht="21" hidden="false" customHeight="true" outlineLevel="0" collapsed="false"/>
    <row r="1356" customFormat="false" ht="21" hidden="false" customHeight="true" outlineLevel="0" collapsed="false"/>
    <row r="1357" customFormat="false" ht="21" hidden="false" customHeight="true" outlineLevel="0" collapsed="false"/>
    <row r="1358" customFormat="false" ht="21" hidden="false" customHeight="true" outlineLevel="0" collapsed="false"/>
    <row r="1359" customFormat="false" ht="21" hidden="false" customHeight="true" outlineLevel="0" collapsed="false"/>
    <row r="1360" customFormat="false" ht="21" hidden="false" customHeight="true" outlineLevel="0" collapsed="false"/>
    <row r="1361" customFormat="false" ht="21" hidden="false" customHeight="true" outlineLevel="0" collapsed="false"/>
    <row r="1362" customFormat="false" ht="21" hidden="false" customHeight="true" outlineLevel="0" collapsed="false"/>
    <row r="1363" customFormat="false" ht="21" hidden="false" customHeight="true" outlineLevel="0" collapsed="false"/>
    <row r="1364" customFormat="false" ht="21" hidden="false" customHeight="true" outlineLevel="0" collapsed="false"/>
    <row r="1365" customFormat="false" ht="21" hidden="false" customHeight="true" outlineLevel="0" collapsed="false"/>
    <row r="1366" customFormat="false" ht="21" hidden="false" customHeight="true" outlineLevel="0" collapsed="false"/>
    <row r="1367" customFormat="false" ht="21" hidden="false" customHeight="true" outlineLevel="0" collapsed="false"/>
    <row r="1368" customFormat="false" ht="21" hidden="false" customHeight="true" outlineLevel="0" collapsed="false"/>
    <row r="1369" customFormat="false" ht="21" hidden="false" customHeight="true" outlineLevel="0" collapsed="false"/>
    <row r="1370" customFormat="false" ht="21" hidden="false" customHeight="true" outlineLevel="0" collapsed="false"/>
    <row r="1371" customFormat="false" ht="21" hidden="false" customHeight="true" outlineLevel="0" collapsed="false"/>
    <row r="1372" customFormat="false" ht="21" hidden="false" customHeight="true" outlineLevel="0" collapsed="false"/>
    <row r="1373" customFormat="false" ht="21" hidden="false" customHeight="true" outlineLevel="0" collapsed="false"/>
    <row r="1374" customFormat="false" ht="21" hidden="false" customHeight="true" outlineLevel="0" collapsed="false"/>
    <row r="1375" customFormat="false" ht="21" hidden="false" customHeight="true" outlineLevel="0" collapsed="false"/>
    <row r="1376" customFormat="false" ht="21" hidden="false" customHeight="true" outlineLevel="0" collapsed="false"/>
    <row r="1377" customFormat="false" ht="21" hidden="false" customHeight="true" outlineLevel="0" collapsed="false"/>
    <row r="1378" customFormat="false" ht="21" hidden="false" customHeight="true" outlineLevel="0" collapsed="false"/>
    <row r="1379" customFormat="false" ht="21" hidden="false" customHeight="true" outlineLevel="0" collapsed="false"/>
    <row r="1380" customFormat="false" ht="21" hidden="false" customHeight="true" outlineLevel="0" collapsed="false"/>
    <row r="1381" customFormat="false" ht="21" hidden="false" customHeight="true" outlineLevel="0" collapsed="false"/>
    <row r="1382" customFormat="false" ht="21" hidden="false" customHeight="true" outlineLevel="0" collapsed="false"/>
    <row r="1383" customFormat="false" ht="21" hidden="false" customHeight="true" outlineLevel="0" collapsed="false"/>
    <row r="1384" customFormat="false" ht="21" hidden="false" customHeight="true" outlineLevel="0" collapsed="false"/>
    <row r="1385" customFormat="false" ht="21" hidden="false" customHeight="true" outlineLevel="0" collapsed="false"/>
    <row r="1386" customFormat="false" ht="21" hidden="false" customHeight="true" outlineLevel="0" collapsed="false"/>
    <row r="1387" customFormat="false" ht="21" hidden="false" customHeight="true" outlineLevel="0" collapsed="false"/>
    <row r="1388" customFormat="false" ht="21" hidden="false" customHeight="true" outlineLevel="0" collapsed="false"/>
    <row r="1389" customFormat="false" ht="21" hidden="false" customHeight="true" outlineLevel="0" collapsed="false"/>
    <row r="1390" customFormat="false" ht="21" hidden="false" customHeight="true" outlineLevel="0" collapsed="false"/>
    <row r="1391" customFormat="false" ht="21" hidden="false" customHeight="true" outlineLevel="0" collapsed="false"/>
    <row r="1392" customFormat="false" ht="21" hidden="false" customHeight="true" outlineLevel="0" collapsed="false"/>
    <row r="1393" customFormat="false" ht="21" hidden="false" customHeight="true" outlineLevel="0" collapsed="false"/>
    <row r="1394" customFormat="false" ht="21" hidden="false" customHeight="true" outlineLevel="0" collapsed="false"/>
    <row r="1395" customFormat="false" ht="21" hidden="false" customHeight="true" outlineLevel="0" collapsed="false"/>
    <row r="1396" customFormat="false" ht="21" hidden="false" customHeight="true" outlineLevel="0" collapsed="false"/>
    <row r="1397" customFormat="false" ht="21" hidden="false" customHeight="true" outlineLevel="0" collapsed="false"/>
    <row r="1398" customFormat="false" ht="21" hidden="false" customHeight="true" outlineLevel="0" collapsed="false"/>
    <row r="1399" customFormat="false" ht="21" hidden="false" customHeight="true" outlineLevel="0" collapsed="false"/>
    <row r="1400" customFormat="false" ht="21" hidden="false" customHeight="true" outlineLevel="0" collapsed="false"/>
    <row r="1401" customFormat="false" ht="21" hidden="false" customHeight="true" outlineLevel="0" collapsed="false"/>
    <row r="1402" customFormat="false" ht="21" hidden="false" customHeight="true" outlineLevel="0" collapsed="false"/>
    <row r="1403" customFormat="false" ht="21" hidden="false" customHeight="true" outlineLevel="0" collapsed="false"/>
    <row r="1404" customFormat="false" ht="21" hidden="false" customHeight="true" outlineLevel="0" collapsed="false"/>
    <row r="1405" customFormat="false" ht="21" hidden="false" customHeight="true" outlineLevel="0" collapsed="false"/>
    <row r="1406" customFormat="false" ht="21" hidden="false" customHeight="true" outlineLevel="0" collapsed="false"/>
    <row r="1407" customFormat="false" ht="21" hidden="false" customHeight="true" outlineLevel="0" collapsed="false"/>
    <row r="1408" customFormat="false" ht="21" hidden="false" customHeight="true" outlineLevel="0" collapsed="false"/>
    <row r="1409" customFormat="false" ht="21" hidden="false" customHeight="true" outlineLevel="0" collapsed="false"/>
    <row r="1410" customFormat="false" ht="21" hidden="false" customHeight="true" outlineLevel="0" collapsed="false"/>
    <row r="1411" customFormat="false" ht="21" hidden="false" customHeight="true" outlineLevel="0" collapsed="false"/>
    <row r="1412" customFormat="false" ht="21" hidden="false" customHeight="true" outlineLevel="0" collapsed="false"/>
    <row r="1413" customFormat="false" ht="21" hidden="false" customHeight="true" outlineLevel="0" collapsed="false"/>
    <row r="1414" customFormat="false" ht="21" hidden="false" customHeight="true" outlineLevel="0" collapsed="false"/>
    <row r="1415" customFormat="false" ht="21" hidden="false" customHeight="true" outlineLevel="0" collapsed="false"/>
    <row r="1416" customFormat="false" ht="21" hidden="false" customHeight="true" outlineLevel="0" collapsed="false"/>
    <row r="1417" customFormat="false" ht="21" hidden="false" customHeight="true" outlineLevel="0" collapsed="false"/>
    <row r="1418" customFormat="false" ht="21" hidden="false" customHeight="true" outlineLevel="0" collapsed="false"/>
    <row r="1419" customFormat="false" ht="21" hidden="false" customHeight="true" outlineLevel="0" collapsed="false"/>
    <row r="1420" customFormat="false" ht="21" hidden="false" customHeight="true" outlineLevel="0" collapsed="false"/>
    <row r="1421" customFormat="false" ht="21" hidden="false" customHeight="true" outlineLevel="0" collapsed="false"/>
    <row r="1422" customFormat="false" ht="21" hidden="false" customHeight="true" outlineLevel="0" collapsed="false"/>
    <row r="1423" customFormat="false" ht="21" hidden="false" customHeight="true" outlineLevel="0" collapsed="false"/>
    <row r="1424" customFormat="false" ht="21" hidden="false" customHeight="true" outlineLevel="0" collapsed="false"/>
    <row r="1425" customFormat="false" ht="21" hidden="false" customHeight="true" outlineLevel="0" collapsed="false"/>
    <row r="1426" customFormat="false" ht="21" hidden="false" customHeight="true" outlineLevel="0" collapsed="false"/>
    <row r="1427" customFormat="false" ht="21" hidden="false" customHeight="true" outlineLevel="0" collapsed="false"/>
    <row r="1428" customFormat="false" ht="21" hidden="false" customHeight="true" outlineLevel="0" collapsed="false"/>
    <row r="1429" customFormat="false" ht="21" hidden="false" customHeight="true" outlineLevel="0" collapsed="false"/>
    <row r="1430" customFormat="false" ht="21" hidden="false" customHeight="true" outlineLevel="0" collapsed="false"/>
    <row r="1431" customFormat="false" ht="21" hidden="false" customHeight="true" outlineLevel="0" collapsed="false"/>
    <row r="1432" customFormat="false" ht="21" hidden="false" customHeight="true" outlineLevel="0" collapsed="false"/>
    <row r="1433" customFormat="false" ht="21" hidden="false" customHeight="true" outlineLevel="0" collapsed="false"/>
    <row r="1434" customFormat="false" ht="21" hidden="false" customHeight="true" outlineLevel="0" collapsed="false"/>
    <row r="1435" customFormat="false" ht="21" hidden="false" customHeight="true" outlineLevel="0" collapsed="false"/>
    <row r="1436" customFormat="false" ht="21" hidden="false" customHeight="true" outlineLevel="0" collapsed="false"/>
    <row r="1437" customFormat="false" ht="21" hidden="false" customHeight="true" outlineLevel="0" collapsed="false"/>
    <row r="1438" customFormat="false" ht="21" hidden="false" customHeight="true" outlineLevel="0" collapsed="false"/>
    <row r="1439" customFormat="false" ht="21" hidden="false" customHeight="true" outlineLevel="0" collapsed="false"/>
    <row r="1440" customFormat="false" ht="21" hidden="false" customHeight="true" outlineLevel="0" collapsed="false"/>
    <row r="1441" customFormat="false" ht="21" hidden="false" customHeight="true" outlineLevel="0" collapsed="false"/>
    <row r="1442" customFormat="false" ht="21" hidden="false" customHeight="true" outlineLevel="0" collapsed="false"/>
    <row r="1443" customFormat="false" ht="21" hidden="false" customHeight="true" outlineLevel="0" collapsed="false"/>
    <row r="1444" customFormat="false" ht="21" hidden="false" customHeight="true" outlineLevel="0" collapsed="false"/>
    <row r="1445" customFormat="false" ht="21" hidden="false" customHeight="true" outlineLevel="0" collapsed="false"/>
    <row r="1446" customFormat="false" ht="21" hidden="false" customHeight="true" outlineLevel="0" collapsed="false"/>
    <row r="1447" customFormat="false" ht="21" hidden="false" customHeight="true" outlineLevel="0" collapsed="false"/>
    <row r="1448" customFormat="false" ht="21" hidden="false" customHeight="true" outlineLevel="0" collapsed="false"/>
    <row r="1449" customFormat="false" ht="21" hidden="false" customHeight="true" outlineLevel="0" collapsed="false"/>
    <row r="1450" customFormat="false" ht="21" hidden="false" customHeight="true" outlineLevel="0" collapsed="false"/>
    <row r="1451" customFormat="false" ht="21" hidden="false" customHeight="true" outlineLevel="0" collapsed="false"/>
    <row r="1452" customFormat="false" ht="21" hidden="false" customHeight="true" outlineLevel="0" collapsed="false"/>
    <row r="1453" customFormat="false" ht="21" hidden="false" customHeight="true" outlineLevel="0" collapsed="false"/>
    <row r="1454" customFormat="false" ht="21" hidden="false" customHeight="true" outlineLevel="0" collapsed="false"/>
    <row r="1455" customFormat="false" ht="21" hidden="false" customHeight="true" outlineLevel="0" collapsed="false"/>
    <row r="1456" customFormat="false" ht="21" hidden="false" customHeight="true" outlineLevel="0" collapsed="false"/>
    <row r="1457" customFormat="false" ht="21" hidden="false" customHeight="true" outlineLevel="0" collapsed="false"/>
    <row r="1458" customFormat="false" ht="21" hidden="false" customHeight="true" outlineLevel="0" collapsed="false"/>
    <row r="1459" customFormat="false" ht="21" hidden="false" customHeight="true" outlineLevel="0" collapsed="false"/>
    <row r="1460" customFormat="false" ht="21" hidden="false" customHeight="true" outlineLevel="0" collapsed="false"/>
    <row r="1461" customFormat="false" ht="21" hidden="false" customHeight="true" outlineLevel="0" collapsed="false"/>
    <row r="1462" customFormat="false" ht="21" hidden="false" customHeight="true" outlineLevel="0" collapsed="false"/>
    <row r="1463" customFormat="false" ht="21" hidden="false" customHeight="true" outlineLevel="0" collapsed="false"/>
    <row r="1464" customFormat="false" ht="21" hidden="false" customHeight="true" outlineLevel="0" collapsed="false"/>
    <row r="1465" customFormat="false" ht="21" hidden="false" customHeight="true" outlineLevel="0" collapsed="false"/>
    <row r="1466" customFormat="false" ht="21" hidden="false" customHeight="true" outlineLevel="0" collapsed="false"/>
    <row r="1467" customFormat="false" ht="21" hidden="false" customHeight="true" outlineLevel="0" collapsed="false"/>
    <row r="1468" customFormat="false" ht="21" hidden="false" customHeight="true" outlineLevel="0" collapsed="false"/>
    <row r="1469" customFormat="false" ht="21" hidden="false" customHeight="true" outlineLevel="0" collapsed="false"/>
    <row r="1470" customFormat="false" ht="21" hidden="false" customHeight="true" outlineLevel="0" collapsed="false"/>
    <row r="1471" customFormat="false" ht="21" hidden="false" customHeight="true" outlineLevel="0" collapsed="false"/>
    <row r="1472" customFormat="false" ht="21" hidden="false" customHeight="true" outlineLevel="0" collapsed="false"/>
    <row r="1473" customFormat="false" ht="21" hidden="false" customHeight="true" outlineLevel="0" collapsed="false"/>
    <row r="1474" customFormat="false" ht="21" hidden="false" customHeight="true" outlineLevel="0" collapsed="false"/>
    <row r="1475" customFormat="false" ht="21" hidden="false" customHeight="true" outlineLevel="0" collapsed="false"/>
    <row r="1476" customFormat="false" ht="21" hidden="false" customHeight="true" outlineLevel="0" collapsed="false"/>
    <row r="1477" customFormat="false" ht="21" hidden="false" customHeight="true" outlineLevel="0" collapsed="false"/>
    <row r="1478" customFormat="false" ht="21" hidden="false" customHeight="true" outlineLevel="0" collapsed="false"/>
    <row r="1479" customFormat="false" ht="21" hidden="false" customHeight="true" outlineLevel="0" collapsed="false"/>
    <row r="1480" customFormat="false" ht="21" hidden="false" customHeight="true" outlineLevel="0" collapsed="false"/>
    <row r="1481" customFormat="false" ht="21" hidden="false" customHeight="true" outlineLevel="0" collapsed="false"/>
    <row r="1482" customFormat="false" ht="21" hidden="false" customHeight="true" outlineLevel="0" collapsed="false"/>
    <row r="1483" customFormat="false" ht="21" hidden="false" customHeight="true" outlineLevel="0" collapsed="false"/>
    <row r="1484" customFormat="false" ht="21" hidden="false" customHeight="true" outlineLevel="0" collapsed="false"/>
    <row r="1485" customFormat="false" ht="21" hidden="false" customHeight="true" outlineLevel="0" collapsed="false"/>
    <row r="1486" customFormat="false" ht="21" hidden="false" customHeight="true" outlineLevel="0" collapsed="false"/>
    <row r="1487" customFormat="false" ht="21" hidden="false" customHeight="true" outlineLevel="0" collapsed="false"/>
    <row r="1488" customFormat="false" ht="21" hidden="false" customHeight="true" outlineLevel="0" collapsed="false"/>
    <row r="1489" customFormat="false" ht="21" hidden="false" customHeight="true" outlineLevel="0" collapsed="false"/>
    <row r="1490" customFormat="false" ht="21" hidden="false" customHeight="true" outlineLevel="0" collapsed="false"/>
    <row r="1491" customFormat="false" ht="21" hidden="false" customHeight="true" outlineLevel="0" collapsed="false"/>
    <row r="1492" customFormat="false" ht="21" hidden="false" customHeight="true" outlineLevel="0" collapsed="false"/>
    <row r="1493" customFormat="false" ht="21" hidden="false" customHeight="true" outlineLevel="0" collapsed="false"/>
    <row r="1494" customFormat="false" ht="21" hidden="false" customHeight="true" outlineLevel="0" collapsed="false"/>
    <row r="1495" customFormat="false" ht="21" hidden="false" customHeight="true" outlineLevel="0" collapsed="false"/>
    <row r="1496" customFormat="false" ht="21" hidden="false" customHeight="true" outlineLevel="0" collapsed="false"/>
    <row r="1497" customFormat="false" ht="21" hidden="false" customHeight="true" outlineLevel="0" collapsed="false"/>
    <row r="1498" customFormat="false" ht="21" hidden="false" customHeight="true" outlineLevel="0" collapsed="false"/>
    <row r="1499" customFormat="false" ht="21" hidden="false" customHeight="true" outlineLevel="0" collapsed="false"/>
    <row r="1500" customFormat="false" ht="21" hidden="false" customHeight="true" outlineLevel="0" collapsed="false"/>
    <row r="1501" customFormat="false" ht="21" hidden="false" customHeight="true" outlineLevel="0" collapsed="false"/>
    <row r="1502" customFormat="false" ht="21" hidden="false" customHeight="true" outlineLevel="0" collapsed="false"/>
    <row r="1503" customFormat="false" ht="21" hidden="false" customHeight="true" outlineLevel="0" collapsed="false"/>
    <row r="1504" customFormat="false" ht="21" hidden="false" customHeight="true" outlineLevel="0" collapsed="false"/>
    <row r="1505" customFormat="false" ht="21" hidden="false" customHeight="true" outlineLevel="0" collapsed="false"/>
    <row r="1506" customFormat="false" ht="21" hidden="false" customHeight="true" outlineLevel="0" collapsed="false"/>
    <row r="1507" customFormat="false" ht="21" hidden="false" customHeight="true" outlineLevel="0" collapsed="false"/>
    <row r="1508" customFormat="false" ht="21" hidden="false" customHeight="true" outlineLevel="0" collapsed="false"/>
    <row r="1509" customFormat="false" ht="21" hidden="false" customHeight="true" outlineLevel="0" collapsed="false"/>
    <row r="1510" customFormat="false" ht="21" hidden="false" customHeight="true" outlineLevel="0" collapsed="false"/>
    <row r="1511" customFormat="false" ht="21" hidden="false" customHeight="true" outlineLevel="0" collapsed="false"/>
    <row r="1512" customFormat="false" ht="21" hidden="false" customHeight="true" outlineLevel="0" collapsed="false"/>
    <row r="1513" customFormat="false" ht="21" hidden="false" customHeight="true" outlineLevel="0" collapsed="false"/>
    <row r="1514" customFormat="false" ht="21" hidden="false" customHeight="true" outlineLevel="0" collapsed="false"/>
    <row r="1515" customFormat="false" ht="21" hidden="false" customHeight="true" outlineLevel="0" collapsed="false"/>
    <row r="1516" customFormat="false" ht="21" hidden="false" customHeight="true" outlineLevel="0" collapsed="false"/>
    <row r="1517" customFormat="false" ht="21" hidden="false" customHeight="true" outlineLevel="0" collapsed="false"/>
    <row r="1518" customFormat="false" ht="21" hidden="false" customHeight="true" outlineLevel="0" collapsed="false"/>
    <row r="1519" customFormat="false" ht="21" hidden="false" customHeight="true" outlineLevel="0" collapsed="false"/>
    <row r="1520" customFormat="false" ht="21" hidden="false" customHeight="true" outlineLevel="0" collapsed="false"/>
    <row r="1521" customFormat="false" ht="21" hidden="false" customHeight="true" outlineLevel="0" collapsed="false"/>
    <row r="1522" customFormat="false" ht="21" hidden="false" customHeight="true" outlineLevel="0" collapsed="false"/>
    <row r="1523" customFormat="false" ht="21" hidden="false" customHeight="true" outlineLevel="0" collapsed="false"/>
    <row r="1524" customFormat="false" ht="21" hidden="false" customHeight="true" outlineLevel="0" collapsed="false"/>
    <row r="1525" customFormat="false" ht="21" hidden="false" customHeight="true" outlineLevel="0" collapsed="false"/>
    <row r="1526" customFormat="false" ht="21" hidden="false" customHeight="true" outlineLevel="0" collapsed="false"/>
    <row r="1527" customFormat="false" ht="21" hidden="false" customHeight="true" outlineLevel="0" collapsed="false"/>
    <row r="1528" customFormat="false" ht="21" hidden="false" customHeight="true" outlineLevel="0" collapsed="false"/>
    <row r="1529" customFormat="false" ht="21" hidden="false" customHeight="true" outlineLevel="0" collapsed="false"/>
    <row r="1530" customFormat="false" ht="21" hidden="false" customHeight="true" outlineLevel="0" collapsed="false"/>
    <row r="1531" customFormat="false" ht="21" hidden="false" customHeight="true" outlineLevel="0" collapsed="false"/>
    <row r="1532" customFormat="false" ht="21" hidden="false" customHeight="true" outlineLevel="0" collapsed="false"/>
    <row r="1533" customFormat="false" ht="21" hidden="false" customHeight="true" outlineLevel="0" collapsed="false"/>
    <row r="1534" customFormat="false" ht="21" hidden="false" customHeight="true" outlineLevel="0" collapsed="false"/>
    <row r="1535" customFormat="false" ht="21" hidden="false" customHeight="true" outlineLevel="0" collapsed="false"/>
    <row r="1536" customFormat="false" ht="21" hidden="false" customHeight="true" outlineLevel="0" collapsed="false"/>
    <row r="1537" customFormat="false" ht="21" hidden="false" customHeight="true" outlineLevel="0" collapsed="false"/>
    <row r="1538" customFormat="false" ht="21" hidden="false" customHeight="true" outlineLevel="0" collapsed="false"/>
    <row r="1539" customFormat="false" ht="21" hidden="false" customHeight="true" outlineLevel="0" collapsed="false"/>
    <row r="1540" customFormat="false" ht="21" hidden="false" customHeight="true" outlineLevel="0" collapsed="false"/>
    <row r="1541" customFormat="false" ht="21" hidden="false" customHeight="true" outlineLevel="0" collapsed="false"/>
    <row r="1542" customFormat="false" ht="21" hidden="false" customHeight="true" outlineLevel="0" collapsed="false"/>
    <row r="1543" customFormat="false" ht="21" hidden="false" customHeight="true" outlineLevel="0" collapsed="false"/>
    <row r="1544" customFormat="false" ht="21" hidden="false" customHeight="true" outlineLevel="0" collapsed="false"/>
    <row r="1545" customFormat="false" ht="21" hidden="false" customHeight="true" outlineLevel="0" collapsed="false"/>
    <row r="1546" customFormat="false" ht="21" hidden="false" customHeight="true" outlineLevel="0" collapsed="false"/>
    <row r="1547" customFormat="false" ht="21" hidden="false" customHeight="true" outlineLevel="0" collapsed="false"/>
    <row r="1548" customFormat="false" ht="21" hidden="false" customHeight="true" outlineLevel="0" collapsed="false"/>
    <row r="1549" customFormat="false" ht="21" hidden="false" customHeight="true" outlineLevel="0" collapsed="false"/>
    <row r="1550" customFormat="false" ht="21" hidden="false" customHeight="true" outlineLevel="0" collapsed="false"/>
    <row r="1551" customFormat="false" ht="21" hidden="false" customHeight="true" outlineLevel="0" collapsed="false"/>
    <row r="1552" customFormat="false" ht="21" hidden="false" customHeight="true" outlineLevel="0" collapsed="false"/>
    <row r="1553" customFormat="false" ht="21" hidden="false" customHeight="true" outlineLevel="0" collapsed="false"/>
    <row r="1554" customFormat="false" ht="21" hidden="false" customHeight="true" outlineLevel="0" collapsed="false"/>
    <row r="1555" customFormat="false" ht="21" hidden="false" customHeight="true" outlineLevel="0" collapsed="false"/>
    <row r="1556" customFormat="false" ht="21" hidden="false" customHeight="true" outlineLevel="0" collapsed="false"/>
    <row r="1557" customFormat="false" ht="21" hidden="false" customHeight="true" outlineLevel="0" collapsed="false"/>
    <row r="1558" customFormat="false" ht="21" hidden="false" customHeight="true" outlineLevel="0" collapsed="false"/>
    <row r="1559" customFormat="false" ht="21" hidden="false" customHeight="true" outlineLevel="0" collapsed="false"/>
    <row r="1560" customFormat="false" ht="21" hidden="false" customHeight="true" outlineLevel="0" collapsed="false"/>
    <row r="1561" customFormat="false" ht="21" hidden="false" customHeight="true" outlineLevel="0" collapsed="false"/>
    <row r="1562" customFormat="false" ht="21" hidden="false" customHeight="true" outlineLevel="0" collapsed="false"/>
    <row r="1563" customFormat="false" ht="21" hidden="false" customHeight="true" outlineLevel="0" collapsed="false"/>
    <row r="1564" customFormat="false" ht="21" hidden="false" customHeight="true" outlineLevel="0" collapsed="false"/>
    <row r="1565" customFormat="false" ht="21" hidden="false" customHeight="true" outlineLevel="0" collapsed="false"/>
    <row r="1566" customFormat="false" ht="21" hidden="false" customHeight="true" outlineLevel="0" collapsed="false"/>
    <row r="1567" customFormat="false" ht="21" hidden="false" customHeight="true" outlineLevel="0" collapsed="false"/>
    <row r="1568" customFormat="false" ht="21" hidden="false" customHeight="true" outlineLevel="0" collapsed="false"/>
    <row r="1569" customFormat="false" ht="21" hidden="false" customHeight="true" outlineLevel="0" collapsed="false"/>
    <row r="1570" customFormat="false" ht="21" hidden="false" customHeight="true" outlineLevel="0" collapsed="false"/>
    <row r="1571" customFormat="false" ht="21" hidden="false" customHeight="true" outlineLevel="0" collapsed="false"/>
    <row r="1572" customFormat="false" ht="21" hidden="false" customHeight="true" outlineLevel="0" collapsed="false"/>
    <row r="1573" customFormat="false" ht="21" hidden="false" customHeight="true" outlineLevel="0" collapsed="false"/>
    <row r="1574" customFormat="false" ht="21" hidden="false" customHeight="true" outlineLevel="0" collapsed="false"/>
    <row r="1575" customFormat="false" ht="21" hidden="false" customHeight="true" outlineLevel="0" collapsed="false"/>
    <row r="1576" customFormat="false" ht="21" hidden="false" customHeight="true" outlineLevel="0" collapsed="false"/>
    <row r="1577" customFormat="false" ht="21" hidden="false" customHeight="true" outlineLevel="0" collapsed="false"/>
    <row r="1578" customFormat="false" ht="21" hidden="false" customHeight="true" outlineLevel="0" collapsed="false"/>
    <row r="1579" customFormat="false" ht="21" hidden="false" customHeight="true" outlineLevel="0" collapsed="false"/>
    <row r="1580" customFormat="false" ht="21" hidden="false" customHeight="true" outlineLevel="0" collapsed="false"/>
    <row r="1581" customFormat="false" ht="21" hidden="false" customHeight="true" outlineLevel="0" collapsed="false"/>
    <row r="1582" customFormat="false" ht="21" hidden="false" customHeight="true" outlineLevel="0" collapsed="false"/>
    <row r="1583" customFormat="false" ht="21" hidden="false" customHeight="true" outlineLevel="0" collapsed="false"/>
    <row r="1584" customFormat="false" ht="21" hidden="false" customHeight="true" outlineLevel="0" collapsed="false"/>
    <row r="1585" customFormat="false" ht="21" hidden="false" customHeight="true" outlineLevel="0" collapsed="false"/>
    <row r="1586" customFormat="false" ht="21" hidden="false" customHeight="true" outlineLevel="0" collapsed="false"/>
    <row r="1587" customFormat="false" ht="21" hidden="false" customHeight="true" outlineLevel="0" collapsed="false"/>
    <row r="1588" customFormat="false" ht="21" hidden="false" customHeight="true" outlineLevel="0" collapsed="false"/>
    <row r="1589" customFormat="false" ht="21" hidden="false" customHeight="true" outlineLevel="0" collapsed="false"/>
    <row r="1590" customFormat="false" ht="21" hidden="false" customHeight="true" outlineLevel="0" collapsed="false"/>
    <row r="1591" customFormat="false" ht="21" hidden="false" customHeight="true" outlineLevel="0" collapsed="false"/>
    <row r="1592" customFormat="false" ht="21" hidden="false" customHeight="true" outlineLevel="0" collapsed="false"/>
    <row r="1593" customFormat="false" ht="21" hidden="false" customHeight="true" outlineLevel="0" collapsed="false"/>
    <row r="1594" customFormat="false" ht="21" hidden="false" customHeight="true" outlineLevel="0" collapsed="false"/>
    <row r="1595" customFormat="false" ht="21" hidden="false" customHeight="true" outlineLevel="0" collapsed="false"/>
    <row r="1596" customFormat="false" ht="21" hidden="false" customHeight="true" outlineLevel="0" collapsed="false"/>
    <row r="1597" customFormat="false" ht="21" hidden="false" customHeight="true" outlineLevel="0" collapsed="false"/>
    <row r="1598" customFormat="false" ht="21" hidden="false" customHeight="true" outlineLevel="0" collapsed="false"/>
    <row r="1599" customFormat="false" ht="21" hidden="false" customHeight="true" outlineLevel="0" collapsed="false"/>
    <row r="1600" customFormat="false" ht="21" hidden="false" customHeight="true" outlineLevel="0" collapsed="false"/>
    <row r="1601" customFormat="false" ht="21" hidden="false" customHeight="true" outlineLevel="0" collapsed="false"/>
    <row r="1602" customFormat="false" ht="21" hidden="false" customHeight="true" outlineLevel="0" collapsed="false"/>
    <row r="1603" customFormat="false" ht="21" hidden="false" customHeight="true" outlineLevel="0" collapsed="false"/>
    <row r="1604" customFormat="false" ht="21" hidden="false" customHeight="true" outlineLevel="0" collapsed="false"/>
    <row r="1605" customFormat="false" ht="21" hidden="false" customHeight="true" outlineLevel="0" collapsed="false"/>
    <row r="1606" customFormat="false" ht="21" hidden="false" customHeight="true" outlineLevel="0" collapsed="false"/>
    <row r="1607" customFormat="false" ht="21" hidden="false" customHeight="true" outlineLevel="0" collapsed="false"/>
    <row r="1608" customFormat="false" ht="21" hidden="false" customHeight="true" outlineLevel="0" collapsed="false"/>
    <row r="1609" customFormat="false" ht="21" hidden="false" customHeight="true" outlineLevel="0" collapsed="false"/>
    <row r="1610" customFormat="false" ht="21" hidden="false" customHeight="true" outlineLevel="0" collapsed="false"/>
    <row r="1611" customFormat="false" ht="21" hidden="false" customHeight="true" outlineLevel="0" collapsed="false"/>
    <row r="1612" customFormat="false" ht="21" hidden="false" customHeight="true" outlineLevel="0" collapsed="false"/>
    <row r="1613" customFormat="false" ht="21" hidden="false" customHeight="true" outlineLevel="0" collapsed="false"/>
    <row r="1614" customFormat="false" ht="21" hidden="false" customHeight="true" outlineLevel="0" collapsed="false"/>
    <row r="1615" customFormat="false" ht="21" hidden="false" customHeight="true" outlineLevel="0" collapsed="false"/>
    <row r="1616" customFormat="false" ht="21" hidden="false" customHeight="true" outlineLevel="0" collapsed="false"/>
    <row r="1617" customFormat="false" ht="21" hidden="false" customHeight="true" outlineLevel="0" collapsed="false"/>
    <row r="1618" customFormat="false" ht="21" hidden="false" customHeight="true" outlineLevel="0" collapsed="false"/>
    <row r="1619" customFormat="false" ht="21" hidden="false" customHeight="true" outlineLevel="0" collapsed="false"/>
    <row r="1620" customFormat="false" ht="21" hidden="false" customHeight="true" outlineLevel="0" collapsed="false"/>
    <row r="1621" customFormat="false" ht="21" hidden="false" customHeight="true" outlineLevel="0" collapsed="false"/>
    <row r="1622" customFormat="false" ht="21" hidden="false" customHeight="true" outlineLevel="0" collapsed="false"/>
    <row r="1623" customFormat="false" ht="21" hidden="false" customHeight="true" outlineLevel="0" collapsed="false"/>
    <row r="1624" customFormat="false" ht="21" hidden="false" customHeight="true" outlineLevel="0" collapsed="false"/>
    <row r="1625" customFormat="false" ht="21" hidden="false" customHeight="true" outlineLevel="0" collapsed="false"/>
    <row r="1626" customFormat="false" ht="21" hidden="false" customHeight="true" outlineLevel="0" collapsed="false"/>
    <row r="1627" customFormat="false" ht="21" hidden="false" customHeight="true" outlineLevel="0" collapsed="false"/>
    <row r="1628" customFormat="false" ht="21" hidden="false" customHeight="true" outlineLevel="0" collapsed="false"/>
    <row r="1629" customFormat="false" ht="21" hidden="false" customHeight="true" outlineLevel="0" collapsed="false"/>
    <row r="1630" customFormat="false" ht="21" hidden="false" customHeight="true" outlineLevel="0" collapsed="false"/>
    <row r="1631" customFormat="false" ht="21" hidden="false" customHeight="true" outlineLevel="0" collapsed="false"/>
    <row r="1632" customFormat="false" ht="21" hidden="false" customHeight="true" outlineLevel="0" collapsed="false"/>
    <row r="1633" customFormat="false" ht="21" hidden="false" customHeight="true" outlineLevel="0" collapsed="false"/>
    <row r="1634" customFormat="false" ht="21" hidden="false" customHeight="true" outlineLevel="0" collapsed="false"/>
    <row r="1635" customFormat="false" ht="21" hidden="false" customHeight="true" outlineLevel="0" collapsed="false"/>
    <row r="1636" customFormat="false" ht="21" hidden="false" customHeight="true" outlineLevel="0" collapsed="false"/>
    <row r="1637" customFormat="false" ht="21" hidden="false" customHeight="true" outlineLevel="0" collapsed="false"/>
    <row r="1638" customFormat="false" ht="21" hidden="false" customHeight="true" outlineLevel="0" collapsed="false"/>
    <row r="1639" customFormat="false" ht="21" hidden="false" customHeight="true" outlineLevel="0" collapsed="false"/>
    <row r="1640" customFormat="false" ht="21" hidden="false" customHeight="true" outlineLevel="0" collapsed="false"/>
    <row r="1641" customFormat="false" ht="21" hidden="false" customHeight="true" outlineLevel="0" collapsed="false"/>
    <row r="1642" customFormat="false" ht="21" hidden="false" customHeight="true" outlineLevel="0" collapsed="false"/>
    <row r="1643" customFormat="false" ht="21" hidden="false" customHeight="true" outlineLevel="0" collapsed="false"/>
    <row r="1644" customFormat="false" ht="21" hidden="false" customHeight="true" outlineLevel="0" collapsed="false"/>
    <row r="1645" customFormat="false" ht="21" hidden="false" customHeight="true" outlineLevel="0" collapsed="false"/>
    <row r="1646" customFormat="false" ht="21" hidden="false" customHeight="true" outlineLevel="0" collapsed="false"/>
    <row r="1647" customFormat="false" ht="21" hidden="false" customHeight="true" outlineLevel="0" collapsed="false"/>
    <row r="1648" customFormat="false" ht="21" hidden="false" customHeight="true" outlineLevel="0" collapsed="false"/>
    <row r="1649" customFormat="false" ht="21" hidden="false" customHeight="true" outlineLevel="0" collapsed="false"/>
    <row r="1650" customFormat="false" ht="21" hidden="false" customHeight="true" outlineLevel="0" collapsed="false"/>
    <row r="1651" customFormat="false" ht="21" hidden="false" customHeight="true" outlineLevel="0" collapsed="false"/>
    <row r="1652" customFormat="false" ht="21" hidden="false" customHeight="true" outlineLevel="0" collapsed="false"/>
    <row r="1653" customFormat="false" ht="21" hidden="false" customHeight="true" outlineLevel="0" collapsed="false"/>
    <row r="1654" customFormat="false" ht="21" hidden="false" customHeight="true" outlineLevel="0" collapsed="false"/>
    <row r="1655" customFormat="false" ht="21" hidden="false" customHeight="true" outlineLevel="0" collapsed="false"/>
    <row r="1656" customFormat="false" ht="21" hidden="false" customHeight="true" outlineLevel="0" collapsed="false"/>
    <row r="1657" customFormat="false" ht="21" hidden="false" customHeight="true" outlineLevel="0" collapsed="false"/>
    <row r="1658" customFormat="false" ht="21" hidden="false" customHeight="true" outlineLevel="0" collapsed="false"/>
    <row r="1659" customFormat="false" ht="21" hidden="false" customHeight="true" outlineLevel="0" collapsed="false"/>
    <row r="1660" customFormat="false" ht="21" hidden="false" customHeight="true" outlineLevel="0" collapsed="false"/>
    <row r="1661" customFormat="false" ht="21" hidden="false" customHeight="true" outlineLevel="0" collapsed="false"/>
    <row r="1662" customFormat="false" ht="21" hidden="false" customHeight="true" outlineLevel="0" collapsed="false"/>
    <row r="1663" customFormat="false" ht="21" hidden="false" customHeight="true" outlineLevel="0" collapsed="false"/>
    <row r="1664" customFormat="false" ht="21" hidden="false" customHeight="true" outlineLevel="0" collapsed="false"/>
    <row r="1665" customFormat="false" ht="21" hidden="false" customHeight="true" outlineLevel="0" collapsed="false"/>
    <row r="1666" customFormat="false" ht="21" hidden="false" customHeight="true" outlineLevel="0" collapsed="false"/>
    <row r="1667" customFormat="false" ht="21" hidden="false" customHeight="true" outlineLevel="0" collapsed="false"/>
    <row r="1668" customFormat="false" ht="21" hidden="false" customHeight="true" outlineLevel="0" collapsed="false"/>
    <row r="1669" customFormat="false" ht="21" hidden="false" customHeight="true" outlineLevel="0" collapsed="false"/>
    <row r="1670" customFormat="false" ht="21" hidden="false" customHeight="true" outlineLevel="0" collapsed="false"/>
    <row r="1671" customFormat="false" ht="21" hidden="false" customHeight="true" outlineLevel="0" collapsed="false"/>
    <row r="1672" customFormat="false" ht="21" hidden="false" customHeight="true" outlineLevel="0" collapsed="false"/>
    <row r="1673" customFormat="false" ht="21" hidden="false" customHeight="true" outlineLevel="0" collapsed="false"/>
    <row r="1674" customFormat="false" ht="21" hidden="false" customHeight="true" outlineLevel="0" collapsed="false"/>
    <row r="1675" customFormat="false" ht="21" hidden="false" customHeight="true" outlineLevel="0" collapsed="false"/>
    <row r="1676" customFormat="false" ht="21" hidden="false" customHeight="true" outlineLevel="0" collapsed="false"/>
    <row r="1677" customFormat="false" ht="21" hidden="false" customHeight="true" outlineLevel="0" collapsed="false"/>
    <row r="1678" customFormat="false" ht="21" hidden="false" customHeight="true" outlineLevel="0" collapsed="false"/>
    <row r="1679" customFormat="false" ht="21" hidden="false" customHeight="true" outlineLevel="0" collapsed="false"/>
    <row r="1680" customFormat="false" ht="21" hidden="false" customHeight="true" outlineLevel="0" collapsed="false"/>
    <row r="1681" customFormat="false" ht="21" hidden="false" customHeight="true" outlineLevel="0" collapsed="false"/>
    <row r="1682" customFormat="false" ht="21" hidden="false" customHeight="true" outlineLevel="0" collapsed="false"/>
    <row r="1683" customFormat="false" ht="21" hidden="false" customHeight="true" outlineLevel="0" collapsed="false"/>
    <row r="1684" customFormat="false" ht="21" hidden="false" customHeight="true" outlineLevel="0" collapsed="false"/>
    <row r="1685" customFormat="false" ht="21" hidden="false" customHeight="true" outlineLevel="0" collapsed="false"/>
    <row r="1686" customFormat="false" ht="21" hidden="false" customHeight="true" outlineLevel="0" collapsed="false"/>
    <row r="1687" customFormat="false" ht="21" hidden="false" customHeight="true" outlineLevel="0" collapsed="false"/>
    <row r="1688" customFormat="false" ht="21" hidden="false" customHeight="true" outlineLevel="0" collapsed="false"/>
    <row r="1689" customFormat="false" ht="21" hidden="false" customHeight="true" outlineLevel="0" collapsed="false"/>
    <row r="1690" customFormat="false" ht="21" hidden="false" customHeight="true" outlineLevel="0" collapsed="false"/>
    <row r="1691" customFormat="false" ht="21" hidden="false" customHeight="true" outlineLevel="0" collapsed="false"/>
    <row r="1692" customFormat="false" ht="21" hidden="false" customHeight="true" outlineLevel="0" collapsed="false"/>
    <row r="1693" customFormat="false" ht="21" hidden="false" customHeight="true" outlineLevel="0" collapsed="false"/>
    <row r="1694" customFormat="false" ht="21" hidden="false" customHeight="true" outlineLevel="0" collapsed="false"/>
    <row r="1695" customFormat="false" ht="21" hidden="false" customHeight="true" outlineLevel="0" collapsed="false"/>
    <row r="1696" customFormat="false" ht="21" hidden="false" customHeight="true" outlineLevel="0" collapsed="false"/>
    <row r="1697" customFormat="false" ht="21" hidden="false" customHeight="true" outlineLevel="0" collapsed="false"/>
    <row r="1698" customFormat="false" ht="21" hidden="false" customHeight="true" outlineLevel="0" collapsed="false"/>
    <row r="1699" customFormat="false" ht="21" hidden="false" customHeight="true" outlineLevel="0" collapsed="false"/>
    <row r="1700" customFormat="false" ht="21" hidden="false" customHeight="true" outlineLevel="0" collapsed="false"/>
    <row r="1701" customFormat="false" ht="21" hidden="false" customHeight="true" outlineLevel="0" collapsed="false"/>
    <row r="1702" customFormat="false" ht="21" hidden="false" customHeight="true" outlineLevel="0" collapsed="false"/>
    <row r="1703" customFormat="false" ht="21" hidden="false" customHeight="true" outlineLevel="0" collapsed="false"/>
    <row r="1704" customFormat="false" ht="21" hidden="false" customHeight="true" outlineLevel="0" collapsed="false"/>
    <row r="1705" customFormat="false" ht="21" hidden="false" customHeight="true" outlineLevel="0" collapsed="false"/>
    <row r="1706" customFormat="false" ht="21" hidden="false" customHeight="true" outlineLevel="0" collapsed="false"/>
    <row r="1707" customFormat="false" ht="21" hidden="false" customHeight="true" outlineLevel="0" collapsed="false"/>
    <row r="1708" customFormat="false" ht="21" hidden="false" customHeight="true" outlineLevel="0" collapsed="false"/>
    <row r="1709" customFormat="false" ht="21" hidden="false" customHeight="true" outlineLevel="0" collapsed="false"/>
    <row r="1710" customFormat="false" ht="21" hidden="false" customHeight="true" outlineLevel="0" collapsed="false"/>
    <row r="1711" customFormat="false" ht="21" hidden="false" customHeight="true" outlineLevel="0" collapsed="false"/>
    <row r="1712" customFormat="false" ht="21" hidden="false" customHeight="true" outlineLevel="0" collapsed="false"/>
    <row r="1713" customFormat="false" ht="21" hidden="false" customHeight="true" outlineLevel="0" collapsed="false"/>
    <row r="1714" customFormat="false" ht="21" hidden="false" customHeight="true" outlineLevel="0" collapsed="false"/>
    <row r="1715" customFormat="false" ht="21" hidden="false" customHeight="true" outlineLevel="0" collapsed="false"/>
    <row r="1716" customFormat="false" ht="21" hidden="false" customHeight="true" outlineLevel="0" collapsed="false"/>
    <row r="1717" customFormat="false" ht="21" hidden="false" customHeight="true" outlineLevel="0" collapsed="false"/>
    <row r="1718" customFormat="false" ht="21" hidden="false" customHeight="true" outlineLevel="0" collapsed="false"/>
    <row r="1719" customFormat="false" ht="21" hidden="false" customHeight="true" outlineLevel="0" collapsed="false"/>
    <row r="1720" customFormat="false" ht="21" hidden="false" customHeight="true" outlineLevel="0" collapsed="false"/>
    <row r="1721" customFormat="false" ht="21" hidden="false" customHeight="true" outlineLevel="0" collapsed="false"/>
    <row r="1722" customFormat="false" ht="21" hidden="false" customHeight="true" outlineLevel="0" collapsed="false"/>
    <row r="1723" customFormat="false" ht="21" hidden="false" customHeight="true" outlineLevel="0" collapsed="false"/>
    <row r="1724" customFormat="false" ht="21" hidden="false" customHeight="true" outlineLevel="0" collapsed="false"/>
    <row r="1725" customFormat="false" ht="21" hidden="false" customHeight="true" outlineLevel="0" collapsed="false"/>
    <row r="1726" customFormat="false" ht="21" hidden="false" customHeight="true" outlineLevel="0" collapsed="false"/>
    <row r="1727" customFormat="false" ht="21" hidden="false" customHeight="true" outlineLevel="0" collapsed="false"/>
    <row r="1728" customFormat="false" ht="21" hidden="false" customHeight="true" outlineLevel="0" collapsed="false"/>
    <row r="1729" customFormat="false" ht="21" hidden="false" customHeight="true" outlineLevel="0" collapsed="false"/>
    <row r="1730" customFormat="false" ht="21" hidden="false" customHeight="true" outlineLevel="0" collapsed="false"/>
    <row r="1731" customFormat="false" ht="21" hidden="false" customHeight="true" outlineLevel="0" collapsed="false"/>
    <row r="1732" customFormat="false" ht="21" hidden="false" customHeight="true" outlineLevel="0" collapsed="false"/>
    <row r="1733" customFormat="false" ht="21" hidden="false" customHeight="true" outlineLevel="0" collapsed="false"/>
    <row r="1734" customFormat="false" ht="21" hidden="false" customHeight="true" outlineLevel="0" collapsed="false"/>
    <row r="1735" customFormat="false" ht="21" hidden="false" customHeight="true" outlineLevel="0" collapsed="false"/>
    <row r="1736" customFormat="false" ht="21" hidden="false" customHeight="true" outlineLevel="0" collapsed="false"/>
    <row r="1737" customFormat="false" ht="21" hidden="false" customHeight="true" outlineLevel="0" collapsed="false"/>
    <row r="1738" customFormat="false" ht="21" hidden="false" customHeight="true" outlineLevel="0" collapsed="false"/>
    <row r="1739" customFormat="false" ht="21" hidden="false" customHeight="true" outlineLevel="0" collapsed="false"/>
    <row r="1740" customFormat="false" ht="21" hidden="false" customHeight="true" outlineLevel="0" collapsed="false"/>
    <row r="1741" customFormat="false" ht="21" hidden="false" customHeight="true" outlineLevel="0" collapsed="false"/>
    <row r="1742" customFormat="false" ht="21" hidden="false" customHeight="true" outlineLevel="0" collapsed="false"/>
    <row r="1743" customFormat="false" ht="21" hidden="false" customHeight="true" outlineLevel="0" collapsed="false"/>
    <row r="1744" customFormat="false" ht="21" hidden="false" customHeight="true" outlineLevel="0" collapsed="false"/>
    <row r="1745" customFormat="false" ht="21" hidden="false" customHeight="true" outlineLevel="0" collapsed="false"/>
    <row r="1746" customFormat="false" ht="21" hidden="false" customHeight="true" outlineLevel="0" collapsed="false"/>
    <row r="1747" customFormat="false" ht="21" hidden="false" customHeight="true" outlineLevel="0" collapsed="false"/>
    <row r="1748" customFormat="false" ht="21" hidden="false" customHeight="true" outlineLevel="0" collapsed="false"/>
    <row r="1749" customFormat="false" ht="21" hidden="false" customHeight="true" outlineLevel="0" collapsed="false"/>
    <row r="1750" customFormat="false" ht="21" hidden="false" customHeight="true" outlineLevel="0" collapsed="false"/>
    <row r="1751" customFormat="false" ht="21" hidden="false" customHeight="true" outlineLevel="0" collapsed="false"/>
    <row r="1752" customFormat="false" ht="21" hidden="false" customHeight="true" outlineLevel="0" collapsed="false"/>
    <row r="1753" customFormat="false" ht="21" hidden="false" customHeight="true" outlineLevel="0" collapsed="false"/>
    <row r="1754" customFormat="false" ht="21" hidden="false" customHeight="true" outlineLevel="0" collapsed="false"/>
    <row r="1755" customFormat="false" ht="21" hidden="false" customHeight="true" outlineLevel="0" collapsed="false"/>
    <row r="1756" customFormat="false" ht="21" hidden="false" customHeight="true" outlineLevel="0" collapsed="false"/>
    <row r="1757" customFormat="false" ht="21" hidden="false" customHeight="true" outlineLevel="0" collapsed="false"/>
    <row r="1758" customFormat="false" ht="21" hidden="false" customHeight="true" outlineLevel="0" collapsed="false"/>
    <row r="1759" customFormat="false" ht="21" hidden="false" customHeight="true" outlineLevel="0" collapsed="false"/>
    <row r="1760" customFormat="false" ht="21" hidden="false" customHeight="true" outlineLevel="0" collapsed="false"/>
    <row r="1761" customFormat="false" ht="21" hidden="false" customHeight="true" outlineLevel="0" collapsed="false"/>
    <row r="1762" customFormat="false" ht="21" hidden="false" customHeight="true" outlineLevel="0" collapsed="false"/>
    <row r="1763" customFormat="false" ht="21" hidden="false" customHeight="true" outlineLevel="0" collapsed="false"/>
    <row r="1764" customFormat="false" ht="21" hidden="false" customHeight="true" outlineLevel="0" collapsed="false"/>
    <row r="1765" customFormat="false" ht="21" hidden="false" customHeight="true" outlineLevel="0" collapsed="false"/>
    <row r="1766" customFormat="false" ht="21" hidden="false" customHeight="true" outlineLevel="0" collapsed="false"/>
    <row r="1767" customFormat="false" ht="21" hidden="false" customHeight="true" outlineLevel="0" collapsed="false"/>
    <row r="1768" customFormat="false" ht="21" hidden="false" customHeight="true" outlineLevel="0" collapsed="false"/>
    <row r="1769" customFormat="false" ht="21" hidden="false" customHeight="true" outlineLevel="0" collapsed="false"/>
    <row r="1770" customFormat="false" ht="21" hidden="false" customHeight="true" outlineLevel="0" collapsed="false"/>
    <row r="1771" customFormat="false" ht="21" hidden="false" customHeight="true" outlineLevel="0" collapsed="false"/>
    <row r="1772" customFormat="false" ht="21" hidden="false" customHeight="true" outlineLevel="0" collapsed="false"/>
    <row r="1773" customFormat="false" ht="21" hidden="false" customHeight="true" outlineLevel="0" collapsed="false"/>
    <row r="1774" customFormat="false" ht="21" hidden="false" customHeight="true" outlineLevel="0" collapsed="false"/>
    <row r="1775" customFormat="false" ht="21" hidden="false" customHeight="true" outlineLevel="0" collapsed="false"/>
    <row r="1776" customFormat="false" ht="21" hidden="false" customHeight="true" outlineLevel="0" collapsed="false"/>
    <row r="1777" customFormat="false" ht="21" hidden="false" customHeight="true" outlineLevel="0" collapsed="false"/>
    <row r="1778" customFormat="false" ht="21" hidden="false" customHeight="true" outlineLevel="0" collapsed="false"/>
    <row r="1779" customFormat="false" ht="21" hidden="false" customHeight="true" outlineLevel="0" collapsed="false"/>
    <row r="1780" customFormat="false" ht="21" hidden="false" customHeight="true" outlineLevel="0" collapsed="false"/>
    <row r="1781" customFormat="false" ht="21" hidden="false" customHeight="true" outlineLevel="0" collapsed="false"/>
    <row r="1782" customFormat="false" ht="21" hidden="false" customHeight="true" outlineLevel="0" collapsed="false"/>
    <row r="1783" customFormat="false" ht="21" hidden="false" customHeight="true" outlineLevel="0" collapsed="false"/>
    <row r="1784" customFormat="false" ht="21" hidden="false" customHeight="true" outlineLevel="0" collapsed="false"/>
    <row r="1785" customFormat="false" ht="21" hidden="false" customHeight="true" outlineLevel="0" collapsed="false"/>
    <row r="1786" customFormat="false" ht="21" hidden="false" customHeight="true" outlineLevel="0" collapsed="false"/>
    <row r="1787" customFormat="false" ht="21" hidden="false" customHeight="true" outlineLevel="0" collapsed="false"/>
    <row r="1788" customFormat="false" ht="21" hidden="false" customHeight="true" outlineLevel="0" collapsed="false"/>
    <row r="1789" customFormat="false" ht="21" hidden="false" customHeight="true" outlineLevel="0" collapsed="false"/>
    <row r="1790" customFormat="false" ht="21" hidden="false" customHeight="true" outlineLevel="0" collapsed="false"/>
    <row r="1791" customFormat="false" ht="21" hidden="false" customHeight="true" outlineLevel="0" collapsed="false"/>
    <row r="1792" customFormat="false" ht="21" hidden="false" customHeight="true" outlineLevel="0" collapsed="false"/>
    <row r="1793" customFormat="false" ht="21" hidden="false" customHeight="true" outlineLevel="0" collapsed="false"/>
    <row r="1794" customFormat="false" ht="21" hidden="false" customHeight="true" outlineLevel="0" collapsed="false"/>
    <row r="1795" customFormat="false" ht="21" hidden="false" customHeight="true" outlineLevel="0" collapsed="false"/>
    <row r="1796" customFormat="false" ht="21" hidden="false" customHeight="true" outlineLevel="0" collapsed="false"/>
    <row r="1797" customFormat="false" ht="21" hidden="false" customHeight="true" outlineLevel="0" collapsed="false"/>
    <row r="1798" customFormat="false" ht="21" hidden="false" customHeight="true" outlineLevel="0" collapsed="false"/>
    <row r="1799" customFormat="false" ht="21" hidden="false" customHeight="true" outlineLevel="0" collapsed="false"/>
    <row r="1800" customFormat="false" ht="21" hidden="false" customHeight="true" outlineLevel="0" collapsed="false"/>
    <row r="1801" customFormat="false" ht="21" hidden="false" customHeight="true" outlineLevel="0" collapsed="false"/>
    <row r="1802" customFormat="false" ht="21" hidden="false" customHeight="true" outlineLevel="0" collapsed="false"/>
    <row r="1803" customFormat="false" ht="21" hidden="false" customHeight="true" outlineLevel="0" collapsed="false"/>
    <row r="1804" customFormat="false" ht="21" hidden="false" customHeight="true" outlineLevel="0" collapsed="false"/>
    <row r="1805" customFormat="false" ht="21" hidden="false" customHeight="true" outlineLevel="0" collapsed="false"/>
    <row r="1806" customFormat="false" ht="21" hidden="false" customHeight="true" outlineLevel="0" collapsed="false"/>
    <row r="1807" customFormat="false" ht="21" hidden="false" customHeight="true" outlineLevel="0" collapsed="false"/>
    <row r="1808" customFormat="false" ht="21" hidden="false" customHeight="true" outlineLevel="0" collapsed="false"/>
    <row r="1809" customFormat="false" ht="21" hidden="false" customHeight="true" outlineLevel="0" collapsed="false"/>
    <row r="1810" customFormat="false" ht="21" hidden="false" customHeight="true" outlineLevel="0" collapsed="false"/>
    <row r="1811" customFormat="false" ht="21" hidden="false" customHeight="true" outlineLevel="0" collapsed="false"/>
    <row r="1812" customFormat="false" ht="21" hidden="false" customHeight="true" outlineLevel="0" collapsed="false"/>
    <row r="1813" customFormat="false" ht="21" hidden="false" customHeight="true" outlineLevel="0" collapsed="false"/>
    <row r="1814" customFormat="false" ht="21" hidden="false" customHeight="true" outlineLevel="0" collapsed="false"/>
    <row r="1815" customFormat="false" ht="21" hidden="false" customHeight="true" outlineLevel="0" collapsed="false"/>
    <row r="1816" customFormat="false" ht="21" hidden="false" customHeight="true" outlineLevel="0" collapsed="false"/>
    <row r="1817" customFormat="false" ht="21" hidden="false" customHeight="true" outlineLevel="0" collapsed="false"/>
    <row r="1818" customFormat="false" ht="21" hidden="false" customHeight="true" outlineLevel="0" collapsed="false"/>
    <row r="1819" customFormat="false" ht="21" hidden="false" customHeight="true" outlineLevel="0" collapsed="false"/>
    <row r="1820" customFormat="false" ht="21" hidden="false" customHeight="true" outlineLevel="0" collapsed="false"/>
    <row r="1821" customFormat="false" ht="21" hidden="false" customHeight="true" outlineLevel="0" collapsed="false"/>
    <row r="1822" customFormat="false" ht="21" hidden="false" customHeight="true" outlineLevel="0" collapsed="false"/>
    <row r="1823" customFormat="false" ht="21" hidden="false" customHeight="true" outlineLevel="0" collapsed="false"/>
    <row r="1824" customFormat="false" ht="21" hidden="false" customHeight="true" outlineLevel="0" collapsed="false"/>
    <row r="1825" customFormat="false" ht="21" hidden="false" customHeight="true" outlineLevel="0" collapsed="false"/>
    <row r="1826" customFormat="false" ht="21" hidden="false" customHeight="true" outlineLevel="0" collapsed="false"/>
    <row r="1827" customFormat="false" ht="21" hidden="false" customHeight="true" outlineLevel="0" collapsed="false"/>
    <row r="1828" customFormat="false" ht="21" hidden="false" customHeight="true" outlineLevel="0" collapsed="false"/>
    <row r="1829" customFormat="false" ht="21" hidden="false" customHeight="true" outlineLevel="0" collapsed="false"/>
    <row r="1830" customFormat="false" ht="21" hidden="false" customHeight="true" outlineLevel="0" collapsed="false"/>
    <row r="1831" customFormat="false" ht="21" hidden="false" customHeight="true" outlineLevel="0" collapsed="false"/>
    <row r="1832" customFormat="false" ht="21" hidden="false" customHeight="true" outlineLevel="0" collapsed="false"/>
    <row r="1833" customFormat="false" ht="21" hidden="false" customHeight="true" outlineLevel="0" collapsed="false"/>
    <row r="1834" customFormat="false" ht="21" hidden="false" customHeight="true" outlineLevel="0" collapsed="false"/>
    <row r="1835" customFormat="false" ht="21" hidden="false" customHeight="true" outlineLevel="0" collapsed="false"/>
    <row r="1836" customFormat="false" ht="21" hidden="false" customHeight="true" outlineLevel="0" collapsed="false"/>
    <row r="1837" customFormat="false" ht="21" hidden="false" customHeight="true" outlineLevel="0" collapsed="false"/>
    <row r="1838" customFormat="false" ht="21" hidden="false" customHeight="true" outlineLevel="0" collapsed="false"/>
    <row r="1839" customFormat="false" ht="21" hidden="false" customHeight="true" outlineLevel="0" collapsed="false"/>
    <row r="1840" customFormat="false" ht="21" hidden="false" customHeight="true" outlineLevel="0" collapsed="false"/>
    <row r="1841" customFormat="false" ht="21" hidden="false" customHeight="true" outlineLevel="0" collapsed="false"/>
    <row r="1842" customFormat="false" ht="21" hidden="false" customHeight="true" outlineLevel="0" collapsed="false"/>
    <row r="1843" customFormat="false" ht="21" hidden="false" customHeight="true" outlineLevel="0" collapsed="false"/>
    <row r="1844" customFormat="false" ht="21" hidden="false" customHeight="true" outlineLevel="0" collapsed="false"/>
    <row r="1845" customFormat="false" ht="21" hidden="false" customHeight="true" outlineLevel="0" collapsed="false"/>
    <row r="1846" customFormat="false" ht="21" hidden="false" customHeight="true" outlineLevel="0" collapsed="false"/>
    <row r="1847" customFormat="false" ht="21" hidden="false" customHeight="true" outlineLevel="0" collapsed="false"/>
    <row r="1848" customFormat="false" ht="21" hidden="false" customHeight="true" outlineLevel="0" collapsed="false"/>
    <row r="1849" customFormat="false" ht="21" hidden="false" customHeight="true" outlineLevel="0" collapsed="false"/>
    <row r="1850" customFormat="false" ht="21" hidden="false" customHeight="true" outlineLevel="0" collapsed="false"/>
    <row r="1851" customFormat="false" ht="21" hidden="false" customHeight="true" outlineLevel="0" collapsed="false"/>
    <row r="1852" customFormat="false" ht="21" hidden="false" customHeight="true" outlineLevel="0" collapsed="false"/>
    <row r="1853" customFormat="false" ht="21" hidden="false" customHeight="true" outlineLevel="0" collapsed="false"/>
    <row r="1854" customFormat="false" ht="21" hidden="false" customHeight="true" outlineLevel="0" collapsed="false"/>
    <row r="1855" customFormat="false" ht="21" hidden="false" customHeight="true" outlineLevel="0" collapsed="false"/>
    <row r="1856" customFormat="false" ht="21" hidden="false" customHeight="true" outlineLevel="0" collapsed="false"/>
    <row r="1857" customFormat="false" ht="21" hidden="false" customHeight="true" outlineLevel="0" collapsed="false"/>
    <row r="1858" customFormat="false" ht="21" hidden="false" customHeight="true" outlineLevel="0" collapsed="false"/>
    <row r="1859" customFormat="false" ht="21" hidden="false" customHeight="true" outlineLevel="0" collapsed="false"/>
    <row r="1860" customFormat="false" ht="21" hidden="false" customHeight="true" outlineLevel="0" collapsed="false"/>
    <row r="1861" customFormat="false" ht="21" hidden="false" customHeight="true" outlineLevel="0" collapsed="false"/>
    <row r="1862" customFormat="false" ht="21" hidden="false" customHeight="true" outlineLevel="0" collapsed="false"/>
    <row r="1863" customFormat="false" ht="21" hidden="false" customHeight="true" outlineLevel="0" collapsed="false"/>
    <row r="1864" customFormat="false" ht="21" hidden="false" customHeight="true" outlineLevel="0" collapsed="false"/>
    <row r="1865" customFormat="false" ht="21" hidden="false" customHeight="true" outlineLevel="0" collapsed="false"/>
    <row r="1866" customFormat="false" ht="21" hidden="false" customHeight="true" outlineLevel="0" collapsed="false"/>
    <row r="1867" customFormat="false" ht="21" hidden="false" customHeight="true" outlineLevel="0" collapsed="false"/>
    <row r="1868" customFormat="false" ht="21" hidden="false" customHeight="true" outlineLevel="0" collapsed="false"/>
    <row r="1869" customFormat="false" ht="21" hidden="false" customHeight="true" outlineLevel="0" collapsed="false"/>
    <row r="1870" customFormat="false" ht="21" hidden="false" customHeight="true" outlineLevel="0" collapsed="false"/>
    <row r="1871" customFormat="false" ht="21" hidden="false" customHeight="true" outlineLevel="0" collapsed="false"/>
    <row r="1872" customFormat="false" ht="21" hidden="false" customHeight="true" outlineLevel="0" collapsed="false"/>
    <row r="1873" customFormat="false" ht="21" hidden="false" customHeight="true" outlineLevel="0" collapsed="false"/>
    <row r="1874" customFormat="false" ht="21" hidden="false" customHeight="true" outlineLevel="0" collapsed="false"/>
    <row r="1875" customFormat="false" ht="21" hidden="false" customHeight="true" outlineLevel="0" collapsed="false"/>
    <row r="1876" customFormat="false" ht="21" hidden="false" customHeight="true" outlineLevel="0" collapsed="false"/>
    <row r="1877" customFormat="false" ht="21" hidden="false" customHeight="true" outlineLevel="0" collapsed="false"/>
    <row r="1878" customFormat="false" ht="21" hidden="false" customHeight="true" outlineLevel="0" collapsed="false"/>
    <row r="1879" customFormat="false" ht="21" hidden="false" customHeight="true" outlineLevel="0" collapsed="false"/>
    <row r="1880" customFormat="false" ht="21" hidden="false" customHeight="true" outlineLevel="0" collapsed="false"/>
    <row r="1881" customFormat="false" ht="21" hidden="false" customHeight="true" outlineLevel="0" collapsed="false"/>
    <row r="1882" customFormat="false" ht="21" hidden="false" customHeight="true" outlineLevel="0" collapsed="false"/>
    <row r="1883" customFormat="false" ht="21" hidden="false" customHeight="true" outlineLevel="0" collapsed="false"/>
    <row r="1884" customFormat="false" ht="21" hidden="false" customHeight="true" outlineLevel="0" collapsed="false"/>
    <row r="1885" customFormat="false" ht="21" hidden="false" customHeight="true" outlineLevel="0" collapsed="false"/>
    <row r="1886" customFormat="false" ht="21" hidden="false" customHeight="true" outlineLevel="0" collapsed="false"/>
    <row r="1887" customFormat="false" ht="21" hidden="false" customHeight="true" outlineLevel="0" collapsed="false"/>
    <row r="1888" customFormat="false" ht="21" hidden="false" customHeight="true" outlineLevel="0" collapsed="false"/>
    <row r="1889" customFormat="false" ht="21" hidden="false" customHeight="true" outlineLevel="0" collapsed="false"/>
    <row r="1890" customFormat="false" ht="21" hidden="false" customHeight="true" outlineLevel="0" collapsed="false"/>
    <row r="1891" customFormat="false" ht="21" hidden="false" customHeight="true" outlineLevel="0" collapsed="false"/>
    <row r="1892" customFormat="false" ht="21" hidden="false" customHeight="true" outlineLevel="0" collapsed="false"/>
    <row r="1893" customFormat="false" ht="21" hidden="false" customHeight="true" outlineLevel="0" collapsed="false"/>
    <row r="1894" customFormat="false" ht="21" hidden="false" customHeight="true" outlineLevel="0" collapsed="false"/>
    <row r="1895" customFormat="false" ht="21" hidden="false" customHeight="true" outlineLevel="0" collapsed="false"/>
    <row r="1896" customFormat="false" ht="21" hidden="false" customHeight="true" outlineLevel="0" collapsed="false"/>
    <row r="1897" customFormat="false" ht="21" hidden="false" customHeight="true" outlineLevel="0" collapsed="false"/>
    <row r="1898" customFormat="false" ht="21" hidden="false" customHeight="true" outlineLevel="0" collapsed="false"/>
    <row r="1899" customFormat="false" ht="21" hidden="false" customHeight="true" outlineLevel="0" collapsed="false"/>
    <row r="1900" customFormat="false" ht="21" hidden="false" customHeight="true" outlineLevel="0" collapsed="false"/>
    <row r="1901" customFormat="false" ht="21" hidden="false" customHeight="true" outlineLevel="0" collapsed="false"/>
    <row r="1902" customFormat="false" ht="21" hidden="false" customHeight="true" outlineLevel="0" collapsed="false"/>
    <row r="1903" customFormat="false" ht="21" hidden="false" customHeight="true" outlineLevel="0" collapsed="false"/>
    <row r="1904" customFormat="false" ht="21" hidden="false" customHeight="true" outlineLevel="0" collapsed="false"/>
    <row r="1905" customFormat="false" ht="21" hidden="false" customHeight="true" outlineLevel="0" collapsed="false"/>
    <row r="1906" customFormat="false" ht="21" hidden="false" customHeight="true" outlineLevel="0" collapsed="false"/>
    <row r="1907" customFormat="false" ht="21" hidden="false" customHeight="true" outlineLevel="0" collapsed="false"/>
    <row r="1908" customFormat="false" ht="21" hidden="false" customHeight="true" outlineLevel="0" collapsed="false"/>
    <row r="1909" customFormat="false" ht="21" hidden="false" customHeight="true" outlineLevel="0" collapsed="false"/>
    <row r="1910" customFormat="false" ht="21" hidden="false" customHeight="true" outlineLevel="0" collapsed="false"/>
    <row r="1911" customFormat="false" ht="21" hidden="false" customHeight="true" outlineLevel="0" collapsed="false"/>
    <row r="1912" customFormat="false" ht="21" hidden="false" customHeight="true" outlineLevel="0" collapsed="false"/>
    <row r="1913" customFormat="false" ht="21" hidden="false" customHeight="true" outlineLevel="0" collapsed="false"/>
    <row r="1914" customFormat="false" ht="21" hidden="false" customHeight="true" outlineLevel="0" collapsed="false"/>
    <row r="1915" customFormat="false" ht="21" hidden="false" customHeight="true" outlineLevel="0" collapsed="false"/>
    <row r="1916" customFormat="false" ht="21" hidden="false" customHeight="true" outlineLevel="0" collapsed="false"/>
    <row r="1917" customFormat="false" ht="21" hidden="false" customHeight="true" outlineLevel="0" collapsed="false"/>
    <row r="1918" customFormat="false" ht="21" hidden="false" customHeight="true" outlineLevel="0" collapsed="false"/>
    <row r="1919" customFormat="false" ht="21" hidden="false" customHeight="true" outlineLevel="0" collapsed="false"/>
    <row r="1920" customFormat="false" ht="21" hidden="false" customHeight="true" outlineLevel="0" collapsed="false"/>
    <row r="1921" customFormat="false" ht="21" hidden="false" customHeight="true" outlineLevel="0" collapsed="false"/>
    <row r="1922" customFormat="false" ht="21" hidden="false" customHeight="true" outlineLevel="0" collapsed="false"/>
    <row r="1923" customFormat="false" ht="21" hidden="false" customHeight="true" outlineLevel="0" collapsed="false"/>
    <row r="1924" customFormat="false" ht="21" hidden="false" customHeight="true" outlineLevel="0" collapsed="false"/>
    <row r="1925" customFormat="false" ht="21" hidden="false" customHeight="true" outlineLevel="0" collapsed="false"/>
    <row r="1926" customFormat="false" ht="21" hidden="false" customHeight="true" outlineLevel="0" collapsed="false"/>
    <row r="1927" customFormat="false" ht="21" hidden="false" customHeight="true" outlineLevel="0" collapsed="false"/>
    <row r="1928" customFormat="false" ht="21" hidden="false" customHeight="true" outlineLevel="0" collapsed="false"/>
    <row r="1929" customFormat="false" ht="21" hidden="false" customHeight="true" outlineLevel="0" collapsed="false"/>
    <row r="1930" customFormat="false" ht="21" hidden="false" customHeight="true" outlineLevel="0" collapsed="false"/>
    <row r="1931" customFormat="false" ht="21" hidden="false" customHeight="true" outlineLevel="0" collapsed="false"/>
    <row r="1932" customFormat="false" ht="21" hidden="false" customHeight="true" outlineLevel="0" collapsed="false"/>
    <row r="1933" customFormat="false" ht="21" hidden="false" customHeight="true" outlineLevel="0" collapsed="false"/>
    <row r="1934" customFormat="false" ht="21" hidden="false" customHeight="true" outlineLevel="0" collapsed="false"/>
    <row r="1935" customFormat="false" ht="21" hidden="false" customHeight="true" outlineLevel="0" collapsed="false"/>
    <row r="1936" customFormat="false" ht="21" hidden="false" customHeight="true" outlineLevel="0" collapsed="false"/>
    <row r="1937" customFormat="false" ht="21" hidden="false" customHeight="true" outlineLevel="0" collapsed="false"/>
    <row r="1938" customFormat="false" ht="21" hidden="false" customHeight="true" outlineLevel="0" collapsed="false"/>
    <row r="1939" customFormat="false" ht="21" hidden="false" customHeight="true" outlineLevel="0" collapsed="false"/>
    <row r="1940" customFormat="false" ht="21" hidden="false" customHeight="true" outlineLevel="0" collapsed="false"/>
    <row r="1941" customFormat="false" ht="21" hidden="false" customHeight="true" outlineLevel="0" collapsed="false"/>
    <row r="1942" customFormat="false" ht="21" hidden="false" customHeight="true" outlineLevel="0" collapsed="false"/>
    <row r="1943" customFormat="false" ht="21" hidden="false" customHeight="true" outlineLevel="0" collapsed="false"/>
    <row r="1944" customFormat="false" ht="21" hidden="false" customHeight="true" outlineLevel="0" collapsed="false"/>
    <row r="1945" customFormat="false" ht="21" hidden="false" customHeight="true" outlineLevel="0" collapsed="false"/>
    <row r="1946" customFormat="false" ht="21" hidden="false" customHeight="true" outlineLevel="0" collapsed="false"/>
    <row r="1947" customFormat="false" ht="21" hidden="false" customHeight="true" outlineLevel="0" collapsed="false"/>
    <row r="1948" customFormat="false" ht="21" hidden="false" customHeight="true" outlineLevel="0" collapsed="false"/>
    <row r="1949" customFormat="false" ht="21" hidden="false" customHeight="true" outlineLevel="0" collapsed="false"/>
    <row r="1950" customFormat="false" ht="21" hidden="false" customHeight="true" outlineLevel="0" collapsed="false"/>
    <row r="1951" customFormat="false" ht="21" hidden="false" customHeight="true" outlineLevel="0" collapsed="false"/>
    <row r="1952" customFormat="false" ht="21" hidden="false" customHeight="true" outlineLevel="0" collapsed="false"/>
    <row r="1953" customFormat="false" ht="21" hidden="false" customHeight="true" outlineLevel="0" collapsed="false"/>
    <row r="1954" customFormat="false" ht="21" hidden="false" customHeight="true" outlineLevel="0" collapsed="false"/>
    <row r="1955" customFormat="false" ht="21" hidden="false" customHeight="true" outlineLevel="0" collapsed="false"/>
    <row r="1956" customFormat="false" ht="21" hidden="false" customHeight="true" outlineLevel="0" collapsed="false"/>
    <row r="1957" customFormat="false" ht="21" hidden="false" customHeight="true" outlineLevel="0" collapsed="false"/>
    <row r="1958" customFormat="false" ht="21" hidden="false" customHeight="true" outlineLevel="0" collapsed="false"/>
    <row r="1959" customFormat="false" ht="21" hidden="false" customHeight="true" outlineLevel="0" collapsed="false"/>
    <row r="1960" customFormat="false" ht="21" hidden="false" customHeight="true" outlineLevel="0" collapsed="false"/>
    <row r="1961" customFormat="false" ht="21" hidden="false" customHeight="true" outlineLevel="0" collapsed="false"/>
    <row r="1962" customFormat="false" ht="21" hidden="false" customHeight="true" outlineLevel="0" collapsed="false"/>
    <row r="1963" customFormat="false" ht="21" hidden="false" customHeight="true" outlineLevel="0" collapsed="false"/>
    <row r="1964" customFormat="false" ht="21" hidden="false" customHeight="true" outlineLevel="0" collapsed="false"/>
    <row r="1965" customFormat="false" ht="21" hidden="false" customHeight="true" outlineLevel="0" collapsed="false"/>
    <row r="1966" customFormat="false" ht="21" hidden="false" customHeight="true" outlineLevel="0" collapsed="false"/>
    <row r="1967" customFormat="false" ht="21" hidden="false" customHeight="true" outlineLevel="0" collapsed="false"/>
    <row r="1968" customFormat="false" ht="21" hidden="false" customHeight="true" outlineLevel="0" collapsed="false"/>
    <row r="1969" customFormat="false" ht="21" hidden="false" customHeight="true" outlineLevel="0" collapsed="false"/>
    <row r="1970" customFormat="false" ht="21" hidden="false" customHeight="true" outlineLevel="0" collapsed="false"/>
    <row r="1971" customFormat="false" ht="21" hidden="false" customHeight="true" outlineLevel="0" collapsed="false"/>
    <row r="1972" customFormat="false" ht="21" hidden="false" customHeight="true" outlineLevel="0" collapsed="false"/>
    <row r="1973" customFormat="false" ht="21" hidden="false" customHeight="true" outlineLevel="0" collapsed="false"/>
    <row r="1974" customFormat="false" ht="21" hidden="false" customHeight="true" outlineLevel="0" collapsed="false"/>
    <row r="1975" customFormat="false" ht="21" hidden="false" customHeight="true" outlineLevel="0" collapsed="false"/>
    <row r="1976" customFormat="false" ht="21" hidden="false" customHeight="true" outlineLevel="0" collapsed="false"/>
    <row r="1977" customFormat="false" ht="21" hidden="false" customHeight="true" outlineLevel="0" collapsed="false"/>
    <row r="1978" customFormat="false" ht="21" hidden="false" customHeight="true" outlineLevel="0" collapsed="false"/>
    <row r="1979" customFormat="false" ht="21" hidden="false" customHeight="true" outlineLevel="0" collapsed="false"/>
    <row r="1980" customFormat="false" ht="21" hidden="false" customHeight="true" outlineLevel="0" collapsed="false"/>
    <row r="1981" customFormat="false" ht="21" hidden="false" customHeight="true" outlineLevel="0" collapsed="false"/>
    <row r="1982" customFormat="false" ht="21" hidden="false" customHeight="true" outlineLevel="0" collapsed="false"/>
    <row r="1983" customFormat="false" ht="21" hidden="false" customHeight="true" outlineLevel="0" collapsed="false"/>
    <row r="1984" customFormat="false" ht="21" hidden="false" customHeight="true" outlineLevel="0" collapsed="false"/>
    <row r="1985" customFormat="false" ht="21" hidden="false" customHeight="true" outlineLevel="0" collapsed="false"/>
    <row r="1986" customFormat="false" ht="21" hidden="false" customHeight="true" outlineLevel="0" collapsed="false"/>
    <row r="1987" customFormat="false" ht="21" hidden="false" customHeight="true" outlineLevel="0" collapsed="false"/>
    <row r="1988" customFormat="false" ht="21" hidden="false" customHeight="true" outlineLevel="0" collapsed="false"/>
    <row r="1989" customFormat="false" ht="21" hidden="false" customHeight="true" outlineLevel="0" collapsed="false"/>
    <row r="1990" customFormat="false" ht="21" hidden="false" customHeight="true" outlineLevel="0" collapsed="false"/>
    <row r="1991" customFormat="false" ht="21" hidden="false" customHeight="true" outlineLevel="0" collapsed="false"/>
    <row r="1992" customFormat="false" ht="21" hidden="false" customHeight="true" outlineLevel="0" collapsed="false"/>
    <row r="1993" customFormat="false" ht="21" hidden="false" customHeight="true" outlineLevel="0" collapsed="false"/>
    <row r="1994" customFormat="false" ht="21" hidden="false" customHeight="true" outlineLevel="0" collapsed="false"/>
    <row r="1995" customFormat="false" ht="21" hidden="false" customHeight="true" outlineLevel="0" collapsed="false"/>
    <row r="1996" customFormat="false" ht="21" hidden="false" customHeight="true" outlineLevel="0" collapsed="false"/>
    <row r="1997" customFormat="false" ht="21" hidden="false" customHeight="true" outlineLevel="0" collapsed="false"/>
    <row r="1998" customFormat="false" ht="21" hidden="false" customHeight="true" outlineLevel="0" collapsed="false"/>
    <row r="1999" customFormat="false" ht="21" hidden="false" customHeight="true" outlineLevel="0" collapsed="false"/>
    <row r="2000" customFormat="false" ht="21" hidden="false" customHeight="true" outlineLevel="0" collapsed="false"/>
    <row r="2001" customFormat="false" ht="21" hidden="false" customHeight="true" outlineLevel="0" collapsed="false"/>
    <row r="2002" customFormat="false" ht="21" hidden="false" customHeight="true" outlineLevel="0" collapsed="false"/>
    <row r="2003" customFormat="false" ht="21" hidden="false" customHeight="true" outlineLevel="0" collapsed="false"/>
    <row r="2004" customFormat="false" ht="21" hidden="false" customHeight="true" outlineLevel="0" collapsed="false"/>
  </sheetData>
  <mergeCells count="2">
    <mergeCell ref="B1:F1"/>
    <mergeCell ref="B2:F2"/>
  </mergeCells>
  <dataValidations count="2">
    <dataValidation allowBlank="true" errorStyle="stop" operator="between" prompt="Escolha da lista da aba Clientes." promptTitle="Cliente" showDropDown="false" showErrorMessage="false" showInputMessage="true" sqref="C5:C1008" type="list">
      <formula1>Clientes!$B$5:$B$204</formula1>
      <formula2>0</formula2>
    </dataValidation>
    <dataValidation allowBlank="true" errorStyle="stop" operator="between" showDropDown="false" showErrorMessage="false" showInputMessage="false" sqref="E5:E1008" type="list">
      <formula1>"Pix,Dinheiro,Cartão,Na hora"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6F"/>
    <pageSetUpPr fitToPage="true"/>
  </sheetPr>
  <dimension ref="B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39.75" hidden="false" customHeight="true" outlineLevel="0" collapsed="false">
      <c r="B1" s="1" t="s">
        <v>11</v>
      </c>
      <c r="C1" s="1"/>
      <c r="D1" s="1"/>
      <c r="E1" s="1"/>
      <c r="F1" s="1"/>
      <c r="G1" s="1"/>
      <c r="H1" s="1"/>
    </row>
    <row r="2" customFormat="false" ht="36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</row>
    <row r="3" customFormat="false" ht="9.75" hidden="false" customHeight="true" outlineLevel="0" collapsed="false"/>
    <row r="4" customFormat="false" ht="43.5" hidden="false" customHeight="true" outlineLevel="0" collapsed="false">
      <c r="B4" s="35" t="s">
        <v>111</v>
      </c>
      <c r="C4" s="35" t="s">
        <v>112</v>
      </c>
      <c r="D4" s="14" t="s">
        <v>113</v>
      </c>
      <c r="E4" s="14" t="s">
        <v>114</v>
      </c>
      <c r="F4" s="14" t="s">
        <v>115</v>
      </c>
      <c r="G4" s="14" t="s">
        <v>116</v>
      </c>
      <c r="H4" s="14" t="s">
        <v>117</v>
      </c>
    </row>
    <row r="5" customFormat="false" ht="21" hidden="false" customHeight="true" outlineLevel="0" collapsed="false">
      <c r="B5" s="7" t="s">
        <v>92</v>
      </c>
      <c r="C5" s="39" t="s">
        <v>118</v>
      </c>
      <c r="D5" s="24" t="n">
        <f aca="false">IF(B5="","",SUMIFS(Vendas!$G$5:$G$2004,Vendas!$C$5:$C$2004,B5))</f>
        <v>44</v>
      </c>
      <c r="E5" s="24" t="n">
        <f aca="false">IF(B5="","",SUMIFS(Recebi!$D$5:$D$2004,Recebi!$C$5:$C$2004,B5)+SUMIFS(Vendas!$G$5:$G$2004,Vendas!$C$5:$C$2004,B5,Vendas!$J$5:$J$2004,"Sim"))</f>
        <v>24</v>
      </c>
      <c r="F5" s="31" t="n">
        <f aca="false">IF(B5="","",D5-E5)</f>
        <v>20</v>
      </c>
      <c r="G5" s="40" t="n">
        <f aca="false">IF(B5="","",IF(COUNTIF(Vendas!$C$5:$C$2004,B5)=0,"",_xlfn.MAXIFS(Vendas!$B$5:$B$2004,Vendas!$C$5:$C$2004,B5)))</f>
        <v>46323</v>
      </c>
      <c r="H5" s="34" t="str">
        <f aca="false">IF(B5="","",IF(F5&gt;0.005,"Deve",IF(F5&lt;-0.005,"Tem crédito",IF(D5&gt;0,"Em dia","Ainda não comprou"))))</f>
        <v>Deve</v>
      </c>
    </row>
    <row r="6" customFormat="false" ht="21" hidden="false" customHeight="true" outlineLevel="0" collapsed="false">
      <c r="B6" s="7" t="s">
        <v>94</v>
      </c>
      <c r="C6" s="39" t="s">
        <v>119</v>
      </c>
      <c r="D6" s="24" t="n">
        <f aca="false">IF(B6="","",SUMIFS(Vendas!$G$5:$G$2004,Vendas!$C$5:$C$2004,B6))</f>
        <v>35</v>
      </c>
      <c r="E6" s="24" t="n">
        <f aca="false">IF(B6="","",SUMIFS(Recebi!$D$5:$D$2004,Recebi!$C$5:$C$2004,B6)+SUMIFS(Vendas!$G$5:$G$2004,Vendas!$C$5:$C$2004,B6,Vendas!$J$5:$J$2004,"Sim"))</f>
        <v>35</v>
      </c>
      <c r="F6" s="31" t="n">
        <f aca="false">IF(B6="","",D6-E6)</f>
        <v>0</v>
      </c>
      <c r="G6" s="40" t="n">
        <f aca="false">IF(B6="","",IF(COUNTIF(Vendas!$C$5:$C$2004,B6)=0,"",_xlfn.MAXIFS(Vendas!$B$5:$B$2004,Vendas!$C$5:$C$2004,B6)))</f>
        <v>46318</v>
      </c>
      <c r="H6" s="34" t="str">
        <f aca="false">IF(B6="","",IF(F6&gt;0.005,"Deve",IF(F6&lt;-0.005,"Tem crédito",IF(D6&gt;0,"Em dia","Ainda não comprou"))))</f>
        <v>Em dia</v>
      </c>
    </row>
    <row r="7" customFormat="false" ht="21" hidden="false" customHeight="true" outlineLevel="0" collapsed="false">
      <c r="B7" s="7" t="s">
        <v>97</v>
      </c>
      <c r="C7" s="39" t="s">
        <v>120</v>
      </c>
      <c r="D7" s="24" t="n">
        <f aca="false">IF(B7="","",SUMIFS(Vendas!$G$5:$G$2004,Vendas!$C$5:$C$2004,B7))</f>
        <v>39</v>
      </c>
      <c r="E7" s="24" t="n">
        <f aca="false">IF(B7="","",SUMIFS(Recebi!$D$5:$D$2004,Recebi!$C$5:$C$2004,B7)+SUMIFS(Vendas!$G$5:$G$2004,Vendas!$C$5:$C$2004,B7,Vendas!$J$5:$J$2004,"Sim"))</f>
        <v>15</v>
      </c>
      <c r="F7" s="31" t="n">
        <f aca="false">IF(B7="","",D7-E7)</f>
        <v>24</v>
      </c>
      <c r="G7" s="40" t="n">
        <f aca="false">IF(B7="","",IF(COUNTIF(Vendas!$C$5:$C$2004,B7)=0,"",_xlfn.MAXIFS(Vendas!$B$5:$B$2004,Vendas!$C$5:$C$2004,B7)))</f>
        <v>46316</v>
      </c>
      <c r="H7" s="34" t="str">
        <f aca="false">IF(B7="","",IF(F7&gt;0.005,"Deve",IF(F7&lt;-0.005,"Tem crédito",IF(D7&gt;0,"Em dia","Ainda não comprou"))))</f>
        <v>Deve</v>
      </c>
    </row>
    <row r="8" customFormat="false" ht="21" hidden="false" customHeight="true" outlineLevel="0" collapsed="false">
      <c r="B8" s="7" t="s">
        <v>99</v>
      </c>
      <c r="C8" s="39" t="s">
        <v>121</v>
      </c>
      <c r="D8" s="24" t="n">
        <f aca="false">IF(B8="","",SUMIFS(Vendas!$G$5:$G$2004,Vendas!$C$5:$C$2004,B8))</f>
        <v>75</v>
      </c>
      <c r="E8" s="24" t="n">
        <f aca="false">IF(B8="","",SUMIFS(Recebi!$D$5:$D$2004,Recebi!$C$5:$C$2004,B8)+SUMIFS(Vendas!$G$5:$G$2004,Vendas!$C$5:$C$2004,B8,Vendas!$J$5:$J$2004,"Sim"))</f>
        <v>50</v>
      </c>
      <c r="F8" s="31" t="n">
        <f aca="false">IF(B8="","",D8-E8)</f>
        <v>25</v>
      </c>
      <c r="G8" s="40" t="n">
        <f aca="false">IF(B8="","",IF(COUNTIF(Vendas!$C$5:$C$2004,B8)=0,"",_xlfn.MAXIFS(Vendas!$B$5:$B$2004,Vendas!$C$5:$C$2004,B8)))</f>
        <v>46304</v>
      </c>
      <c r="H8" s="34" t="str">
        <f aca="false">IF(B8="","",IF(F8&gt;0.005,"Deve",IF(F8&lt;-0.005,"Tem crédito",IF(D8&gt;0,"Em dia","Ainda não comprou"))))</f>
        <v>Deve</v>
      </c>
    </row>
    <row r="9" customFormat="false" ht="21" hidden="false" customHeight="true" outlineLevel="0" collapsed="false">
      <c r="B9" s="7" t="s">
        <v>101</v>
      </c>
      <c r="C9" s="39" t="s">
        <v>122</v>
      </c>
      <c r="D9" s="24" t="n">
        <f aca="false">IF(B9="","",SUMIFS(Vendas!$G$5:$G$2004,Vendas!$C$5:$C$2004,B9))</f>
        <v>12</v>
      </c>
      <c r="E9" s="24" t="n">
        <f aca="false">IF(B9="","",SUMIFS(Recebi!$D$5:$D$2004,Recebi!$C$5:$C$2004,B9)+SUMIFS(Vendas!$G$5:$G$2004,Vendas!$C$5:$C$2004,B9,Vendas!$J$5:$J$2004,"Sim"))</f>
        <v>12</v>
      </c>
      <c r="F9" s="31" t="n">
        <f aca="false">IF(B9="","",D9-E9)</f>
        <v>0</v>
      </c>
      <c r="G9" s="40" t="n">
        <f aca="false">IF(B9="","",IF(COUNTIF(Vendas!$C$5:$C$2004,B9)=0,"",_xlfn.MAXIFS(Vendas!$B$5:$B$2004,Vendas!$C$5:$C$2004,B9)))</f>
        <v>46311</v>
      </c>
      <c r="H9" s="34" t="str">
        <f aca="false">IF(B9="","",IF(F9&gt;0.005,"Deve",IF(F9&lt;-0.005,"Tem crédito",IF(D9&gt;0,"Em dia","Ainda não comprou"))))</f>
        <v>Em dia</v>
      </c>
    </row>
    <row r="10" customFormat="false" ht="21" hidden="false" customHeight="true" outlineLevel="0" collapsed="false">
      <c r="B10" s="7"/>
      <c r="C10" s="39"/>
      <c r="D10" s="24" t="str">
        <f aca="false">IF(B10="","",SUMIFS(Vendas!$G$5:$G$2004,Vendas!$C$5:$C$2004,B10))</f>
        <v/>
      </c>
      <c r="E10" s="24" t="str">
        <f aca="false">IF(B10="","",SUMIFS(Recebi!$D$5:$D$2004,Recebi!$C$5:$C$2004,B10)+SUMIFS(Vendas!$G$5:$G$2004,Vendas!$C$5:$C$2004,B10,Vendas!$J$5:$J$2004,"Sim"))</f>
        <v/>
      </c>
      <c r="F10" s="31" t="str">
        <f aca="false">IF(B10="","",D10-E10)</f>
        <v/>
      </c>
      <c r="G10" s="40" t="str">
        <f aca="false">IF(B10="","",IF(COUNTIF(Vendas!$C$5:$C$2004,B10)=0,"",_xlfn.MAXIFS(Vendas!$B$5:$B$2004,Vendas!$C$5:$C$2004,B10)))</f>
        <v/>
      </c>
      <c r="H10" s="34" t="str">
        <f aca="false">IF(B10="","",IF(F10&gt;0.005,"Deve",IF(F10&lt;-0.005,"Tem crédito",IF(D10&gt;0,"Em dia","Ainda não comprou"))))</f>
        <v/>
      </c>
    </row>
    <row r="11" customFormat="false" ht="21" hidden="false" customHeight="true" outlineLevel="0" collapsed="false">
      <c r="B11" s="7"/>
      <c r="C11" s="39"/>
      <c r="D11" s="24" t="str">
        <f aca="false">IF(B11="","",SUMIFS(Vendas!$G$5:$G$2004,Vendas!$C$5:$C$2004,B11))</f>
        <v/>
      </c>
      <c r="E11" s="24" t="str">
        <f aca="false">IF(B11="","",SUMIFS(Recebi!$D$5:$D$2004,Recebi!$C$5:$C$2004,B11)+SUMIFS(Vendas!$G$5:$G$2004,Vendas!$C$5:$C$2004,B11,Vendas!$J$5:$J$2004,"Sim"))</f>
        <v/>
      </c>
      <c r="F11" s="31" t="str">
        <f aca="false">IF(B11="","",D11-E11)</f>
        <v/>
      </c>
      <c r="G11" s="40" t="str">
        <f aca="false">IF(B11="","",IF(COUNTIF(Vendas!$C$5:$C$2004,B11)=0,"",_xlfn.MAXIFS(Vendas!$B$5:$B$2004,Vendas!$C$5:$C$2004,B11)))</f>
        <v/>
      </c>
      <c r="H11" s="34" t="str">
        <f aca="false">IF(B11="","",IF(F11&gt;0.005,"Deve",IF(F11&lt;-0.005,"Tem crédito",IF(D11&gt;0,"Em dia","Ainda não comprou"))))</f>
        <v/>
      </c>
    </row>
    <row r="12" customFormat="false" ht="21" hidden="false" customHeight="true" outlineLevel="0" collapsed="false">
      <c r="B12" s="7"/>
      <c r="C12" s="39"/>
      <c r="D12" s="24" t="str">
        <f aca="false">IF(B12="","",SUMIFS(Vendas!$G$5:$G$2004,Vendas!$C$5:$C$2004,B12))</f>
        <v/>
      </c>
      <c r="E12" s="24" t="str">
        <f aca="false">IF(B12="","",SUMIFS(Recebi!$D$5:$D$2004,Recebi!$C$5:$C$2004,B12)+SUMIFS(Vendas!$G$5:$G$2004,Vendas!$C$5:$C$2004,B12,Vendas!$J$5:$J$2004,"Sim"))</f>
        <v/>
      </c>
      <c r="F12" s="31" t="str">
        <f aca="false">IF(B12="","",D12-E12)</f>
        <v/>
      </c>
      <c r="G12" s="40" t="str">
        <f aca="false">IF(B12="","",IF(COUNTIF(Vendas!$C$5:$C$2004,B12)=0,"",_xlfn.MAXIFS(Vendas!$B$5:$B$2004,Vendas!$C$5:$C$2004,B12)))</f>
        <v/>
      </c>
      <c r="H12" s="34" t="str">
        <f aca="false">IF(B12="","",IF(F12&gt;0.005,"Deve",IF(F12&lt;-0.005,"Tem crédito",IF(D12&gt;0,"Em dia","Ainda não comprou"))))</f>
        <v/>
      </c>
    </row>
    <row r="13" customFormat="false" ht="21" hidden="false" customHeight="true" outlineLevel="0" collapsed="false">
      <c r="B13" s="7"/>
      <c r="C13" s="39"/>
      <c r="D13" s="24" t="str">
        <f aca="false">IF(B13="","",SUMIFS(Vendas!$G$5:$G$2004,Vendas!$C$5:$C$2004,B13))</f>
        <v/>
      </c>
      <c r="E13" s="24" t="str">
        <f aca="false">IF(B13="","",SUMIFS(Recebi!$D$5:$D$2004,Recebi!$C$5:$C$2004,B13)+SUMIFS(Vendas!$G$5:$G$2004,Vendas!$C$5:$C$2004,B13,Vendas!$J$5:$J$2004,"Sim"))</f>
        <v/>
      </c>
      <c r="F13" s="31" t="str">
        <f aca="false">IF(B13="","",D13-E13)</f>
        <v/>
      </c>
      <c r="G13" s="40" t="str">
        <f aca="false">IF(B13="","",IF(COUNTIF(Vendas!$C$5:$C$2004,B13)=0,"",_xlfn.MAXIFS(Vendas!$B$5:$B$2004,Vendas!$C$5:$C$2004,B13)))</f>
        <v/>
      </c>
      <c r="H13" s="34" t="str">
        <f aca="false">IF(B13="","",IF(F13&gt;0.005,"Deve",IF(F13&lt;-0.005,"Tem crédito",IF(D13&gt;0,"Em dia","Ainda não comprou"))))</f>
        <v/>
      </c>
    </row>
    <row r="14" customFormat="false" ht="21" hidden="false" customHeight="true" outlineLevel="0" collapsed="false">
      <c r="B14" s="7"/>
      <c r="C14" s="39"/>
      <c r="D14" s="24" t="str">
        <f aca="false">IF(B14="","",SUMIFS(Vendas!$G$5:$G$2004,Vendas!$C$5:$C$2004,B14))</f>
        <v/>
      </c>
      <c r="E14" s="24" t="str">
        <f aca="false">IF(B14="","",SUMIFS(Recebi!$D$5:$D$2004,Recebi!$C$5:$C$2004,B14)+SUMIFS(Vendas!$G$5:$G$2004,Vendas!$C$5:$C$2004,B14,Vendas!$J$5:$J$2004,"Sim"))</f>
        <v/>
      </c>
      <c r="F14" s="31" t="str">
        <f aca="false">IF(B14="","",D14-E14)</f>
        <v/>
      </c>
      <c r="G14" s="40" t="str">
        <f aca="false">IF(B14="","",IF(COUNTIF(Vendas!$C$5:$C$2004,B14)=0,"",_xlfn.MAXIFS(Vendas!$B$5:$B$2004,Vendas!$C$5:$C$2004,B14)))</f>
        <v/>
      </c>
      <c r="H14" s="34" t="str">
        <f aca="false">IF(B14="","",IF(F14&gt;0.005,"Deve",IF(F14&lt;-0.005,"Tem crédito",IF(D14&gt;0,"Em dia","Ainda não comprou"))))</f>
        <v/>
      </c>
    </row>
    <row r="15" customFormat="false" ht="21" hidden="false" customHeight="true" outlineLevel="0" collapsed="false">
      <c r="B15" s="7"/>
      <c r="C15" s="39"/>
      <c r="D15" s="24" t="str">
        <f aca="false">IF(B15="","",SUMIFS(Vendas!$G$5:$G$2004,Vendas!$C$5:$C$2004,B15))</f>
        <v/>
      </c>
      <c r="E15" s="24" t="str">
        <f aca="false">IF(B15="","",SUMIFS(Recebi!$D$5:$D$2004,Recebi!$C$5:$C$2004,B15)+SUMIFS(Vendas!$G$5:$G$2004,Vendas!$C$5:$C$2004,B15,Vendas!$J$5:$J$2004,"Sim"))</f>
        <v/>
      </c>
      <c r="F15" s="31" t="str">
        <f aca="false">IF(B15="","",D15-E15)</f>
        <v/>
      </c>
      <c r="G15" s="40" t="str">
        <f aca="false">IF(B15="","",IF(COUNTIF(Vendas!$C$5:$C$2004,B15)=0,"",_xlfn.MAXIFS(Vendas!$B$5:$B$2004,Vendas!$C$5:$C$2004,B15)))</f>
        <v/>
      </c>
      <c r="H15" s="34" t="str">
        <f aca="false">IF(B15="","",IF(F15&gt;0.005,"Deve",IF(F15&lt;-0.005,"Tem crédito",IF(D15&gt;0,"Em dia","Ainda não comprou"))))</f>
        <v/>
      </c>
    </row>
    <row r="16" customFormat="false" ht="21" hidden="false" customHeight="true" outlineLevel="0" collapsed="false">
      <c r="B16" s="7"/>
      <c r="C16" s="39"/>
      <c r="D16" s="24" t="str">
        <f aca="false">IF(B16="","",SUMIFS(Vendas!$G$5:$G$2004,Vendas!$C$5:$C$2004,B16))</f>
        <v/>
      </c>
      <c r="E16" s="24" t="str">
        <f aca="false">IF(B16="","",SUMIFS(Recebi!$D$5:$D$2004,Recebi!$C$5:$C$2004,B16)+SUMIFS(Vendas!$G$5:$G$2004,Vendas!$C$5:$C$2004,B16,Vendas!$J$5:$J$2004,"Sim"))</f>
        <v/>
      </c>
      <c r="F16" s="31" t="str">
        <f aca="false">IF(B16="","",D16-E16)</f>
        <v/>
      </c>
      <c r="G16" s="40" t="str">
        <f aca="false">IF(B16="","",IF(COUNTIF(Vendas!$C$5:$C$2004,B16)=0,"",_xlfn.MAXIFS(Vendas!$B$5:$B$2004,Vendas!$C$5:$C$2004,B16)))</f>
        <v/>
      </c>
      <c r="H16" s="34" t="str">
        <f aca="false">IF(B16="","",IF(F16&gt;0.005,"Deve",IF(F16&lt;-0.005,"Tem crédito",IF(D16&gt;0,"Em dia","Ainda não comprou"))))</f>
        <v/>
      </c>
    </row>
    <row r="17" customFormat="false" ht="21" hidden="false" customHeight="true" outlineLevel="0" collapsed="false">
      <c r="B17" s="7"/>
      <c r="C17" s="39"/>
      <c r="D17" s="24" t="str">
        <f aca="false">IF(B17="","",SUMIFS(Vendas!$G$5:$G$2004,Vendas!$C$5:$C$2004,B17))</f>
        <v/>
      </c>
      <c r="E17" s="24" t="str">
        <f aca="false">IF(B17="","",SUMIFS(Recebi!$D$5:$D$2004,Recebi!$C$5:$C$2004,B17)+SUMIFS(Vendas!$G$5:$G$2004,Vendas!$C$5:$C$2004,B17,Vendas!$J$5:$J$2004,"Sim"))</f>
        <v/>
      </c>
      <c r="F17" s="31" t="str">
        <f aca="false">IF(B17="","",D17-E17)</f>
        <v/>
      </c>
      <c r="G17" s="40" t="str">
        <f aca="false">IF(B17="","",IF(COUNTIF(Vendas!$C$5:$C$2004,B17)=0,"",_xlfn.MAXIFS(Vendas!$B$5:$B$2004,Vendas!$C$5:$C$2004,B17)))</f>
        <v/>
      </c>
      <c r="H17" s="34" t="str">
        <f aca="false">IF(B17="","",IF(F17&gt;0.005,"Deve",IF(F17&lt;-0.005,"Tem crédito",IF(D17&gt;0,"Em dia","Ainda não comprou"))))</f>
        <v/>
      </c>
    </row>
    <row r="18" customFormat="false" ht="21" hidden="false" customHeight="true" outlineLevel="0" collapsed="false">
      <c r="B18" s="7"/>
      <c r="C18" s="39"/>
      <c r="D18" s="24" t="str">
        <f aca="false">IF(B18="","",SUMIFS(Vendas!$G$5:$G$2004,Vendas!$C$5:$C$2004,B18))</f>
        <v/>
      </c>
      <c r="E18" s="24" t="str">
        <f aca="false">IF(B18="","",SUMIFS(Recebi!$D$5:$D$2004,Recebi!$C$5:$C$2004,B18)+SUMIFS(Vendas!$G$5:$G$2004,Vendas!$C$5:$C$2004,B18,Vendas!$J$5:$J$2004,"Sim"))</f>
        <v/>
      </c>
      <c r="F18" s="31" t="str">
        <f aca="false">IF(B18="","",D18-E18)</f>
        <v/>
      </c>
      <c r="G18" s="40" t="str">
        <f aca="false">IF(B18="","",IF(COUNTIF(Vendas!$C$5:$C$2004,B18)=0,"",_xlfn.MAXIFS(Vendas!$B$5:$B$2004,Vendas!$C$5:$C$2004,B18)))</f>
        <v/>
      </c>
      <c r="H18" s="34" t="str">
        <f aca="false">IF(B18="","",IF(F18&gt;0.005,"Deve",IF(F18&lt;-0.005,"Tem crédito",IF(D18&gt;0,"Em dia","Ainda não comprou"))))</f>
        <v/>
      </c>
    </row>
    <row r="19" customFormat="false" ht="21" hidden="false" customHeight="true" outlineLevel="0" collapsed="false">
      <c r="B19" s="7"/>
      <c r="C19" s="39"/>
      <c r="D19" s="24" t="str">
        <f aca="false">IF(B19="","",SUMIFS(Vendas!$G$5:$G$2004,Vendas!$C$5:$C$2004,B19))</f>
        <v/>
      </c>
      <c r="E19" s="24" t="str">
        <f aca="false">IF(B19="","",SUMIFS(Recebi!$D$5:$D$2004,Recebi!$C$5:$C$2004,B19)+SUMIFS(Vendas!$G$5:$G$2004,Vendas!$C$5:$C$2004,B19,Vendas!$J$5:$J$2004,"Sim"))</f>
        <v/>
      </c>
      <c r="F19" s="31" t="str">
        <f aca="false">IF(B19="","",D19-E19)</f>
        <v/>
      </c>
      <c r="G19" s="40" t="str">
        <f aca="false">IF(B19="","",IF(COUNTIF(Vendas!$C$5:$C$2004,B19)=0,"",_xlfn.MAXIFS(Vendas!$B$5:$B$2004,Vendas!$C$5:$C$2004,B19)))</f>
        <v/>
      </c>
      <c r="H19" s="34" t="str">
        <f aca="false">IF(B19="","",IF(F19&gt;0.005,"Deve",IF(F19&lt;-0.005,"Tem crédito",IF(D19&gt;0,"Em dia","Ainda não comprou"))))</f>
        <v/>
      </c>
    </row>
    <row r="20" customFormat="false" ht="21" hidden="false" customHeight="true" outlineLevel="0" collapsed="false">
      <c r="B20" s="7"/>
      <c r="C20" s="39"/>
      <c r="D20" s="24" t="str">
        <f aca="false">IF(B20="","",SUMIFS(Vendas!$G$5:$G$2004,Vendas!$C$5:$C$2004,B20))</f>
        <v/>
      </c>
      <c r="E20" s="24" t="str">
        <f aca="false">IF(B20="","",SUMIFS(Recebi!$D$5:$D$2004,Recebi!$C$5:$C$2004,B20)+SUMIFS(Vendas!$G$5:$G$2004,Vendas!$C$5:$C$2004,B20,Vendas!$J$5:$J$2004,"Sim"))</f>
        <v/>
      </c>
      <c r="F20" s="31" t="str">
        <f aca="false">IF(B20="","",D20-E20)</f>
        <v/>
      </c>
      <c r="G20" s="40" t="str">
        <f aca="false">IF(B20="","",IF(COUNTIF(Vendas!$C$5:$C$2004,B20)=0,"",_xlfn.MAXIFS(Vendas!$B$5:$B$2004,Vendas!$C$5:$C$2004,B20)))</f>
        <v/>
      </c>
      <c r="H20" s="34" t="str">
        <f aca="false">IF(B20="","",IF(F20&gt;0.005,"Deve",IF(F20&lt;-0.005,"Tem crédito",IF(D20&gt;0,"Em dia","Ainda não comprou"))))</f>
        <v/>
      </c>
    </row>
    <row r="21" customFormat="false" ht="21" hidden="false" customHeight="true" outlineLevel="0" collapsed="false">
      <c r="B21" s="7"/>
      <c r="C21" s="39"/>
      <c r="D21" s="24" t="str">
        <f aca="false">IF(B21="","",SUMIFS(Vendas!$G$5:$G$2004,Vendas!$C$5:$C$2004,B21))</f>
        <v/>
      </c>
      <c r="E21" s="24" t="str">
        <f aca="false">IF(B21="","",SUMIFS(Recebi!$D$5:$D$2004,Recebi!$C$5:$C$2004,B21)+SUMIFS(Vendas!$G$5:$G$2004,Vendas!$C$5:$C$2004,B21,Vendas!$J$5:$J$2004,"Sim"))</f>
        <v/>
      </c>
      <c r="F21" s="31" t="str">
        <f aca="false">IF(B21="","",D21-E21)</f>
        <v/>
      </c>
      <c r="G21" s="40" t="str">
        <f aca="false">IF(B21="","",IF(COUNTIF(Vendas!$C$5:$C$2004,B21)=0,"",_xlfn.MAXIFS(Vendas!$B$5:$B$2004,Vendas!$C$5:$C$2004,B21)))</f>
        <v/>
      </c>
      <c r="H21" s="34" t="str">
        <f aca="false">IF(B21="","",IF(F21&gt;0.005,"Deve",IF(F21&lt;-0.005,"Tem crédito",IF(D21&gt;0,"Em dia","Ainda não comprou"))))</f>
        <v/>
      </c>
    </row>
    <row r="22" customFormat="false" ht="21" hidden="false" customHeight="true" outlineLevel="0" collapsed="false">
      <c r="B22" s="7"/>
      <c r="C22" s="39"/>
      <c r="D22" s="24" t="str">
        <f aca="false">IF(B22="","",SUMIFS(Vendas!$G$5:$G$2004,Vendas!$C$5:$C$2004,B22))</f>
        <v/>
      </c>
      <c r="E22" s="24" t="str">
        <f aca="false">IF(B22="","",SUMIFS(Recebi!$D$5:$D$2004,Recebi!$C$5:$C$2004,B22)+SUMIFS(Vendas!$G$5:$G$2004,Vendas!$C$5:$C$2004,B22,Vendas!$J$5:$J$2004,"Sim"))</f>
        <v/>
      </c>
      <c r="F22" s="31" t="str">
        <f aca="false">IF(B22="","",D22-E22)</f>
        <v/>
      </c>
      <c r="G22" s="40" t="str">
        <f aca="false">IF(B22="","",IF(COUNTIF(Vendas!$C$5:$C$2004,B22)=0,"",_xlfn.MAXIFS(Vendas!$B$5:$B$2004,Vendas!$C$5:$C$2004,B22)))</f>
        <v/>
      </c>
      <c r="H22" s="34" t="str">
        <f aca="false">IF(B22="","",IF(F22&gt;0.005,"Deve",IF(F22&lt;-0.005,"Tem crédito",IF(D22&gt;0,"Em dia","Ainda não comprou"))))</f>
        <v/>
      </c>
    </row>
    <row r="23" customFormat="false" ht="21" hidden="false" customHeight="true" outlineLevel="0" collapsed="false">
      <c r="B23" s="7"/>
      <c r="C23" s="39"/>
      <c r="D23" s="24" t="str">
        <f aca="false">IF(B23="","",SUMIFS(Vendas!$G$5:$G$2004,Vendas!$C$5:$C$2004,B23))</f>
        <v/>
      </c>
      <c r="E23" s="24" t="str">
        <f aca="false">IF(B23="","",SUMIFS(Recebi!$D$5:$D$2004,Recebi!$C$5:$C$2004,B23)+SUMIFS(Vendas!$G$5:$G$2004,Vendas!$C$5:$C$2004,B23,Vendas!$J$5:$J$2004,"Sim"))</f>
        <v/>
      </c>
      <c r="F23" s="31" t="str">
        <f aca="false">IF(B23="","",D23-E23)</f>
        <v/>
      </c>
      <c r="G23" s="40" t="str">
        <f aca="false">IF(B23="","",IF(COUNTIF(Vendas!$C$5:$C$2004,B23)=0,"",_xlfn.MAXIFS(Vendas!$B$5:$B$2004,Vendas!$C$5:$C$2004,B23)))</f>
        <v/>
      </c>
      <c r="H23" s="34" t="str">
        <f aca="false">IF(B23="","",IF(F23&gt;0.005,"Deve",IF(F23&lt;-0.005,"Tem crédito",IF(D23&gt;0,"Em dia","Ainda não comprou"))))</f>
        <v/>
      </c>
    </row>
    <row r="24" customFormat="false" ht="21" hidden="false" customHeight="true" outlineLevel="0" collapsed="false">
      <c r="B24" s="7"/>
      <c r="C24" s="39"/>
      <c r="D24" s="24" t="str">
        <f aca="false">IF(B24="","",SUMIFS(Vendas!$G$5:$G$2004,Vendas!$C$5:$C$2004,B24))</f>
        <v/>
      </c>
      <c r="E24" s="24" t="str">
        <f aca="false">IF(B24="","",SUMIFS(Recebi!$D$5:$D$2004,Recebi!$C$5:$C$2004,B24)+SUMIFS(Vendas!$G$5:$G$2004,Vendas!$C$5:$C$2004,B24,Vendas!$J$5:$J$2004,"Sim"))</f>
        <v/>
      </c>
      <c r="F24" s="31" t="str">
        <f aca="false">IF(B24="","",D24-E24)</f>
        <v/>
      </c>
      <c r="G24" s="40" t="str">
        <f aca="false">IF(B24="","",IF(COUNTIF(Vendas!$C$5:$C$2004,B24)=0,"",_xlfn.MAXIFS(Vendas!$B$5:$B$2004,Vendas!$C$5:$C$2004,B24)))</f>
        <v/>
      </c>
      <c r="H24" s="34" t="str">
        <f aca="false">IF(B24="","",IF(F24&gt;0.005,"Deve",IF(F24&lt;-0.005,"Tem crédito",IF(D24&gt;0,"Em dia","Ainda não comprou"))))</f>
        <v/>
      </c>
    </row>
    <row r="25" customFormat="false" ht="21" hidden="false" customHeight="true" outlineLevel="0" collapsed="false">
      <c r="B25" s="7"/>
      <c r="C25" s="39"/>
      <c r="D25" s="24" t="str">
        <f aca="false">IF(B25="","",SUMIFS(Vendas!$G$5:$G$2004,Vendas!$C$5:$C$2004,B25))</f>
        <v/>
      </c>
      <c r="E25" s="24" t="str">
        <f aca="false">IF(B25="","",SUMIFS(Recebi!$D$5:$D$2004,Recebi!$C$5:$C$2004,B25)+SUMIFS(Vendas!$G$5:$G$2004,Vendas!$C$5:$C$2004,B25,Vendas!$J$5:$J$2004,"Sim"))</f>
        <v/>
      </c>
      <c r="F25" s="31" t="str">
        <f aca="false">IF(B25="","",D25-E25)</f>
        <v/>
      </c>
      <c r="G25" s="40" t="str">
        <f aca="false">IF(B25="","",IF(COUNTIF(Vendas!$C$5:$C$2004,B25)=0,"",_xlfn.MAXIFS(Vendas!$B$5:$B$2004,Vendas!$C$5:$C$2004,B25)))</f>
        <v/>
      </c>
      <c r="H25" s="34" t="str">
        <f aca="false">IF(B25="","",IF(F25&gt;0.005,"Deve",IF(F25&lt;-0.005,"Tem crédito",IF(D25&gt;0,"Em dia","Ainda não comprou"))))</f>
        <v/>
      </c>
    </row>
    <row r="26" customFormat="false" ht="21" hidden="false" customHeight="true" outlineLevel="0" collapsed="false">
      <c r="B26" s="7"/>
      <c r="C26" s="39"/>
      <c r="D26" s="24" t="str">
        <f aca="false">IF(B26="","",SUMIFS(Vendas!$G$5:$G$2004,Vendas!$C$5:$C$2004,B26))</f>
        <v/>
      </c>
      <c r="E26" s="24" t="str">
        <f aca="false">IF(B26="","",SUMIFS(Recebi!$D$5:$D$2004,Recebi!$C$5:$C$2004,B26)+SUMIFS(Vendas!$G$5:$G$2004,Vendas!$C$5:$C$2004,B26,Vendas!$J$5:$J$2004,"Sim"))</f>
        <v/>
      </c>
      <c r="F26" s="31" t="str">
        <f aca="false">IF(B26="","",D26-E26)</f>
        <v/>
      </c>
      <c r="G26" s="40" t="str">
        <f aca="false">IF(B26="","",IF(COUNTIF(Vendas!$C$5:$C$2004,B26)=0,"",_xlfn.MAXIFS(Vendas!$B$5:$B$2004,Vendas!$C$5:$C$2004,B26)))</f>
        <v/>
      </c>
      <c r="H26" s="34" t="str">
        <f aca="false">IF(B26="","",IF(F26&gt;0.005,"Deve",IF(F26&lt;-0.005,"Tem crédito",IF(D26&gt;0,"Em dia","Ainda não comprou"))))</f>
        <v/>
      </c>
    </row>
    <row r="27" customFormat="false" ht="21" hidden="false" customHeight="true" outlineLevel="0" collapsed="false">
      <c r="B27" s="7"/>
      <c r="C27" s="39"/>
      <c r="D27" s="24" t="str">
        <f aca="false">IF(B27="","",SUMIFS(Vendas!$G$5:$G$2004,Vendas!$C$5:$C$2004,B27))</f>
        <v/>
      </c>
      <c r="E27" s="24" t="str">
        <f aca="false">IF(B27="","",SUMIFS(Recebi!$D$5:$D$2004,Recebi!$C$5:$C$2004,B27)+SUMIFS(Vendas!$G$5:$G$2004,Vendas!$C$5:$C$2004,B27,Vendas!$J$5:$J$2004,"Sim"))</f>
        <v/>
      </c>
      <c r="F27" s="31" t="str">
        <f aca="false">IF(B27="","",D27-E27)</f>
        <v/>
      </c>
      <c r="G27" s="40" t="str">
        <f aca="false">IF(B27="","",IF(COUNTIF(Vendas!$C$5:$C$2004,B27)=0,"",_xlfn.MAXIFS(Vendas!$B$5:$B$2004,Vendas!$C$5:$C$2004,B27)))</f>
        <v/>
      </c>
      <c r="H27" s="34" t="str">
        <f aca="false">IF(B27="","",IF(F27&gt;0.005,"Deve",IF(F27&lt;-0.005,"Tem crédito",IF(D27&gt;0,"Em dia","Ainda não comprou"))))</f>
        <v/>
      </c>
    </row>
    <row r="28" customFormat="false" ht="21" hidden="false" customHeight="true" outlineLevel="0" collapsed="false">
      <c r="B28" s="7"/>
      <c r="C28" s="39"/>
      <c r="D28" s="24" t="str">
        <f aca="false">IF(B28="","",SUMIFS(Vendas!$G$5:$G$2004,Vendas!$C$5:$C$2004,B28))</f>
        <v/>
      </c>
      <c r="E28" s="24" t="str">
        <f aca="false">IF(B28="","",SUMIFS(Recebi!$D$5:$D$2004,Recebi!$C$5:$C$2004,B28)+SUMIFS(Vendas!$G$5:$G$2004,Vendas!$C$5:$C$2004,B28,Vendas!$J$5:$J$2004,"Sim"))</f>
        <v/>
      </c>
      <c r="F28" s="31" t="str">
        <f aca="false">IF(B28="","",D28-E28)</f>
        <v/>
      </c>
      <c r="G28" s="40" t="str">
        <f aca="false">IF(B28="","",IF(COUNTIF(Vendas!$C$5:$C$2004,B28)=0,"",_xlfn.MAXIFS(Vendas!$B$5:$B$2004,Vendas!$C$5:$C$2004,B28)))</f>
        <v/>
      </c>
      <c r="H28" s="34" t="str">
        <f aca="false">IF(B28="","",IF(F28&gt;0.005,"Deve",IF(F28&lt;-0.005,"Tem crédito",IF(D28&gt;0,"Em dia","Ainda não comprou"))))</f>
        <v/>
      </c>
    </row>
    <row r="29" customFormat="false" ht="21" hidden="false" customHeight="true" outlineLevel="0" collapsed="false">
      <c r="B29" s="7"/>
      <c r="C29" s="39"/>
      <c r="D29" s="24" t="str">
        <f aca="false">IF(B29="","",SUMIFS(Vendas!$G$5:$G$2004,Vendas!$C$5:$C$2004,B29))</f>
        <v/>
      </c>
      <c r="E29" s="24" t="str">
        <f aca="false">IF(B29="","",SUMIFS(Recebi!$D$5:$D$2004,Recebi!$C$5:$C$2004,B29)+SUMIFS(Vendas!$G$5:$G$2004,Vendas!$C$5:$C$2004,B29,Vendas!$J$5:$J$2004,"Sim"))</f>
        <v/>
      </c>
      <c r="F29" s="31" t="str">
        <f aca="false">IF(B29="","",D29-E29)</f>
        <v/>
      </c>
      <c r="G29" s="40" t="str">
        <f aca="false">IF(B29="","",IF(COUNTIF(Vendas!$C$5:$C$2004,B29)=0,"",_xlfn.MAXIFS(Vendas!$B$5:$B$2004,Vendas!$C$5:$C$2004,B29)))</f>
        <v/>
      </c>
      <c r="H29" s="34" t="str">
        <f aca="false">IF(B29="","",IF(F29&gt;0.005,"Deve",IF(F29&lt;-0.005,"Tem crédito",IF(D29&gt;0,"Em dia","Ainda não comprou"))))</f>
        <v/>
      </c>
    </row>
    <row r="30" customFormat="false" ht="21" hidden="false" customHeight="true" outlineLevel="0" collapsed="false">
      <c r="B30" s="7"/>
      <c r="C30" s="39"/>
      <c r="D30" s="24" t="str">
        <f aca="false">IF(B30="","",SUMIFS(Vendas!$G$5:$G$2004,Vendas!$C$5:$C$2004,B30))</f>
        <v/>
      </c>
      <c r="E30" s="24" t="str">
        <f aca="false">IF(B30="","",SUMIFS(Recebi!$D$5:$D$2004,Recebi!$C$5:$C$2004,B30)+SUMIFS(Vendas!$G$5:$G$2004,Vendas!$C$5:$C$2004,B30,Vendas!$J$5:$J$2004,"Sim"))</f>
        <v/>
      </c>
      <c r="F30" s="31" t="str">
        <f aca="false">IF(B30="","",D30-E30)</f>
        <v/>
      </c>
      <c r="G30" s="40" t="str">
        <f aca="false">IF(B30="","",IF(COUNTIF(Vendas!$C$5:$C$2004,B30)=0,"",_xlfn.MAXIFS(Vendas!$B$5:$B$2004,Vendas!$C$5:$C$2004,B30)))</f>
        <v/>
      </c>
      <c r="H30" s="34" t="str">
        <f aca="false">IF(B30="","",IF(F30&gt;0.005,"Deve",IF(F30&lt;-0.005,"Tem crédito",IF(D30&gt;0,"Em dia","Ainda não comprou"))))</f>
        <v/>
      </c>
    </row>
    <row r="31" customFormat="false" ht="21" hidden="false" customHeight="true" outlineLevel="0" collapsed="false">
      <c r="B31" s="7"/>
      <c r="C31" s="39"/>
      <c r="D31" s="24" t="str">
        <f aca="false">IF(B31="","",SUMIFS(Vendas!$G$5:$G$2004,Vendas!$C$5:$C$2004,B31))</f>
        <v/>
      </c>
      <c r="E31" s="24" t="str">
        <f aca="false">IF(B31="","",SUMIFS(Recebi!$D$5:$D$2004,Recebi!$C$5:$C$2004,B31)+SUMIFS(Vendas!$G$5:$G$2004,Vendas!$C$5:$C$2004,B31,Vendas!$J$5:$J$2004,"Sim"))</f>
        <v/>
      </c>
      <c r="F31" s="31" t="str">
        <f aca="false">IF(B31="","",D31-E31)</f>
        <v/>
      </c>
      <c r="G31" s="40" t="str">
        <f aca="false">IF(B31="","",IF(COUNTIF(Vendas!$C$5:$C$2004,B31)=0,"",_xlfn.MAXIFS(Vendas!$B$5:$B$2004,Vendas!$C$5:$C$2004,B31)))</f>
        <v/>
      </c>
      <c r="H31" s="34" t="str">
        <f aca="false">IF(B31="","",IF(F31&gt;0.005,"Deve",IF(F31&lt;-0.005,"Tem crédito",IF(D31&gt;0,"Em dia","Ainda não comprou"))))</f>
        <v/>
      </c>
    </row>
    <row r="32" customFormat="false" ht="21" hidden="false" customHeight="true" outlineLevel="0" collapsed="false">
      <c r="B32" s="7"/>
      <c r="C32" s="39"/>
      <c r="D32" s="24" t="str">
        <f aca="false">IF(B32="","",SUMIFS(Vendas!$G$5:$G$2004,Vendas!$C$5:$C$2004,B32))</f>
        <v/>
      </c>
      <c r="E32" s="24" t="str">
        <f aca="false">IF(B32="","",SUMIFS(Recebi!$D$5:$D$2004,Recebi!$C$5:$C$2004,B32)+SUMIFS(Vendas!$G$5:$G$2004,Vendas!$C$5:$C$2004,B32,Vendas!$J$5:$J$2004,"Sim"))</f>
        <v/>
      </c>
      <c r="F32" s="31" t="str">
        <f aca="false">IF(B32="","",D32-E32)</f>
        <v/>
      </c>
      <c r="G32" s="40" t="str">
        <f aca="false">IF(B32="","",IF(COUNTIF(Vendas!$C$5:$C$2004,B32)=0,"",_xlfn.MAXIFS(Vendas!$B$5:$B$2004,Vendas!$C$5:$C$2004,B32)))</f>
        <v/>
      </c>
      <c r="H32" s="34" t="str">
        <f aca="false">IF(B32="","",IF(F32&gt;0.005,"Deve",IF(F32&lt;-0.005,"Tem crédito",IF(D32&gt;0,"Em dia","Ainda não comprou"))))</f>
        <v/>
      </c>
    </row>
    <row r="33" customFormat="false" ht="21" hidden="false" customHeight="true" outlineLevel="0" collapsed="false">
      <c r="B33" s="7"/>
      <c r="C33" s="39"/>
      <c r="D33" s="24" t="str">
        <f aca="false">IF(B33="","",SUMIFS(Vendas!$G$5:$G$2004,Vendas!$C$5:$C$2004,B33))</f>
        <v/>
      </c>
      <c r="E33" s="24" t="str">
        <f aca="false">IF(B33="","",SUMIFS(Recebi!$D$5:$D$2004,Recebi!$C$5:$C$2004,B33)+SUMIFS(Vendas!$G$5:$G$2004,Vendas!$C$5:$C$2004,B33,Vendas!$J$5:$J$2004,"Sim"))</f>
        <v/>
      </c>
      <c r="F33" s="31" t="str">
        <f aca="false">IF(B33="","",D33-E33)</f>
        <v/>
      </c>
      <c r="G33" s="40" t="str">
        <f aca="false">IF(B33="","",IF(COUNTIF(Vendas!$C$5:$C$2004,B33)=0,"",_xlfn.MAXIFS(Vendas!$B$5:$B$2004,Vendas!$C$5:$C$2004,B33)))</f>
        <v/>
      </c>
      <c r="H33" s="34" t="str">
        <f aca="false">IF(B33="","",IF(F33&gt;0.005,"Deve",IF(F33&lt;-0.005,"Tem crédito",IF(D33&gt;0,"Em dia","Ainda não comprou"))))</f>
        <v/>
      </c>
    </row>
    <row r="34" customFormat="false" ht="21" hidden="false" customHeight="true" outlineLevel="0" collapsed="false">
      <c r="B34" s="7"/>
      <c r="C34" s="39"/>
      <c r="D34" s="24" t="str">
        <f aca="false">IF(B34="","",SUMIFS(Vendas!$G$5:$G$2004,Vendas!$C$5:$C$2004,B34))</f>
        <v/>
      </c>
      <c r="E34" s="24" t="str">
        <f aca="false">IF(B34="","",SUMIFS(Recebi!$D$5:$D$2004,Recebi!$C$5:$C$2004,B34)+SUMIFS(Vendas!$G$5:$G$2004,Vendas!$C$5:$C$2004,B34,Vendas!$J$5:$J$2004,"Sim"))</f>
        <v/>
      </c>
      <c r="F34" s="31" t="str">
        <f aca="false">IF(B34="","",D34-E34)</f>
        <v/>
      </c>
      <c r="G34" s="40" t="str">
        <f aca="false">IF(B34="","",IF(COUNTIF(Vendas!$C$5:$C$2004,B34)=0,"",_xlfn.MAXIFS(Vendas!$B$5:$B$2004,Vendas!$C$5:$C$2004,B34)))</f>
        <v/>
      </c>
      <c r="H34" s="34" t="str">
        <f aca="false">IF(B34="","",IF(F34&gt;0.005,"Deve",IF(F34&lt;-0.005,"Tem crédito",IF(D34&gt;0,"Em dia","Ainda não comprou"))))</f>
        <v/>
      </c>
    </row>
    <row r="35" customFormat="false" ht="21" hidden="false" customHeight="true" outlineLevel="0" collapsed="false">
      <c r="B35" s="7"/>
      <c r="C35" s="39"/>
      <c r="D35" s="24" t="str">
        <f aca="false">IF(B35="","",SUMIFS(Vendas!$G$5:$G$2004,Vendas!$C$5:$C$2004,B35))</f>
        <v/>
      </c>
      <c r="E35" s="24" t="str">
        <f aca="false">IF(B35="","",SUMIFS(Recebi!$D$5:$D$2004,Recebi!$C$5:$C$2004,B35)+SUMIFS(Vendas!$G$5:$G$2004,Vendas!$C$5:$C$2004,B35,Vendas!$J$5:$J$2004,"Sim"))</f>
        <v/>
      </c>
      <c r="F35" s="31" t="str">
        <f aca="false">IF(B35="","",D35-E35)</f>
        <v/>
      </c>
      <c r="G35" s="40" t="str">
        <f aca="false">IF(B35="","",IF(COUNTIF(Vendas!$C$5:$C$2004,B35)=0,"",_xlfn.MAXIFS(Vendas!$B$5:$B$2004,Vendas!$C$5:$C$2004,B35)))</f>
        <v/>
      </c>
      <c r="H35" s="34" t="str">
        <f aca="false">IF(B35="","",IF(F35&gt;0.005,"Deve",IF(F35&lt;-0.005,"Tem crédito",IF(D35&gt;0,"Em dia","Ainda não comprou"))))</f>
        <v/>
      </c>
    </row>
    <row r="36" customFormat="false" ht="21" hidden="false" customHeight="true" outlineLevel="0" collapsed="false">
      <c r="B36" s="7"/>
      <c r="C36" s="39"/>
      <c r="D36" s="24" t="str">
        <f aca="false">IF(B36="","",SUMIFS(Vendas!$G$5:$G$2004,Vendas!$C$5:$C$2004,B36))</f>
        <v/>
      </c>
      <c r="E36" s="24" t="str">
        <f aca="false">IF(B36="","",SUMIFS(Recebi!$D$5:$D$2004,Recebi!$C$5:$C$2004,B36)+SUMIFS(Vendas!$G$5:$G$2004,Vendas!$C$5:$C$2004,B36,Vendas!$J$5:$J$2004,"Sim"))</f>
        <v/>
      </c>
      <c r="F36" s="31" t="str">
        <f aca="false">IF(B36="","",D36-E36)</f>
        <v/>
      </c>
      <c r="G36" s="40" t="str">
        <f aca="false">IF(B36="","",IF(COUNTIF(Vendas!$C$5:$C$2004,B36)=0,"",_xlfn.MAXIFS(Vendas!$B$5:$B$2004,Vendas!$C$5:$C$2004,B36)))</f>
        <v/>
      </c>
      <c r="H36" s="34" t="str">
        <f aca="false">IF(B36="","",IF(F36&gt;0.005,"Deve",IF(F36&lt;-0.005,"Tem crédito",IF(D36&gt;0,"Em dia","Ainda não comprou"))))</f>
        <v/>
      </c>
    </row>
    <row r="37" customFormat="false" ht="21" hidden="false" customHeight="true" outlineLevel="0" collapsed="false">
      <c r="B37" s="7"/>
      <c r="C37" s="39"/>
      <c r="D37" s="24" t="str">
        <f aca="false">IF(B37="","",SUMIFS(Vendas!$G$5:$G$2004,Vendas!$C$5:$C$2004,B37))</f>
        <v/>
      </c>
      <c r="E37" s="24" t="str">
        <f aca="false">IF(B37="","",SUMIFS(Recebi!$D$5:$D$2004,Recebi!$C$5:$C$2004,B37)+SUMIFS(Vendas!$G$5:$G$2004,Vendas!$C$5:$C$2004,B37,Vendas!$J$5:$J$2004,"Sim"))</f>
        <v/>
      </c>
      <c r="F37" s="31" t="str">
        <f aca="false">IF(B37="","",D37-E37)</f>
        <v/>
      </c>
      <c r="G37" s="40" t="str">
        <f aca="false">IF(B37="","",IF(COUNTIF(Vendas!$C$5:$C$2004,B37)=0,"",_xlfn.MAXIFS(Vendas!$B$5:$B$2004,Vendas!$C$5:$C$2004,B37)))</f>
        <v/>
      </c>
      <c r="H37" s="34" t="str">
        <f aca="false">IF(B37="","",IF(F37&gt;0.005,"Deve",IF(F37&lt;-0.005,"Tem crédito",IF(D37&gt;0,"Em dia","Ainda não comprou"))))</f>
        <v/>
      </c>
    </row>
    <row r="38" customFormat="false" ht="21" hidden="false" customHeight="true" outlineLevel="0" collapsed="false">
      <c r="B38" s="7"/>
      <c r="C38" s="39"/>
      <c r="D38" s="24" t="str">
        <f aca="false">IF(B38="","",SUMIFS(Vendas!$G$5:$G$2004,Vendas!$C$5:$C$2004,B38))</f>
        <v/>
      </c>
      <c r="E38" s="24" t="str">
        <f aca="false">IF(B38="","",SUMIFS(Recebi!$D$5:$D$2004,Recebi!$C$5:$C$2004,B38)+SUMIFS(Vendas!$G$5:$G$2004,Vendas!$C$5:$C$2004,B38,Vendas!$J$5:$J$2004,"Sim"))</f>
        <v/>
      </c>
      <c r="F38" s="31" t="str">
        <f aca="false">IF(B38="","",D38-E38)</f>
        <v/>
      </c>
      <c r="G38" s="40" t="str">
        <f aca="false">IF(B38="","",IF(COUNTIF(Vendas!$C$5:$C$2004,B38)=0,"",_xlfn.MAXIFS(Vendas!$B$5:$B$2004,Vendas!$C$5:$C$2004,B38)))</f>
        <v/>
      </c>
      <c r="H38" s="34" t="str">
        <f aca="false">IF(B38="","",IF(F38&gt;0.005,"Deve",IF(F38&lt;-0.005,"Tem crédito",IF(D38&gt;0,"Em dia","Ainda não comprou"))))</f>
        <v/>
      </c>
    </row>
    <row r="39" customFormat="false" ht="21" hidden="false" customHeight="true" outlineLevel="0" collapsed="false">
      <c r="B39" s="7"/>
      <c r="C39" s="39"/>
      <c r="D39" s="24" t="str">
        <f aca="false">IF(B39="","",SUMIFS(Vendas!$G$5:$G$2004,Vendas!$C$5:$C$2004,B39))</f>
        <v/>
      </c>
      <c r="E39" s="24" t="str">
        <f aca="false">IF(B39="","",SUMIFS(Recebi!$D$5:$D$2004,Recebi!$C$5:$C$2004,B39)+SUMIFS(Vendas!$G$5:$G$2004,Vendas!$C$5:$C$2004,B39,Vendas!$J$5:$J$2004,"Sim"))</f>
        <v/>
      </c>
      <c r="F39" s="31" t="str">
        <f aca="false">IF(B39="","",D39-E39)</f>
        <v/>
      </c>
      <c r="G39" s="40" t="str">
        <f aca="false">IF(B39="","",IF(COUNTIF(Vendas!$C$5:$C$2004,B39)=0,"",_xlfn.MAXIFS(Vendas!$B$5:$B$2004,Vendas!$C$5:$C$2004,B39)))</f>
        <v/>
      </c>
      <c r="H39" s="34" t="str">
        <f aca="false">IF(B39="","",IF(F39&gt;0.005,"Deve",IF(F39&lt;-0.005,"Tem crédito",IF(D39&gt;0,"Em dia","Ainda não comprou"))))</f>
        <v/>
      </c>
    </row>
    <row r="40" customFormat="false" ht="21" hidden="false" customHeight="true" outlineLevel="0" collapsed="false">
      <c r="B40" s="7"/>
      <c r="C40" s="39"/>
      <c r="D40" s="24" t="str">
        <f aca="false">IF(B40="","",SUMIFS(Vendas!$G$5:$G$2004,Vendas!$C$5:$C$2004,B40))</f>
        <v/>
      </c>
      <c r="E40" s="24" t="str">
        <f aca="false">IF(B40="","",SUMIFS(Recebi!$D$5:$D$2004,Recebi!$C$5:$C$2004,B40)+SUMIFS(Vendas!$G$5:$G$2004,Vendas!$C$5:$C$2004,B40,Vendas!$J$5:$J$2004,"Sim"))</f>
        <v/>
      </c>
      <c r="F40" s="31" t="str">
        <f aca="false">IF(B40="","",D40-E40)</f>
        <v/>
      </c>
      <c r="G40" s="40" t="str">
        <f aca="false">IF(B40="","",IF(COUNTIF(Vendas!$C$5:$C$2004,B40)=0,"",_xlfn.MAXIFS(Vendas!$B$5:$B$2004,Vendas!$C$5:$C$2004,B40)))</f>
        <v/>
      </c>
      <c r="H40" s="34" t="str">
        <f aca="false">IF(B40="","",IF(F40&gt;0.005,"Deve",IF(F40&lt;-0.005,"Tem crédito",IF(D40&gt;0,"Em dia","Ainda não comprou"))))</f>
        <v/>
      </c>
    </row>
    <row r="41" customFormat="false" ht="21" hidden="false" customHeight="true" outlineLevel="0" collapsed="false">
      <c r="B41" s="7"/>
      <c r="C41" s="39"/>
      <c r="D41" s="24" t="str">
        <f aca="false">IF(B41="","",SUMIFS(Vendas!$G$5:$G$2004,Vendas!$C$5:$C$2004,B41))</f>
        <v/>
      </c>
      <c r="E41" s="24" t="str">
        <f aca="false">IF(B41="","",SUMIFS(Recebi!$D$5:$D$2004,Recebi!$C$5:$C$2004,B41)+SUMIFS(Vendas!$G$5:$G$2004,Vendas!$C$5:$C$2004,B41,Vendas!$J$5:$J$2004,"Sim"))</f>
        <v/>
      </c>
      <c r="F41" s="31" t="str">
        <f aca="false">IF(B41="","",D41-E41)</f>
        <v/>
      </c>
      <c r="G41" s="40" t="str">
        <f aca="false">IF(B41="","",IF(COUNTIF(Vendas!$C$5:$C$2004,B41)=0,"",_xlfn.MAXIFS(Vendas!$B$5:$B$2004,Vendas!$C$5:$C$2004,B41)))</f>
        <v/>
      </c>
      <c r="H41" s="34" t="str">
        <f aca="false">IF(B41="","",IF(F41&gt;0.005,"Deve",IF(F41&lt;-0.005,"Tem crédito",IF(D41&gt;0,"Em dia","Ainda não comprou"))))</f>
        <v/>
      </c>
    </row>
    <row r="42" customFormat="false" ht="21" hidden="false" customHeight="true" outlineLevel="0" collapsed="false">
      <c r="B42" s="7"/>
      <c r="C42" s="39"/>
      <c r="D42" s="24" t="str">
        <f aca="false">IF(B42="","",SUMIFS(Vendas!$G$5:$G$2004,Vendas!$C$5:$C$2004,B42))</f>
        <v/>
      </c>
      <c r="E42" s="24" t="str">
        <f aca="false">IF(B42="","",SUMIFS(Recebi!$D$5:$D$2004,Recebi!$C$5:$C$2004,B42)+SUMIFS(Vendas!$G$5:$G$2004,Vendas!$C$5:$C$2004,B42,Vendas!$J$5:$J$2004,"Sim"))</f>
        <v/>
      </c>
      <c r="F42" s="31" t="str">
        <f aca="false">IF(B42="","",D42-E42)</f>
        <v/>
      </c>
      <c r="G42" s="40" t="str">
        <f aca="false">IF(B42="","",IF(COUNTIF(Vendas!$C$5:$C$2004,B42)=0,"",_xlfn.MAXIFS(Vendas!$B$5:$B$2004,Vendas!$C$5:$C$2004,B42)))</f>
        <v/>
      </c>
      <c r="H42" s="34" t="str">
        <f aca="false">IF(B42="","",IF(F42&gt;0.005,"Deve",IF(F42&lt;-0.005,"Tem crédito",IF(D42&gt;0,"Em dia","Ainda não comprou"))))</f>
        <v/>
      </c>
    </row>
    <row r="43" customFormat="false" ht="21" hidden="false" customHeight="true" outlineLevel="0" collapsed="false">
      <c r="B43" s="7"/>
      <c r="C43" s="39"/>
      <c r="D43" s="24" t="str">
        <f aca="false">IF(B43="","",SUMIFS(Vendas!$G$5:$G$2004,Vendas!$C$5:$C$2004,B43))</f>
        <v/>
      </c>
      <c r="E43" s="24" t="str">
        <f aca="false">IF(B43="","",SUMIFS(Recebi!$D$5:$D$2004,Recebi!$C$5:$C$2004,B43)+SUMIFS(Vendas!$G$5:$G$2004,Vendas!$C$5:$C$2004,B43,Vendas!$J$5:$J$2004,"Sim"))</f>
        <v/>
      </c>
      <c r="F43" s="31" t="str">
        <f aca="false">IF(B43="","",D43-E43)</f>
        <v/>
      </c>
      <c r="G43" s="40" t="str">
        <f aca="false">IF(B43="","",IF(COUNTIF(Vendas!$C$5:$C$2004,B43)=0,"",_xlfn.MAXIFS(Vendas!$B$5:$B$2004,Vendas!$C$5:$C$2004,B43)))</f>
        <v/>
      </c>
      <c r="H43" s="34" t="str">
        <f aca="false">IF(B43="","",IF(F43&gt;0.005,"Deve",IF(F43&lt;-0.005,"Tem crédito",IF(D43&gt;0,"Em dia","Ainda não comprou"))))</f>
        <v/>
      </c>
    </row>
    <row r="44" customFormat="false" ht="21" hidden="false" customHeight="true" outlineLevel="0" collapsed="false">
      <c r="B44" s="7"/>
      <c r="C44" s="39"/>
      <c r="D44" s="24" t="str">
        <f aca="false">IF(B44="","",SUMIFS(Vendas!$G$5:$G$2004,Vendas!$C$5:$C$2004,B44))</f>
        <v/>
      </c>
      <c r="E44" s="24" t="str">
        <f aca="false">IF(B44="","",SUMIFS(Recebi!$D$5:$D$2004,Recebi!$C$5:$C$2004,B44)+SUMIFS(Vendas!$G$5:$G$2004,Vendas!$C$5:$C$2004,B44,Vendas!$J$5:$J$2004,"Sim"))</f>
        <v/>
      </c>
      <c r="F44" s="31" t="str">
        <f aca="false">IF(B44="","",D44-E44)</f>
        <v/>
      </c>
      <c r="G44" s="40" t="str">
        <f aca="false">IF(B44="","",IF(COUNTIF(Vendas!$C$5:$C$2004,B44)=0,"",_xlfn.MAXIFS(Vendas!$B$5:$B$2004,Vendas!$C$5:$C$2004,B44)))</f>
        <v/>
      </c>
      <c r="H44" s="34" t="str">
        <f aca="false">IF(B44="","",IF(F44&gt;0.005,"Deve",IF(F44&lt;-0.005,"Tem crédito",IF(D44&gt;0,"Em dia","Ainda não comprou"))))</f>
        <v/>
      </c>
    </row>
    <row r="45" customFormat="false" ht="21" hidden="false" customHeight="true" outlineLevel="0" collapsed="false">
      <c r="B45" s="7"/>
      <c r="C45" s="39"/>
      <c r="D45" s="24" t="str">
        <f aca="false">IF(B45="","",SUMIFS(Vendas!$G$5:$G$2004,Vendas!$C$5:$C$2004,B45))</f>
        <v/>
      </c>
      <c r="E45" s="24" t="str">
        <f aca="false">IF(B45="","",SUMIFS(Recebi!$D$5:$D$2004,Recebi!$C$5:$C$2004,B45)+SUMIFS(Vendas!$G$5:$G$2004,Vendas!$C$5:$C$2004,B45,Vendas!$J$5:$J$2004,"Sim"))</f>
        <v/>
      </c>
      <c r="F45" s="31" t="str">
        <f aca="false">IF(B45="","",D45-E45)</f>
        <v/>
      </c>
      <c r="G45" s="40" t="str">
        <f aca="false">IF(B45="","",IF(COUNTIF(Vendas!$C$5:$C$2004,B45)=0,"",_xlfn.MAXIFS(Vendas!$B$5:$B$2004,Vendas!$C$5:$C$2004,B45)))</f>
        <v/>
      </c>
      <c r="H45" s="34" t="str">
        <f aca="false">IF(B45="","",IF(F45&gt;0.005,"Deve",IF(F45&lt;-0.005,"Tem crédito",IF(D45&gt;0,"Em dia","Ainda não comprou"))))</f>
        <v/>
      </c>
    </row>
    <row r="46" customFormat="false" ht="21" hidden="false" customHeight="true" outlineLevel="0" collapsed="false">
      <c r="B46" s="7"/>
      <c r="C46" s="39"/>
      <c r="D46" s="24" t="str">
        <f aca="false">IF(B46="","",SUMIFS(Vendas!$G$5:$G$2004,Vendas!$C$5:$C$2004,B46))</f>
        <v/>
      </c>
      <c r="E46" s="24" t="str">
        <f aca="false">IF(B46="","",SUMIFS(Recebi!$D$5:$D$2004,Recebi!$C$5:$C$2004,B46)+SUMIFS(Vendas!$G$5:$G$2004,Vendas!$C$5:$C$2004,B46,Vendas!$J$5:$J$2004,"Sim"))</f>
        <v/>
      </c>
      <c r="F46" s="31" t="str">
        <f aca="false">IF(B46="","",D46-E46)</f>
        <v/>
      </c>
      <c r="G46" s="40" t="str">
        <f aca="false">IF(B46="","",IF(COUNTIF(Vendas!$C$5:$C$2004,B46)=0,"",_xlfn.MAXIFS(Vendas!$B$5:$B$2004,Vendas!$C$5:$C$2004,B46)))</f>
        <v/>
      </c>
      <c r="H46" s="34" t="str">
        <f aca="false">IF(B46="","",IF(F46&gt;0.005,"Deve",IF(F46&lt;-0.005,"Tem crédito",IF(D46&gt;0,"Em dia","Ainda não comprou"))))</f>
        <v/>
      </c>
    </row>
    <row r="47" customFormat="false" ht="21" hidden="false" customHeight="true" outlineLevel="0" collapsed="false">
      <c r="B47" s="7"/>
      <c r="C47" s="39"/>
      <c r="D47" s="24" t="str">
        <f aca="false">IF(B47="","",SUMIFS(Vendas!$G$5:$G$2004,Vendas!$C$5:$C$2004,B47))</f>
        <v/>
      </c>
      <c r="E47" s="24" t="str">
        <f aca="false">IF(B47="","",SUMIFS(Recebi!$D$5:$D$2004,Recebi!$C$5:$C$2004,B47)+SUMIFS(Vendas!$G$5:$G$2004,Vendas!$C$5:$C$2004,B47,Vendas!$J$5:$J$2004,"Sim"))</f>
        <v/>
      </c>
      <c r="F47" s="31" t="str">
        <f aca="false">IF(B47="","",D47-E47)</f>
        <v/>
      </c>
      <c r="G47" s="40" t="str">
        <f aca="false">IF(B47="","",IF(COUNTIF(Vendas!$C$5:$C$2004,B47)=0,"",_xlfn.MAXIFS(Vendas!$B$5:$B$2004,Vendas!$C$5:$C$2004,B47)))</f>
        <v/>
      </c>
      <c r="H47" s="34" t="str">
        <f aca="false">IF(B47="","",IF(F47&gt;0.005,"Deve",IF(F47&lt;-0.005,"Tem crédito",IF(D47&gt;0,"Em dia","Ainda não comprou"))))</f>
        <v/>
      </c>
    </row>
    <row r="48" customFormat="false" ht="21" hidden="false" customHeight="true" outlineLevel="0" collapsed="false">
      <c r="B48" s="7"/>
      <c r="C48" s="39"/>
      <c r="D48" s="24" t="str">
        <f aca="false">IF(B48="","",SUMIFS(Vendas!$G$5:$G$2004,Vendas!$C$5:$C$2004,B48))</f>
        <v/>
      </c>
      <c r="E48" s="24" t="str">
        <f aca="false">IF(B48="","",SUMIFS(Recebi!$D$5:$D$2004,Recebi!$C$5:$C$2004,B48)+SUMIFS(Vendas!$G$5:$G$2004,Vendas!$C$5:$C$2004,B48,Vendas!$J$5:$J$2004,"Sim"))</f>
        <v/>
      </c>
      <c r="F48" s="31" t="str">
        <f aca="false">IF(B48="","",D48-E48)</f>
        <v/>
      </c>
      <c r="G48" s="40" t="str">
        <f aca="false">IF(B48="","",IF(COUNTIF(Vendas!$C$5:$C$2004,B48)=0,"",_xlfn.MAXIFS(Vendas!$B$5:$B$2004,Vendas!$C$5:$C$2004,B48)))</f>
        <v/>
      </c>
      <c r="H48" s="34" t="str">
        <f aca="false">IF(B48="","",IF(F48&gt;0.005,"Deve",IF(F48&lt;-0.005,"Tem crédito",IF(D48&gt;0,"Em dia","Ainda não comprou"))))</f>
        <v/>
      </c>
    </row>
    <row r="49" customFormat="false" ht="21" hidden="false" customHeight="true" outlineLevel="0" collapsed="false">
      <c r="B49" s="7"/>
      <c r="C49" s="39"/>
      <c r="D49" s="24" t="str">
        <f aca="false">IF(B49="","",SUMIFS(Vendas!$G$5:$G$2004,Vendas!$C$5:$C$2004,B49))</f>
        <v/>
      </c>
      <c r="E49" s="24" t="str">
        <f aca="false">IF(B49="","",SUMIFS(Recebi!$D$5:$D$2004,Recebi!$C$5:$C$2004,B49)+SUMIFS(Vendas!$G$5:$G$2004,Vendas!$C$5:$C$2004,B49,Vendas!$J$5:$J$2004,"Sim"))</f>
        <v/>
      </c>
      <c r="F49" s="31" t="str">
        <f aca="false">IF(B49="","",D49-E49)</f>
        <v/>
      </c>
      <c r="G49" s="40" t="str">
        <f aca="false">IF(B49="","",IF(COUNTIF(Vendas!$C$5:$C$2004,B49)=0,"",_xlfn.MAXIFS(Vendas!$B$5:$B$2004,Vendas!$C$5:$C$2004,B49)))</f>
        <v/>
      </c>
      <c r="H49" s="34" t="str">
        <f aca="false">IF(B49="","",IF(F49&gt;0.005,"Deve",IF(F49&lt;-0.005,"Tem crédito",IF(D49&gt;0,"Em dia","Ainda não comprou"))))</f>
        <v/>
      </c>
    </row>
    <row r="50" customFormat="false" ht="21" hidden="false" customHeight="true" outlineLevel="0" collapsed="false">
      <c r="B50" s="7"/>
      <c r="C50" s="39"/>
      <c r="D50" s="24" t="str">
        <f aca="false">IF(B50="","",SUMIFS(Vendas!$G$5:$G$2004,Vendas!$C$5:$C$2004,B50))</f>
        <v/>
      </c>
      <c r="E50" s="24" t="str">
        <f aca="false">IF(B50="","",SUMIFS(Recebi!$D$5:$D$2004,Recebi!$C$5:$C$2004,B50)+SUMIFS(Vendas!$G$5:$G$2004,Vendas!$C$5:$C$2004,B50,Vendas!$J$5:$J$2004,"Sim"))</f>
        <v/>
      </c>
      <c r="F50" s="31" t="str">
        <f aca="false">IF(B50="","",D50-E50)</f>
        <v/>
      </c>
      <c r="G50" s="40" t="str">
        <f aca="false">IF(B50="","",IF(COUNTIF(Vendas!$C$5:$C$2004,B50)=0,"",_xlfn.MAXIFS(Vendas!$B$5:$B$2004,Vendas!$C$5:$C$2004,B50)))</f>
        <v/>
      </c>
      <c r="H50" s="34" t="str">
        <f aca="false">IF(B50="","",IF(F50&gt;0.005,"Deve",IF(F50&lt;-0.005,"Tem crédito",IF(D50&gt;0,"Em dia","Ainda não comprou"))))</f>
        <v/>
      </c>
    </row>
    <row r="51" customFormat="false" ht="21" hidden="false" customHeight="true" outlineLevel="0" collapsed="false">
      <c r="B51" s="7"/>
      <c r="C51" s="39"/>
      <c r="D51" s="24" t="str">
        <f aca="false">IF(B51="","",SUMIFS(Vendas!$G$5:$G$2004,Vendas!$C$5:$C$2004,B51))</f>
        <v/>
      </c>
      <c r="E51" s="24" t="str">
        <f aca="false">IF(B51="","",SUMIFS(Recebi!$D$5:$D$2004,Recebi!$C$5:$C$2004,B51)+SUMIFS(Vendas!$G$5:$G$2004,Vendas!$C$5:$C$2004,B51,Vendas!$J$5:$J$2004,"Sim"))</f>
        <v/>
      </c>
      <c r="F51" s="31" t="str">
        <f aca="false">IF(B51="","",D51-E51)</f>
        <v/>
      </c>
      <c r="G51" s="40" t="str">
        <f aca="false">IF(B51="","",IF(COUNTIF(Vendas!$C$5:$C$2004,B51)=0,"",_xlfn.MAXIFS(Vendas!$B$5:$B$2004,Vendas!$C$5:$C$2004,B51)))</f>
        <v/>
      </c>
      <c r="H51" s="34" t="str">
        <f aca="false">IF(B51="","",IF(F51&gt;0.005,"Deve",IF(F51&lt;-0.005,"Tem crédito",IF(D51&gt;0,"Em dia","Ainda não comprou"))))</f>
        <v/>
      </c>
    </row>
    <row r="52" customFormat="false" ht="21" hidden="false" customHeight="true" outlineLevel="0" collapsed="false">
      <c r="B52" s="7"/>
      <c r="C52" s="39"/>
      <c r="D52" s="24" t="str">
        <f aca="false">IF(B52="","",SUMIFS(Vendas!$G$5:$G$2004,Vendas!$C$5:$C$2004,B52))</f>
        <v/>
      </c>
      <c r="E52" s="24" t="str">
        <f aca="false">IF(B52="","",SUMIFS(Recebi!$D$5:$D$2004,Recebi!$C$5:$C$2004,B52)+SUMIFS(Vendas!$G$5:$G$2004,Vendas!$C$5:$C$2004,B52,Vendas!$J$5:$J$2004,"Sim"))</f>
        <v/>
      </c>
      <c r="F52" s="31" t="str">
        <f aca="false">IF(B52="","",D52-E52)</f>
        <v/>
      </c>
      <c r="G52" s="40" t="str">
        <f aca="false">IF(B52="","",IF(COUNTIF(Vendas!$C$5:$C$2004,B52)=0,"",_xlfn.MAXIFS(Vendas!$B$5:$B$2004,Vendas!$C$5:$C$2004,B52)))</f>
        <v/>
      </c>
      <c r="H52" s="34" t="str">
        <f aca="false">IF(B52="","",IF(F52&gt;0.005,"Deve",IF(F52&lt;-0.005,"Tem crédito",IF(D52&gt;0,"Em dia","Ainda não comprou"))))</f>
        <v/>
      </c>
    </row>
    <row r="53" customFormat="false" ht="21" hidden="false" customHeight="true" outlineLevel="0" collapsed="false">
      <c r="B53" s="7"/>
      <c r="C53" s="39"/>
      <c r="D53" s="24" t="str">
        <f aca="false">IF(B53="","",SUMIFS(Vendas!$G$5:$G$2004,Vendas!$C$5:$C$2004,B53))</f>
        <v/>
      </c>
      <c r="E53" s="24" t="str">
        <f aca="false">IF(B53="","",SUMIFS(Recebi!$D$5:$D$2004,Recebi!$C$5:$C$2004,B53)+SUMIFS(Vendas!$G$5:$G$2004,Vendas!$C$5:$C$2004,B53,Vendas!$J$5:$J$2004,"Sim"))</f>
        <v/>
      </c>
      <c r="F53" s="31" t="str">
        <f aca="false">IF(B53="","",D53-E53)</f>
        <v/>
      </c>
      <c r="G53" s="40" t="str">
        <f aca="false">IF(B53="","",IF(COUNTIF(Vendas!$C$5:$C$2004,B53)=0,"",_xlfn.MAXIFS(Vendas!$B$5:$B$2004,Vendas!$C$5:$C$2004,B53)))</f>
        <v/>
      </c>
      <c r="H53" s="34" t="str">
        <f aca="false">IF(B53="","",IF(F53&gt;0.005,"Deve",IF(F53&lt;-0.005,"Tem crédito",IF(D53&gt;0,"Em dia","Ainda não comprou"))))</f>
        <v/>
      </c>
    </row>
    <row r="54" customFormat="false" ht="21" hidden="false" customHeight="true" outlineLevel="0" collapsed="false">
      <c r="B54" s="7"/>
      <c r="C54" s="39"/>
      <c r="D54" s="24" t="str">
        <f aca="false">IF(B54="","",SUMIFS(Vendas!$G$5:$G$2004,Vendas!$C$5:$C$2004,B54))</f>
        <v/>
      </c>
      <c r="E54" s="24" t="str">
        <f aca="false">IF(B54="","",SUMIFS(Recebi!$D$5:$D$2004,Recebi!$C$5:$C$2004,B54)+SUMIFS(Vendas!$G$5:$G$2004,Vendas!$C$5:$C$2004,B54,Vendas!$J$5:$J$2004,"Sim"))</f>
        <v/>
      </c>
      <c r="F54" s="31" t="str">
        <f aca="false">IF(B54="","",D54-E54)</f>
        <v/>
      </c>
      <c r="G54" s="40" t="str">
        <f aca="false">IF(B54="","",IF(COUNTIF(Vendas!$C$5:$C$2004,B54)=0,"",_xlfn.MAXIFS(Vendas!$B$5:$B$2004,Vendas!$C$5:$C$2004,B54)))</f>
        <v/>
      </c>
      <c r="H54" s="34" t="str">
        <f aca="false">IF(B54="","",IF(F54&gt;0.005,"Deve",IF(F54&lt;-0.005,"Tem crédito",IF(D54&gt;0,"Em dia","Ainda não comprou"))))</f>
        <v/>
      </c>
    </row>
    <row r="55" customFormat="false" ht="21" hidden="false" customHeight="true" outlineLevel="0" collapsed="false">
      <c r="B55" s="7"/>
      <c r="C55" s="39"/>
      <c r="D55" s="24" t="str">
        <f aca="false">IF(B55="","",SUMIFS(Vendas!$G$5:$G$2004,Vendas!$C$5:$C$2004,B55))</f>
        <v/>
      </c>
      <c r="E55" s="24" t="str">
        <f aca="false">IF(B55="","",SUMIFS(Recebi!$D$5:$D$2004,Recebi!$C$5:$C$2004,B55)+SUMIFS(Vendas!$G$5:$G$2004,Vendas!$C$5:$C$2004,B55,Vendas!$J$5:$J$2004,"Sim"))</f>
        <v/>
      </c>
      <c r="F55" s="31" t="str">
        <f aca="false">IF(B55="","",D55-E55)</f>
        <v/>
      </c>
      <c r="G55" s="40" t="str">
        <f aca="false">IF(B55="","",IF(COUNTIF(Vendas!$C$5:$C$2004,B55)=0,"",_xlfn.MAXIFS(Vendas!$B$5:$B$2004,Vendas!$C$5:$C$2004,B55)))</f>
        <v/>
      </c>
      <c r="H55" s="34" t="str">
        <f aca="false">IF(B55="","",IF(F55&gt;0.005,"Deve",IF(F55&lt;-0.005,"Tem crédito",IF(D55&gt;0,"Em dia","Ainda não comprou"))))</f>
        <v/>
      </c>
    </row>
    <row r="56" customFormat="false" ht="21" hidden="false" customHeight="true" outlineLevel="0" collapsed="false">
      <c r="B56" s="7"/>
      <c r="C56" s="39"/>
      <c r="D56" s="24" t="str">
        <f aca="false">IF(B56="","",SUMIFS(Vendas!$G$5:$G$2004,Vendas!$C$5:$C$2004,B56))</f>
        <v/>
      </c>
      <c r="E56" s="24" t="str">
        <f aca="false">IF(B56="","",SUMIFS(Recebi!$D$5:$D$2004,Recebi!$C$5:$C$2004,B56)+SUMIFS(Vendas!$G$5:$G$2004,Vendas!$C$5:$C$2004,B56,Vendas!$J$5:$J$2004,"Sim"))</f>
        <v/>
      </c>
      <c r="F56" s="31" t="str">
        <f aca="false">IF(B56="","",D56-E56)</f>
        <v/>
      </c>
      <c r="G56" s="40" t="str">
        <f aca="false">IF(B56="","",IF(COUNTIF(Vendas!$C$5:$C$2004,B56)=0,"",_xlfn.MAXIFS(Vendas!$B$5:$B$2004,Vendas!$C$5:$C$2004,B56)))</f>
        <v/>
      </c>
      <c r="H56" s="34" t="str">
        <f aca="false">IF(B56="","",IF(F56&gt;0.005,"Deve",IF(F56&lt;-0.005,"Tem crédito",IF(D56&gt;0,"Em dia","Ainda não comprou"))))</f>
        <v/>
      </c>
    </row>
    <row r="57" customFormat="false" ht="21" hidden="false" customHeight="true" outlineLevel="0" collapsed="false">
      <c r="B57" s="7"/>
      <c r="C57" s="39"/>
      <c r="D57" s="24" t="str">
        <f aca="false">IF(B57="","",SUMIFS(Vendas!$G$5:$G$2004,Vendas!$C$5:$C$2004,B57))</f>
        <v/>
      </c>
      <c r="E57" s="24" t="str">
        <f aca="false">IF(B57="","",SUMIFS(Recebi!$D$5:$D$2004,Recebi!$C$5:$C$2004,B57)+SUMIFS(Vendas!$G$5:$G$2004,Vendas!$C$5:$C$2004,B57,Vendas!$J$5:$J$2004,"Sim"))</f>
        <v/>
      </c>
      <c r="F57" s="31" t="str">
        <f aca="false">IF(B57="","",D57-E57)</f>
        <v/>
      </c>
      <c r="G57" s="40" t="str">
        <f aca="false">IF(B57="","",IF(COUNTIF(Vendas!$C$5:$C$2004,B57)=0,"",_xlfn.MAXIFS(Vendas!$B$5:$B$2004,Vendas!$C$5:$C$2004,B57)))</f>
        <v/>
      </c>
      <c r="H57" s="34" t="str">
        <f aca="false">IF(B57="","",IF(F57&gt;0.005,"Deve",IF(F57&lt;-0.005,"Tem crédito",IF(D57&gt;0,"Em dia","Ainda não comprou"))))</f>
        <v/>
      </c>
    </row>
    <row r="58" customFormat="false" ht="21" hidden="false" customHeight="true" outlineLevel="0" collapsed="false">
      <c r="B58" s="7"/>
      <c r="C58" s="39"/>
      <c r="D58" s="24" t="str">
        <f aca="false">IF(B58="","",SUMIFS(Vendas!$G$5:$G$2004,Vendas!$C$5:$C$2004,B58))</f>
        <v/>
      </c>
      <c r="E58" s="24" t="str">
        <f aca="false">IF(B58="","",SUMIFS(Recebi!$D$5:$D$2004,Recebi!$C$5:$C$2004,B58)+SUMIFS(Vendas!$G$5:$G$2004,Vendas!$C$5:$C$2004,B58,Vendas!$J$5:$J$2004,"Sim"))</f>
        <v/>
      </c>
      <c r="F58" s="31" t="str">
        <f aca="false">IF(B58="","",D58-E58)</f>
        <v/>
      </c>
      <c r="G58" s="40" t="str">
        <f aca="false">IF(B58="","",IF(COUNTIF(Vendas!$C$5:$C$2004,B58)=0,"",_xlfn.MAXIFS(Vendas!$B$5:$B$2004,Vendas!$C$5:$C$2004,B58)))</f>
        <v/>
      </c>
      <c r="H58" s="34" t="str">
        <f aca="false">IF(B58="","",IF(F58&gt;0.005,"Deve",IF(F58&lt;-0.005,"Tem crédito",IF(D58&gt;0,"Em dia","Ainda não comprou"))))</f>
        <v/>
      </c>
    </row>
    <row r="59" customFormat="false" ht="21" hidden="false" customHeight="true" outlineLevel="0" collapsed="false">
      <c r="B59" s="7"/>
      <c r="C59" s="39"/>
      <c r="D59" s="24" t="str">
        <f aca="false">IF(B59="","",SUMIFS(Vendas!$G$5:$G$2004,Vendas!$C$5:$C$2004,B59))</f>
        <v/>
      </c>
      <c r="E59" s="24" t="str">
        <f aca="false">IF(B59="","",SUMIFS(Recebi!$D$5:$D$2004,Recebi!$C$5:$C$2004,B59)+SUMIFS(Vendas!$G$5:$G$2004,Vendas!$C$5:$C$2004,B59,Vendas!$J$5:$J$2004,"Sim"))</f>
        <v/>
      </c>
      <c r="F59" s="31" t="str">
        <f aca="false">IF(B59="","",D59-E59)</f>
        <v/>
      </c>
      <c r="G59" s="40" t="str">
        <f aca="false">IF(B59="","",IF(COUNTIF(Vendas!$C$5:$C$2004,B59)=0,"",_xlfn.MAXIFS(Vendas!$B$5:$B$2004,Vendas!$C$5:$C$2004,B59)))</f>
        <v/>
      </c>
      <c r="H59" s="34" t="str">
        <f aca="false">IF(B59="","",IF(F59&gt;0.005,"Deve",IF(F59&lt;-0.005,"Tem crédito",IF(D59&gt;0,"Em dia","Ainda não comprou"))))</f>
        <v/>
      </c>
    </row>
    <row r="60" customFormat="false" ht="21" hidden="false" customHeight="true" outlineLevel="0" collapsed="false">
      <c r="B60" s="7"/>
      <c r="C60" s="39"/>
      <c r="D60" s="24" t="str">
        <f aca="false">IF(B60="","",SUMIFS(Vendas!$G$5:$G$2004,Vendas!$C$5:$C$2004,B60))</f>
        <v/>
      </c>
      <c r="E60" s="24" t="str">
        <f aca="false">IF(B60="","",SUMIFS(Recebi!$D$5:$D$2004,Recebi!$C$5:$C$2004,B60)+SUMIFS(Vendas!$G$5:$G$2004,Vendas!$C$5:$C$2004,B60,Vendas!$J$5:$J$2004,"Sim"))</f>
        <v/>
      </c>
      <c r="F60" s="31" t="str">
        <f aca="false">IF(B60="","",D60-E60)</f>
        <v/>
      </c>
      <c r="G60" s="40" t="str">
        <f aca="false">IF(B60="","",IF(COUNTIF(Vendas!$C$5:$C$2004,B60)=0,"",_xlfn.MAXIFS(Vendas!$B$5:$B$2004,Vendas!$C$5:$C$2004,B60)))</f>
        <v/>
      </c>
      <c r="H60" s="34" t="str">
        <f aca="false">IF(B60="","",IF(F60&gt;0.005,"Deve",IF(F60&lt;-0.005,"Tem crédito",IF(D60&gt;0,"Em dia","Ainda não comprou"))))</f>
        <v/>
      </c>
    </row>
    <row r="61" customFormat="false" ht="21" hidden="false" customHeight="true" outlineLevel="0" collapsed="false">
      <c r="B61" s="7"/>
      <c r="C61" s="39"/>
      <c r="D61" s="24" t="str">
        <f aca="false">IF(B61="","",SUMIFS(Vendas!$G$5:$G$2004,Vendas!$C$5:$C$2004,B61))</f>
        <v/>
      </c>
      <c r="E61" s="24" t="str">
        <f aca="false">IF(B61="","",SUMIFS(Recebi!$D$5:$D$2004,Recebi!$C$5:$C$2004,B61)+SUMIFS(Vendas!$G$5:$G$2004,Vendas!$C$5:$C$2004,B61,Vendas!$J$5:$J$2004,"Sim"))</f>
        <v/>
      </c>
      <c r="F61" s="31" t="str">
        <f aca="false">IF(B61="","",D61-E61)</f>
        <v/>
      </c>
      <c r="G61" s="40" t="str">
        <f aca="false">IF(B61="","",IF(COUNTIF(Vendas!$C$5:$C$2004,B61)=0,"",_xlfn.MAXIFS(Vendas!$B$5:$B$2004,Vendas!$C$5:$C$2004,B61)))</f>
        <v/>
      </c>
      <c r="H61" s="34" t="str">
        <f aca="false">IF(B61="","",IF(F61&gt;0.005,"Deve",IF(F61&lt;-0.005,"Tem crédito",IF(D61&gt;0,"Em dia","Ainda não comprou"))))</f>
        <v/>
      </c>
    </row>
    <row r="62" customFormat="false" ht="21" hidden="false" customHeight="true" outlineLevel="0" collapsed="false">
      <c r="B62" s="7"/>
      <c r="C62" s="39"/>
      <c r="D62" s="24" t="str">
        <f aca="false">IF(B62="","",SUMIFS(Vendas!$G$5:$G$2004,Vendas!$C$5:$C$2004,B62))</f>
        <v/>
      </c>
      <c r="E62" s="24" t="str">
        <f aca="false">IF(B62="","",SUMIFS(Recebi!$D$5:$D$2004,Recebi!$C$5:$C$2004,B62)+SUMIFS(Vendas!$G$5:$G$2004,Vendas!$C$5:$C$2004,B62,Vendas!$J$5:$J$2004,"Sim"))</f>
        <v/>
      </c>
      <c r="F62" s="31" t="str">
        <f aca="false">IF(B62="","",D62-E62)</f>
        <v/>
      </c>
      <c r="G62" s="40" t="str">
        <f aca="false">IF(B62="","",IF(COUNTIF(Vendas!$C$5:$C$2004,B62)=0,"",_xlfn.MAXIFS(Vendas!$B$5:$B$2004,Vendas!$C$5:$C$2004,B62)))</f>
        <v/>
      </c>
      <c r="H62" s="34" t="str">
        <f aca="false">IF(B62="","",IF(F62&gt;0.005,"Deve",IF(F62&lt;-0.005,"Tem crédito",IF(D62&gt;0,"Em dia","Ainda não comprou"))))</f>
        <v/>
      </c>
    </row>
    <row r="63" customFormat="false" ht="21" hidden="false" customHeight="true" outlineLevel="0" collapsed="false">
      <c r="B63" s="7"/>
      <c r="C63" s="39"/>
      <c r="D63" s="24" t="str">
        <f aca="false">IF(B63="","",SUMIFS(Vendas!$G$5:$G$2004,Vendas!$C$5:$C$2004,B63))</f>
        <v/>
      </c>
      <c r="E63" s="24" t="str">
        <f aca="false">IF(B63="","",SUMIFS(Recebi!$D$5:$D$2004,Recebi!$C$5:$C$2004,B63)+SUMIFS(Vendas!$G$5:$G$2004,Vendas!$C$5:$C$2004,B63,Vendas!$J$5:$J$2004,"Sim"))</f>
        <v/>
      </c>
      <c r="F63" s="31" t="str">
        <f aca="false">IF(B63="","",D63-E63)</f>
        <v/>
      </c>
      <c r="G63" s="40" t="str">
        <f aca="false">IF(B63="","",IF(COUNTIF(Vendas!$C$5:$C$2004,B63)=0,"",_xlfn.MAXIFS(Vendas!$B$5:$B$2004,Vendas!$C$5:$C$2004,B63)))</f>
        <v/>
      </c>
      <c r="H63" s="34" t="str">
        <f aca="false">IF(B63="","",IF(F63&gt;0.005,"Deve",IF(F63&lt;-0.005,"Tem crédito",IF(D63&gt;0,"Em dia","Ainda não comprou"))))</f>
        <v/>
      </c>
    </row>
    <row r="64" customFormat="false" ht="21" hidden="false" customHeight="true" outlineLevel="0" collapsed="false">
      <c r="B64" s="7"/>
      <c r="C64" s="39"/>
      <c r="D64" s="24" t="str">
        <f aca="false">IF(B64="","",SUMIFS(Vendas!$G$5:$G$2004,Vendas!$C$5:$C$2004,B64))</f>
        <v/>
      </c>
      <c r="E64" s="24" t="str">
        <f aca="false">IF(B64="","",SUMIFS(Recebi!$D$5:$D$2004,Recebi!$C$5:$C$2004,B64)+SUMIFS(Vendas!$G$5:$G$2004,Vendas!$C$5:$C$2004,B64,Vendas!$J$5:$J$2004,"Sim"))</f>
        <v/>
      </c>
      <c r="F64" s="31" t="str">
        <f aca="false">IF(B64="","",D64-E64)</f>
        <v/>
      </c>
      <c r="G64" s="40" t="str">
        <f aca="false">IF(B64="","",IF(COUNTIF(Vendas!$C$5:$C$2004,B64)=0,"",_xlfn.MAXIFS(Vendas!$B$5:$B$2004,Vendas!$C$5:$C$2004,B64)))</f>
        <v/>
      </c>
      <c r="H64" s="34" t="str">
        <f aca="false">IF(B64="","",IF(F64&gt;0.005,"Deve",IF(F64&lt;-0.005,"Tem crédito",IF(D64&gt;0,"Em dia","Ainda não comprou"))))</f>
        <v/>
      </c>
    </row>
    <row r="65" customFormat="false" ht="21" hidden="false" customHeight="true" outlineLevel="0" collapsed="false">
      <c r="B65" s="7"/>
      <c r="C65" s="39"/>
      <c r="D65" s="24" t="str">
        <f aca="false">IF(B65="","",SUMIFS(Vendas!$G$5:$G$2004,Vendas!$C$5:$C$2004,B65))</f>
        <v/>
      </c>
      <c r="E65" s="24" t="str">
        <f aca="false">IF(B65="","",SUMIFS(Recebi!$D$5:$D$2004,Recebi!$C$5:$C$2004,B65)+SUMIFS(Vendas!$G$5:$G$2004,Vendas!$C$5:$C$2004,B65,Vendas!$J$5:$J$2004,"Sim"))</f>
        <v/>
      </c>
      <c r="F65" s="31" t="str">
        <f aca="false">IF(B65="","",D65-E65)</f>
        <v/>
      </c>
      <c r="G65" s="40" t="str">
        <f aca="false">IF(B65="","",IF(COUNTIF(Vendas!$C$5:$C$2004,B65)=0,"",_xlfn.MAXIFS(Vendas!$B$5:$B$2004,Vendas!$C$5:$C$2004,B65)))</f>
        <v/>
      </c>
      <c r="H65" s="34" t="str">
        <f aca="false">IF(B65="","",IF(F65&gt;0.005,"Deve",IF(F65&lt;-0.005,"Tem crédito",IF(D65&gt;0,"Em dia","Ainda não comprou"))))</f>
        <v/>
      </c>
    </row>
    <row r="66" customFormat="false" ht="21" hidden="false" customHeight="true" outlineLevel="0" collapsed="false">
      <c r="B66" s="7"/>
      <c r="C66" s="39"/>
      <c r="D66" s="24" t="str">
        <f aca="false">IF(B66="","",SUMIFS(Vendas!$G$5:$G$2004,Vendas!$C$5:$C$2004,B66))</f>
        <v/>
      </c>
      <c r="E66" s="24" t="str">
        <f aca="false">IF(B66="","",SUMIFS(Recebi!$D$5:$D$2004,Recebi!$C$5:$C$2004,B66)+SUMIFS(Vendas!$G$5:$G$2004,Vendas!$C$5:$C$2004,B66,Vendas!$J$5:$J$2004,"Sim"))</f>
        <v/>
      </c>
      <c r="F66" s="31" t="str">
        <f aca="false">IF(B66="","",D66-E66)</f>
        <v/>
      </c>
      <c r="G66" s="40" t="str">
        <f aca="false">IF(B66="","",IF(COUNTIF(Vendas!$C$5:$C$2004,B66)=0,"",_xlfn.MAXIFS(Vendas!$B$5:$B$2004,Vendas!$C$5:$C$2004,B66)))</f>
        <v/>
      </c>
      <c r="H66" s="34" t="str">
        <f aca="false">IF(B66="","",IF(F66&gt;0.005,"Deve",IF(F66&lt;-0.005,"Tem crédito",IF(D66&gt;0,"Em dia","Ainda não comprou"))))</f>
        <v/>
      </c>
    </row>
    <row r="67" customFormat="false" ht="21" hidden="false" customHeight="true" outlineLevel="0" collapsed="false">
      <c r="B67" s="7"/>
      <c r="C67" s="39"/>
      <c r="D67" s="24" t="str">
        <f aca="false">IF(B67="","",SUMIFS(Vendas!$G$5:$G$2004,Vendas!$C$5:$C$2004,B67))</f>
        <v/>
      </c>
      <c r="E67" s="24" t="str">
        <f aca="false">IF(B67="","",SUMIFS(Recebi!$D$5:$D$2004,Recebi!$C$5:$C$2004,B67)+SUMIFS(Vendas!$G$5:$G$2004,Vendas!$C$5:$C$2004,B67,Vendas!$J$5:$J$2004,"Sim"))</f>
        <v/>
      </c>
      <c r="F67" s="31" t="str">
        <f aca="false">IF(B67="","",D67-E67)</f>
        <v/>
      </c>
      <c r="G67" s="40" t="str">
        <f aca="false">IF(B67="","",IF(COUNTIF(Vendas!$C$5:$C$2004,B67)=0,"",_xlfn.MAXIFS(Vendas!$B$5:$B$2004,Vendas!$C$5:$C$2004,B67)))</f>
        <v/>
      </c>
      <c r="H67" s="34" t="str">
        <f aca="false">IF(B67="","",IF(F67&gt;0.005,"Deve",IF(F67&lt;-0.005,"Tem crédito",IF(D67&gt;0,"Em dia","Ainda não comprou"))))</f>
        <v/>
      </c>
    </row>
    <row r="68" customFormat="false" ht="21" hidden="false" customHeight="true" outlineLevel="0" collapsed="false">
      <c r="B68" s="7"/>
      <c r="C68" s="39"/>
      <c r="D68" s="24" t="str">
        <f aca="false">IF(B68="","",SUMIFS(Vendas!$G$5:$G$2004,Vendas!$C$5:$C$2004,B68))</f>
        <v/>
      </c>
      <c r="E68" s="24" t="str">
        <f aca="false">IF(B68="","",SUMIFS(Recebi!$D$5:$D$2004,Recebi!$C$5:$C$2004,B68)+SUMIFS(Vendas!$G$5:$G$2004,Vendas!$C$5:$C$2004,B68,Vendas!$J$5:$J$2004,"Sim"))</f>
        <v/>
      </c>
      <c r="F68" s="31" t="str">
        <f aca="false">IF(B68="","",D68-E68)</f>
        <v/>
      </c>
      <c r="G68" s="40" t="str">
        <f aca="false">IF(B68="","",IF(COUNTIF(Vendas!$C$5:$C$2004,B68)=0,"",_xlfn.MAXIFS(Vendas!$B$5:$B$2004,Vendas!$C$5:$C$2004,B68)))</f>
        <v/>
      </c>
      <c r="H68" s="34" t="str">
        <f aca="false">IF(B68="","",IF(F68&gt;0.005,"Deve",IF(F68&lt;-0.005,"Tem crédito",IF(D68&gt;0,"Em dia","Ainda não comprou"))))</f>
        <v/>
      </c>
    </row>
    <row r="69" customFormat="false" ht="21" hidden="false" customHeight="true" outlineLevel="0" collapsed="false">
      <c r="B69" s="7"/>
      <c r="C69" s="39"/>
      <c r="D69" s="24" t="str">
        <f aca="false">IF(B69="","",SUMIFS(Vendas!$G$5:$G$2004,Vendas!$C$5:$C$2004,B69))</f>
        <v/>
      </c>
      <c r="E69" s="24" t="str">
        <f aca="false">IF(B69="","",SUMIFS(Recebi!$D$5:$D$2004,Recebi!$C$5:$C$2004,B69)+SUMIFS(Vendas!$G$5:$G$2004,Vendas!$C$5:$C$2004,B69,Vendas!$J$5:$J$2004,"Sim"))</f>
        <v/>
      </c>
      <c r="F69" s="31" t="str">
        <f aca="false">IF(B69="","",D69-E69)</f>
        <v/>
      </c>
      <c r="G69" s="40" t="str">
        <f aca="false">IF(B69="","",IF(COUNTIF(Vendas!$C$5:$C$2004,B69)=0,"",_xlfn.MAXIFS(Vendas!$B$5:$B$2004,Vendas!$C$5:$C$2004,B69)))</f>
        <v/>
      </c>
      <c r="H69" s="34" t="str">
        <f aca="false">IF(B69="","",IF(F69&gt;0.005,"Deve",IF(F69&lt;-0.005,"Tem crédito",IF(D69&gt;0,"Em dia","Ainda não comprou"))))</f>
        <v/>
      </c>
    </row>
    <row r="70" customFormat="false" ht="21" hidden="false" customHeight="true" outlineLevel="0" collapsed="false">
      <c r="B70" s="7"/>
      <c r="C70" s="39"/>
      <c r="D70" s="24" t="str">
        <f aca="false">IF(B70="","",SUMIFS(Vendas!$G$5:$G$2004,Vendas!$C$5:$C$2004,B70))</f>
        <v/>
      </c>
      <c r="E70" s="24" t="str">
        <f aca="false">IF(B70="","",SUMIFS(Recebi!$D$5:$D$2004,Recebi!$C$5:$C$2004,B70)+SUMIFS(Vendas!$G$5:$G$2004,Vendas!$C$5:$C$2004,B70,Vendas!$J$5:$J$2004,"Sim"))</f>
        <v/>
      </c>
      <c r="F70" s="31" t="str">
        <f aca="false">IF(B70="","",D70-E70)</f>
        <v/>
      </c>
      <c r="G70" s="40" t="str">
        <f aca="false">IF(B70="","",IF(COUNTIF(Vendas!$C$5:$C$2004,B70)=0,"",_xlfn.MAXIFS(Vendas!$B$5:$B$2004,Vendas!$C$5:$C$2004,B70)))</f>
        <v/>
      </c>
      <c r="H70" s="34" t="str">
        <f aca="false">IF(B70="","",IF(F70&gt;0.005,"Deve",IF(F70&lt;-0.005,"Tem crédito",IF(D70&gt;0,"Em dia","Ainda não comprou"))))</f>
        <v/>
      </c>
    </row>
    <row r="71" customFormat="false" ht="21" hidden="false" customHeight="true" outlineLevel="0" collapsed="false">
      <c r="B71" s="7"/>
      <c r="C71" s="39"/>
      <c r="D71" s="24" t="str">
        <f aca="false">IF(B71="","",SUMIFS(Vendas!$G$5:$G$2004,Vendas!$C$5:$C$2004,B71))</f>
        <v/>
      </c>
      <c r="E71" s="24" t="str">
        <f aca="false">IF(B71="","",SUMIFS(Recebi!$D$5:$D$2004,Recebi!$C$5:$C$2004,B71)+SUMIFS(Vendas!$G$5:$G$2004,Vendas!$C$5:$C$2004,B71,Vendas!$J$5:$J$2004,"Sim"))</f>
        <v/>
      </c>
      <c r="F71" s="31" t="str">
        <f aca="false">IF(B71="","",D71-E71)</f>
        <v/>
      </c>
      <c r="G71" s="40" t="str">
        <f aca="false">IF(B71="","",IF(COUNTIF(Vendas!$C$5:$C$2004,B71)=0,"",_xlfn.MAXIFS(Vendas!$B$5:$B$2004,Vendas!$C$5:$C$2004,B71)))</f>
        <v/>
      </c>
      <c r="H71" s="34" t="str">
        <f aca="false">IF(B71="","",IF(F71&gt;0.005,"Deve",IF(F71&lt;-0.005,"Tem crédito",IF(D71&gt;0,"Em dia","Ainda não comprou"))))</f>
        <v/>
      </c>
    </row>
    <row r="72" customFormat="false" ht="21" hidden="false" customHeight="true" outlineLevel="0" collapsed="false">
      <c r="B72" s="7"/>
      <c r="C72" s="39"/>
      <c r="D72" s="24" t="str">
        <f aca="false">IF(B72="","",SUMIFS(Vendas!$G$5:$G$2004,Vendas!$C$5:$C$2004,B72))</f>
        <v/>
      </c>
      <c r="E72" s="24" t="str">
        <f aca="false">IF(B72="","",SUMIFS(Recebi!$D$5:$D$2004,Recebi!$C$5:$C$2004,B72)+SUMIFS(Vendas!$G$5:$G$2004,Vendas!$C$5:$C$2004,B72,Vendas!$J$5:$J$2004,"Sim"))</f>
        <v/>
      </c>
      <c r="F72" s="31" t="str">
        <f aca="false">IF(B72="","",D72-E72)</f>
        <v/>
      </c>
      <c r="G72" s="40" t="str">
        <f aca="false">IF(B72="","",IF(COUNTIF(Vendas!$C$5:$C$2004,B72)=0,"",_xlfn.MAXIFS(Vendas!$B$5:$B$2004,Vendas!$C$5:$C$2004,B72)))</f>
        <v/>
      </c>
      <c r="H72" s="34" t="str">
        <f aca="false">IF(B72="","",IF(F72&gt;0.005,"Deve",IF(F72&lt;-0.005,"Tem crédito",IF(D72&gt;0,"Em dia","Ainda não comprou"))))</f>
        <v/>
      </c>
    </row>
    <row r="73" customFormat="false" ht="21" hidden="false" customHeight="true" outlineLevel="0" collapsed="false">
      <c r="B73" s="7"/>
      <c r="C73" s="39"/>
      <c r="D73" s="24" t="str">
        <f aca="false">IF(B73="","",SUMIFS(Vendas!$G$5:$G$2004,Vendas!$C$5:$C$2004,B73))</f>
        <v/>
      </c>
      <c r="E73" s="24" t="str">
        <f aca="false">IF(B73="","",SUMIFS(Recebi!$D$5:$D$2004,Recebi!$C$5:$C$2004,B73)+SUMIFS(Vendas!$G$5:$G$2004,Vendas!$C$5:$C$2004,B73,Vendas!$J$5:$J$2004,"Sim"))</f>
        <v/>
      </c>
      <c r="F73" s="31" t="str">
        <f aca="false">IF(B73="","",D73-E73)</f>
        <v/>
      </c>
      <c r="G73" s="40" t="str">
        <f aca="false">IF(B73="","",IF(COUNTIF(Vendas!$C$5:$C$2004,B73)=0,"",_xlfn.MAXIFS(Vendas!$B$5:$B$2004,Vendas!$C$5:$C$2004,B73)))</f>
        <v/>
      </c>
      <c r="H73" s="34" t="str">
        <f aca="false">IF(B73="","",IF(F73&gt;0.005,"Deve",IF(F73&lt;-0.005,"Tem crédito",IF(D73&gt;0,"Em dia","Ainda não comprou"))))</f>
        <v/>
      </c>
    </row>
    <row r="74" customFormat="false" ht="21" hidden="false" customHeight="true" outlineLevel="0" collapsed="false">
      <c r="B74" s="7"/>
      <c r="C74" s="39"/>
      <c r="D74" s="24" t="str">
        <f aca="false">IF(B74="","",SUMIFS(Vendas!$G$5:$G$2004,Vendas!$C$5:$C$2004,B74))</f>
        <v/>
      </c>
      <c r="E74" s="24" t="str">
        <f aca="false">IF(B74="","",SUMIFS(Recebi!$D$5:$D$2004,Recebi!$C$5:$C$2004,B74)+SUMIFS(Vendas!$G$5:$G$2004,Vendas!$C$5:$C$2004,B74,Vendas!$J$5:$J$2004,"Sim"))</f>
        <v/>
      </c>
      <c r="F74" s="31" t="str">
        <f aca="false">IF(B74="","",D74-E74)</f>
        <v/>
      </c>
      <c r="G74" s="40" t="str">
        <f aca="false">IF(B74="","",IF(COUNTIF(Vendas!$C$5:$C$2004,B74)=0,"",_xlfn.MAXIFS(Vendas!$B$5:$B$2004,Vendas!$C$5:$C$2004,B74)))</f>
        <v/>
      </c>
      <c r="H74" s="34" t="str">
        <f aca="false">IF(B74="","",IF(F74&gt;0.005,"Deve",IF(F74&lt;-0.005,"Tem crédito",IF(D74&gt;0,"Em dia","Ainda não comprou"))))</f>
        <v/>
      </c>
    </row>
    <row r="75" customFormat="false" ht="21" hidden="false" customHeight="true" outlineLevel="0" collapsed="false">
      <c r="B75" s="7"/>
      <c r="C75" s="39"/>
      <c r="D75" s="24" t="str">
        <f aca="false">IF(B75="","",SUMIFS(Vendas!$G$5:$G$2004,Vendas!$C$5:$C$2004,B75))</f>
        <v/>
      </c>
      <c r="E75" s="24" t="str">
        <f aca="false">IF(B75="","",SUMIFS(Recebi!$D$5:$D$2004,Recebi!$C$5:$C$2004,B75)+SUMIFS(Vendas!$G$5:$G$2004,Vendas!$C$5:$C$2004,B75,Vendas!$J$5:$J$2004,"Sim"))</f>
        <v/>
      </c>
      <c r="F75" s="31" t="str">
        <f aca="false">IF(B75="","",D75-E75)</f>
        <v/>
      </c>
      <c r="G75" s="40" t="str">
        <f aca="false">IF(B75="","",IF(COUNTIF(Vendas!$C$5:$C$2004,B75)=0,"",_xlfn.MAXIFS(Vendas!$B$5:$B$2004,Vendas!$C$5:$C$2004,B75)))</f>
        <v/>
      </c>
      <c r="H75" s="34" t="str">
        <f aca="false">IF(B75="","",IF(F75&gt;0.005,"Deve",IF(F75&lt;-0.005,"Tem crédito",IF(D75&gt;0,"Em dia","Ainda não comprou"))))</f>
        <v/>
      </c>
    </row>
    <row r="76" customFormat="false" ht="21" hidden="false" customHeight="true" outlineLevel="0" collapsed="false">
      <c r="B76" s="7"/>
      <c r="C76" s="39"/>
      <c r="D76" s="24" t="str">
        <f aca="false">IF(B76="","",SUMIFS(Vendas!$G$5:$G$2004,Vendas!$C$5:$C$2004,B76))</f>
        <v/>
      </c>
      <c r="E76" s="24" t="str">
        <f aca="false">IF(B76="","",SUMIFS(Recebi!$D$5:$D$2004,Recebi!$C$5:$C$2004,B76)+SUMIFS(Vendas!$G$5:$G$2004,Vendas!$C$5:$C$2004,B76,Vendas!$J$5:$J$2004,"Sim"))</f>
        <v/>
      </c>
      <c r="F76" s="31" t="str">
        <f aca="false">IF(B76="","",D76-E76)</f>
        <v/>
      </c>
      <c r="G76" s="40" t="str">
        <f aca="false">IF(B76="","",IF(COUNTIF(Vendas!$C$5:$C$2004,B76)=0,"",_xlfn.MAXIFS(Vendas!$B$5:$B$2004,Vendas!$C$5:$C$2004,B76)))</f>
        <v/>
      </c>
      <c r="H76" s="34" t="str">
        <f aca="false">IF(B76="","",IF(F76&gt;0.005,"Deve",IF(F76&lt;-0.005,"Tem crédito",IF(D76&gt;0,"Em dia","Ainda não comprou"))))</f>
        <v/>
      </c>
    </row>
    <row r="77" customFormat="false" ht="21" hidden="false" customHeight="true" outlineLevel="0" collapsed="false">
      <c r="B77" s="7"/>
      <c r="C77" s="39"/>
      <c r="D77" s="24" t="str">
        <f aca="false">IF(B77="","",SUMIFS(Vendas!$G$5:$G$2004,Vendas!$C$5:$C$2004,B77))</f>
        <v/>
      </c>
      <c r="E77" s="24" t="str">
        <f aca="false">IF(B77="","",SUMIFS(Recebi!$D$5:$D$2004,Recebi!$C$5:$C$2004,B77)+SUMIFS(Vendas!$G$5:$G$2004,Vendas!$C$5:$C$2004,B77,Vendas!$J$5:$J$2004,"Sim"))</f>
        <v/>
      </c>
      <c r="F77" s="31" t="str">
        <f aca="false">IF(B77="","",D77-E77)</f>
        <v/>
      </c>
      <c r="G77" s="40" t="str">
        <f aca="false">IF(B77="","",IF(COUNTIF(Vendas!$C$5:$C$2004,B77)=0,"",_xlfn.MAXIFS(Vendas!$B$5:$B$2004,Vendas!$C$5:$C$2004,B77)))</f>
        <v/>
      </c>
      <c r="H77" s="34" t="str">
        <f aca="false">IF(B77="","",IF(F77&gt;0.005,"Deve",IF(F77&lt;-0.005,"Tem crédito",IF(D77&gt;0,"Em dia","Ainda não comprou"))))</f>
        <v/>
      </c>
    </row>
    <row r="78" customFormat="false" ht="21" hidden="false" customHeight="true" outlineLevel="0" collapsed="false">
      <c r="B78" s="7"/>
      <c r="C78" s="39"/>
      <c r="D78" s="24" t="str">
        <f aca="false">IF(B78="","",SUMIFS(Vendas!$G$5:$G$2004,Vendas!$C$5:$C$2004,B78))</f>
        <v/>
      </c>
      <c r="E78" s="24" t="str">
        <f aca="false">IF(B78="","",SUMIFS(Recebi!$D$5:$D$2004,Recebi!$C$5:$C$2004,B78)+SUMIFS(Vendas!$G$5:$G$2004,Vendas!$C$5:$C$2004,B78,Vendas!$J$5:$J$2004,"Sim"))</f>
        <v/>
      </c>
      <c r="F78" s="31" t="str">
        <f aca="false">IF(B78="","",D78-E78)</f>
        <v/>
      </c>
      <c r="G78" s="40" t="str">
        <f aca="false">IF(B78="","",IF(COUNTIF(Vendas!$C$5:$C$2004,B78)=0,"",_xlfn.MAXIFS(Vendas!$B$5:$B$2004,Vendas!$C$5:$C$2004,B78)))</f>
        <v/>
      </c>
      <c r="H78" s="34" t="str">
        <f aca="false">IF(B78="","",IF(F78&gt;0.005,"Deve",IF(F78&lt;-0.005,"Tem crédito",IF(D78&gt;0,"Em dia","Ainda não comprou"))))</f>
        <v/>
      </c>
    </row>
    <row r="79" customFormat="false" ht="21" hidden="false" customHeight="true" outlineLevel="0" collapsed="false">
      <c r="B79" s="7"/>
      <c r="C79" s="39"/>
      <c r="D79" s="24" t="str">
        <f aca="false">IF(B79="","",SUMIFS(Vendas!$G$5:$G$2004,Vendas!$C$5:$C$2004,B79))</f>
        <v/>
      </c>
      <c r="E79" s="24" t="str">
        <f aca="false">IF(B79="","",SUMIFS(Recebi!$D$5:$D$2004,Recebi!$C$5:$C$2004,B79)+SUMIFS(Vendas!$G$5:$G$2004,Vendas!$C$5:$C$2004,B79,Vendas!$J$5:$J$2004,"Sim"))</f>
        <v/>
      </c>
      <c r="F79" s="31" t="str">
        <f aca="false">IF(B79="","",D79-E79)</f>
        <v/>
      </c>
      <c r="G79" s="40" t="str">
        <f aca="false">IF(B79="","",IF(COUNTIF(Vendas!$C$5:$C$2004,B79)=0,"",_xlfn.MAXIFS(Vendas!$B$5:$B$2004,Vendas!$C$5:$C$2004,B79)))</f>
        <v/>
      </c>
      <c r="H79" s="34" t="str">
        <f aca="false">IF(B79="","",IF(F79&gt;0.005,"Deve",IF(F79&lt;-0.005,"Tem crédito",IF(D79&gt;0,"Em dia","Ainda não comprou"))))</f>
        <v/>
      </c>
    </row>
    <row r="80" customFormat="false" ht="21" hidden="false" customHeight="true" outlineLevel="0" collapsed="false">
      <c r="B80" s="7"/>
      <c r="C80" s="39"/>
      <c r="D80" s="24" t="str">
        <f aca="false">IF(B80="","",SUMIFS(Vendas!$G$5:$G$2004,Vendas!$C$5:$C$2004,B80))</f>
        <v/>
      </c>
      <c r="E80" s="24" t="str">
        <f aca="false">IF(B80="","",SUMIFS(Recebi!$D$5:$D$2004,Recebi!$C$5:$C$2004,B80)+SUMIFS(Vendas!$G$5:$G$2004,Vendas!$C$5:$C$2004,B80,Vendas!$J$5:$J$2004,"Sim"))</f>
        <v/>
      </c>
      <c r="F80" s="31" t="str">
        <f aca="false">IF(B80="","",D80-E80)</f>
        <v/>
      </c>
      <c r="G80" s="40" t="str">
        <f aca="false">IF(B80="","",IF(COUNTIF(Vendas!$C$5:$C$2004,B80)=0,"",_xlfn.MAXIFS(Vendas!$B$5:$B$2004,Vendas!$C$5:$C$2004,B80)))</f>
        <v/>
      </c>
      <c r="H80" s="34" t="str">
        <f aca="false">IF(B80="","",IF(F80&gt;0.005,"Deve",IF(F80&lt;-0.005,"Tem crédito",IF(D80&gt;0,"Em dia","Ainda não comprou"))))</f>
        <v/>
      </c>
    </row>
    <row r="81" customFormat="false" ht="21" hidden="false" customHeight="true" outlineLevel="0" collapsed="false">
      <c r="B81" s="7"/>
      <c r="C81" s="39"/>
      <c r="D81" s="24" t="str">
        <f aca="false">IF(B81="","",SUMIFS(Vendas!$G$5:$G$2004,Vendas!$C$5:$C$2004,B81))</f>
        <v/>
      </c>
      <c r="E81" s="24" t="str">
        <f aca="false">IF(B81="","",SUMIFS(Recebi!$D$5:$D$2004,Recebi!$C$5:$C$2004,B81)+SUMIFS(Vendas!$G$5:$G$2004,Vendas!$C$5:$C$2004,B81,Vendas!$J$5:$J$2004,"Sim"))</f>
        <v/>
      </c>
      <c r="F81" s="31" t="str">
        <f aca="false">IF(B81="","",D81-E81)</f>
        <v/>
      </c>
      <c r="G81" s="40" t="str">
        <f aca="false">IF(B81="","",IF(COUNTIF(Vendas!$C$5:$C$2004,B81)=0,"",_xlfn.MAXIFS(Vendas!$B$5:$B$2004,Vendas!$C$5:$C$2004,B81)))</f>
        <v/>
      </c>
      <c r="H81" s="34" t="str">
        <f aca="false">IF(B81="","",IF(F81&gt;0.005,"Deve",IF(F81&lt;-0.005,"Tem crédito",IF(D81&gt;0,"Em dia","Ainda não comprou"))))</f>
        <v/>
      </c>
    </row>
    <row r="82" customFormat="false" ht="21" hidden="false" customHeight="true" outlineLevel="0" collapsed="false">
      <c r="B82" s="7"/>
      <c r="C82" s="39"/>
      <c r="D82" s="24" t="str">
        <f aca="false">IF(B82="","",SUMIFS(Vendas!$G$5:$G$2004,Vendas!$C$5:$C$2004,B82))</f>
        <v/>
      </c>
      <c r="E82" s="24" t="str">
        <f aca="false">IF(B82="","",SUMIFS(Recebi!$D$5:$D$2004,Recebi!$C$5:$C$2004,B82)+SUMIFS(Vendas!$G$5:$G$2004,Vendas!$C$5:$C$2004,B82,Vendas!$J$5:$J$2004,"Sim"))</f>
        <v/>
      </c>
      <c r="F82" s="31" t="str">
        <f aca="false">IF(B82="","",D82-E82)</f>
        <v/>
      </c>
      <c r="G82" s="40" t="str">
        <f aca="false">IF(B82="","",IF(COUNTIF(Vendas!$C$5:$C$2004,B82)=0,"",_xlfn.MAXIFS(Vendas!$B$5:$B$2004,Vendas!$C$5:$C$2004,B82)))</f>
        <v/>
      </c>
      <c r="H82" s="34" t="str">
        <f aca="false">IF(B82="","",IF(F82&gt;0.005,"Deve",IF(F82&lt;-0.005,"Tem crédito",IF(D82&gt;0,"Em dia","Ainda não comprou"))))</f>
        <v/>
      </c>
    </row>
    <row r="83" customFormat="false" ht="21" hidden="false" customHeight="true" outlineLevel="0" collapsed="false">
      <c r="B83" s="7"/>
      <c r="C83" s="39"/>
      <c r="D83" s="24" t="str">
        <f aca="false">IF(B83="","",SUMIFS(Vendas!$G$5:$G$2004,Vendas!$C$5:$C$2004,B83))</f>
        <v/>
      </c>
      <c r="E83" s="24" t="str">
        <f aca="false">IF(B83="","",SUMIFS(Recebi!$D$5:$D$2004,Recebi!$C$5:$C$2004,B83)+SUMIFS(Vendas!$G$5:$G$2004,Vendas!$C$5:$C$2004,B83,Vendas!$J$5:$J$2004,"Sim"))</f>
        <v/>
      </c>
      <c r="F83" s="31" t="str">
        <f aca="false">IF(B83="","",D83-E83)</f>
        <v/>
      </c>
      <c r="G83" s="40" t="str">
        <f aca="false">IF(B83="","",IF(COUNTIF(Vendas!$C$5:$C$2004,B83)=0,"",_xlfn.MAXIFS(Vendas!$B$5:$B$2004,Vendas!$C$5:$C$2004,B83)))</f>
        <v/>
      </c>
      <c r="H83" s="34" t="str">
        <f aca="false">IF(B83="","",IF(F83&gt;0.005,"Deve",IF(F83&lt;-0.005,"Tem crédito",IF(D83&gt;0,"Em dia","Ainda não comprou"))))</f>
        <v/>
      </c>
    </row>
    <row r="84" customFormat="false" ht="21" hidden="false" customHeight="true" outlineLevel="0" collapsed="false">
      <c r="B84" s="7"/>
      <c r="C84" s="39"/>
      <c r="D84" s="24" t="str">
        <f aca="false">IF(B84="","",SUMIFS(Vendas!$G$5:$G$2004,Vendas!$C$5:$C$2004,B84))</f>
        <v/>
      </c>
      <c r="E84" s="24" t="str">
        <f aca="false">IF(B84="","",SUMIFS(Recebi!$D$5:$D$2004,Recebi!$C$5:$C$2004,B84)+SUMIFS(Vendas!$G$5:$G$2004,Vendas!$C$5:$C$2004,B84,Vendas!$J$5:$J$2004,"Sim"))</f>
        <v/>
      </c>
      <c r="F84" s="31" t="str">
        <f aca="false">IF(B84="","",D84-E84)</f>
        <v/>
      </c>
      <c r="G84" s="40" t="str">
        <f aca="false">IF(B84="","",IF(COUNTIF(Vendas!$C$5:$C$2004,B84)=0,"",_xlfn.MAXIFS(Vendas!$B$5:$B$2004,Vendas!$C$5:$C$2004,B84)))</f>
        <v/>
      </c>
      <c r="H84" s="34" t="str">
        <f aca="false">IF(B84="","",IF(F84&gt;0.005,"Deve",IF(F84&lt;-0.005,"Tem crédito",IF(D84&gt;0,"Em dia","Ainda não comprou"))))</f>
        <v/>
      </c>
    </row>
    <row r="85" customFormat="false" ht="21" hidden="false" customHeight="true" outlineLevel="0" collapsed="false">
      <c r="B85" s="7"/>
      <c r="C85" s="39"/>
      <c r="D85" s="24" t="str">
        <f aca="false">IF(B85="","",SUMIFS(Vendas!$G$5:$G$2004,Vendas!$C$5:$C$2004,B85))</f>
        <v/>
      </c>
      <c r="E85" s="24" t="str">
        <f aca="false">IF(B85="","",SUMIFS(Recebi!$D$5:$D$2004,Recebi!$C$5:$C$2004,B85)+SUMIFS(Vendas!$G$5:$G$2004,Vendas!$C$5:$C$2004,B85,Vendas!$J$5:$J$2004,"Sim"))</f>
        <v/>
      </c>
      <c r="F85" s="31" t="str">
        <f aca="false">IF(B85="","",D85-E85)</f>
        <v/>
      </c>
      <c r="G85" s="40" t="str">
        <f aca="false">IF(B85="","",IF(COUNTIF(Vendas!$C$5:$C$2004,B85)=0,"",_xlfn.MAXIFS(Vendas!$B$5:$B$2004,Vendas!$C$5:$C$2004,B85)))</f>
        <v/>
      </c>
      <c r="H85" s="34" t="str">
        <f aca="false">IF(B85="","",IF(F85&gt;0.005,"Deve",IF(F85&lt;-0.005,"Tem crédito",IF(D85&gt;0,"Em dia","Ainda não comprou"))))</f>
        <v/>
      </c>
    </row>
    <row r="86" customFormat="false" ht="21" hidden="false" customHeight="true" outlineLevel="0" collapsed="false">
      <c r="B86" s="7"/>
      <c r="C86" s="39"/>
      <c r="D86" s="24" t="str">
        <f aca="false">IF(B86="","",SUMIFS(Vendas!$G$5:$G$2004,Vendas!$C$5:$C$2004,B86))</f>
        <v/>
      </c>
      <c r="E86" s="24" t="str">
        <f aca="false">IF(B86="","",SUMIFS(Recebi!$D$5:$D$2004,Recebi!$C$5:$C$2004,B86)+SUMIFS(Vendas!$G$5:$G$2004,Vendas!$C$5:$C$2004,B86,Vendas!$J$5:$J$2004,"Sim"))</f>
        <v/>
      </c>
      <c r="F86" s="31" t="str">
        <f aca="false">IF(B86="","",D86-E86)</f>
        <v/>
      </c>
      <c r="G86" s="40" t="str">
        <f aca="false">IF(B86="","",IF(COUNTIF(Vendas!$C$5:$C$2004,B86)=0,"",_xlfn.MAXIFS(Vendas!$B$5:$B$2004,Vendas!$C$5:$C$2004,B86)))</f>
        <v/>
      </c>
      <c r="H86" s="34" t="str">
        <f aca="false">IF(B86="","",IF(F86&gt;0.005,"Deve",IF(F86&lt;-0.005,"Tem crédito",IF(D86&gt;0,"Em dia","Ainda não comprou"))))</f>
        <v/>
      </c>
    </row>
    <row r="87" customFormat="false" ht="21" hidden="false" customHeight="true" outlineLevel="0" collapsed="false">
      <c r="B87" s="7"/>
      <c r="C87" s="39"/>
      <c r="D87" s="24" t="str">
        <f aca="false">IF(B87="","",SUMIFS(Vendas!$G$5:$G$2004,Vendas!$C$5:$C$2004,B87))</f>
        <v/>
      </c>
      <c r="E87" s="24" t="str">
        <f aca="false">IF(B87="","",SUMIFS(Recebi!$D$5:$D$2004,Recebi!$C$5:$C$2004,B87)+SUMIFS(Vendas!$G$5:$G$2004,Vendas!$C$5:$C$2004,B87,Vendas!$J$5:$J$2004,"Sim"))</f>
        <v/>
      </c>
      <c r="F87" s="31" t="str">
        <f aca="false">IF(B87="","",D87-E87)</f>
        <v/>
      </c>
      <c r="G87" s="40" t="str">
        <f aca="false">IF(B87="","",IF(COUNTIF(Vendas!$C$5:$C$2004,B87)=0,"",_xlfn.MAXIFS(Vendas!$B$5:$B$2004,Vendas!$C$5:$C$2004,B87)))</f>
        <v/>
      </c>
      <c r="H87" s="34" t="str">
        <f aca="false">IF(B87="","",IF(F87&gt;0.005,"Deve",IF(F87&lt;-0.005,"Tem crédito",IF(D87&gt;0,"Em dia","Ainda não comprou"))))</f>
        <v/>
      </c>
    </row>
    <row r="88" customFormat="false" ht="21" hidden="false" customHeight="true" outlineLevel="0" collapsed="false">
      <c r="B88" s="7"/>
      <c r="C88" s="39"/>
      <c r="D88" s="24" t="str">
        <f aca="false">IF(B88="","",SUMIFS(Vendas!$G$5:$G$2004,Vendas!$C$5:$C$2004,B88))</f>
        <v/>
      </c>
      <c r="E88" s="24" t="str">
        <f aca="false">IF(B88="","",SUMIFS(Recebi!$D$5:$D$2004,Recebi!$C$5:$C$2004,B88)+SUMIFS(Vendas!$G$5:$G$2004,Vendas!$C$5:$C$2004,B88,Vendas!$J$5:$J$2004,"Sim"))</f>
        <v/>
      </c>
      <c r="F88" s="31" t="str">
        <f aca="false">IF(B88="","",D88-E88)</f>
        <v/>
      </c>
      <c r="G88" s="40" t="str">
        <f aca="false">IF(B88="","",IF(COUNTIF(Vendas!$C$5:$C$2004,B88)=0,"",_xlfn.MAXIFS(Vendas!$B$5:$B$2004,Vendas!$C$5:$C$2004,B88)))</f>
        <v/>
      </c>
      <c r="H88" s="34" t="str">
        <f aca="false">IF(B88="","",IF(F88&gt;0.005,"Deve",IF(F88&lt;-0.005,"Tem crédito",IF(D88&gt;0,"Em dia","Ainda não comprou"))))</f>
        <v/>
      </c>
    </row>
    <row r="89" customFormat="false" ht="21" hidden="false" customHeight="true" outlineLevel="0" collapsed="false">
      <c r="B89" s="7"/>
      <c r="C89" s="39"/>
      <c r="D89" s="24" t="str">
        <f aca="false">IF(B89="","",SUMIFS(Vendas!$G$5:$G$2004,Vendas!$C$5:$C$2004,B89))</f>
        <v/>
      </c>
      <c r="E89" s="24" t="str">
        <f aca="false">IF(B89="","",SUMIFS(Recebi!$D$5:$D$2004,Recebi!$C$5:$C$2004,B89)+SUMIFS(Vendas!$G$5:$G$2004,Vendas!$C$5:$C$2004,B89,Vendas!$J$5:$J$2004,"Sim"))</f>
        <v/>
      </c>
      <c r="F89" s="31" t="str">
        <f aca="false">IF(B89="","",D89-E89)</f>
        <v/>
      </c>
      <c r="G89" s="40" t="str">
        <f aca="false">IF(B89="","",IF(COUNTIF(Vendas!$C$5:$C$2004,B89)=0,"",_xlfn.MAXIFS(Vendas!$B$5:$B$2004,Vendas!$C$5:$C$2004,B89)))</f>
        <v/>
      </c>
      <c r="H89" s="34" t="str">
        <f aca="false">IF(B89="","",IF(F89&gt;0.005,"Deve",IF(F89&lt;-0.005,"Tem crédito",IF(D89&gt;0,"Em dia","Ainda não comprou"))))</f>
        <v/>
      </c>
    </row>
    <row r="90" customFormat="false" ht="21" hidden="false" customHeight="true" outlineLevel="0" collapsed="false">
      <c r="B90" s="7"/>
      <c r="C90" s="39"/>
      <c r="D90" s="24" t="str">
        <f aca="false">IF(B90="","",SUMIFS(Vendas!$G$5:$G$2004,Vendas!$C$5:$C$2004,B90))</f>
        <v/>
      </c>
      <c r="E90" s="24" t="str">
        <f aca="false">IF(B90="","",SUMIFS(Recebi!$D$5:$D$2004,Recebi!$C$5:$C$2004,B90)+SUMIFS(Vendas!$G$5:$G$2004,Vendas!$C$5:$C$2004,B90,Vendas!$J$5:$J$2004,"Sim"))</f>
        <v/>
      </c>
      <c r="F90" s="31" t="str">
        <f aca="false">IF(B90="","",D90-E90)</f>
        <v/>
      </c>
      <c r="G90" s="40" t="str">
        <f aca="false">IF(B90="","",IF(COUNTIF(Vendas!$C$5:$C$2004,B90)=0,"",_xlfn.MAXIFS(Vendas!$B$5:$B$2004,Vendas!$C$5:$C$2004,B90)))</f>
        <v/>
      </c>
      <c r="H90" s="34" t="str">
        <f aca="false">IF(B90="","",IF(F90&gt;0.005,"Deve",IF(F90&lt;-0.005,"Tem crédito",IF(D90&gt;0,"Em dia","Ainda não comprou"))))</f>
        <v/>
      </c>
    </row>
    <row r="91" customFormat="false" ht="21" hidden="false" customHeight="true" outlineLevel="0" collapsed="false">
      <c r="B91" s="7"/>
      <c r="C91" s="39"/>
      <c r="D91" s="24" t="str">
        <f aca="false">IF(B91="","",SUMIFS(Vendas!$G$5:$G$2004,Vendas!$C$5:$C$2004,B91))</f>
        <v/>
      </c>
      <c r="E91" s="24" t="str">
        <f aca="false">IF(B91="","",SUMIFS(Recebi!$D$5:$D$2004,Recebi!$C$5:$C$2004,B91)+SUMIFS(Vendas!$G$5:$G$2004,Vendas!$C$5:$C$2004,B91,Vendas!$J$5:$J$2004,"Sim"))</f>
        <v/>
      </c>
      <c r="F91" s="31" t="str">
        <f aca="false">IF(B91="","",D91-E91)</f>
        <v/>
      </c>
      <c r="G91" s="40" t="str">
        <f aca="false">IF(B91="","",IF(COUNTIF(Vendas!$C$5:$C$2004,B91)=0,"",_xlfn.MAXIFS(Vendas!$B$5:$B$2004,Vendas!$C$5:$C$2004,B91)))</f>
        <v/>
      </c>
      <c r="H91" s="34" t="str">
        <f aca="false">IF(B91="","",IF(F91&gt;0.005,"Deve",IF(F91&lt;-0.005,"Tem crédito",IF(D91&gt;0,"Em dia","Ainda não comprou"))))</f>
        <v/>
      </c>
    </row>
    <row r="92" customFormat="false" ht="21" hidden="false" customHeight="true" outlineLevel="0" collapsed="false">
      <c r="B92" s="7"/>
      <c r="C92" s="39"/>
      <c r="D92" s="24" t="str">
        <f aca="false">IF(B92="","",SUMIFS(Vendas!$G$5:$G$2004,Vendas!$C$5:$C$2004,B92))</f>
        <v/>
      </c>
      <c r="E92" s="24" t="str">
        <f aca="false">IF(B92="","",SUMIFS(Recebi!$D$5:$D$2004,Recebi!$C$5:$C$2004,B92)+SUMIFS(Vendas!$G$5:$G$2004,Vendas!$C$5:$C$2004,B92,Vendas!$J$5:$J$2004,"Sim"))</f>
        <v/>
      </c>
      <c r="F92" s="31" t="str">
        <f aca="false">IF(B92="","",D92-E92)</f>
        <v/>
      </c>
      <c r="G92" s="40" t="str">
        <f aca="false">IF(B92="","",IF(COUNTIF(Vendas!$C$5:$C$2004,B92)=0,"",_xlfn.MAXIFS(Vendas!$B$5:$B$2004,Vendas!$C$5:$C$2004,B92)))</f>
        <v/>
      </c>
      <c r="H92" s="34" t="str">
        <f aca="false">IF(B92="","",IF(F92&gt;0.005,"Deve",IF(F92&lt;-0.005,"Tem crédito",IF(D92&gt;0,"Em dia","Ainda não comprou"))))</f>
        <v/>
      </c>
    </row>
    <row r="93" customFormat="false" ht="21" hidden="false" customHeight="true" outlineLevel="0" collapsed="false">
      <c r="B93" s="7"/>
      <c r="C93" s="39"/>
      <c r="D93" s="24" t="str">
        <f aca="false">IF(B93="","",SUMIFS(Vendas!$G$5:$G$2004,Vendas!$C$5:$C$2004,B93))</f>
        <v/>
      </c>
      <c r="E93" s="24" t="str">
        <f aca="false">IF(B93="","",SUMIFS(Recebi!$D$5:$D$2004,Recebi!$C$5:$C$2004,B93)+SUMIFS(Vendas!$G$5:$G$2004,Vendas!$C$5:$C$2004,B93,Vendas!$J$5:$J$2004,"Sim"))</f>
        <v/>
      </c>
      <c r="F93" s="31" t="str">
        <f aca="false">IF(B93="","",D93-E93)</f>
        <v/>
      </c>
      <c r="G93" s="40" t="str">
        <f aca="false">IF(B93="","",IF(COUNTIF(Vendas!$C$5:$C$2004,B93)=0,"",_xlfn.MAXIFS(Vendas!$B$5:$B$2004,Vendas!$C$5:$C$2004,B93)))</f>
        <v/>
      </c>
      <c r="H93" s="34" t="str">
        <f aca="false">IF(B93="","",IF(F93&gt;0.005,"Deve",IF(F93&lt;-0.005,"Tem crédito",IF(D93&gt;0,"Em dia","Ainda não comprou"))))</f>
        <v/>
      </c>
    </row>
    <row r="94" customFormat="false" ht="21" hidden="false" customHeight="true" outlineLevel="0" collapsed="false">
      <c r="B94" s="7"/>
      <c r="C94" s="39"/>
      <c r="D94" s="24" t="str">
        <f aca="false">IF(B94="","",SUMIFS(Vendas!$G$5:$G$2004,Vendas!$C$5:$C$2004,B94))</f>
        <v/>
      </c>
      <c r="E94" s="24" t="str">
        <f aca="false">IF(B94="","",SUMIFS(Recebi!$D$5:$D$2004,Recebi!$C$5:$C$2004,B94)+SUMIFS(Vendas!$G$5:$G$2004,Vendas!$C$5:$C$2004,B94,Vendas!$J$5:$J$2004,"Sim"))</f>
        <v/>
      </c>
      <c r="F94" s="31" t="str">
        <f aca="false">IF(B94="","",D94-E94)</f>
        <v/>
      </c>
      <c r="G94" s="40" t="str">
        <f aca="false">IF(B94="","",IF(COUNTIF(Vendas!$C$5:$C$2004,B94)=0,"",_xlfn.MAXIFS(Vendas!$B$5:$B$2004,Vendas!$C$5:$C$2004,B94)))</f>
        <v/>
      </c>
      <c r="H94" s="34" t="str">
        <f aca="false">IF(B94="","",IF(F94&gt;0.005,"Deve",IF(F94&lt;-0.005,"Tem crédito",IF(D94&gt;0,"Em dia","Ainda não comprou"))))</f>
        <v/>
      </c>
    </row>
    <row r="95" customFormat="false" ht="21" hidden="false" customHeight="true" outlineLevel="0" collapsed="false">
      <c r="B95" s="7"/>
      <c r="C95" s="39"/>
      <c r="D95" s="24" t="str">
        <f aca="false">IF(B95="","",SUMIFS(Vendas!$G$5:$G$2004,Vendas!$C$5:$C$2004,B95))</f>
        <v/>
      </c>
      <c r="E95" s="24" t="str">
        <f aca="false">IF(B95="","",SUMIFS(Recebi!$D$5:$D$2004,Recebi!$C$5:$C$2004,B95)+SUMIFS(Vendas!$G$5:$G$2004,Vendas!$C$5:$C$2004,B95,Vendas!$J$5:$J$2004,"Sim"))</f>
        <v/>
      </c>
      <c r="F95" s="31" t="str">
        <f aca="false">IF(B95="","",D95-E95)</f>
        <v/>
      </c>
      <c r="G95" s="40" t="str">
        <f aca="false">IF(B95="","",IF(COUNTIF(Vendas!$C$5:$C$2004,B95)=0,"",_xlfn.MAXIFS(Vendas!$B$5:$B$2004,Vendas!$C$5:$C$2004,B95)))</f>
        <v/>
      </c>
      <c r="H95" s="34" t="str">
        <f aca="false">IF(B95="","",IF(F95&gt;0.005,"Deve",IF(F95&lt;-0.005,"Tem crédito",IF(D95&gt;0,"Em dia","Ainda não comprou"))))</f>
        <v/>
      </c>
    </row>
    <row r="96" customFormat="false" ht="21" hidden="false" customHeight="true" outlineLevel="0" collapsed="false">
      <c r="B96" s="7"/>
      <c r="C96" s="39"/>
      <c r="D96" s="24" t="str">
        <f aca="false">IF(B96="","",SUMIFS(Vendas!$G$5:$G$2004,Vendas!$C$5:$C$2004,B96))</f>
        <v/>
      </c>
      <c r="E96" s="24" t="str">
        <f aca="false">IF(B96="","",SUMIFS(Recebi!$D$5:$D$2004,Recebi!$C$5:$C$2004,B96)+SUMIFS(Vendas!$G$5:$G$2004,Vendas!$C$5:$C$2004,B96,Vendas!$J$5:$J$2004,"Sim"))</f>
        <v/>
      </c>
      <c r="F96" s="31" t="str">
        <f aca="false">IF(B96="","",D96-E96)</f>
        <v/>
      </c>
      <c r="G96" s="40" t="str">
        <f aca="false">IF(B96="","",IF(COUNTIF(Vendas!$C$5:$C$2004,B96)=0,"",_xlfn.MAXIFS(Vendas!$B$5:$B$2004,Vendas!$C$5:$C$2004,B96)))</f>
        <v/>
      </c>
      <c r="H96" s="34" t="str">
        <f aca="false">IF(B96="","",IF(F96&gt;0.005,"Deve",IF(F96&lt;-0.005,"Tem crédito",IF(D96&gt;0,"Em dia","Ainda não comprou"))))</f>
        <v/>
      </c>
    </row>
    <row r="97" customFormat="false" ht="21" hidden="false" customHeight="true" outlineLevel="0" collapsed="false">
      <c r="B97" s="7"/>
      <c r="C97" s="39"/>
      <c r="D97" s="24" t="str">
        <f aca="false">IF(B97="","",SUMIFS(Vendas!$G$5:$G$2004,Vendas!$C$5:$C$2004,B97))</f>
        <v/>
      </c>
      <c r="E97" s="24" t="str">
        <f aca="false">IF(B97="","",SUMIFS(Recebi!$D$5:$D$2004,Recebi!$C$5:$C$2004,B97)+SUMIFS(Vendas!$G$5:$G$2004,Vendas!$C$5:$C$2004,B97,Vendas!$J$5:$J$2004,"Sim"))</f>
        <v/>
      </c>
      <c r="F97" s="31" t="str">
        <f aca="false">IF(B97="","",D97-E97)</f>
        <v/>
      </c>
      <c r="G97" s="40" t="str">
        <f aca="false">IF(B97="","",IF(COUNTIF(Vendas!$C$5:$C$2004,B97)=0,"",_xlfn.MAXIFS(Vendas!$B$5:$B$2004,Vendas!$C$5:$C$2004,B97)))</f>
        <v/>
      </c>
      <c r="H97" s="34" t="str">
        <f aca="false">IF(B97="","",IF(F97&gt;0.005,"Deve",IF(F97&lt;-0.005,"Tem crédito",IF(D97&gt;0,"Em dia","Ainda não comprou"))))</f>
        <v/>
      </c>
    </row>
    <row r="98" customFormat="false" ht="21" hidden="false" customHeight="true" outlineLevel="0" collapsed="false">
      <c r="B98" s="7"/>
      <c r="C98" s="39"/>
      <c r="D98" s="24" t="str">
        <f aca="false">IF(B98="","",SUMIFS(Vendas!$G$5:$G$2004,Vendas!$C$5:$C$2004,B98))</f>
        <v/>
      </c>
      <c r="E98" s="24" t="str">
        <f aca="false">IF(B98="","",SUMIFS(Recebi!$D$5:$D$2004,Recebi!$C$5:$C$2004,B98)+SUMIFS(Vendas!$G$5:$G$2004,Vendas!$C$5:$C$2004,B98,Vendas!$J$5:$J$2004,"Sim"))</f>
        <v/>
      </c>
      <c r="F98" s="31" t="str">
        <f aca="false">IF(B98="","",D98-E98)</f>
        <v/>
      </c>
      <c r="G98" s="40" t="str">
        <f aca="false">IF(B98="","",IF(COUNTIF(Vendas!$C$5:$C$2004,B98)=0,"",_xlfn.MAXIFS(Vendas!$B$5:$B$2004,Vendas!$C$5:$C$2004,B98)))</f>
        <v/>
      </c>
      <c r="H98" s="34" t="str">
        <f aca="false">IF(B98="","",IF(F98&gt;0.005,"Deve",IF(F98&lt;-0.005,"Tem crédito",IF(D98&gt;0,"Em dia","Ainda não comprou"))))</f>
        <v/>
      </c>
    </row>
    <row r="99" customFormat="false" ht="21" hidden="false" customHeight="true" outlineLevel="0" collapsed="false">
      <c r="B99" s="7"/>
      <c r="C99" s="39"/>
      <c r="D99" s="24" t="str">
        <f aca="false">IF(B99="","",SUMIFS(Vendas!$G$5:$G$2004,Vendas!$C$5:$C$2004,B99))</f>
        <v/>
      </c>
      <c r="E99" s="24" t="str">
        <f aca="false">IF(B99="","",SUMIFS(Recebi!$D$5:$D$2004,Recebi!$C$5:$C$2004,B99)+SUMIFS(Vendas!$G$5:$G$2004,Vendas!$C$5:$C$2004,B99,Vendas!$J$5:$J$2004,"Sim"))</f>
        <v/>
      </c>
      <c r="F99" s="31" t="str">
        <f aca="false">IF(B99="","",D99-E99)</f>
        <v/>
      </c>
      <c r="G99" s="40" t="str">
        <f aca="false">IF(B99="","",IF(COUNTIF(Vendas!$C$5:$C$2004,B99)=0,"",_xlfn.MAXIFS(Vendas!$B$5:$B$2004,Vendas!$C$5:$C$2004,B99)))</f>
        <v/>
      </c>
      <c r="H99" s="34" t="str">
        <f aca="false">IF(B99="","",IF(F99&gt;0.005,"Deve",IF(F99&lt;-0.005,"Tem crédito",IF(D99&gt;0,"Em dia","Ainda não comprou"))))</f>
        <v/>
      </c>
    </row>
    <row r="100" customFormat="false" ht="21" hidden="false" customHeight="true" outlineLevel="0" collapsed="false">
      <c r="B100" s="7"/>
      <c r="C100" s="39"/>
      <c r="D100" s="24" t="str">
        <f aca="false">IF(B100="","",SUMIFS(Vendas!$G$5:$G$2004,Vendas!$C$5:$C$2004,B100))</f>
        <v/>
      </c>
      <c r="E100" s="24" t="str">
        <f aca="false">IF(B100="","",SUMIFS(Recebi!$D$5:$D$2004,Recebi!$C$5:$C$2004,B100)+SUMIFS(Vendas!$G$5:$G$2004,Vendas!$C$5:$C$2004,B100,Vendas!$J$5:$J$2004,"Sim"))</f>
        <v/>
      </c>
      <c r="F100" s="31" t="str">
        <f aca="false">IF(B100="","",D100-E100)</f>
        <v/>
      </c>
      <c r="G100" s="40" t="str">
        <f aca="false">IF(B100="","",IF(COUNTIF(Vendas!$C$5:$C$2004,B100)=0,"",_xlfn.MAXIFS(Vendas!$B$5:$B$2004,Vendas!$C$5:$C$2004,B100)))</f>
        <v/>
      </c>
      <c r="H100" s="34" t="str">
        <f aca="false">IF(B100="","",IF(F100&gt;0.005,"Deve",IF(F100&lt;-0.005,"Tem crédito",IF(D100&gt;0,"Em dia","Ainda não comprou"))))</f>
        <v/>
      </c>
    </row>
    <row r="101" customFormat="false" ht="21" hidden="false" customHeight="true" outlineLevel="0" collapsed="false">
      <c r="B101" s="7"/>
      <c r="C101" s="39"/>
      <c r="D101" s="24" t="str">
        <f aca="false">IF(B101="","",SUMIFS(Vendas!$G$5:$G$2004,Vendas!$C$5:$C$2004,B101))</f>
        <v/>
      </c>
      <c r="E101" s="24" t="str">
        <f aca="false">IF(B101="","",SUMIFS(Recebi!$D$5:$D$2004,Recebi!$C$5:$C$2004,B101)+SUMIFS(Vendas!$G$5:$G$2004,Vendas!$C$5:$C$2004,B101,Vendas!$J$5:$J$2004,"Sim"))</f>
        <v/>
      </c>
      <c r="F101" s="31" t="str">
        <f aca="false">IF(B101="","",D101-E101)</f>
        <v/>
      </c>
      <c r="G101" s="40" t="str">
        <f aca="false">IF(B101="","",IF(COUNTIF(Vendas!$C$5:$C$2004,B101)=0,"",_xlfn.MAXIFS(Vendas!$B$5:$B$2004,Vendas!$C$5:$C$2004,B101)))</f>
        <v/>
      </c>
      <c r="H101" s="34" t="str">
        <f aca="false">IF(B101="","",IF(F101&gt;0.005,"Deve",IF(F101&lt;-0.005,"Tem crédito",IF(D101&gt;0,"Em dia","Ainda não comprou"))))</f>
        <v/>
      </c>
    </row>
    <row r="102" customFormat="false" ht="21" hidden="false" customHeight="true" outlineLevel="0" collapsed="false">
      <c r="B102" s="7"/>
      <c r="C102" s="39"/>
      <c r="D102" s="24" t="str">
        <f aca="false">IF(B102="","",SUMIFS(Vendas!$G$5:$G$2004,Vendas!$C$5:$C$2004,B102))</f>
        <v/>
      </c>
      <c r="E102" s="24" t="str">
        <f aca="false">IF(B102="","",SUMIFS(Recebi!$D$5:$D$2004,Recebi!$C$5:$C$2004,B102)+SUMIFS(Vendas!$G$5:$G$2004,Vendas!$C$5:$C$2004,B102,Vendas!$J$5:$J$2004,"Sim"))</f>
        <v/>
      </c>
      <c r="F102" s="31" t="str">
        <f aca="false">IF(B102="","",D102-E102)</f>
        <v/>
      </c>
      <c r="G102" s="40" t="str">
        <f aca="false">IF(B102="","",IF(COUNTIF(Vendas!$C$5:$C$2004,B102)=0,"",_xlfn.MAXIFS(Vendas!$B$5:$B$2004,Vendas!$C$5:$C$2004,B102)))</f>
        <v/>
      </c>
      <c r="H102" s="34" t="str">
        <f aca="false">IF(B102="","",IF(F102&gt;0.005,"Deve",IF(F102&lt;-0.005,"Tem crédito",IF(D102&gt;0,"Em dia","Ainda não comprou"))))</f>
        <v/>
      </c>
    </row>
    <row r="103" customFormat="false" ht="21" hidden="false" customHeight="true" outlineLevel="0" collapsed="false">
      <c r="B103" s="7"/>
      <c r="C103" s="39"/>
      <c r="D103" s="24" t="str">
        <f aca="false">IF(B103="","",SUMIFS(Vendas!$G$5:$G$2004,Vendas!$C$5:$C$2004,B103))</f>
        <v/>
      </c>
      <c r="E103" s="24" t="str">
        <f aca="false">IF(B103="","",SUMIFS(Recebi!$D$5:$D$2004,Recebi!$C$5:$C$2004,B103)+SUMIFS(Vendas!$G$5:$G$2004,Vendas!$C$5:$C$2004,B103,Vendas!$J$5:$J$2004,"Sim"))</f>
        <v/>
      </c>
      <c r="F103" s="31" t="str">
        <f aca="false">IF(B103="","",D103-E103)</f>
        <v/>
      </c>
      <c r="G103" s="40" t="str">
        <f aca="false">IF(B103="","",IF(COUNTIF(Vendas!$C$5:$C$2004,B103)=0,"",_xlfn.MAXIFS(Vendas!$B$5:$B$2004,Vendas!$C$5:$C$2004,B103)))</f>
        <v/>
      </c>
      <c r="H103" s="34" t="str">
        <f aca="false">IF(B103="","",IF(F103&gt;0.005,"Deve",IF(F103&lt;-0.005,"Tem crédito",IF(D103&gt;0,"Em dia","Ainda não comprou"))))</f>
        <v/>
      </c>
    </row>
    <row r="104" customFormat="false" ht="21" hidden="false" customHeight="true" outlineLevel="0" collapsed="false">
      <c r="B104" s="7"/>
      <c r="C104" s="39"/>
      <c r="D104" s="24" t="str">
        <f aca="false">IF(B104="","",SUMIFS(Vendas!$G$5:$G$2004,Vendas!$C$5:$C$2004,B104))</f>
        <v/>
      </c>
      <c r="E104" s="24" t="str">
        <f aca="false">IF(B104="","",SUMIFS(Recebi!$D$5:$D$2004,Recebi!$C$5:$C$2004,B104)+SUMIFS(Vendas!$G$5:$G$2004,Vendas!$C$5:$C$2004,B104,Vendas!$J$5:$J$2004,"Sim"))</f>
        <v/>
      </c>
      <c r="F104" s="31" t="str">
        <f aca="false">IF(B104="","",D104-E104)</f>
        <v/>
      </c>
      <c r="G104" s="40" t="str">
        <f aca="false">IF(B104="","",IF(COUNTIF(Vendas!$C$5:$C$2004,B104)=0,"",_xlfn.MAXIFS(Vendas!$B$5:$B$2004,Vendas!$C$5:$C$2004,B104)))</f>
        <v/>
      </c>
      <c r="H104" s="34" t="str">
        <f aca="false">IF(B104="","",IF(F104&gt;0.005,"Deve",IF(F104&lt;-0.005,"Tem crédito",IF(D104&gt;0,"Em dia","Ainda não comprou"))))</f>
        <v/>
      </c>
    </row>
    <row r="105" customFormat="false" ht="21" hidden="false" customHeight="true" outlineLevel="0" collapsed="false">
      <c r="B105" s="7"/>
      <c r="C105" s="39"/>
      <c r="D105" s="24" t="str">
        <f aca="false">IF(B105="","",SUMIFS(Vendas!$G$5:$G$2004,Vendas!$C$5:$C$2004,B105))</f>
        <v/>
      </c>
      <c r="E105" s="24" t="str">
        <f aca="false">IF(B105="","",SUMIFS(Recebi!$D$5:$D$2004,Recebi!$C$5:$C$2004,B105)+SUMIFS(Vendas!$G$5:$G$2004,Vendas!$C$5:$C$2004,B105,Vendas!$J$5:$J$2004,"Sim"))</f>
        <v/>
      </c>
      <c r="F105" s="31" t="str">
        <f aca="false">IF(B105="","",D105-E105)</f>
        <v/>
      </c>
      <c r="G105" s="40" t="str">
        <f aca="false">IF(B105="","",IF(COUNTIF(Vendas!$C$5:$C$2004,B105)=0,"",_xlfn.MAXIFS(Vendas!$B$5:$B$2004,Vendas!$C$5:$C$2004,B105)))</f>
        <v/>
      </c>
      <c r="H105" s="34" t="str">
        <f aca="false">IF(B105="","",IF(F105&gt;0.005,"Deve",IF(F105&lt;-0.005,"Tem crédito",IF(D105&gt;0,"Em dia","Ainda não comprou"))))</f>
        <v/>
      </c>
    </row>
    <row r="106" customFormat="false" ht="21" hidden="false" customHeight="true" outlineLevel="0" collapsed="false">
      <c r="B106" s="7"/>
      <c r="C106" s="39"/>
      <c r="D106" s="24" t="str">
        <f aca="false">IF(B106="","",SUMIFS(Vendas!$G$5:$G$2004,Vendas!$C$5:$C$2004,B106))</f>
        <v/>
      </c>
      <c r="E106" s="24" t="str">
        <f aca="false">IF(B106="","",SUMIFS(Recebi!$D$5:$D$2004,Recebi!$C$5:$C$2004,B106)+SUMIFS(Vendas!$G$5:$G$2004,Vendas!$C$5:$C$2004,B106,Vendas!$J$5:$J$2004,"Sim"))</f>
        <v/>
      </c>
      <c r="F106" s="31" t="str">
        <f aca="false">IF(B106="","",D106-E106)</f>
        <v/>
      </c>
      <c r="G106" s="40" t="str">
        <f aca="false">IF(B106="","",IF(COUNTIF(Vendas!$C$5:$C$2004,B106)=0,"",_xlfn.MAXIFS(Vendas!$B$5:$B$2004,Vendas!$C$5:$C$2004,B106)))</f>
        <v/>
      </c>
      <c r="H106" s="34" t="str">
        <f aca="false">IF(B106="","",IF(F106&gt;0.005,"Deve",IF(F106&lt;-0.005,"Tem crédito",IF(D106&gt;0,"Em dia","Ainda não comprou"))))</f>
        <v/>
      </c>
    </row>
    <row r="107" customFormat="false" ht="21" hidden="false" customHeight="true" outlineLevel="0" collapsed="false">
      <c r="B107" s="7"/>
      <c r="C107" s="39"/>
      <c r="D107" s="24" t="str">
        <f aca="false">IF(B107="","",SUMIFS(Vendas!$G$5:$G$2004,Vendas!$C$5:$C$2004,B107))</f>
        <v/>
      </c>
      <c r="E107" s="24" t="str">
        <f aca="false">IF(B107="","",SUMIFS(Recebi!$D$5:$D$2004,Recebi!$C$5:$C$2004,B107)+SUMIFS(Vendas!$G$5:$G$2004,Vendas!$C$5:$C$2004,B107,Vendas!$J$5:$J$2004,"Sim"))</f>
        <v/>
      </c>
      <c r="F107" s="31" t="str">
        <f aca="false">IF(B107="","",D107-E107)</f>
        <v/>
      </c>
      <c r="G107" s="40" t="str">
        <f aca="false">IF(B107="","",IF(COUNTIF(Vendas!$C$5:$C$2004,B107)=0,"",_xlfn.MAXIFS(Vendas!$B$5:$B$2004,Vendas!$C$5:$C$2004,B107)))</f>
        <v/>
      </c>
      <c r="H107" s="34" t="str">
        <f aca="false">IF(B107="","",IF(F107&gt;0.005,"Deve",IF(F107&lt;-0.005,"Tem crédito",IF(D107&gt;0,"Em dia","Ainda não comprou"))))</f>
        <v/>
      </c>
    </row>
    <row r="108" customFormat="false" ht="21" hidden="false" customHeight="true" outlineLevel="0" collapsed="false">
      <c r="B108" s="7"/>
      <c r="C108" s="39"/>
      <c r="D108" s="24" t="str">
        <f aca="false">IF(B108="","",SUMIFS(Vendas!$G$5:$G$2004,Vendas!$C$5:$C$2004,B108))</f>
        <v/>
      </c>
      <c r="E108" s="24" t="str">
        <f aca="false">IF(B108="","",SUMIFS(Recebi!$D$5:$D$2004,Recebi!$C$5:$C$2004,B108)+SUMIFS(Vendas!$G$5:$G$2004,Vendas!$C$5:$C$2004,B108,Vendas!$J$5:$J$2004,"Sim"))</f>
        <v/>
      </c>
      <c r="F108" s="31" t="str">
        <f aca="false">IF(B108="","",D108-E108)</f>
        <v/>
      </c>
      <c r="G108" s="40" t="str">
        <f aca="false">IF(B108="","",IF(COUNTIF(Vendas!$C$5:$C$2004,B108)=0,"",_xlfn.MAXIFS(Vendas!$B$5:$B$2004,Vendas!$C$5:$C$2004,B108)))</f>
        <v/>
      </c>
      <c r="H108" s="34" t="str">
        <f aca="false">IF(B108="","",IF(F108&gt;0.005,"Deve",IF(F108&lt;-0.005,"Tem crédito",IF(D108&gt;0,"Em dia","Ainda não comprou"))))</f>
        <v/>
      </c>
    </row>
    <row r="109" customFormat="false" ht="21" hidden="false" customHeight="true" outlineLevel="0" collapsed="false">
      <c r="B109" s="7"/>
      <c r="C109" s="39"/>
      <c r="D109" s="24" t="str">
        <f aca="false">IF(B109="","",SUMIFS(Vendas!$G$5:$G$2004,Vendas!$C$5:$C$2004,B109))</f>
        <v/>
      </c>
      <c r="E109" s="24" t="str">
        <f aca="false">IF(B109="","",SUMIFS(Recebi!$D$5:$D$2004,Recebi!$C$5:$C$2004,B109)+SUMIFS(Vendas!$G$5:$G$2004,Vendas!$C$5:$C$2004,B109,Vendas!$J$5:$J$2004,"Sim"))</f>
        <v/>
      </c>
      <c r="F109" s="31" t="str">
        <f aca="false">IF(B109="","",D109-E109)</f>
        <v/>
      </c>
      <c r="G109" s="40" t="str">
        <f aca="false">IF(B109="","",IF(COUNTIF(Vendas!$C$5:$C$2004,B109)=0,"",_xlfn.MAXIFS(Vendas!$B$5:$B$2004,Vendas!$C$5:$C$2004,B109)))</f>
        <v/>
      </c>
      <c r="H109" s="34" t="str">
        <f aca="false">IF(B109="","",IF(F109&gt;0.005,"Deve",IF(F109&lt;-0.005,"Tem crédito",IF(D109&gt;0,"Em dia","Ainda não comprou"))))</f>
        <v/>
      </c>
    </row>
    <row r="110" customFormat="false" ht="21" hidden="false" customHeight="true" outlineLevel="0" collapsed="false">
      <c r="B110" s="7"/>
      <c r="C110" s="39"/>
      <c r="D110" s="24" t="str">
        <f aca="false">IF(B110="","",SUMIFS(Vendas!$G$5:$G$2004,Vendas!$C$5:$C$2004,B110))</f>
        <v/>
      </c>
      <c r="E110" s="24" t="str">
        <f aca="false">IF(B110="","",SUMIFS(Recebi!$D$5:$D$2004,Recebi!$C$5:$C$2004,B110)+SUMIFS(Vendas!$G$5:$G$2004,Vendas!$C$5:$C$2004,B110,Vendas!$J$5:$J$2004,"Sim"))</f>
        <v/>
      </c>
      <c r="F110" s="31" t="str">
        <f aca="false">IF(B110="","",D110-E110)</f>
        <v/>
      </c>
      <c r="G110" s="40" t="str">
        <f aca="false">IF(B110="","",IF(COUNTIF(Vendas!$C$5:$C$2004,B110)=0,"",_xlfn.MAXIFS(Vendas!$B$5:$B$2004,Vendas!$C$5:$C$2004,B110)))</f>
        <v/>
      </c>
      <c r="H110" s="34" t="str">
        <f aca="false">IF(B110="","",IF(F110&gt;0.005,"Deve",IF(F110&lt;-0.005,"Tem crédito",IF(D110&gt;0,"Em dia","Ainda não comprou"))))</f>
        <v/>
      </c>
    </row>
    <row r="111" customFormat="false" ht="21" hidden="false" customHeight="true" outlineLevel="0" collapsed="false">
      <c r="B111" s="7"/>
      <c r="C111" s="39"/>
      <c r="D111" s="24" t="str">
        <f aca="false">IF(B111="","",SUMIFS(Vendas!$G$5:$G$2004,Vendas!$C$5:$C$2004,B111))</f>
        <v/>
      </c>
      <c r="E111" s="24" t="str">
        <f aca="false">IF(B111="","",SUMIFS(Recebi!$D$5:$D$2004,Recebi!$C$5:$C$2004,B111)+SUMIFS(Vendas!$G$5:$G$2004,Vendas!$C$5:$C$2004,B111,Vendas!$J$5:$J$2004,"Sim"))</f>
        <v/>
      </c>
      <c r="F111" s="31" t="str">
        <f aca="false">IF(B111="","",D111-E111)</f>
        <v/>
      </c>
      <c r="G111" s="40" t="str">
        <f aca="false">IF(B111="","",IF(COUNTIF(Vendas!$C$5:$C$2004,B111)=0,"",_xlfn.MAXIFS(Vendas!$B$5:$B$2004,Vendas!$C$5:$C$2004,B111)))</f>
        <v/>
      </c>
      <c r="H111" s="34" t="str">
        <f aca="false">IF(B111="","",IF(F111&gt;0.005,"Deve",IF(F111&lt;-0.005,"Tem crédito",IF(D111&gt;0,"Em dia","Ainda não comprou"))))</f>
        <v/>
      </c>
    </row>
    <row r="112" customFormat="false" ht="21" hidden="false" customHeight="true" outlineLevel="0" collapsed="false">
      <c r="B112" s="7"/>
      <c r="C112" s="39"/>
      <c r="D112" s="24" t="str">
        <f aca="false">IF(B112="","",SUMIFS(Vendas!$G$5:$G$2004,Vendas!$C$5:$C$2004,B112))</f>
        <v/>
      </c>
      <c r="E112" s="24" t="str">
        <f aca="false">IF(B112="","",SUMIFS(Recebi!$D$5:$D$2004,Recebi!$C$5:$C$2004,B112)+SUMIFS(Vendas!$G$5:$G$2004,Vendas!$C$5:$C$2004,B112,Vendas!$J$5:$J$2004,"Sim"))</f>
        <v/>
      </c>
      <c r="F112" s="31" t="str">
        <f aca="false">IF(B112="","",D112-E112)</f>
        <v/>
      </c>
      <c r="G112" s="40" t="str">
        <f aca="false">IF(B112="","",IF(COUNTIF(Vendas!$C$5:$C$2004,B112)=0,"",_xlfn.MAXIFS(Vendas!$B$5:$B$2004,Vendas!$C$5:$C$2004,B112)))</f>
        <v/>
      </c>
      <c r="H112" s="34" t="str">
        <f aca="false">IF(B112="","",IF(F112&gt;0.005,"Deve",IF(F112&lt;-0.005,"Tem crédito",IF(D112&gt;0,"Em dia","Ainda não comprou"))))</f>
        <v/>
      </c>
    </row>
    <row r="113" customFormat="false" ht="21" hidden="false" customHeight="true" outlineLevel="0" collapsed="false">
      <c r="B113" s="7"/>
      <c r="C113" s="39"/>
      <c r="D113" s="24" t="str">
        <f aca="false">IF(B113="","",SUMIFS(Vendas!$G$5:$G$2004,Vendas!$C$5:$C$2004,B113))</f>
        <v/>
      </c>
      <c r="E113" s="24" t="str">
        <f aca="false">IF(B113="","",SUMIFS(Recebi!$D$5:$D$2004,Recebi!$C$5:$C$2004,B113)+SUMIFS(Vendas!$G$5:$G$2004,Vendas!$C$5:$C$2004,B113,Vendas!$J$5:$J$2004,"Sim"))</f>
        <v/>
      </c>
      <c r="F113" s="31" t="str">
        <f aca="false">IF(B113="","",D113-E113)</f>
        <v/>
      </c>
      <c r="G113" s="40" t="str">
        <f aca="false">IF(B113="","",IF(COUNTIF(Vendas!$C$5:$C$2004,B113)=0,"",_xlfn.MAXIFS(Vendas!$B$5:$B$2004,Vendas!$C$5:$C$2004,B113)))</f>
        <v/>
      </c>
      <c r="H113" s="34" t="str">
        <f aca="false">IF(B113="","",IF(F113&gt;0.005,"Deve",IF(F113&lt;-0.005,"Tem crédito",IF(D113&gt;0,"Em dia","Ainda não comprou"))))</f>
        <v/>
      </c>
    </row>
    <row r="114" customFormat="false" ht="21" hidden="false" customHeight="true" outlineLevel="0" collapsed="false">
      <c r="B114" s="7"/>
      <c r="C114" s="39"/>
      <c r="D114" s="24" t="str">
        <f aca="false">IF(B114="","",SUMIFS(Vendas!$G$5:$G$2004,Vendas!$C$5:$C$2004,B114))</f>
        <v/>
      </c>
      <c r="E114" s="24" t="str">
        <f aca="false">IF(B114="","",SUMIFS(Recebi!$D$5:$D$2004,Recebi!$C$5:$C$2004,B114)+SUMIFS(Vendas!$G$5:$G$2004,Vendas!$C$5:$C$2004,B114,Vendas!$J$5:$J$2004,"Sim"))</f>
        <v/>
      </c>
      <c r="F114" s="31" t="str">
        <f aca="false">IF(B114="","",D114-E114)</f>
        <v/>
      </c>
      <c r="G114" s="40" t="str">
        <f aca="false">IF(B114="","",IF(COUNTIF(Vendas!$C$5:$C$2004,B114)=0,"",_xlfn.MAXIFS(Vendas!$B$5:$B$2004,Vendas!$C$5:$C$2004,B114)))</f>
        <v/>
      </c>
      <c r="H114" s="34" t="str">
        <f aca="false">IF(B114="","",IF(F114&gt;0.005,"Deve",IF(F114&lt;-0.005,"Tem crédito",IF(D114&gt;0,"Em dia","Ainda não comprou"))))</f>
        <v/>
      </c>
    </row>
    <row r="115" customFormat="false" ht="21" hidden="false" customHeight="true" outlineLevel="0" collapsed="false">
      <c r="B115" s="7"/>
      <c r="C115" s="39"/>
      <c r="D115" s="24" t="str">
        <f aca="false">IF(B115="","",SUMIFS(Vendas!$G$5:$G$2004,Vendas!$C$5:$C$2004,B115))</f>
        <v/>
      </c>
      <c r="E115" s="24" t="str">
        <f aca="false">IF(B115="","",SUMIFS(Recebi!$D$5:$D$2004,Recebi!$C$5:$C$2004,B115)+SUMIFS(Vendas!$G$5:$G$2004,Vendas!$C$5:$C$2004,B115,Vendas!$J$5:$J$2004,"Sim"))</f>
        <v/>
      </c>
      <c r="F115" s="31" t="str">
        <f aca="false">IF(B115="","",D115-E115)</f>
        <v/>
      </c>
      <c r="G115" s="40" t="str">
        <f aca="false">IF(B115="","",IF(COUNTIF(Vendas!$C$5:$C$2004,B115)=0,"",_xlfn.MAXIFS(Vendas!$B$5:$B$2004,Vendas!$C$5:$C$2004,B115)))</f>
        <v/>
      </c>
      <c r="H115" s="34" t="str">
        <f aca="false">IF(B115="","",IF(F115&gt;0.005,"Deve",IF(F115&lt;-0.005,"Tem crédito",IF(D115&gt;0,"Em dia","Ainda não comprou"))))</f>
        <v/>
      </c>
    </row>
    <row r="116" customFormat="false" ht="21" hidden="false" customHeight="true" outlineLevel="0" collapsed="false">
      <c r="B116" s="7"/>
      <c r="C116" s="39"/>
      <c r="D116" s="24" t="str">
        <f aca="false">IF(B116="","",SUMIFS(Vendas!$G$5:$G$2004,Vendas!$C$5:$C$2004,B116))</f>
        <v/>
      </c>
      <c r="E116" s="24" t="str">
        <f aca="false">IF(B116="","",SUMIFS(Recebi!$D$5:$D$2004,Recebi!$C$5:$C$2004,B116)+SUMIFS(Vendas!$G$5:$G$2004,Vendas!$C$5:$C$2004,B116,Vendas!$J$5:$J$2004,"Sim"))</f>
        <v/>
      </c>
      <c r="F116" s="31" t="str">
        <f aca="false">IF(B116="","",D116-E116)</f>
        <v/>
      </c>
      <c r="G116" s="40" t="str">
        <f aca="false">IF(B116="","",IF(COUNTIF(Vendas!$C$5:$C$2004,B116)=0,"",_xlfn.MAXIFS(Vendas!$B$5:$B$2004,Vendas!$C$5:$C$2004,B116)))</f>
        <v/>
      </c>
      <c r="H116" s="34" t="str">
        <f aca="false">IF(B116="","",IF(F116&gt;0.005,"Deve",IF(F116&lt;-0.005,"Tem crédito",IF(D116&gt;0,"Em dia","Ainda não comprou"))))</f>
        <v/>
      </c>
    </row>
    <row r="117" customFormat="false" ht="21" hidden="false" customHeight="true" outlineLevel="0" collapsed="false">
      <c r="B117" s="7"/>
      <c r="C117" s="39"/>
      <c r="D117" s="24" t="str">
        <f aca="false">IF(B117="","",SUMIFS(Vendas!$G$5:$G$2004,Vendas!$C$5:$C$2004,B117))</f>
        <v/>
      </c>
      <c r="E117" s="24" t="str">
        <f aca="false">IF(B117="","",SUMIFS(Recebi!$D$5:$D$2004,Recebi!$C$5:$C$2004,B117)+SUMIFS(Vendas!$G$5:$G$2004,Vendas!$C$5:$C$2004,B117,Vendas!$J$5:$J$2004,"Sim"))</f>
        <v/>
      </c>
      <c r="F117" s="31" t="str">
        <f aca="false">IF(B117="","",D117-E117)</f>
        <v/>
      </c>
      <c r="G117" s="40" t="str">
        <f aca="false">IF(B117="","",IF(COUNTIF(Vendas!$C$5:$C$2004,B117)=0,"",_xlfn.MAXIFS(Vendas!$B$5:$B$2004,Vendas!$C$5:$C$2004,B117)))</f>
        <v/>
      </c>
      <c r="H117" s="34" t="str">
        <f aca="false">IF(B117="","",IF(F117&gt;0.005,"Deve",IF(F117&lt;-0.005,"Tem crédito",IF(D117&gt;0,"Em dia","Ainda não comprou"))))</f>
        <v/>
      </c>
    </row>
    <row r="118" customFormat="false" ht="21" hidden="false" customHeight="true" outlineLevel="0" collapsed="false">
      <c r="B118" s="7"/>
      <c r="C118" s="39"/>
      <c r="D118" s="24" t="str">
        <f aca="false">IF(B118="","",SUMIFS(Vendas!$G$5:$G$2004,Vendas!$C$5:$C$2004,B118))</f>
        <v/>
      </c>
      <c r="E118" s="24" t="str">
        <f aca="false">IF(B118="","",SUMIFS(Recebi!$D$5:$D$2004,Recebi!$C$5:$C$2004,B118)+SUMIFS(Vendas!$G$5:$G$2004,Vendas!$C$5:$C$2004,B118,Vendas!$J$5:$J$2004,"Sim"))</f>
        <v/>
      </c>
      <c r="F118" s="31" t="str">
        <f aca="false">IF(B118="","",D118-E118)</f>
        <v/>
      </c>
      <c r="G118" s="40" t="str">
        <f aca="false">IF(B118="","",IF(COUNTIF(Vendas!$C$5:$C$2004,B118)=0,"",_xlfn.MAXIFS(Vendas!$B$5:$B$2004,Vendas!$C$5:$C$2004,B118)))</f>
        <v/>
      </c>
      <c r="H118" s="34" t="str">
        <f aca="false">IF(B118="","",IF(F118&gt;0.005,"Deve",IF(F118&lt;-0.005,"Tem crédito",IF(D118&gt;0,"Em dia","Ainda não comprou"))))</f>
        <v/>
      </c>
    </row>
    <row r="119" customFormat="false" ht="21" hidden="false" customHeight="true" outlineLevel="0" collapsed="false">
      <c r="B119" s="7"/>
      <c r="C119" s="39"/>
      <c r="D119" s="24" t="str">
        <f aca="false">IF(B119="","",SUMIFS(Vendas!$G$5:$G$2004,Vendas!$C$5:$C$2004,B119))</f>
        <v/>
      </c>
      <c r="E119" s="24" t="str">
        <f aca="false">IF(B119="","",SUMIFS(Recebi!$D$5:$D$2004,Recebi!$C$5:$C$2004,B119)+SUMIFS(Vendas!$G$5:$G$2004,Vendas!$C$5:$C$2004,B119,Vendas!$J$5:$J$2004,"Sim"))</f>
        <v/>
      </c>
      <c r="F119" s="31" t="str">
        <f aca="false">IF(B119="","",D119-E119)</f>
        <v/>
      </c>
      <c r="G119" s="40" t="str">
        <f aca="false">IF(B119="","",IF(COUNTIF(Vendas!$C$5:$C$2004,B119)=0,"",_xlfn.MAXIFS(Vendas!$B$5:$B$2004,Vendas!$C$5:$C$2004,B119)))</f>
        <v/>
      </c>
      <c r="H119" s="34" t="str">
        <f aca="false">IF(B119="","",IF(F119&gt;0.005,"Deve",IF(F119&lt;-0.005,"Tem crédito",IF(D119&gt;0,"Em dia","Ainda não comprou"))))</f>
        <v/>
      </c>
    </row>
    <row r="120" customFormat="false" ht="21" hidden="false" customHeight="true" outlineLevel="0" collapsed="false">
      <c r="B120" s="7"/>
      <c r="C120" s="39"/>
      <c r="D120" s="24" t="str">
        <f aca="false">IF(B120="","",SUMIFS(Vendas!$G$5:$G$2004,Vendas!$C$5:$C$2004,B120))</f>
        <v/>
      </c>
      <c r="E120" s="24" t="str">
        <f aca="false">IF(B120="","",SUMIFS(Recebi!$D$5:$D$2004,Recebi!$C$5:$C$2004,B120)+SUMIFS(Vendas!$G$5:$G$2004,Vendas!$C$5:$C$2004,B120,Vendas!$J$5:$J$2004,"Sim"))</f>
        <v/>
      </c>
      <c r="F120" s="31" t="str">
        <f aca="false">IF(B120="","",D120-E120)</f>
        <v/>
      </c>
      <c r="G120" s="40" t="str">
        <f aca="false">IF(B120="","",IF(COUNTIF(Vendas!$C$5:$C$2004,B120)=0,"",_xlfn.MAXIFS(Vendas!$B$5:$B$2004,Vendas!$C$5:$C$2004,B120)))</f>
        <v/>
      </c>
      <c r="H120" s="34" t="str">
        <f aca="false">IF(B120="","",IF(F120&gt;0.005,"Deve",IF(F120&lt;-0.005,"Tem crédito",IF(D120&gt;0,"Em dia","Ainda não comprou"))))</f>
        <v/>
      </c>
    </row>
    <row r="121" customFormat="false" ht="21" hidden="false" customHeight="true" outlineLevel="0" collapsed="false">
      <c r="B121" s="7"/>
      <c r="C121" s="39"/>
      <c r="D121" s="24" t="str">
        <f aca="false">IF(B121="","",SUMIFS(Vendas!$G$5:$G$2004,Vendas!$C$5:$C$2004,B121))</f>
        <v/>
      </c>
      <c r="E121" s="24" t="str">
        <f aca="false">IF(B121="","",SUMIFS(Recebi!$D$5:$D$2004,Recebi!$C$5:$C$2004,B121)+SUMIFS(Vendas!$G$5:$G$2004,Vendas!$C$5:$C$2004,B121,Vendas!$J$5:$J$2004,"Sim"))</f>
        <v/>
      </c>
      <c r="F121" s="31" t="str">
        <f aca="false">IF(B121="","",D121-E121)</f>
        <v/>
      </c>
      <c r="G121" s="40" t="str">
        <f aca="false">IF(B121="","",IF(COUNTIF(Vendas!$C$5:$C$2004,B121)=0,"",_xlfn.MAXIFS(Vendas!$B$5:$B$2004,Vendas!$C$5:$C$2004,B121)))</f>
        <v/>
      </c>
      <c r="H121" s="34" t="str">
        <f aca="false">IF(B121="","",IF(F121&gt;0.005,"Deve",IF(F121&lt;-0.005,"Tem crédito",IF(D121&gt;0,"Em dia","Ainda não comprou"))))</f>
        <v/>
      </c>
    </row>
    <row r="122" customFormat="false" ht="21" hidden="false" customHeight="true" outlineLevel="0" collapsed="false">
      <c r="B122" s="7"/>
      <c r="C122" s="39"/>
      <c r="D122" s="24" t="str">
        <f aca="false">IF(B122="","",SUMIFS(Vendas!$G$5:$G$2004,Vendas!$C$5:$C$2004,B122))</f>
        <v/>
      </c>
      <c r="E122" s="24" t="str">
        <f aca="false">IF(B122="","",SUMIFS(Recebi!$D$5:$D$2004,Recebi!$C$5:$C$2004,B122)+SUMIFS(Vendas!$G$5:$G$2004,Vendas!$C$5:$C$2004,B122,Vendas!$J$5:$J$2004,"Sim"))</f>
        <v/>
      </c>
      <c r="F122" s="31" t="str">
        <f aca="false">IF(B122="","",D122-E122)</f>
        <v/>
      </c>
      <c r="G122" s="40" t="str">
        <f aca="false">IF(B122="","",IF(COUNTIF(Vendas!$C$5:$C$2004,B122)=0,"",_xlfn.MAXIFS(Vendas!$B$5:$B$2004,Vendas!$C$5:$C$2004,B122)))</f>
        <v/>
      </c>
      <c r="H122" s="34" t="str">
        <f aca="false">IF(B122="","",IF(F122&gt;0.005,"Deve",IF(F122&lt;-0.005,"Tem crédito",IF(D122&gt;0,"Em dia","Ainda não comprou"))))</f>
        <v/>
      </c>
    </row>
    <row r="123" customFormat="false" ht="21" hidden="false" customHeight="true" outlineLevel="0" collapsed="false">
      <c r="B123" s="7"/>
      <c r="C123" s="39"/>
      <c r="D123" s="24" t="str">
        <f aca="false">IF(B123="","",SUMIFS(Vendas!$G$5:$G$2004,Vendas!$C$5:$C$2004,B123))</f>
        <v/>
      </c>
      <c r="E123" s="24" t="str">
        <f aca="false">IF(B123="","",SUMIFS(Recebi!$D$5:$D$2004,Recebi!$C$5:$C$2004,B123)+SUMIFS(Vendas!$G$5:$G$2004,Vendas!$C$5:$C$2004,B123,Vendas!$J$5:$J$2004,"Sim"))</f>
        <v/>
      </c>
      <c r="F123" s="31" t="str">
        <f aca="false">IF(B123="","",D123-E123)</f>
        <v/>
      </c>
      <c r="G123" s="40" t="str">
        <f aca="false">IF(B123="","",IF(COUNTIF(Vendas!$C$5:$C$2004,B123)=0,"",_xlfn.MAXIFS(Vendas!$B$5:$B$2004,Vendas!$C$5:$C$2004,B123)))</f>
        <v/>
      </c>
      <c r="H123" s="34" t="str">
        <f aca="false">IF(B123="","",IF(F123&gt;0.005,"Deve",IF(F123&lt;-0.005,"Tem crédito",IF(D123&gt;0,"Em dia","Ainda não comprou"))))</f>
        <v/>
      </c>
    </row>
    <row r="124" customFormat="false" ht="21" hidden="false" customHeight="true" outlineLevel="0" collapsed="false">
      <c r="B124" s="7"/>
      <c r="C124" s="39"/>
      <c r="D124" s="24" t="str">
        <f aca="false">IF(B124="","",SUMIFS(Vendas!$G$5:$G$2004,Vendas!$C$5:$C$2004,B124))</f>
        <v/>
      </c>
      <c r="E124" s="24" t="str">
        <f aca="false">IF(B124="","",SUMIFS(Recebi!$D$5:$D$2004,Recebi!$C$5:$C$2004,B124)+SUMIFS(Vendas!$G$5:$G$2004,Vendas!$C$5:$C$2004,B124,Vendas!$J$5:$J$2004,"Sim"))</f>
        <v/>
      </c>
      <c r="F124" s="31" t="str">
        <f aca="false">IF(B124="","",D124-E124)</f>
        <v/>
      </c>
      <c r="G124" s="40" t="str">
        <f aca="false">IF(B124="","",IF(COUNTIF(Vendas!$C$5:$C$2004,B124)=0,"",_xlfn.MAXIFS(Vendas!$B$5:$B$2004,Vendas!$C$5:$C$2004,B124)))</f>
        <v/>
      </c>
      <c r="H124" s="34" t="str">
        <f aca="false">IF(B124="","",IF(F124&gt;0.005,"Deve",IF(F124&lt;-0.005,"Tem crédito",IF(D124&gt;0,"Em dia","Ainda não comprou"))))</f>
        <v/>
      </c>
    </row>
    <row r="125" customFormat="false" ht="21" hidden="false" customHeight="true" outlineLevel="0" collapsed="false">
      <c r="B125" s="7"/>
      <c r="C125" s="39"/>
      <c r="D125" s="24" t="str">
        <f aca="false">IF(B125="","",SUMIFS(Vendas!$G$5:$G$2004,Vendas!$C$5:$C$2004,B125))</f>
        <v/>
      </c>
      <c r="E125" s="24" t="str">
        <f aca="false">IF(B125="","",SUMIFS(Recebi!$D$5:$D$2004,Recebi!$C$5:$C$2004,B125)+SUMIFS(Vendas!$G$5:$G$2004,Vendas!$C$5:$C$2004,B125,Vendas!$J$5:$J$2004,"Sim"))</f>
        <v/>
      </c>
      <c r="F125" s="31" t="str">
        <f aca="false">IF(B125="","",D125-E125)</f>
        <v/>
      </c>
      <c r="G125" s="40" t="str">
        <f aca="false">IF(B125="","",IF(COUNTIF(Vendas!$C$5:$C$2004,B125)=0,"",_xlfn.MAXIFS(Vendas!$B$5:$B$2004,Vendas!$C$5:$C$2004,B125)))</f>
        <v/>
      </c>
      <c r="H125" s="34" t="str">
        <f aca="false">IF(B125="","",IF(F125&gt;0.005,"Deve",IF(F125&lt;-0.005,"Tem crédito",IF(D125&gt;0,"Em dia","Ainda não comprou"))))</f>
        <v/>
      </c>
    </row>
    <row r="126" customFormat="false" ht="21" hidden="false" customHeight="true" outlineLevel="0" collapsed="false">
      <c r="B126" s="7"/>
      <c r="C126" s="39"/>
      <c r="D126" s="24" t="str">
        <f aca="false">IF(B126="","",SUMIFS(Vendas!$G$5:$G$2004,Vendas!$C$5:$C$2004,B126))</f>
        <v/>
      </c>
      <c r="E126" s="24" t="str">
        <f aca="false">IF(B126="","",SUMIFS(Recebi!$D$5:$D$2004,Recebi!$C$5:$C$2004,B126)+SUMIFS(Vendas!$G$5:$G$2004,Vendas!$C$5:$C$2004,B126,Vendas!$J$5:$J$2004,"Sim"))</f>
        <v/>
      </c>
      <c r="F126" s="31" t="str">
        <f aca="false">IF(B126="","",D126-E126)</f>
        <v/>
      </c>
      <c r="G126" s="40" t="str">
        <f aca="false">IF(B126="","",IF(COUNTIF(Vendas!$C$5:$C$2004,B126)=0,"",_xlfn.MAXIFS(Vendas!$B$5:$B$2004,Vendas!$C$5:$C$2004,B126)))</f>
        <v/>
      </c>
      <c r="H126" s="34" t="str">
        <f aca="false">IF(B126="","",IF(F126&gt;0.005,"Deve",IF(F126&lt;-0.005,"Tem crédito",IF(D126&gt;0,"Em dia","Ainda não comprou"))))</f>
        <v/>
      </c>
    </row>
    <row r="127" customFormat="false" ht="21" hidden="false" customHeight="true" outlineLevel="0" collapsed="false">
      <c r="B127" s="7"/>
      <c r="C127" s="39"/>
      <c r="D127" s="24" t="str">
        <f aca="false">IF(B127="","",SUMIFS(Vendas!$G$5:$G$2004,Vendas!$C$5:$C$2004,B127))</f>
        <v/>
      </c>
      <c r="E127" s="24" t="str">
        <f aca="false">IF(B127="","",SUMIFS(Recebi!$D$5:$D$2004,Recebi!$C$5:$C$2004,B127)+SUMIFS(Vendas!$G$5:$G$2004,Vendas!$C$5:$C$2004,B127,Vendas!$J$5:$J$2004,"Sim"))</f>
        <v/>
      </c>
      <c r="F127" s="31" t="str">
        <f aca="false">IF(B127="","",D127-E127)</f>
        <v/>
      </c>
      <c r="G127" s="40" t="str">
        <f aca="false">IF(B127="","",IF(COUNTIF(Vendas!$C$5:$C$2004,B127)=0,"",_xlfn.MAXIFS(Vendas!$B$5:$B$2004,Vendas!$C$5:$C$2004,B127)))</f>
        <v/>
      </c>
      <c r="H127" s="34" t="str">
        <f aca="false">IF(B127="","",IF(F127&gt;0.005,"Deve",IF(F127&lt;-0.005,"Tem crédito",IF(D127&gt;0,"Em dia","Ainda não comprou"))))</f>
        <v/>
      </c>
    </row>
    <row r="128" customFormat="false" ht="21" hidden="false" customHeight="true" outlineLevel="0" collapsed="false">
      <c r="B128" s="7"/>
      <c r="C128" s="39"/>
      <c r="D128" s="24" t="str">
        <f aca="false">IF(B128="","",SUMIFS(Vendas!$G$5:$G$2004,Vendas!$C$5:$C$2004,B128))</f>
        <v/>
      </c>
      <c r="E128" s="24" t="str">
        <f aca="false">IF(B128="","",SUMIFS(Recebi!$D$5:$D$2004,Recebi!$C$5:$C$2004,B128)+SUMIFS(Vendas!$G$5:$G$2004,Vendas!$C$5:$C$2004,B128,Vendas!$J$5:$J$2004,"Sim"))</f>
        <v/>
      </c>
      <c r="F128" s="31" t="str">
        <f aca="false">IF(B128="","",D128-E128)</f>
        <v/>
      </c>
      <c r="G128" s="40" t="str">
        <f aca="false">IF(B128="","",IF(COUNTIF(Vendas!$C$5:$C$2004,B128)=0,"",_xlfn.MAXIFS(Vendas!$B$5:$B$2004,Vendas!$C$5:$C$2004,B128)))</f>
        <v/>
      </c>
      <c r="H128" s="34" t="str">
        <f aca="false">IF(B128="","",IF(F128&gt;0.005,"Deve",IF(F128&lt;-0.005,"Tem crédito",IF(D128&gt;0,"Em dia","Ainda não comprou"))))</f>
        <v/>
      </c>
    </row>
    <row r="129" customFormat="false" ht="21" hidden="false" customHeight="true" outlineLevel="0" collapsed="false">
      <c r="B129" s="7"/>
      <c r="C129" s="39"/>
      <c r="D129" s="24" t="str">
        <f aca="false">IF(B129="","",SUMIFS(Vendas!$G$5:$G$2004,Vendas!$C$5:$C$2004,B129))</f>
        <v/>
      </c>
      <c r="E129" s="24" t="str">
        <f aca="false">IF(B129="","",SUMIFS(Recebi!$D$5:$D$2004,Recebi!$C$5:$C$2004,B129)+SUMIFS(Vendas!$G$5:$G$2004,Vendas!$C$5:$C$2004,B129,Vendas!$J$5:$J$2004,"Sim"))</f>
        <v/>
      </c>
      <c r="F129" s="31" t="str">
        <f aca="false">IF(B129="","",D129-E129)</f>
        <v/>
      </c>
      <c r="G129" s="40" t="str">
        <f aca="false">IF(B129="","",IF(COUNTIF(Vendas!$C$5:$C$2004,B129)=0,"",_xlfn.MAXIFS(Vendas!$B$5:$B$2004,Vendas!$C$5:$C$2004,B129)))</f>
        <v/>
      </c>
      <c r="H129" s="34" t="str">
        <f aca="false">IF(B129="","",IF(F129&gt;0.005,"Deve",IF(F129&lt;-0.005,"Tem crédito",IF(D129&gt;0,"Em dia","Ainda não comprou"))))</f>
        <v/>
      </c>
    </row>
    <row r="130" customFormat="false" ht="21" hidden="false" customHeight="true" outlineLevel="0" collapsed="false">
      <c r="B130" s="7"/>
      <c r="C130" s="39"/>
      <c r="D130" s="24" t="str">
        <f aca="false">IF(B130="","",SUMIFS(Vendas!$G$5:$G$2004,Vendas!$C$5:$C$2004,B130))</f>
        <v/>
      </c>
      <c r="E130" s="24" t="str">
        <f aca="false">IF(B130="","",SUMIFS(Recebi!$D$5:$D$2004,Recebi!$C$5:$C$2004,B130)+SUMIFS(Vendas!$G$5:$G$2004,Vendas!$C$5:$C$2004,B130,Vendas!$J$5:$J$2004,"Sim"))</f>
        <v/>
      </c>
      <c r="F130" s="31" t="str">
        <f aca="false">IF(B130="","",D130-E130)</f>
        <v/>
      </c>
      <c r="G130" s="40" t="str">
        <f aca="false">IF(B130="","",IF(COUNTIF(Vendas!$C$5:$C$2004,B130)=0,"",_xlfn.MAXIFS(Vendas!$B$5:$B$2004,Vendas!$C$5:$C$2004,B130)))</f>
        <v/>
      </c>
      <c r="H130" s="34" t="str">
        <f aca="false">IF(B130="","",IF(F130&gt;0.005,"Deve",IF(F130&lt;-0.005,"Tem crédito",IF(D130&gt;0,"Em dia","Ainda não comprou"))))</f>
        <v/>
      </c>
    </row>
    <row r="131" customFormat="false" ht="21" hidden="false" customHeight="true" outlineLevel="0" collapsed="false">
      <c r="B131" s="7"/>
      <c r="C131" s="39"/>
      <c r="D131" s="24" t="str">
        <f aca="false">IF(B131="","",SUMIFS(Vendas!$G$5:$G$2004,Vendas!$C$5:$C$2004,B131))</f>
        <v/>
      </c>
      <c r="E131" s="24" t="str">
        <f aca="false">IF(B131="","",SUMIFS(Recebi!$D$5:$D$2004,Recebi!$C$5:$C$2004,B131)+SUMIFS(Vendas!$G$5:$G$2004,Vendas!$C$5:$C$2004,B131,Vendas!$J$5:$J$2004,"Sim"))</f>
        <v/>
      </c>
      <c r="F131" s="31" t="str">
        <f aca="false">IF(B131="","",D131-E131)</f>
        <v/>
      </c>
      <c r="G131" s="40" t="str">
        <f aca="false">IF(B131="","",IF(COUNTIF(Vendas!$C$5:$C$2004,B131)=0,"",_xlfn.MAXIFS(Vendas!$B$5:$B$2004,Vendas!$C$5:$C$2004,B131)))</f>
        <v/>
      </c>
      <c r="H131" s="34" t="str">
        <f aca="false">IF(B131="","",IF(F131&gt;0.005,"Deve",IF(F131&lt;-0.005,"Tem crédito",IF(D131&gt;0,"Em dia","Ainda não comprou"))))</f>
        <v/>
      </c>
    </row>
    <row r="132" customFormat="false" ht="21" hidden="false" customHeight="true" outlineLevel="0" collapsed="false">
      <c r="B132" s="7"/>
      <c r="C132" s="39"/>
      <c r="D132" s="24" t="str">
        <f aca="false">IF(B132="","",SUMIFS(Vendas!$G$5:$G$2004,Vendas!$C$5:$C$2004,B132))</f>
        <v/>
      </c>
      <c r="E132" s="24" t="str">
        <f aca="false">IF(B132="","",SUMIFS(Recebi!$D$5:$D$2004,Recebi!$C$5:$C$2004,B132)+SUMIFS(Vendas!$G$5:$G$2004,Vendas!$C$5:$C$2004,B132,Vendas!$J$5:$J$2004,"Sim"))</f>
        <v/>
      </c>
      <c r="F132" s="31" t="str">
        <f aca="false">IF(B132="","",D132-E132)</f>
        <v/>
      </c>
      <c r="G132" s="40" t="str">
        <f aca="false">IF(B132="","",IF(COUNTIF(Vendas!$C$5:$C$2004,B132)=0,"",_xlfn.MAXIFS(Vendas!$B$5:$B$2004,Vendas!$C$5:$C$2004,B132)))</f>
        <v/>
      </c>
      <c r="H132" s="34" t="str">
        <f aca="false">IF(B132="","",IF(F132&gt;0.005,"Deve",IF(F132&lt;-0.005,"Tem crédito",IF(D132&gt;0,"Em dia","Ainda não comprou"))))</f>
        <v/>
      </c>
    </row>
    <row r="133" customFormat="false" ht="21" hidden="false" customHeight="true" outlineLevel="0" collapsed="false">
      <c r="B133" s="7"/>
      <c r="C133" s="39"/>
      <c r="D133" s="24" t="str">
        <f aca="false">IF(B133="","",SUMIFS(Vendas!$G$5:$G$2004,Vendas!$C$5:$C$2004,B133))</f>
        <v/>
      </c>
      <c r="E133" s="24" t="str">
        <f aca="false">IF(B133="","",SUMIFS(Recebi!$D$5:$D$2004,Recebi!$C$5:$C$2004,B133)+SUMIFS(Vendas!$G$5:$G$2004,Vendas!$C$5:$C$2004,B133,Vendas!$J$5:$J$2004,"Sim"))</f>
        <v/>
      </c>
      <c r="F133" s="31" t="str">
        <f aca="false">IF(B133="","",D133-E133)</f>
        <v/>
      </c>
      <c r="G133" s="40" t="str">
        <f aca="false">IF(B133="","",IF(COUNTIF(Vendas!$C$5:$C$2004,B133)=0,"",_xlfn.MAXIFS(Vendas!$B$5:$B$2004,Vendas!$C$5:$C$2004,B133)))</f>
        <v/>
      </c>
      <c r="H133" s="34" t="str">
        <f aca="false">IF(B133="","",IF(F133&gt;0.005,"Deve",IF(F133&lt;-0.005,"Tem crédito",IF(D133&gt;0,"Em dia","Ainda não comprou"))))</f>
        <v/>
      </c>
    </row>
    <row r="134" customFormat="false" ht="21" hidden="false" customHeight="true" outlineLevel="0" collapsed="false">
      <c r="B134" s="7"/>
      <c r="C134" s="39"/>
      <c r="D134" s="24" t="str">
        <f aca="false">IF(B134="","",SUMIFS(Vendas!$G$5:$G$2004,Vendas!$C$5:$C$2004,B134))</f>
        <v/>
      </c>
      <c r="E134" s="24" t="str">
        <f aca="false">IF(B134="","",SUMIFS(Recebi!$D$5:$D$2004,Recebi!$C$5:$C$2004,B134)+SUMIFS(Vendas!$G$5:$G$2004,Vendas!$C$5:$C$2004,B134,Vendas!$J$5:$J$2004,"Sim"))</f>
        <v/>
      </c>
      <c r="F134" s="31" t="str">
        <f aca="false">IF(B134="","",D134-E134)</f>
        <v/>
      </c>
      <c r="G134" s="40" t="str">
        <f aca="false">IF(B134="","",IF(COUNTIF(Vendas!$C$5:$C$2004,B134)=0,"",_xlfn.MAXIFS(Vendas!$B$5:$B$2004,Vendas!$C$5:$C$2004,B134)))</f>
        <v/>
      </c>
      <c r="H134" s="34" t="str">
        <f aca="false">IF(B134="","",IF(F134&gt;0.005,"Deve",IF(F134&lt;-0.005,"Tem crédito",IF(D134&gt;0,"Em dia","Ainda não comprou"))))</f>
        <v/>
      </c>
    </row>
    <row r="135" customFormat="false" ht="21" hidden="false" customHeight="true" outlineLevel="0" collapsed="false">
      <c r="B135" s="7"/>
      <c r="C135" s="39"/>
      <c r="D135" s="24" t="str">
        <f aca="false">IF(B135="","",SUMIFS(Vendas!$G$5:$G$2004,Vendas!$C$5:$C$2004,B135))</f>
        <v/>
      </c>
      <c r="E135" s="24" t="str">
        <f aca="false">IF(B135="","",SUMIFS(Recebi!$D$5:$D$2004,Recebi!$C$5:$C$2004,B135)+SUMIFS(Vendas!$G$5:$G$2004,Vendas!$C$5:$C$2004,B135,Vendas!$J$5:$J$2004,"Sim"))</f>
        <v/>
      </c>
      <c r="F135" s="31" t="str">
        <f aca="false">IF(B135="","",D135-E135)</f>
        <v/>
      </c>
      <c r="G135" s="40" t="str">
        <f aca="false">IF(B135="","",IF(COUNTIF(Vendas!$C$5:$C$2004,B135)=0,"",_xlfn.MAXIFS(Vendas!$B$5:$B$2004,Vendas!$C$5:$C$2004,B135)))</f>
        <v/>
      </c>
      <c r="H135" s="34" t="str">
        <f aca="false">IF(B135="","",IF(F135&gt;0.005,"Deve",IF(F135&lt;-0.005,"Tem crédito",IF(D135&gt;0,"Em dia","Ainda não comprou"))))</f>
        <v/>
      </c>
    </row>
    <row r="136" customFormat="false" ht="21" hidden="false" customHeight="true" outlineLevel="0" collapsed="false">
      <c r="B136" s="7"/>
      <c r="C136" s="39"/>
      <c r="D136" s="24" t="str">
        <f aca="false">IF(B136="","",SUMIFS(Vendas!$G$5:$G$2004,Vendas!$C$5:$C$2004,B136))</f>
        <v/>
      </c>
      <c r="E136" s="24" t="str">
        <f aca="false">IF(B136="","",SUMIFS(Recebi!$D$5:$D$2004,Recebi!$C$5:$C$2004,B136)+SUMIFS(Vendas!$G$5:$G$2004,Vendas!$C$5:$C$2004,B136,Vendas!$J$5:$J$2004,"Sim"))</f>
        <v/>
      </c>
      <c r="F136" s="31" t="str">
        <f aca="false">IF(B136="","",D136-E136)</f>
        <v/>
      </c>
      <c r="G136" s="40" t="str">
        <f aca="false">IF(B136="","",IF(COUNTIF(Vendas!$C$5:$C$2004,B136)=0,"",_xlfn.MAXIFS(Vendas!$B$5:$B$2004,Vendas!$C$5:$C$2004,B136)))</f>
        <v/>
      </c>
      <c r="H136" s="34" t="str">
        <f aca="false">IF(B136="","",IF(F136&gt;0.005,"Deve",IF(F136&lt;-0.005,"Tem crédito",IF(D136&gt;0,"Em dia","Ainda não comprou"))))</f>
        <v/>
      </c>
    </row>
    <row r="137" customFormat="false" ht="21" hidden="false" customHeight="true" outlineLevel="0" collapsed="false">
      <c r="B137" s="7"/>
      <c r="C137" s="39"/>
      <c r="D137" s="24" t="str">
        <f aca="false">IF(B137="","",SUMIFS(Vendas!$G$5:$G$2004,Vendas!$C$5:$C$2004,B137))</f>
        <v/>
      </c>
      <c r="E137" s="24" t="str">
        <f aca="false">IF(B137="","",SUMIFS(Recebi!$D$5:$D$2004,Recebi!$C$5:$C$2004,B137)+SUMIFS(Vendas!$G$5:$G$2004,Vendas!$C$5:$C$2004,B137,Vendas!$J$5:$J$2004,"Sim"))</f>
        <v/>
      </c>
      <c r="F137" s="31" t="str">
        <f aca="false">IF(B137="","",D137-E137)</f>
        <v/>
      </c>
      <c r="G137" s="40" t="str">
        <f aca="false">IF(B137="","",IF(COUNTIF(Vendas!$C$5:$C$2004,B137)=0,"",_xlfn.MAXIFS(Vendas!$B$5:$B$2004,Vendas!$C$5:$C$2004,B137)))</f>
        <v/>
      </c>
      <c r="H137" s="34" t="str">
        <f aca="false">IF(B137="","",IF(F137&gt;0.005,"Deve",IF(F137&lt;-0.005,"Tem crédito",IF(D137&gt;0,"Em dia","Ainda não comprou"))))</f>
        <v/>
      </c>
    </row>
    <row r="138" customFormat="false" ht="21" hidden="false" customHeight="true" outlineLevel="0" collapsed="false">
      <c r="B138" s="7"/>
      <c r="C138" s="39"/>
      <c r="D138" s="24" t="str">
        <f aca="false">IF(B138="","",SUMIFS(Vendas!$G$5:$G$2004,Vendas!$C$5:$C$2004,B138))</f>
        <v/>
      </c>
      <c r="E138" s="24" t="str">
        <f aca="false">IF(B138="","",SUMIFS(Recebi!$D$5:$D$2004,Recebi!$C$5:$C$2004,B138)+SUMIFS(Vendas!$G$5:$G$2004,Vendas!$C$5:$C$2004,B138,Vendas!$J$5:$J$2004,"Sim"))</f>
        <v/>
      </c>
      <c r="F138" s="31" t="str">
        <f aca="false">IF(B138="","",D138-E138)</f>
        <v/>
      </c>
      <c r="G138" s="40" t="str">
        <f aca="false">IF(B138="","",IF(COUNTIF(Vendas!$C$5:$C$2004,B138)=0,"",_xlfn.MAXIFS(Vendas!$B$5:$B$2004,Vendas!$C$5:$C$2004,B138)))</f>
        <v/>
      </c>
      <c r="H138" s="34" t="str">
        <f aca="false">IF(B138="","",IF(F138&gt;0.005,"Deve",IF(F138&lt;-0.005,"Tem crédito",IF(D138&gt;0,"Em dia","Ainda não comprou"))))</f>
        <v/>
      </c>
    </row>
    <row r="139" customFormat="false" ht="21" hidden="false" customHeight="true" outlineLevel="0" collapsed="false">
      <c r="B139" s="7"/>
      <c r="C139" s="39"/>
      <c r="D139" s="24" t="str">
        <f aca="false">IF(B139="","",SUMIFS(Vendas!$G$5:$G$2004,Vendas!$C$5:$C$2004,B139))</f>
        <v/>
      </c>
      <c r="E139" s="24" t="str">
        <f aca="false">IF(B139="","",SUMIFS(Recebi!$D$5:$D$2004,Recebi!$C$5:$C$2004,B139)+SUMIFS(Vendas!$G$5:$G$2004,Vendas!$C$5:$C$2004,B139,Vendas!$J$5:$J$2004,"Sim"))</f>
        <v/>
      </c>
      <c r="F139" s="31" t="str">
        <f aca="false">IF(B139="","",D139-E139)</f>
        <v/>
      </c>
      <c r="G139" s="40" t="str">
        <f aca="false">IF(B139="","",IF(COUNTIF(Vendas!$C$5:$C$2004,B139)=0,"",_xlfn.MAXIFS(Vendas!$B$5:$B$2004,Vendas!$C$5:$C$2004,B139)))</f>
        <v/>
      </c>
      <c r="H139" s="34" t="str">
        <f aca="false">IF(B139="","",IF(F139&gt;0.005,"Deve",IF(F139&lt;-0.005,"Tem crédito",IF(D139&gt;0,"Em dia","Ainda não comprou"))))</f>
        <v/>
      </c>
    </row>
    <row r="140" customFormat="false" ht="21" hidden="false" customHeight="true" outlineLevel="0" collapsed="false">
      <c r="B140" s="7"/>
      <c r="C140" s="39"/>
      <c r="D140" s="24" t="str">
        <f aca="false">IF(B140="","",SUMIFS(Vendas!$G$5:$G$2004,Vendas!$C$5:$C$2004,B140))</f>
        <v/>
      </c>
      <c r="E140" s="24" t="str">
        <f aca="false">IF(B140="","",SUMIFS(Recebi!$D$5:$D$2004,Recebi!$C$5:$C$2004,B140)+SUMIFS(Vendas!$G$5:$G$2004,Vendas!$C$5:$C$2004,B140,Vendas!$J$5:$J$2004,"Sim"))</f>
        <v/>
      </c>
      <c r="F140" s="31" t="str">
        <f aca="false">IF(B140="","",D140-E140)</f>
        <v/>
      </c>
      <c r="G140" s="40" t="str">
        <f aca="false">IF(B140="","",IF(COUNTIF(Vendas!$C$5:$C$2004,B140)=0,"",_xlfn.MAXIFS(Vendas!$B$5:$B$2004,Vendas!$C$5:$C$2004,B140)))</f>
        <v/>
      </c>
      <c r="H140" s="34" t="str">
        <f aca="false">IF(B140="","",IF(F140&gt;0.005,"Deve",IF(F140&lt;-0.005,"Tem crédito",IF(D140&gt;0,"Em dia","Ainda não comprou"))))</f>
        <v/>
      </c>
    </row>
    <row r="141" customFormat="false" ht="21" hidden="false" customHeight="true" outlineLevel="0" collapsed="false">
      <c r="B141" s="7"/>
      <c r="C141" s="39"/>
      <c r="D141" s="24" t="str">
        <f aca="false">IF(B141="","",SUMIFS(Vendas!$G$5:$G$2004,Vendas!$C$5:$C$2004,B141))</f>
        <v/>
      </c>
      <c r="E141" s="24" t="str">
        <f aca="false">IF(B141="","",SUMIFS(Recebi!$D$5:$D$2004,Recebi!$C$5:$C$2004,B141)+SUMIFS(Vendas!$G$5:$G$2004,Vendas!$C$5:$C$2004,B141,Vendas!$J$5:$J$2004,"Sim"))</f>
        <v/>
      </c>
      <c r="F141" s="31" t="str">
        <f aca="false">IF(B141="","",D141-E141)</f>
        <v/>
      </c>
      <c r="G141" s="40" t="str">
        <f aca="false">IF(B141="","",IF(COUNTIF(Vendas!$C$5:$C$2004,B141)=0,"",_xlfn.MAXIFS(Vendas!$B$5:$B$2004,Vendas!$C$5:$C$2004,B141)))</f>
        <v/>
      </c>
      <c r="H141" s="34" t="str">
        <f aca="false">IF(B141="","",IF(F141&gt;0.005,"Deve",IF(F141&lt;-0.005,"Tem crédito",IF(D141&gt;0,"Em dia","Ainda não comprou"))))</f>
        <v/>
      </c>
    </row>
    <row r="142" customFormat="false" ht="21" hidden="false" customHeight="true" outlineLevel="0" collapsed="false">
      <c r="B142" s="7"/>
      <c r="C142" s="39"/>
      <c r="D142" s="24" t="str">
        <f aca="false">IF(B142="","",SUMIFS(Vendas!$G$5:$G$2004,Vendas!$C$5:$C$2004,B142))</f>
        <v/>
      </c>
      <c r="E142" s="24" t="str">
        <f aca="false">IF(B142="","",SUMIFS(Recebi!$D$5:$D$2004,Recebi!$C$5:$C$2004,B142)+SUMIFS(Vendas!$G$5:$G$2004,Vendas!$C$5:$C$2004,B142,Vendas!$J$5:$J$2004,"Sim"))</f>
        <v/>
      </c>
      <c r="F142" s="31" t="str">
        <f aca="false">IF(B142="","",D142-E142)</f>
        <v/>
      </c>
      <c r="G142" s="40" t="str">
        <f aca="false">IF(B142="","",IF(COUNTIF(Vendas!$C$5:$C$2004,B142)=0,"",_xlfn.MAXIFS(Vendas!$B$5:$B$2004,Vendas!$C$5:$C$2004,B142)))</f>
        <v/>
      </c>
      <c r="H142" s="34" t="str">
        <f aca="false">IF(B142="","",IF(F142&gt;0.005,"Deve",IF(F142&lt;-0.005,"Tem crédito",IF(D142&gt;0,"Em dia","Ainda não comprou"))))</f>
        <v/>
      </c>
    </row>
    <row r="143" customFormat="false" ht="21" hidden="false" customHeight="true" outlineLevel="0" collapsed="false">
      <c r="B143" s="7"/>
      <c r="C143" s="39"/>
      <c r="D143" s="24" t="str">
        <f aca="false">IF(B143="","",SUMIFS(Vendas!$G$5:$G$2004,Vendas!$C$5:$C$2004,B143))</f>
        <v/>
      </c>
      <c r="E143" s="24" t="str">
        <f aca="false">IF(B143="","",SUMIFS(Recebi!$D$5:$D$2004,Recebi!$C$5:$C$2004,B143)+SUMIFS(Vendas!$G$5:$G$2004,Vendas!$C$5:$C$2004,B143,Vendas!$J$5:$J$2004,"Sim"))</f>
        <v/>
      </c>
      <c r="F143" s="31" t="str">
        <f aca="false">IF(B143="","",D143-E143)</f>
        <v/>
      </c>
      <c r="G143" s="40" t="str">
        <f aca="false">IF(B143="","",IF(COUNTIF(Vendas!$C$5:$C$2004,B143)=0,"",_xlfn.MAXIFS(Vendas!$B$5:$B$2004,Vendas!$C$5:$C$2004,B143)))</f>
        <v/>
      </c>
      <c r="H143" s="34" t="str">
        <f aca="false">IF(B143="","",IF(F143&gt;0.005,"Deve",IF(F143&lt;-0.005,"Tem crédito",IF(D143&gt;0,"Em dia","Ainda não comprou"))))</f>
        <v/>
      </c>
    </row>
    <row r="144" customFormat="false" ht="21" hidden="false" customHeight="true" outlineLevel="0" collapsed="false">
      <c r="B144" s="7"/>
      <c r="C144" s="39"/>
      <c r="D144" s="24" t="str">
        <f aca="false">IF(B144="","",SUMIFS(Vendas!$G$5:$G$2004,Vendas!$C$5:$C$2004,B144))</f>
        <v/>
      </c>
      <c r="E144" s="24" t="str">
        <f aca="false">IF(B144="","",SUMIFS(Recebi!$D$5:$D$2004,Recebi!$C$5:$C$2004,B144)+SUMIFS(Vendas!$G$5:$G$2004,Vendas!$C$5:$C$2004,B144,Vendas!$J$5:$J$2004,"Sim"))</f>
        <v/>
      </c>
      <c r="F144" s="31" t="str">
        <f aca="false">IF(B144="","",D144-E144)</f>
        <v/>
      </c>
      <c r="G144" s="40" t="str">
        <f aca="false">IF(B144="","",IF(COUNTIF(Vendas!$C$5:$C$2004,B144)=0,"",_xlfn.MAXIFS(Vendas!$B$5:$B$2004,Vendas!$C$5:$C$2004,B144)))</f>
        <v/>
      </c>
      <c r="H144" s="34" t="str">
        <f aca="false">IF(B144="","",IF(F144&gt;0.005,"Deve",IF(F144&lt;-0.005,"Tem crédito",IF(D144&gt;0,"Em dia","Ainda não comprou"))))</f>
        <v/>
      </c>
    </row>
    <row r="145" customFormat="false" ht="21" hidden="false" customHeight="true" outlineLevel="0" collapsed="false">
      <c r="B145" s="7"/>
      <c r="C145" s="39"/>
      <c r="D145" s="24" t="str">
        <f aca="false">IF(B145="","",SUMIFS(Vendas!$G$5:$G$2004,Vendas!$C$5:$C$2004,B145))</f>
        <v/>
      </c>
      <c r="E145" s="24" t="str">
        <f aca="false">IF(B145="","",SUMIFS(Recebi!$D$5:$D$2004,Recebi!$C$5:$C$2004,B145)+SUMIFS(Vendas!$G$5:$G$2004,Vendas!$C$5:$C$2004,B145,Vendas!$J$5:$J$2004,"Sim"))</f>
        <v/>
      </c>
      <c r="F145" s="31" t="str">
        <f aca="false">IF(B145="","",D145-E145)</f>
        <v/>
      </c>
      <c r="G145" s="40" t="str">
        <f aca="false">IF(B145="","",IF(COUNTIF(Vendas!$C$5:$C$2004,B145)=0,"",_xlfn.MAXIFS(Vendas!$B$5:$B$2004,Vendas!$C$5:$C$2004,B145)))</f>
        <v/>
      </c>
      <c r="H145" s="34" t="str">
        <f aca="false">IF(B145="","",IF(F145&gt;0.005,"Deve",IF(F145&lt;-0.005,"Tem crédito",IF(D145&gt;0,"Em dia","Ainda não comprou"))))</f>
        <v/>
      </c>
    </row>
    <row r="146" customFormat="false" ht="21" hidden="false" customHeight="true" outlineLevel="0" collapsed="false">
      <c r="B146" s="7"/>
      <c r="C146" s="39"/>
      <c r="D146" s="24" t="str">
        <f aca="false">IF(B146="","",SUMIFS(Vendas!$G$5:$G$2004,Vendas!$C$5:$C$2004,B146))</f>
        <v/>
      </c>
      <c r="E146" s="24" t="str">
        <f aca="false">IF(B146="","",SUMIFS(Recebi!$D$5:$D$2004,Recebi!$C$5:$C$2004,B146)+SUMIFS(Vendas!$G$5:$G$2004,Vendas!$C$5:$C$2004,B146,Vendas!$J$5:$J$2004,"Sim"))</f>
        <v/>
      </c>
      <c r="F146" s="31" t="str">
        <f aca="false">IF(B146="","",D146-E146)</f>
        <v/>
      </c>
      <c r="G146" s="40" t="str">
        <f aca="false">IF(B146="","",IF(COUNTIF(Vendas!$C$5:$C$2004,B146)=0,"",_xlfn.MAXIFS(Vendas!$B$5:$B$2004,Vendas!$C$5:$C$2004,B146)))</f>
        <v/>
      </c>
      <c r="H146" s="34" t="str">
        <f aca="false">IF(B146="","",IF(F146&gt;0.005,"Deve",IF(F146&lt;-0.005,"Tem crédito",IF(D146&gt;0,"Em dia","Ainda não comprou"))))</f>
        <v/>
      </c>
    </row>
    <row r="147" customFormat="false" ht="21" hidden="false" customHeight="true" outlineLevel="0" collapsed="false">
      <c r="B147" s="7"/>
      <c r="C147" s="39"/>
      <c r="D147" s="24" t="str">
        <f aca="false">IF(B147="","",SUMIFS(Vendas!$G$5:$G$2004,Vendas!$C$5:$C$2004,B147))</f>
        <v/>
      </c>
      <c r="E147" s="24" t="str">
        <f aca="false">IF(B147="","",SUMIFS(Recebi!$D$5:$D$2004,Recebi!$C$5:$C$2004,B147)+SUMIFS(Vendas!$G$5:$G$2004,Vendas!$C$5:$C$2004,B147,Vendas!$J$5:$J$2004,"Sim"))</f>
        <v/>
      </c>
      <c r="F147" s="31" t="str">
        <f aca="false">IF(B147="","",D147-E147)</f>
        <v/>
      </c>
      <c r="G147" s="40" t="str">
        <f aca="false">IF(B147="","",IF(COUNTIF(Vendas!$C$5:$C$2004,B147)=0,"",_xlfn.MAXIFS(Vendas!$B$5:$B$2004,Vendas!$C$5:$C$2004,B147)))</f>
        <v/>
      </c>
      <c r="H147" s="34" t="str">
        <f aca="false">IF(B147="","",IF(F147&gt;0.005,"Deve",IF(F147&lt;-0.005,"Tem crédito",IF(D147&gt;0,"Em dia","Ainda não comprou"))))</f>
        <v/>
      </c>
    </row>
    <row r="148" customFormat="false" ht="21" hidden="false" customHeight="true" outlineLevel="0" collapsed="false">
      <c r="B148" s="7"/>
      <c r="C148" s="39"/>
      <c r="D148" s="24" t="str">
        <f aca="false">IF(B148="","",SUMIFS(Vendas!$G$5:$G$2004,Vendas!$C$5:$C$2004,B148))</f>
        <v/>
      </c>
      <c r="E148" s="24" t="str">
        <f aca="false">IF(B148="","",SUMIFS(Recebi!$D$5:$D$2004,Recebi!$C$5:$C$2004,B148)+SUMIFS(Vendas!$G$5:$G$2004,Vendas!$C$5:$C$2004,B148,Vendas!$J$5:$J$2004,"Sim"))</f>
        <v/>
      </c>
      <c r="F148" s="31" t="str">
        <f aca="false">IF(B148="","",D148-E148)</f>
        <v/>
      </c>
      <c r="G148" s="40" t="str">
        <f aca="false">IF(B148="","",IF(COUNTIF(Vendas!$C$5:$C$2004,B148)=0,"",_xlfn.MAXIFS(Vendas!$B$5:$B$2004,Vendas!$C$5:$C$2004,B148)))</f>
        <v/>
      </c>
      <c r="H148" s="34" t="str">
        <f aca="false">IF(B148="","",IF(F148&gt;0.005,"Deve",IF(F148&lt;-0.005,"Tem crédito",IF(D148&gt;0,"Em dia","Ainda não comprou"))))</f>
        <v/>
      </c>
    </row>
    <row r="149" customFormat="false" ht="21" hidden="false" customHeight="true" outlineLevel="0" collapsed="false">
      <c r="B149" s="7"/>
      <c r="C149" s="39"/>
      <c r="D149" s="24" t="str">
        <f aca="false">IF(B149="","",SUMIFS(Vendas!$G$5:$G$2004,Vendas!$C$5:$C$2004,B149))</f>
        <v/>
      </c>
      <c r="E149" s="24" t="str">
        <f aca="false">IF(B149="","",SUMIFS(Recebi!$D$5:$D$2004,Recebi!$C$5:$C$2004,B149)+SUMIFS(Vendas!$G$5:$G$2004,Vendas!$C$5:$C$2004,B149,Vendas!$J$5:$J$2004,"Sim"))</f>
        <v/>
      </c>
      <c r="F149" s="31" t="str">
        <f aca="false">IF(B149="","",D149-E149)</f>
        <v/>
      </c>
      <c r="G149" s="40" t="str">
        <f aca="false">IF(B149="","",IF(COUNTIF(Vendas!$C$5:$C$2004,B149)=0,"",_xlfn.MAXIFS(Vendas!$B$5:$B$2004,Vendas!$C$5:$C$2004,B149)))</f>
        <v/>
      </c>
      <c r="H149" s="34" t="str">
        <f aca="false">IF(B149="","",IF(F149&gt;0.005,"Deve",IF(F149&lt;-0.005,"Tem crédito",IF(D149&gt;0,"Em dia","Ainda não comprou"))))</f>
        <v/>
      </c>
    </row>
    <row r="150" customFormat="false" ht="21" hidden="false" customHeight="true" outlineLevel="0" collapsed="false">
      <c r="B150" s="7"/>
      <c r="C150" s="39"/>
      <c r="D150" s="24" t="str">
        <f aca="false">IF(B150="","",SUMIFS(Vendas!$G$5:$G$2004,Vendas!$C$5:$C$2004,B150))</f>
        <v/>
      </c>
      <c r="E150" s="24" t="str">
        <f aca="false">IF(B150="","",SUMIFS(Recebi!$D$5:$D$2004,Recebi!$C$5:$C$2004,B150)+SUMIFS(Vendas!$G$5:$G$2004,Vendas!$C$5:$C$2004,B150,Vendas!$J$5:$J$2004,"Sim"))</f>
        <v/>
      </c>
      <c r="F150" s="31" t="str">
        <f aca="false">IF(B150="","",D150-E150)</f>
        <v/>
      </c>
      <c r="G150" s="40" t="str">
        <f aca="false">IF(B150="","",IF(COUNTIF(Vendas!$C$5:$C$2004,B150)=0,"",_xlfn.MAXIFS(Vendas!$B$5:$B$2004,Vendas!$C$5:$C$2004,B150)))</f>
        <v/>
      </c>
      <c r="H150" s="34" t="str">
        <f aca="false">IF(B150="","",IF(F150&gt;0.005,"Deve",IF(F150&lt;-0.005,"Tem crédito",IF(D150&gt;0,"Em dia","Ainda não comprou"))))</f>
        <v/>
      </c>
    </row>
    <row r="151" customFormat="false" ht="21" hidden="false" customHeight="true" outlineLevel="0" collapsed="false">
      <c r="B151" s="7"/>
      <c r="C151" s="39"/>
      <c r="D151" s="24" t="str">
        <f aca="false">IF(B151="","",SUMIFS(Vendas!$G$5:$G$2004,Vendas!$C$5:$C$2004,B151))</f>
        <v/>
      </c>
      <c r="E151" s="24" t="str">
        <f aca="false">IF(B151="","",SUMIFS(Recebi!$D$5:$D$2004,Recebi!$C$5:$C$2004,B151)+SUMIFS(Vendas!$G$5:$G$2004,Vendas!$C$5:$C$2004,B151,Vendas!$J$5:$J$2004,"Sim"))</f>
        <v/>
      </c>
      <c r="F151" s="31" t="str">
        <f aca="false">IF(B151="","",D151-E151)</f>
        <v/>
      </c>
      <c r="G151" s="40" t="str">
        <f aca="false">IF(B151="","",IF(COUNTIF(Vendas!$C$5:$C$2004,B151)=0,"",_xlfn.MAXIFS(Vendas!$B$5:$B$2004,Vendas!$C$5:$C$2004,B151)))</f>
        <v/>
      </c>
      <c r="H151" s="34" t="str">
        <f aca="false">IF(B151="","",IF(F151&gt;0.005,"Deve",IF(F151&lt;-0.005,"Tem crédito",IF(D151&gt;0,"Em dia","Ainda não comprou"))))</f>
        <v/>
      </c>
    </row>
    <row r="152" customFormat="false" ht="21" hidden="false" customHeight="true" outlineLevel="0" collapsed="false">
      <c r="B152" s="7"/>
      <c r="C152" s="39"/>
      <c r="D152" s="24" t="str">
        <f aca="false">IF(B152="","",SUMIFS(Vendas!$G$5:$G$2004,Vendas!$C$5:$C$2004,B152))</f>
        <v/>
      </c>
      <c r="E152" s="24" t="str">
        <f aca="false">IF(B152="","",SUMIFS(Recebi!$D$5:$D$2004,Recebi!$C$5:$C$2004,B152)+SUMIFS(Vendas!$G$5:$G$2004,Vendas!$C$5:$C$2004,B152,Vendas!$J$5:$J$2004,"Sim"))</f>
        <v/>
      </c>
      <c r="F152" s="31" t="str">
        <f aca="false">IF(B152="","",D152-E152)</f>
        <v/>
      </c>
      <c r="G152" s="40" t="str">
        <f aca="false">IF(B152="","",IF(COUNTIF(Vendas!$C$5:$C$2004,B152)=0,"",_xlfn.MAXIFS(Vendas!$B$5:$B$2004,Vendas!$C$5:$C$2004,B152)))</f>
        <v/>
      </c>
      <c r="H152" s="34" t="str">
        <f aca="false">IF(B152="","",IF(F152&gt;0.005,"Deve",IF(F152&lt;-0.005,"Tem crédito",IF(D152&gt;0,"Em dia","Ainda não comprou"))))</f>
        <v/>
      </c>
    </row>
    <row r="153" customFormat="false" ht="21" hidden="false" customHeight="true" outlineLevel="0" collapsed="false">
      <c r="B153" s="7"/>
      <c r="C153" s="39"/>
      <c r="D153" s="24" t="str">
        <f aca="false">IF(B153="","",SUMIFS(Vendas!$G$5:$G$2004,Vendas!$C$5:$C$2004,B153))</f>
        <v/>
      </c>
      <c r="E153" s="24" t="str">
        <f aca="false">IF(B153="","",SUMIFS(Recebi!$D$5:$D$2004,Recebi!$C$5:$C$2004,B153)+SUMIFS(Vendas!$G$5:$G$2004,Vendas!$C$5:$C$2004,B153,Vendas!$J$5:$J$2004,"Sim"))</f>
        <v/>
      </c>
      <c r="F153" s="31" t="str">
        <f aca="false">IF(B153="","",D153-E153)</f>
        <v/>
      </c>
      <c r="G153" s="40" t="str">
        <f aca="false">IF(B153="","",IF(COUNTIF(Vendas!$C$5:$C$2004,B153)=0,"",_xlfn.MAXIFS(Vendas!$B$5:$B$2004,Vendas!$C$5:$C$2004,B153)))</f>
        <v/>
      </c>
      <c r="H153" s="34" t="str">
        <f aca="false">IF(B153="","",IF(F153&gt;0.005,"Deve",IF(F153&lt;-0.005,"Tem crédito",IF(D153&gt;0,"Em dia","Ainda não comprou"))))</f>
        <v/>
      </c>
    </row>
    <row r="154" customFormat="false" ht="21" hidden="false" customHeight="true" outlineLevel="0" collapsed="false">
      <c r="B154" s="7"/>
      <c r="C154" s="39"/>
      <c r="D154" s="24" t="str">
        <f aca="false">IF(B154="","",SUMIFS(Vendas!$G$5:$G$2004,Vendas!$C$5:$C$2004,B154))</f>
        <v/>
      </c>
      <c r="E154" s="24" t="str">
        <f aca="false">IF(B154="","",SUMIFS(Recebi!$D$5:$D$2004,Recebi!$C$5:$C$2004,B154)+SUMIFS(Vendas!$G$5:$G$2004,Vendas!$C$5:$C$2004,B154,Vendas!$J$5:$J$2004,"Sim"))</f>
        <v/>
      </c>
      <c r="F154" s="31" t="str">
        <f aca="false">IF(B154="","",D154-E154)</f>
        <v/>
      </c>
      <c r="G154" s="40" t="str">
        <f aca="false">IF(B154="","",IF(COUNTIF(Vendas!$C$5:$C$2004,B154)=0,"",_xlfn.MAXIFS(Vendas!$B$5:$B$2004,Vendas!$C$5:$C$2004,B154)))</f>
        <v/>
      </c>
      <c r="H154" s="34" t="str">
        <f aca="false">IF(B154="","",IF(F154&gt;0.005,"Deve",IF(F154&lt;-0.005,"Tem crédito",IF(D154&gt;0,"Em dia","Ainda não comprou"))))</f>
        <v/>
      </c>
    </row>
    <row r="155" customFormat="false" ht="21" hidden="false" customHeight="true" outlineLevel="0" collapsed="false">
      <c r="B155" s="7"/>
      <c r="C155" s="39"/>
      <c r="D155" s="24" t="str">
        <f aca="false">IF(B155="","",SUMIFS(Vendas!$G$5:$G$2004,Vendas!$C$5:$C$2004,B155))</f>
        <v/>
      </c>
      <c r="E155" s="24" t="str">
        <f aca="false">IF(B155="","",SUMIFS(Recebi!$D$5:$D$2004,Recebi!$C$5:$C$2004,B155)+SUMIFS(Vendas!$G$5:$G$2004,Vendas!$C$5:$C$2004,B155,Vendas!$J$5:$J$2004,"Sim"))</f>
        <v/>
      </c>
      <c r="F155" s="31" t="str">
        <f aca="false">IF(B155="","",D155-E155)</f>
        <v/>
      </c>
      <c r="G155" s="40" t="str">
        <f aca="false">IF(B155="","",IF(COUNTIF(Vendas!$C$5:$C$2004,B155)=0,"",_xlfn.MAXIFS(Vendas!$B$5:$B$2004,Vendas!$C$5:$C$2004,B155)))</f>
        <v/>
      </c>
      <c r="H155" s="34" t="str">
        <f aca="false">IF(B155="","",IF(F155&gt;0.005,"Deve",IF(F155&lt;-0.005,"Tem crédito",IF(D155&gt;0,"Em dia","Ainda não comprou"))))</f>
        <v/>
      </c>
    </row>
    <row r="156" customFormat="false" ht="21" hidden="false" customHeight="true" outlineLevel="0" collapsed="false">
      <c r="B156" s="7"/>
      <c r="C156" s="39"/>
      <c r="D156" s="24" t="str">
        <f aca="false">IF(B156="","",SUMIFS(Vendas!$G$5:$G$2004,Vendas!$C$5:$C$2004,B156))</f>
        <v/>
      </c>
      <c r="E156" s="24" t="str">
        <f aca="false">IF(B156="","",SUMIFS(Recebi!$D$5:$D$2004,Recebi!$C$5:$C$2004,B156)+SUMIFS(Vendas!$G$5:$G$2004,Vendas!$C$5:$C$2004,B156,Vendas!$J$5:$J$2004,"Sim"))</f>
        <v/>
      </c>
      <c r="F156" s="31" t="str">
        <f aca="false">IF(B156="","",D156-E156)</f>
        <v/>
      </c>
      <c r="G156" s="40" t="str">
        <f aca="false">IF(B156="","",IF(COUNTIF(Vendas!$C$5:$C$2004,B156)=0,"",_xlfn.MAXIFS(Vendas!$B$5:$B$2004,Vendas!$C$5:$C$2004,B156)))</f>
        <v/>
      </c>
      <c r="H156" s="34" t="str">
        <f aca="false">IF(B156="","",IF(F156&gt;0.005,"Deve",IF(F156&lt;-0.005,"Tem crédito",IF(D156&gt;0,"Em dia","Ainda não comprou"))))</f>
        <v/>
      </c>
    </row>
    <row r="157" customFormat="false" ht="21" hidden="false" customHeight="true" outlineLevel="0" collapsed="false">
      <c r="B157" s="7"/>
      <c r="C157" s="39"/>
      <c r="D157" s="24" t="str">
        <f aca="false">IF(B157="","",SUMIFS(Vendas!$G$5:$G$2004,Vendas!$C$5:$C$2004,B157))</f>
        <v/>
      </c>
      <c r="E157" s="24" t="str">
        <f aca="false">IF(B157="","",SUMIFS(Recebi!$D$5:$D$2004,Recebi!$C$5:$C$2004,B157)+SUMIFS(Vendas!$G$5:$G$2004,Vendas!$C$5:$C$2004,B157,Vendas!$J$5:$J$2004,"Sim"))</f>
        <v/>
      </c>
      <c r="F157" s="31" t="str">
        <f aca="false">IF(B157="","",D157-E157)</f>
        <v/>
      </c>
      <c r="G157" s="40" t="str">
        <f aca="false">IF(B157="","",IF(COUNTIF(Vendas!$C$5:$C$2004,B157)=0,"",_xlfn.MAXIFS(Vendas!$B$5:$B$2004,Vendas!$C$5:$C$2004,B157)))</f>
        <v/>
      </c>
      <c r="H157" s="34" t="str">
        <f aca="false">IF(B157="","",IF(F157&gt;0.005,"Deve",IF(F157&lt;-0.005,"Tem crédito",IF(D157&gt;0,"Em dia","Ainda não comprou"))))</f>
        <v/>
      </c>
    </row>
    <row r="158" customFormat="false" ht="21" hidden="false" customHeight="true" outlineLevel="0" collapsed="false">
      <c r="B158" s="7"/>
      <c r="C158" s="39"/>
      <c r="D158" s="24" t="str">
        <f aca="false">IF(B158="","",SUMIFS(Vendas!$G$5:$G$2004,Vendas!$C$5:$C$2004,B158))</f>
        <v/>
      </c>
      <c r="E158" s="24" t="str">
        <f aca="false">IF(B158="","",SUMIFS(Recebi!$D$5:$D$2004,Recebi!$C$5:$C$2004,B158)+SUMIFS(Vendas!$G$5:$G$2004,Vendas!$C$5:$C$2004,B158,Vendas!$J$5:$J$2004,"Sim"))</f>
        <v/>
      </c>
      <c r="F158" s="31" t="str">
        <f aca="false">IF(B158="","",D158-E158)</f>
        <v/>
      </c>
      <c r="G158" s="40" t="str">
        <f aca="false">IF(B158="","",IF(COUNTIF(Vendas!$C$5:$C$2004,B158)=0,"",_xlfn.MAXIFS(Vendas!$B$5:$B$2004,Vendas!$C$5:$C$2004,B158)))</f>
        <v/>
      </c>
      <c r="H158" s="34" t="str">
        <f aca="false">IF(B158="","",IF(F158&gt;0.005,"Deve",IF(F158&lt;-0.005,"Tem crédito",IF(D158&gt;0,"Em dia","Ainda não comprou"))))</f>
        <v/>
      </c>
    </row>
    <row r="159" customFormat="false" ht="21" hidden="false" customHeight="true" outlineLevel="0" collapsed="false">
      <c r="B159" s="7"/>
      <c r="C159" s="39"/>
      <c r="D159" s="24" t="str">
        <f aca="false">IF(B159="","",SUMIFS(Vendas!$G$5:$G$2004,Vendas!$C$5:$C$2004,B159))</f>
        <v/>
      </c>
      <c r="E159" s="24" t="str">
        <f aca="false">IF(B159="","",SUMIFS(Recebi!$D$5:$D$2004,Recebi!$C$5:$C$2004,B159)+SUMIFS(Vendas!$G$5:$G$2004,Vendas!$C$5:$C$2004,B159,Vendas!$J$5:$J$2004,"Sim"))</f>
        <v/>
      </c>
      <c r="F159" s="31" t="str">
        <f aca="false">IF(B159="","",D159-E159)</f>
        <v/>
      </c>
      <c r="G159" s="40" t="str">
        <f aca="false">IF(B159="","",IF(COUNTIF(Vendas!$C$5:$C$2004,B159)=0,"",_xlfn.MAXIFS(Vendas!$B$5:$B$2004,Vendas!$C$5:$C$2004,B159)))</f>
        <v/>
      </c>
      <c r="H159" s="34" t="str">
        <f aca="false">IF(B159="","",IF(F159&gt;0.005,"Deve",IF(F159&lt;-0.005,"Tem crédito",IF(D159&gt;0,"Em dia","Ainda não comprou"))))</f>
        <v/>
      </c>
    </row>
    <row r="160" customFormat="false" ht="21" hidden="false" customHeight="true" outlineLevel="0" collapsed="false">
      <c r="B160" s="7"/>
      <c r="C160" s="39"/>
      <c r="D160" s="24" t="str">
        <f aca="false">IF(B160="","",SUMIFS(Vendas!$G$5:$G$2004,Vendas!$C$5:$C$2004,B160))</f>
        <v/>
      </c>
      <c r="E160" s="24" t="str">
        <f aca="false">IF(B160="","",SUMIFS(Recebi!$D$5:$D$2004,Recebi!$C$5:$C$2004,B160)+SUMIFS(Vendas!$G$5:$G$2004,Vendas!$C$5:$C$2004,B160,Vendas!$J$5:$J$2004,"Sim"))</f>
        <v/>
      </c>
      <c r="F160" s="31" t="str">
        <f aca="false">IF(B160="","",D160-E160)</f>
        <v/>
      </c>
      <c r="G160" s="40" t="str">
        <f aca="false">IF(B160="","",IF(COUNTIF(Vendas!$C$5:$C$2004,B160)=0,"",_xlfn.MAXIFS(Vendas!$B$5:$B$2004,Vendas!$C$5:$C$2004,B160)))</f>
        <v/>
      </c>
      <c r="H160" s="34" t="str">
        <f aca="false">IF(B160="","",IF(F160&gt;0.005,"Deve",IF(F160&lt;-0.005,"Tem crédito",IF(D160&gt;0,"Em dia","Ainda não comprou"))))</f>
        <v/>
      </c>
    </row>
    <row r="161" customFormat="false" ht="21" hidden="false" customHeight="true" outlineLevel="0" collapsed="false">
      <c r="B161" s="7"/>
      <c r="C161" s="39"/>
      <c r="D161" s="24" t="str">
        <f aca="false">IF(B161="","",SUMIFS(Vendas!$G$5:$G$2004,Vendas!$C$5:$C$2004,B161))</f>
        <v/>
      </c>
      <c r="E161" s="24" t="str">
        <f aca="false">IF(B161="","",SUMIFS(Recebi!$D$5:$D$2004,Recebi!$C$5:$C$2004,B161)+SUMIFS(Vendas!$G$5:$G$2004,Vendas!$C$5:$C$2004,B161,Vendas!$J$5:$J$2004,"Sim"))</f>
        <v/>
      </c>
      <c r="F161" s="31" t="str">
        <f aca="false">IF(B161="","",D161-E161)</f>
        <v/>
      </c>
      <c r="G161" s="40" t="str">
        <f aca="false">IF(B161="","",IF(COUNTIF(Vendas!$C$5:$C$2004,B161)=0,"",_xlfn.MAXIFS(Vendas!$B$5:$B$2004,Vendas!$C$5:$C$2004,B161)))</f>
        <v/>
      </c>
      <c r="H161" s="34" t="str">
        <f aca="false">IF(B161="","",IF(F161&gt;0.005,"Deve",IF(F161&lt;-0.005,"Tem crédito",IF(D161&gt;0,"Em dia","Ainda não comprou"))))</f>
        <v/>
      </c>
    </row>
    <row r="162" customFormat="false" ht="21" hidden="false" customHeight="true" outlineLevel="0" collapsed="false">
      <c r="B162" s="7"/>
      <c r="C162" s="39"/>
      <c r="D162" s="24" t="str">
        <f aca="false">IF(B162="","",SUMIFS(Vendas!$G$5:$G$2004,Vendas!$C$5:$C$2004,B162))</f>
        <v/>
      </c>
      <c r="E162" s="24" t="str">
        <f aca="false">IF(B162="","",SUMIFS(Recebi!$D$5:$D$2004,Recebi!$C$5:$C$2004,B162)+SUMIFS(Vendas!$G$5:$G$2004,Vendas!$C$5:$C$2004,B162,Vendas!$J$5:$J$2004,"Sim"))</f>
        <v/>
      </c>
      <c r="F162" s="31" t="str">
        <f aca="false">IF(B162="","",D162-E162)</f>
        <v/>
      </c>
      <c r="G162" s="40" t="str">
        <f aca="false">IF(B162="","",IF(COUNTIF(Vendas!$C$5:$C$2004,B162)=0,"",_xlfn.MAXIFS(Vendas!$B$5:$B$2004,Vendas!$C$5:$C$2004,B162)))</f>
        <v/>
      </c>
      <c r="H162" s="34" t="str">
        <f aca="false">IF(B162="","",IF(F162&gt;0.005,"Deve",IF(F162&lt;-0.005,"Tem crédito",IF(D162&gt;0,"Em dia","Ainda não comprou"))))</f>
        <v/>
      </c>
    </row>
    <row r="163" customFormat="false" ht="21" hidden="false" customHeight="true" outlineLevel="0" collapsed="false">
      <c r="B163" s="7"/>
      <c r="C163" s="39"/>
      <c r="D163" s="24" t="str">
        <f aca="false">IF(B163="","",SUMIFS(Vendas!$G$5:$G$2004,Vendas!$C$5:$C$2004,B163))</f>
        <v/>
      </c>
      <c r="E163" s="24" t="str">
        <f aca="false">IF(B163="","",SUMIFS(Recebi!$D$5:$D$2004,Recebi!$C$5:$C$2004,B163)+SUMIFS(Vendas!$G$5:$G$2004,Vendas!$C$5:$C$2004,B163,Vendas!$J$5:$J$2004,"Sim"))</f>
        <v/>
      </c>
      <c r="F163" s="31" t="str">
        <f aca="false">IF(B163="","",D163-E163)</f>
        <v/>
      </c>
      <c r="G163" s="40" t="str">
        <f aca="false">IF(B163="","",IF(COUNTIF(Vendas!$C$5:$C$2004,B163)=0,"",_xlfn.MAXIFS(Vendas!$B$5:$B$2004,Vendas!$C$5:$C$2004,B163)))</f>
        <v/>
      </c>
      <c r="H163" s="34" t="str">
        <f aca="false">IF(B163="","",IF(F163&gt;0.005,"Deve",IF(F163&lt;-0.005,"Tem crédito",IF(D163&gt;0,"Em dia","Ainda não comprou"))))</f>
        <v/>
      </c>
    </row>
    <row r="164" customFormat="false" ht="21" hidden="false" customHeight="true" outlineLevel="0" collapsed="false">
      <c r="B164" s="7"/>
      <c r="C164" s="39"/>
      <c r="D164" s="24" t="str">
        <f aca="false">IF(B164="","",SUMIFS(Vendas!$G$5:$G$2004,Vendas!$C$5:$C$2004,B164))</f>
        <v/>
      </c>
      <c r="E164" s="24" t="str">
        <f aca="false">IF(B164="","",SUMIFS(Recebi!$D$5:$D$2004,Recebi!$C$5:$C$2004,B164)+SUMIFS(Vendas!$G$5:$G$2004,Vendas!$C$5:$C$2004,B164,Vendas!$J$5:$J$2004,"Sim"))</f>
        <v/>
      </c>
      <c r="F164" s="31" t="str">
        <f aca="false">IF(B164="","",D164-E164)</f>
        <v/>
      </c>
      <c r="G164" s="40" t="str">
        <f aca="false">IF(B164="","",IF(COUNTIF(Vendas!$C$5:$C$2004,B164)=0,"",_xlfn.MAXIFS(Vendas!$B$5:$B$2004,Vendas!$C$5:$C$2004,B164)))</f>
        <v/>
      </c>
      <c r="H164" s="34" t="str">
        <f aca="false">IF(B164="","",IF(F164&gt;0.005,"Deve",IF(F164&lt;-0.005,"Tem crédito",IF(D164&gt;0,"Em dia","Ainda não comprou"))))</f>
        <v/>
      </c>
    </row>
    <row r="165" customFormat="false" ht="21" hidden="false" customHeight="true" outlineLevel="0" collapsed="false">
      <c r="B165" s="7"/>
      <c r="C165" s="39"/>
      <c r="D165" s="24" t="str">
        <f aca="false">IF(B165="","",SUMIFS(Vendas!$G$5:$G$2004,Vendas!$C$5:$C$2004,B165))</f>
        <v/>
      </c>
      <c r="E165" s="24" t="str">
        <f aca="false">IF(B165="","",SUMIFS(Recebi!$D$5:$D$2004,Recebi!$C$5:$C$2004,B165)+SUMIFS(Vendas!$G$5:$G$2004,Vendas!$C$5:$C$2004,B165,Vendas!$J$5:$J$2004,"Sim"))</f>
        <v/>
      </c>
      <c r="F165" s="31" t="str">
        <f aca="false">IF(B165="","",D165-E165)</f>
        <v/>
      </c>
      <c r="G165" s="40" t="str">
        <f aca="false">IF(B165="","",IF(COUNTIF(Vendas!$C$5:$C$2004,B165)=0,"",_xlfn.MAXIFS(Vendas!$B$5:$B$2004,Vendas!$C$5:$C$2004,B165)))</f>
        <v/>
      </c>
      <c r="H165" s="34" t="str">
        <f aca="false">IF(B165="","",IF(F165&gt;0.005,"Deve",IF(F165&lt;-0.005,"Tem crédito",IF(D165&gt;0,"Em dia","Ainda não comprou"))))</f>
        <v/>
      </c>
    </row>
    <row r="166" customFormat="false" ht="21" hidden="false" customHeight="true" outlineLevel="0" collapsed="false">
      <c r="B166" s="7"/>
      <c r="C166" s="39"/>
      <c r="D166" s="24" t="str">
        <f aca="false">IF(B166="","",SUMIFS(Vendas!$G$5:$G$2004,Vendas!$C$5:$C$2004,B166))</f>
        <v/>
      </c>
      <c r="E166" s="24" t="str">
        <f aca="false">IF(B166="","",SUMIFS(Recebi!$D$5:$D$2004,Recebi!$C$5:$C$2004,B166)+SUMIFS(Vendas!$G$5:$G$2004,Vendas!$C$5:$C$2004,B166,Vendas!$J$5:$J$2004,"Sim"))</f>
        <v/>
      </c>
      <c r="F166" s="31" t="str">
        <f aca="false">IF(B166="","",D166-E166)</f>
        <v/>
      </c>
      <c r="G166" s="40" t="str">
        <f aca="false">IF(B166="","",IF(COUNTIF(Vendas!$C$5:$C$2004,B166)=0,"",_xlfn.MAXIFS(Vendas!$B$5:$B$2004,Vendas!$C$5:$C$2004,B166)))</f>
        <v/>
      </c>
      <c r="H166" s="34" t="str">
        <f aca="false">IF(B166="","",IF(F166&gt;0.005,"Deve",IF(F166&lt;-0.005,"Tem crédito",IF(D166&gt;0,"Em dia","Ainda não comprou"))))</f>
        <v/>
      </c>
    </row>
    <row r="167" customFormat="false" ht="21" hidden="false" customHeight="true" outlineLevel="0" collapsed="false">
      <c r="B167" s="7"/>
      <c r="C167" s="39"/>
      <c r="D167" s="24" t="str">
        <f aca="false">IF(B167="","",SUMIFS(Vendas!$G$5:$G$2004,Vendas!$C$5:$C$2004,B167))</f>
        <v/>
      </c>
      <c r="E167" s="24" t="str">
        <f aca="false">IF(B167="","",SUMIFS(Recebi!$D$5:$D$2004,Recebi!$C$5:$C$2004,B167)+SUMIFS(Vendas!$G$5:$G$2004,Vendas!$C$5:$C$2004,B167,Vendas!$J$5:$J$2004,"Sim"))</f>
        <v/>
      </c>
      <c r="F167" s="31" t="str">
        <f aca="false">IF(B167="","",D167-E167)</f>
        <v/>
      </c>
      <c r="G167" s="40" t="str">
        <f aca="false">IF(B167="","",IF(COUNTIF(Vendas!$C$5:$C$2004,B167)=0,"",_xlfn.MAXIFS(Vendas!$B$5:$B$2004,Vendas!$C$5:$C$2004,B167)))</f>
        <v/>
      </c>
      <c r="H167" s="34" t="str">
        <f aca="false">IF(B167="","",IF(F167&gt;0.005,"Deve",IF(F167&lt;-0.005,"Tem crédito",IF(D167&gt;0,"Em dia","Ainda não comprou"))))</f>
        <v/>
      </c>
    </row>
    <row r="168" customFormat="false" ht="21" hidden="false" customHeight="true" outlineLevel="0" collapsed="false">
      <c r="B168" s="7"/>
      <c r="C168" s="39"/>
      <c r="D168" s="24" t="str">
        <f aca="false">IF(B168="","",SUMIFS(Vendas!$G$5:$G$2004,Vendas!$C$5:$C$2004,B168))</f>
        <v/>
      </c>
      <c r="E168" s="24" t="str">
        <f aca="false">IF(B168="","",SUMIFS(Recebi!$D$5:$D$2004,Recebi!$C$5:$C$2004,B168)+SUMIFS(Vendas!$G$5:$G$2004,Vendas!$C$5:$C$2004,B168,Vendas!$J$5:$J$2004,"Sim"))</f>
        <v/>
      </c>
      <c r="F168" s="31" t="str">
        <f aca="false">IF(B168="","",D168-E168)</f>
        <v/>
      </c>
      <c r="G168" s="40" t="str">
        <f aca="false">IF(B168="","",IF(COUNTIF(Vendas!$C$5:$C$2004,B168)=0,"",_xlfn.MAXIFS(Vendas!$B$5:$B$2004,Vendas!$C$5:$C$2004,B168)))</f>
        <v/>
      </c>
      <c r="H168" s="34" t="str">
        <f aca="false">IF(B168="","",IF(F168&gt;0.005,"Deve",IF(F168&lt;-0.005,"Tem crédito",IF(D168&gt;0,"Em dia","Ainda não comprou"))))</f>
        <v/>
      </c>
    </row>
    <row r="169" customFormat="false" ht="21" hidden="false" customHeight="true" outlineLevel="0" collapsed="false">
      <c r="B169" s="7"/>
      <c r="C169" s="39"/>
      <c r="D169" s="24" t="str">
        <f aca="false">IF(B169="","",SUMIFS(Vendas!$G$5:$G$2004,Vendas!$C$5:$C$2004,B169))</f>
        <v/>
      </c>
      <c r="E169" s="24" t="str">
        <f aca="false">IF(B169="","",SUMIFS(Recebi!$D$5:$D$2004,Recebi!$C$5:$C$2004,B169)+SUMIFS(Vendas!$G$5:$G$2004,Vendas!$C$5:$C$2004,B169,Vendas!$J$5:$J$2004,"Sim"))</f>
        <v/>
      </c>
      <c r="F169" s="31" t="str">
        <f aca="false">IF(B169="","",D169-E169)</f>
        <v/>
      </c>
      <c r="G169" s="40" t="str">
        <f aca="false">IF(B169="","",IF(COUNTIF(Vendas!$C$5:$C$2004,B169)=0,"",_xlfn.MAXIFS(Vendas!$B$5:$B$2004,Vendas!$C$5:$C$2004,B169)))</f>
        <v/>
      </c>
      <c r="H169" s="34" t="str">
        <f aca="false">IF(B169="","",IF(F169&gt;0.005,"Deve",IF(F169&lt;-0.005,"Tem crédito",IF(D169&gt;0,"Em dia","Ainda não comprou"))))</f>
        <v/>
      </c>
    </row>
    <row r="170" customFormat="false" ht="21" hidden="false" customHeight="true" outlineLevel="0" collapsed="false">
      <c r="B170" s="7"/>
      <c r="C170" s="39"/>
      <c r="D170" s="24" t="str">
        <f aca="false">IF(B170="","",SUMIFS(Vendas!$G$5:$G$2004,Vendas!$C$5:$C$2004,B170))</f>
        <v/>
      </c>
      <c r="E170" s="24" t="str">
        <f aca="false">IF(B170="","",SUMIFS(Recebi!$D$5:$D$2004,Recebi!$C$5:$C$2004,B170)+SUMIFS(Vendas!$G$5:$G$2004,Vendas!$C$5:$C$2004,B170,Vendas!$J$5:$J$2004,"Sim"))</f>
        <v/>
      </c>
      <c r="F170" s="31" t="str">
        <f aca="false">IF(B170="","",D170-E170)</f>
        <v/>
      </c>
      <c r="G170" s="40" t="str">
        <f aca="false">IF(B170="","",IF(COUNTIF(Vendas!$C$5:$C$2004,B170)=0,"",_xlfn.MAXIFS(Vendas!$B$5:$B$2004,Vendas!$C$5:$C$2004,B170)))</f>
        <v/>
      </c>
      <c r="H170" s="34" t="str">
        <f aca="false">IF(B170="","",IF(F170&gt;0.005,"Deve",IF(F170&lt;-0.005,"Tem crédito",IF(D170&gt;0,"Em dia","Ainda não comprou"))))</f>
        <v/>
      </c>
    </row>
    <row r="171" customFormat="false" ht="21" hidden="false" customHeight="true" outlineLevel="0" collapsed="false">
      <c r="B171" s="7"/>
      <c r="C171" s="39"/>
      <c r="D171" s="24" t="str">
        <f aca="false">IF(B171="","",SUMIFS(Vendas!$G$5:$G$2004,Vendas!$C$5:$C$2004,B171))</f>
        <v/>
      </c>
      <c r="E171" s="24" t="str">
        <f aca="false">IF(B171="","",SUMIFS(Recebi!$D$5:$D$2004,Recebi!$C$5:$C$2004,B171)+SUMIFS(Vendas!$G$5:$G$2004,Vendas!$C$5:$C$2004,B171,Vendas!$J$5:$J$2004,"Sim"))</f>
        <v/>
      </c>
      <c r="F171" s="31" t="str">
        <f aca="false">IF(B171="","",D171-E171)</f>
        <v/>
      </c>
      <c r="G171" s="40" t="str">
        <f aca="false">IF(B171="","",IF(COUNTIF(Vendas!$C$5:$C$2004,B171)=0,"",_xlfn.MAXIFS(Vendas!$B$5:$B$2004,Vendas!$C$5:$C$2004,B171)))</f>
        <v/>
      </c>
      <c r="H171" s="34" t="str">
        <f aca="false">IF(B171="","",IF(F171&gt;0.005,"Deve",IF(F171&lt;-0.005,"Tem crédito",IF(D171&gt;0,"Em dia","Ainda não comprou"))))</f>
        <v/>
      </c>
    </row>
    <row r="172" customFormat="false" ht="21" hidden="false" customHeight="true" outlineLevel="0" collapsed="false">
      <c r="B172" s="7"/>
      <c r="C172" s="39"/>
      <c r="D172" s="24" t="str">
        <f aca="false">IF(B172="","",SUMIFS(Vendas!$G$5:$G$2004,Vendas!$C$5:$C$2004,B172))</f>
        <v/>
      </c>
      <c r="E172" s="24" t="str">
        <f aca="false">IF(B172="","",SUMIFS(Recebi!$D$5:$D$2004,Recebi!$C$5:$C$2004,B172)+SUMIFS(Vendas!$G$5:$G$2004,Vendas!$C$5:$C$2004,B172,Vendas!$J$5:$J$2004,"Sim"))</f>
        <v/>
      </c>
      <c r="F172" s="31" t="str">
        <f aca="false">IF(B172="","",D172-E172)</f>
        <v/>
      </c>
      <c r="G172" s="40" t="str">
        <f aca="false">IF(B172="","",IF(COUNTIF(Vendas!$C$5:$C$2004,B172)=0,"",_xlfn.MAXIFS(Vendas!$B$5:$B$2004,Vendas!$C$5:$C$2004,B172)))</f>
        <v/>
      </c>
      <c r="H172" s="34" t="str">
        <f aca="false">IF(B172="","",IF(F172&gt;0.005,"Deve",IF(F172&lt;-0.005,"Tem crédito",IF(D172&gt;0,"Em dia","Ainda não comprou"))))</f>
        <v/>
      </c>
    </row>
    <row r="173" customFormat="false" ht="21" hidden="false" customHeight="true" outlineLevel="0" collapsed="false">
      <c r="B173" s="7"/>
      <c r="C173" s="39"/>
      <c r="D173" s="24" t="str">
        <f aca="false">IF(B173="","",SUMIFS(Vendas!$G$5:$G$2004,Vendas!$C$5:$C$2004,B173))</f>
        <v/>
      </c>
      <c r="E173" s="24" t="str">
        <f aca="false">IF(B173="","",SUMIFS(Recebi!$D$5:$D$2004,Recebi!$C$5:$C$2004,B173)+SUMIFS(Vendas!$G$5:$G$2004,Vendas!$C$5:$C$2004,B173,Vendas!$J$5:$J$2004,"Sim"))</f>
        <v/>
      </c>
      <c r="F173" s="31" t="str">
        <f aca="false">IF(B173="","",D173-E173)</f>
        <v/>
      </c>
      <c r="G173" s="40" t="str">
        <f aca="false">IF(B173="","",IF(COUNTIF(Vendas!$C$5:$C$2004,B173)=0,"",_xlfn.MAXIFS(Vendas!$B$5:$B$2004,Vendas!$C$5:$C$2004,B173)))</f>
        <v/>
      </c>
      <c r="H173" s="34" t="str">
        <f aca="false">IF(B173="","",IF(F173&gt;0.005,"Deve",IF(F173&lt;-0.005,"Tem crédito",IF(D173&gt;0,"Em dia","Ainda não comprou"))))</f>
        <v/>
      </c>
    </row>
    <row r="174" customFormat="false" ht="21" hidden="false" customHeight="true" outlineLevel="0" collapsed="false">
      <c r="B174" s="7"/>
      <c r="C174" s="39"/>
      <c r="D174" s="24" t="str">
        <f aca="false">IF(B174="","",SUMIFS(Vendas!$G$5:$G$2004,Vendas!$C$5:$C$2004,B174))</f>
        <v/>
      </c>
      <c r="E174" s="24" t="str">
        <f aca="false">IF(B174="","",SUMIFS(Recebi!$D$5:$D$2004,Recebi!$C$5:$C$2004,B174)+SUMIFS(Vendas!$G$5:$G$2004,Vendas!$C$5:$C$2004,B174,Vendas!$J$5:$J$2004,"Sim"))</f>
        <v/>
      </c>
      <c r="F174" s="31" t="str">
        <f aca="false">IF(B174="","",D174-E174)</f>
        <v/>
      </c>
      <c r="G174" s="40" t="str">
        <f aca="false">IF(B174="","",IF(COUNTIF(Vendas!$C$5:$C$2004,B174)=0,"",_xlfn.MAXIFS(Vendas!$B$5:$B$2004,Vendas!$C$5:$C$2004,B174)))</f>
        <v/>
      </c>
      <c r="H174" s="34" t="str">
        <f aca="false">IF(B174="","",IF(F174&gt;0.005,"Deve",IF(F174&lt;-0.005,"Tem crédito",IF(D174&gt;0,"Em dia","Ainda não comprou"))))</f>
        <v/>
      </c>
    </row>
    <row r="175" customFormat="false" ht="21" hidden="false" customHeight="true" outlineLevel="0" collapsed="false">
      <c r="B175" s="7"/>
      <c r="C175" s="39"/>
      <c r="D175" s="24" t="str">
        <f aca="false">IF(B175="","",SUMIFS(Vendas!$G$5:$G$2004,Vendas!$C$5:$C$2004,B175))</f>
        <v/>
      </c>
      <c r="E175" s="24" t="str">
        <f aca="false">IF(B175="","",SUMIFS(Recebi!$D$5:$D$2004,Recebi!$C$5:$C$2004,B175)+SUMIFS(Vendas!$G$5:$G$2004,Vendas!$C$5:$C$2004,B175,Vendas!$J$5:$J$2004,"Sim"))</f>
        <v/>
      </c>
      <c r="F175" s="31" t="str">
        <f aca="false">IF(B175="","",D175-E175)</f>
        <v/>
      </c>
      <c r="G175" s="40" t="str">
        <f aca="false">IF(B175="","",IF(COUNTIF(Vendas!$C$5:$C$2004,B175)=0,"",_xlfn.MAXIFS(Vendas!$B$5:$B$2004,Vendas!$C$5:$C$2004,B175)))</f>
        <v/>
      </c>
      <c r="H175" s="34" t="str">
        <f aca="false">IF(B175="","",IF(F175&gt;0.005,"Deve",IF(F175&lt;-0.005,"Tem crédito",IF(D175&gt;0,"Em dia","Ainda não comprou"))))</f>
        <v/>
      </c>
    </row>
    <row r="176" customFormat="false" ht="21" hidden="false" customHeight="true" outlineLevel="0" collapsed="false">
      <c r="B176" s="7"/>
      <c r="C176" s="39"/>
      <c r="D176" s="24" t="str">
        <f aca="false">IF(B176="","",SUMIFS(Vendas!$G$5:$G$2004,Vendas!$C$5:$C$2004,B176))</f>
        <v/>
      </c>
      <c r="E176" s="24" t="str">
        <f aca="false">IF(B176="","",SUMIFS(Recebi!$D$5:$D$2004,Recebi!$C$5:$C$2004,B176)+SUMIFS(Vendas!$G$5:$G$2004,Vendas!$C$5:$C$2004,B176,Vendas!$J$5:$J$2004,"Sim"))</f>
        <v/>
      </c>
      <c r="F176" s="31" t="str">
        <f aca="false">IF(B176="","",D176-E176)</f>
        <v/>
      </c>
      <c r="G176" s="40" t="str">
        <f aca="false">IF(B176="","",IF(COUNTIF(Vendas!$C$5:$C$2004,B176)=0,"",_xlfn.MAXIFS(Vendas!$B$5:$B$2004,Vendas!$C$5:$C$2004,B176)))</f>
        <v/>
      </c>
      <c r="H176" s="34" t="str">
        <f aca="false">IF(B176="","",IF(F176&gt;0.005,"Deve",IF(F176&lt;-0.005,"Tem crédito",IF(D176&gt;0,"Em dia","Ainda não comprou"))))</f>
        <v/>
      </c>
    </row>
    <row r="177" customFormat="false" ht="21" hidden="false" customHeight="true" outlineLevel="0" collapsed="false">
      <c r="B177" s="7"/>
      <c r="C177" s="39"/>
      <c r="D177" s="24" t="str">
        <f aca="false">IF(B177="","",SUMIFS(Vendas!$G$5:$G$2004,Vendas!$C$5:$C$2004,B177))</f>
        <v/>
      </c>
      <c r="E177" s="24" t="str">
        <f aca="false">IF(B177="","",SUMIFS(Recebi!$D$5:$D$2004,Recebi!$C$5:$C$2004,B177)+SUMIFS(Vendas!$G$5:$G$2004,Vendas!$C$5:$C$2004,B177,Vendas!$J$5:$J$2004,"Sim"))</f>
        <v/>
      </c>
      <c r="F177" s="31" t="str">
        <f aca="false">IF(B177="","",D177-E177)</f>
        <v/>
      </c>
      <c r="G177" s="40" t="str">
        <f aca="false">IF(B177="","",IF(COUNTIF(Vendas!$C$5:$C$2004,B177)=0,"",_xlfn.MAXIFS(Vendas!$B$5:$B$2004,Vendas!$C$5:$C$2004,B177)))</f>
        <v/>
      </c>
      <c r="H177" s="34" t="str">
        <f aca="false">IF(B177="","",IF(F177&gt;0.005,"Deve",IF(F177&lt;-0.005,"Tem crédito",IF(D177&gt;0,"Em dia","Ainda não comprou"))))</f>
        <v/>
      </c>
    </row>
    <row r="178" customFormat="false" ht="21" hidden="false" customHeight="true" outlineLevel="0" collapsed="false">
      <c r="B178" s="7"/>
      <c r="C178" s="39"/>
      <c r="D178" s="24" t="str">
        <f aca="false">IF(B178="","",SUMIFS(Vendas!$G$5:$G$2004,Vendas!$C$5:$C$2004,B178))</f>
        <v/>
      </c>
      <c r="E178" s="24" t="str">
        <f aca="false">IF(B178="","",SUMIFS(Recebi!$D$5:$D$2004,Recebi!$C$5:$C$2004,B178)+SUMIFS(Vendas!$G$5:$G$2004,Vendas!$C$5:$C$2004,B178,Vendas!$J$5:$J$2004,"Sim"))</f>
        <v/>
      </c>
      <c r="F178" s="31" t="str">
        <f aca="false">IF(B178="","",D178-E178)</f>
        <v/>
      </c>
      <c r="G178" s="40" t="str">
        <f aca="false">IF(B178="","",IF(COUNTIF(Vendas!$C$5:$C$2004,B178)=0,"",_xlfn.MAXIFS(Vendas!$B$5:$B$2004,Vendas!$C$5:$C$2004,B178)))</f>
        <v/>
      </c>
      <c r="H178" s="34" t="str">
        <f aca="false">IF(B178="","",IF(F178&gt;0.005,"Deve",IF(F178&lt;-0.005,"Tem crédito",IF(D178&gt;0,"Em dia","Ainda não comprou"))))</f>
        <v/>
      </c>
    </row>
    <row r="179" customFormat="false" ht="21" hidden="false" customHeight="true" outlineLevel="0" collapsed="false">
      <c r="B179" s="7"/>
      <c r="C179" s="39"/>
      <c r="D179" s="24" t="str">
        <f aca="false">IF(B179="","",SUMIFS(Vendas!$G$5:$G$2004,Vendas!$C$5:$C$2004,B179))</f>
        <v/>
      </c>
      <c r="E179" s="24" t="str">
        <f aca="false">IF(B179="","",SUMIFS(Recebi!$D$5:$D$2004,Recebi!$C$5:$C$2004,B179)+SUMIFS(Vendas!$G$5:$G$2004,Vendas!$C$5:$C$2004,B179,Vendas!$J$5:$J$2004,"Sim"))</f>
        <v/>
      </c>
      <c r="F179" s="31" t="str">
        <f aca="false">IF(B179="","",D179-E179)</f>
        <v/>
      </c>
      <c r="G179" s="40" t="str">
        <f aca="false">IF(B179="","",IF(COUNTIF(Vendas!$C$5:$C$2004,B179)=0,"",_xlfn.MAXIFS(Vendas!$B$5:$B$2004,Vendas!$C$5:$C$2004,B179)))</f>
        <v/>
      </c>
      <c r="H179" s="34" t="str">
        <f aca="false">IF(B179="","",IF(F179&gt;0.005,"Deve",IF(F179&lt;-0.005,"Tem crédito",IF(D179&gt;0,"Em dia","Ainda não comprou"))))</f>
        <v/>
      </c>
    </row>
    <row r="180" customFormat="false" ht="21" hidden="false" customHeight="true" outlineLevel="0" collapsed="false">
      <c r="B180" s="7"/>
      <c r="C180" s="39"/>
      <c r="D180" s="24" t="str">
        <f aca="false">IF(B180="","",SUMIFS(Vendas!$G$5:$G$2004,Vendas!$C$5:$C$2004,B180))</f>
        <v/>
      </c>
      <c r="E180" s="24" t="str">
        <f aca="false">IF(B180="","",SUMIFS(Recebi!$D$5:$D$2004,Recebi!$C$5:$C$2004,B180)+SUMIFS(Vendas!$G$5:$G$2004,Vendas!$C$5:$C$2004,B180,Vendas!$J$5:$J$2004,"Sim"))</f>
        <v/>
      </c>
      <c r="F180" s="31" t="str">
        <f aca="false">IF(B180="","",D180-E180)</f>
        <v/>
      </c>
      <c r="G180" s="40" t="str">
        <f aca="false">IF(B180="","",IF(COUNTIF(Vendas!$C$5:$C$2004,B180)=0,"",_xlfn.MAXIFS(Vendas!$B$5:$B$2004,Vendas!$C$5:$C$2004,B180)))</f>
        <v/>
      </c>
      <c r="H180" s="34" t="str">
        <f aca="false">IF(B180="","",IF(F180&gt;0.005,"Deve",IF(F180&lt;-0.005,"Tem crédito",IF(D180&gt;0,"Em dia","Ainda não comprou"))))</f>
        <v/>
      </c>
    </row>
    <row r="181" customFormat="false" ht="21" hidden="false" customHeight="true" outlineLevel="0" collapsed="false">
      <c r="B181" s="7"/>
      <c r="C181" s="39"/>
      <c r="D181" s="24" t="str">
        <f aca="false">IF(B181="","",SUMIFS(Vendas!$G$5:$G$2004,Vendas!$C$5:$C$2004,B181))</f>
        <v/>
      </c>
      <c r="E181" s="24" t="str">
        <f aca="false">IF(B181="","",SUMIFS(Recebi!$D$5:$D$2004,Recebi!$C$5:$C$2004,B181)+SUMIFS(Vendas!$G$5:$G$2004,Vendas!$C$5:$C$2004,B181,Vendas!$J$5:$J$2004,"Sim"))</f>
        <v/>
      </c>
      <c r="F181" s="31" t="str">
        <f aca="false">IF(B181="","",D181-E181)</f>
        <v/>
      </c>
      <c r="G181" s="40" t="str">
        <f aca="false">IF(B181="","",IF(COUNTIF(Vendas!$C$5:$C$2004,B181)=0,"",_xlfn.MAXIFS(Vendas!$B$5:$B$2004,Vendas!$C$5:$C$2004,B181)))</f>
        <v/>
      </c>
      <c r="H181" s="34" t="str">
        <f aca="false">IF(B181="","",IF(F181&gt;0.005,"Deve",IF(F181&lt;-0.005,"Tem crédito",IF(D181&gt;0,"Em dia","Ainda não comprou"))))</f>
        <v/>
      </c>
    </row>
    <row r="182" customFormat="false" ht="21" hidden="false" customHeight="true" outlineLevel="0" collapsed="false">
      <c r="B182" s="7"/>
      <c r="C182" s="39"/>
      <c r="D182" s="24" t="str">
        <f aca="false">IF(B182="","",SUMIFS(Vendas!$G$5:$G$2004,Vendas!$C$5:$C$2004,B182))</f>
        <v/>
      </c>
      <c r="E182" s="24" t="str">
        <f aca="false">IF(B182="","",SUMIFS(Recebi!$D$5:$D$2004,Recebi!$C$5:$C$2004,B182)+SUMIFS(Vendas!$G$5:$G$2004,Vendas!$C$5:$C$2004,B182,Vendas!$J$5:$J$2004,"Sim"))</f>
        <v/>
      </c>
      <c r="F182" s="31" t="str">
        <f aca="false">IF(B182="","",D182-E182)</f>
        <v/>
      </c>
      <c r="G182" s="40" t="str">
        <f aca="false">IF(B182="","",IF(COUNTIF(Vendas!$C$5:$C$2004,B182)=0,"",_xlfn.MAXIFS(Vendas!$B$5:$B$2004,Vendas!$C$5:$C$2004,B182)))</f>
        <v/>
      </c>
      <c r="H182" s="34" t="str">
        <f aca="false">IF(B182="","",IF(F182&gt;0.005,"Deve",IF(F182&lt;-0.005,"Tem crédito",IF(D182&gt;0,"Em dia","Ainda não comprou"))))</f>
        <v/>
      </c>
    </row>
    <row r="183" customFormat="false" ht="21" hidden="false" customHeight="true" outlineLevel="0" collapsed="false">
      <c r="B183" s="7"/>
      <c r="C183" s="39"/>
      <c r="D183" s="24" t="str">
        <f aca="false">IF(B183="","",SUMIFS(Vendas!$G$5:$G$2004,Vendas!$C$5:$C$2004,B183))</f>
        <v/>
      </c>
      <c r="E183" s="24" t="str">
        <f aca="false">IF(B183="","",SUMIFS(Recebi!$D$5:$D$2004,Recebi!$C$5:$C$2004,B183)+SUMIFS(Vendas!$G$5:$G$2004,Vendas!$C$5:$C$2004,B183,Vendas!$J$5:$J$2004,"Sim"))</f>
        <v/>
      </c>
      <c r="F183" s="31" t="str">
        <f aca="false">IF(B183="","",D183-E183)</f>
        <v/>
      </c>
      <c r="G183" s="40" t="str">
        <f aca="false">IF(B183="","",IF(COUNTIF(Vendas!$C$5:$C$2004,B183)=0,"",_xlfn.MAXIFS(Vendas!$B$5:$B$2004,Vendas!$C$5:$C$2004,B183)))</f>
        <v/>
      </c>
      <c r="H183" s="34" t="str">
        <f aca="false">IF(B183="","",IF(F183&gt;0.005,"Deve",IF(F183&lt;-0.005,"Tem crédito",IF(D183&gt;0,"Em dia","Ainda não comprou"))))</f>
        <v/>
      </c>
    </row>
    <row r="184" customFormat="false" ht="21" hidden="false" customHeight="true" outlineLevel="0" collapsed="false">
      <c r="B184" s="7"/>
      <c r="C184" s="39"/>
      <c r="D184" s="24" t="str">
        <f aca="false">IF(B184="","",SUMIFS(Vendas!$G$5:$G$2004,Vendas!$C$5:$C$2004,B184))</f>
        <v/>
      </c>
      <c r="E184" s="24" t="str">
        <f aca="false">IF(B184="","",SUMIFS(Recebi!$D$5:$D$2004,Recebi!$C$5:$C$2004,B184)+SUMIFS(Vendas!$G$5:$G$2004,Vendas!$C$5:$C$2004,B184,Vendas!$J$5:$J$2004,"Sim"))</f>
        <v/>
      </c>
      <c r="F184" s="31" t="str">
        <f aca="false">IF(B184="","",D184-E184)</f>
        <v/>
      </c>
      <c r="G184" s="40" t="str">
        <f aca="false">IF(B184="","",IF(COUNTIF(Vendas!$C$5:$C$2004,B184)=0,"",_xlfn.MAXIFS(Vendas!$B$5:$B$2004,Vendas!$C$5:$C$2004,B184)))</f>
        <v/>
      </c>
      <c r="H184" s="34" t="str">
        <f aca="false">IF(B184="","",IF(F184&gt;0.005,"Deve",IF(F184&lt;-0.005,"Tem crédito",IF(D184&gt;0,"Em dia","Ainda não comprou"))))</f>
        <v/>
      </c>
    </row>
    <row r="185" customFormat="false" ht="21" hidden="false" customHeight="true" outlineLevel="0" collapsed="false">
      <c r="B185" s="7"/>
      <c r="C185" s="39"/>
      <c r="D185" s="24" t="str">
        <f aca="false">IF(B185="","",SUMIFS(Vendas!$G$5:$G$2004,Vendas!$C$5:$C$2004,B185))</f>
        <v/>
      </c>
      <c r="E185" s="24" t="str">
        <f aca="false">IF(B185="","",SUMIFS(Recebi!$D$5:$D$2004,Recebi!$C$5:$C$2004,B185)+SUMIFS(Vendas!$G$5:$G$2004,Vendas!$C$5:$C$2004,B185,Vendas!$J$5:$J$2004,"Sim"))</f>
        <v/>
      </c>
      <c r="F185" s="31" t="str">
        <f aca="false">IF(B185="","",D185-E185)</f>
        <v/>
      </c>
      <c r="G185" s="40" t="str">
        <f aca="false">IF(B185="","",IF(COUNTIF(Vendas!$C$5:$C$2004,B185)=0,"",_xlfn.MAXIFS(Vendas!$B$5:$B$2004,Vendas!$C$5:$C$2004,B185)))</f>
        <v/>
      </c>
      <c r="H185" s="34" t="str">
        <f aca="false">IF(B185="","",IF(F185&gt;0.005,"Deve",IF(F185&lt;-0.005,"Tem crédito",IF(D185&gt;0,"Em dia","Ainda não comprou"))))</f>
        <v/>
      </c>
    </row>
    <row r="186" customFormat="false" ht="21" hidden="false" customHeight="true" outlineLevel="0" collapsed="false">
      <c r="B186" s="7"/>
      <c r="C186" s="39"/>
      <c r="D186" s="24" t="str">
        <f aca="false">IF(B186="","",SUMIFS(Vendas!$G$5:$G$2004,Vendas!$C$5:$C$2004,B186))</f>
        <v/>
      </c>
      <c r="E186" s="24" t="str">
        <f aca="false">IF(B186="","",SUMIFS(Recebi!$D$5:$D$2004,Recebi!$C$5:$C$2004,B186)+SUMIFS(Vendas!$G$5:$G$2004,Vendas!$C$5:$C$2004,B186,Vendas!$J$5:$J$2004,"Sim"))</f>
        <v/>
      </c>
      <c r="F186" s="31" t="str">
        <f aca="false">IF(B186="","",D186-E186)</f>
        <v/>
      </c>
      <c r="G186" s="40" t="str">
        <f aca="false">IF(B186="","",IF(COUNTIF(Vendas!$C$5:$C$2004,B186)=0,"",_xlfn.MAXIFS(Vendas!$B$5:$B$2004,Vendas!$C$5:$C$2004,B186)))</f>
        <v/>
      </c>
      <c r="H186" s="34" t="str">
        <f aca="false">IF(B186="","",IF(F186&gt;0.005,"Deve",IF(F186&lt;-0.005,"Tem crédito",IF(D186&gt;0,"Em dia","Ainda não comprou"))))</f>
        <v/>
      </c>
    </row>
    <row r="187" customFormat="false" ht="21" hidden="false" customHeight="true" outlineLevel="0" collapsed="false">
      <c r="B187" s="7"/>
      <c r="C187" s="39"/>
      <c r="D187" s="24" t="str">
        <f aca="false">IF(B187="","",SUMIFS(Vendas!$G$5:$G$2004,Vendas!$C$5:$C$2004,B187))</f>
        <v/>
      </c>
      <c r="E187" s="24" t="str">
        <f aca="false">IF(B187="","",SUMIFS(Recebi!$D$5:$D$2004,Recebi!$C$5:$C$2004,B187)+SUMIFS(Vendas!$G$5:$G$2004,Vendas!$C$5:$C$2004,B187,Vendas!$J$5:$J$2004,"Sim"))</f>
        <v/>
      </c>
      <c r="F187" s="31" t="str">
        <f aca="false">IF(B187="","",D187-E187)</f>
        <v/>
      </c>
      <c r="G187" s="40" t="str">
        <f aca="false">IF(B187="","",IF(COUNTIF(Vendas!$C$5:$C$2004,B187)=0,"",_xlfn.MAXIFS(Vendas!$B$5:$B$2004,Vendas!$C$5:$C$2004,B187)))</f>
        <v/>
      </c>
      <c r="H187" s="34" t="str">
        <f aca="false">IF(B187="","",IF(F187&gt;0.005,"Deve",IF(F187&lt;-0.005,"Tem crédito",IF(D187&gt;0,"Em dia","Ainda não comprou"))))</f>
        <v/>
      </c>
    </row>
    <row r="188" customFormat="false" ht="21" hidden="false" customHeight="true" outlineLevel="0" collapsed="false">
      <c r="B188" s="7"/>
      <c r="C188" s="39"/>
      <c r="D188" s="24" t="str">
        <f aca="false">IF(B188="","",SUMIFS(Vendas!$G$5:$G$2004,Vendas!$C$5:$C$2004,B188))</f>
        <v/>
      </c>
      <c r="E188" s="24" t="str">
        <f aca="false">IF(B188="","",SUMIFS(Recebi!$D$5:$D$2004,Recebi!$C$5:$C$2004,B188)+SUMIFS(Vendas!$G$5:$G$2004,Vendas!$C$5:$C$2004,B188,Vendas!$J$5:$J$2004,"Sim"))</f>
        <v/>
      </c>
      <c r="F188" s="31" t="str">
        <f aca="false">IF(B188="","",D188-E188)</f>
        <v/>
      </c>
      <c r="G188" s="40" t="str">
        <f aca="false">IF(B188="","",IF(COUNTIF(Vendas!$C$5:$C$2004,B188)=0,"",_xlfn.MAXIFS(Vendas!$B$5:$B$2004,Vendas!$C$5:$C$2004,B188)))</f>
        <v/>
      </c>
      <c r="H188" s="34" t="str">
        <f aca="false">IF(B188="","",IF(F188&gt;0.005,"Deve",IF(F188&lt;-0.005,"Tem crédito",IF(D188&gt;0,"Em dia","Ainda não comprou"))))</f>
        <v/>
      </c>
    </row>
    <row r="189" customFormat="false" ht="21" hidden="false" customHeight="true" outlineLevel="0" collapsed="false">
      <c r="B189" s="7"/>
      <c r="C189" s="39"/>
      <c r="D189" s="24" t="str">
        <f aca="false">IF(B189="","",SUMIFS(Vendas!$G$5:$G$2004,Vendas!$C$5:$C$2004,B189))</f>
        <v/>
      </c>
      <c r="E189" s="24" t="str">
        <f aca="false">IF(B189="","",SUMIFS(Recebi!$D$5:$D$2004,Recebi!$C$5:$C$2004,B189)+SUMIFS(Vendas!$G$5:$G$2004,Vendas!$C$5:$C$2004,B189,Vendas!$J$5:$J$2004,"Sim"))</f>
        <v/>
      </c>
      <c r="F189" s="31" t="str">
        <f aca="false">IF(B189="","",D189-E189)</f>
        <v/>
      </c>
      <c r="G189" s="40" t="str">
        <f aca="false">IF(B189="","",IF(COUNTIF(Vendas!$C$5:$C$2004,B189)=0,"",_xlfn.MAXIFS(Vendas!$B$5:$B$2004,Vendas!$C$5:$C$2004,B189)))</f>
        <v/>
      </c>
      <c r="H189" s="34" t="str">
        <f aca="false">IF(B189="","",IF(F189&gt;0.005,"Deve",IF(F189&lt;-0.005,"Tem crédito",IF(D189&gt;0,"Em dia","Ainda não comprou"))))</f>
        <v/>
      </c>
    </row>
    <row r="190" customFormat="false" ht="21" hidden="false" customHeight="true" outlineLevel="0" collapsed="false">
      <c r="B190" s="7"/>
      <c r="C190" s="39"/>
      <c r="D190" s="24" t="str">
        <f aca="false">IF(B190="","",SUMIFS(Vendas!$G$5:$G$2004,Vendas!$C$5:$C$2004,B190))</f>
        <v/>
      </c>
      <c r="E190" s="24" t="str">
        <f aca="false">IF(B190="","",SUMIFS(Recebi!$D$5:$D$2004,Recebi!$C$5:$C$2004,B190)+SUMIFS(Vendas!$G$5:$G$2004,Vendas!$C$5:$C$2004,B190,Vendas!$J$5:$J$2004,"Sim"))</f>
        <v/>
      </c>
      <c r="F190" s="31" t="str">
        <f aca="false">IF(B190="","",D190-E190)</f>
        <v/>
      </c>
      <c r="G190" s="40" t="str">
        <f aca="false">IF(B190="","",IF(COUNTIF(Vendas!$C$5:$C$2004,B190)=0,"",_xlfn.MAXIFS(Vendas!$B$5:$B$2004,Vendas!$C$5:$C$2004,B190)))</f>
        <v/>
      </c>
      <c r="H190" s="34" t="str">
        <f aca="false">IF(B190="","",IF(F190&gt;0.005,"Deve",IF(F190&lt;-0.005,"Tem crédito",IF(D190&gt;0,"Em dia","Ainda não comprou"))))</f>
        <v/>
      </c>
    </row>
    <row r="191" customFormat="false" ht="21" hidden="false" customHeight="true" outlineLevel="0" collapsed="false">
      <c r="B191" s="7"/>
      <c r="C191" s="39"/>
      <c r="D191" s="24" t="str">
        <f aca="false">IF(B191="","",SUMIFS(Vendas!$G$5:$G$2004,Vendas!$C$5:$C$2004,B191))</f>
        <v/>
      </c>
      <c r="E191" s="24" t="str">
        <f aca="false">IF(B191="","",SUMIFS(Recebi!$D$5:$D$2004,Recebi!$C$5:$C$2004,B191)+SUMIFS(Vendas!$G$5:$G$2004,Vendas!$C$5:$C$2004,B191,Vendas!$J$5:$J$2004,"Sim"))</f>
        <v/>
      </c>
      <c r="F191" s="31" t="str">
        <f aca="false">IF(B191="","",D191-E191)</f>
        <v/>
      </c>
      <c r="G191" s="40" t="str">
        <f aca="false">IF(B191="","",IF(COUNTIF(Vendas!$C$5:$C$2004,B191)=0,"",_xlfn.MAXIFS(Vendas!$B$5:$B$2004,Vendas!$C$5:$C$2004,B191)))</f>
        <v/>
      </c>
      <c r="H191" s="34" t="str">
        <f aca="false">IF(B191="","",IF(F191&gt;0.005,"Deve",IF(F191&lt;-0.005,"Tem crédito",IF(D191&gt;0,"Em dia","Ainda não comprou"))))</f>
        <v/>
      </c>
    </row>
    <row r="192" customFormat="false" ht="21" hidden="false" customHeight="true" outlineLevel="0" collapsed="false">
      <c r="B192" s="7"/>
      <c r="C192" s="39"/>
      <c r="D192" s="24" t="str">
        <f aca="false">IF(B192="","",SUMIFS(Vendas!$G$5:$G$2004,Vendas!$C$5:$C$2004,B192))</f>
        <v/>
      </c>
      <c r="E192" s="24" t="str">
        <f aca="false">IF(B192="","",SUMIFS(Recebi!$D$5:$D$2004,Recebi!$C$5:$C$2004,B192)+SUMIFS(Vendas!$G$5:$G$2004,Vendas!$C$5:$C$2004,B192,Vendas!$J$5:$J$2004,"Sim"))</f>
        <v/>
      </c>
      <c r="F192" s="31" t="str">
        <f aca="false">IF(B192="","",D192-E192)</f>
        <v/>
      </c>
      <c r="G192" s="40" t="str">
        <f aca="false">IF(B192="","",IF(COUNTIF(Vendas!$C$5:$C$2004,B192)=0,"",_xlfn.MAXIFS(Vendas!$B$5:$B$2004,Vendas!$C$5:$C$2004,B192)))</f>
        <v/>
      </c>
      <c r="H192" s="34" t="str">
        <f aca="false">IF(B192="","",IF(F192&gt;0.005,"Deve",IF(F192&lt;-0.005,"Tem crédito",IF(D192&gt;0,"Em dia","Ainda não comprou"))))</f>
        <v/>
      </c>
    </row>
    <row r="193" customFormat="false" ht="21" hidden="false" customHeight="true" outlineLevel="0" collapsed="false">
      <c r="B193" s="7"/>
      <c r="C193" s="39"/>
      <c r="D193" s="24" t="str">
        <f aca="false">IF(B193="","",SUMIFS(Vendas!$G$5:$G$2004,Vendas!$C$5:$C$2004,B193))</f>
        <v/>
      </c>
      <c r="E193" s="24" t="str">
        <f aca="false">IF(B193="","",SUMIFS(Recebi!$D$5:$D$2004,Recebi!$C$5:$C$2004,B193)+SUMIFS(Vendas!$G$5:$G$2004,Vendas!$C$5:$C$2004,B193,Vendas!$J$5:$J$2004,"Sim"))</f>
        <v/>
      </c>
      <c r="F193" s="31" t="str">
        <f aca="false">IF(B193="","",D193-E193)</f>
        <v/>
      </c>
      <c r="G193" s="40" t="str">
        <f aca="false">IF(B193="","",IF(COUNTIF(Vendas!$C$5:$C$2004,B193)=0,"",_xlfn.MAXIFS(Vendas!$B$5:$B$2004,Vendas!$C$5:$C$2004,B193)))</f>
        <v/>
      </c>
      <c r="H193" s="34" t="str">
        <f aca="false">IF(B193="","",IF(F193&gt;0.005,"Deve",IF(F193&lt;-0.005,"Tem crédito",IF(D193&gt;0,"Em dia","Ainda não comprou"))))</f>
        <v/>
      </c>
    </row>
    <row r="194" customFormat="false" ht="21" hidden="false" customHeight="true" outlineLevel="0" collapsed="false">
      <c r="B194" s="7"/>
      <c r="C194" s="39"/>
      <c r="D194" s="24" t="str">
        <f aca="false">IF(B194="","",SUMIFS(Vendas!$G$5:$G$2004,Vendas!$C$5:$C$2004,B194))</f>
        <v/>
      </c>
      <c r="E194" s="24" t="str">
        <f aca="false">IF(B194="","",SUMIFS(Recebi!$D$5:$D$2004,Recebi!$C$5:$C$2004,B194)+SUMIFS(Vendas!$G$5:$G$2004,Vendas!$C$5:$C$2004,B194,Vendas!$J$5:$J$2004,"Sim"))</f>
        <v/>
      </c>
      <c r="F194" s="31" t="str">
        <f aca="false">IF(B194="","",D194-E194)</f>
        <v/>
      </c>
      <c r="G194" s="40" t="str">
        <f aca="false">IF(B194="","",IF(COUNTIF(Vendas!$C$5:$C$2004,B194)=0,"",_xlfn.MAXIFS(Vendas!$B$5:$B$2004,Vendas!$C$5:$C$2004,B194)))</f>
        <v/>
      </c>
      <c r="H194" s="34" t="str">
        <f aca="false">IF(B194="","",IF(F194&gt;0.005,"Deve",IF(F194&lt;-0.005,"Tem crédito",IF(D194&gt;0,"Em dia","Ainda não comprou"))))</f>
        <v/>
      </c>
    </row>
    <row r="195" customFormat="false" ht="21" hidden="false" customHeight="true" outlineLevel="0" collapsed="false">
      <c r="B195" s="7"/>
      <c r="C195" s="39"/>
      <c r="D195" s="24" t="str">
        <f aca="false">IF(B195="","",SUMIFS(Vendas!$G$5:$G$2004,Vendas!$C$5:$C$2004,B195))</f>
        <v/>
      </c>
      <c r="E195" s="24" t="str">
        <f aca="false">IF(B195="","",SUMIFS(Recebi!$D$5:$D$2004,Recebi!$C$5:$C$2004,B195)+SUMIFS(Vendas!$G$5:$G$2004,Vendas!$C$5:$C$2004,B195,Vendas!$J$5:$J$2004,"Sim"))</f>
        <v/>
      </c>
      <c r="F195" s="31" t="str">
        <f aca="false">IF(B195="","",D195-E195)</f>
        <v/>
      </c>
      <c r="G195" s="40" t="str">
        <f aca="false">IF(B195="","",IF(COUNTIF(Vendas!$C$5:$C$2004,B195)=0,"",_xlfn.MAXIFS(Vendas!$B$5:$B$2004,Vendas!$C$5:$C$2004,B195)))</f>
        <v/>
      </c>
      <c r="H195" s="34" t="str">
        <f aca="false">IF(B195="","",IF(F195&gt;0.005,"Deve",IF(F195&lt;-0.005,"Tem crédito",IF(D195&gt;0,"Em dia","Ainda não comprou"))))</f>
        <v/>
      </c>
    </row>
    <row r="196" customFormat="false" ht="21" hidden="false" customHeight="true" outlineLevel="0" collapsed="false">
      <c r="B196" s="7"/>
      <c r="C196" s="39"/>
      <c r="D196" s="24" t="str">
        <f aca="false">IF(B196="","",SUMIFS(Vendas!$G$5:$G$2004,Vendas!$C$5:$C$2004,B196))</f>
        <v/>
      </c>
      <c r="E196" s="24" t="str">
        <f aca="false">IF(B196="","",SUMIFS(Recebi!$D$5:$D$2004,Recebi!$C$5:$C$2004,B196)+SUMIFS(Vendas!$G$5:$G$2004,Vendas!$C$5:$C$2004,B196,Vendas!$J$5:$J$2004,"Sim"))</f>
        <v/>
      </c>
      <c r="F196" s="31" t="str">
        <f aca="false">IF(B196="","",D196-E196)</f>
        <v/>
      </c>
      <c r="G196" s="40" t="str">
        <f aca="false">IF(B196="","",IF(COUNTIF(Vendas!$C$5:$C$2004,B196)=0,"",_xlfn.MAXIFS(Vendas!$B$5:$B$2004,Vendas!$C$5:$C$2004,B196)))</f>
        <v/>
      </c>
      <c r="H196" s="34" t="str">
        <f aca="false">IF(B196="","",IF(F196&gt;0.005,"Deve",IF(F196&lt;-0.005,"Tem crédito",IF(D196&gt;0,"Em dia","Ainda não comprou"))))</f>
        <v/>
      </c>
    </row>
    <row r="197" customFormat="false" ht="21" hidden="false" customHeight="true" outlineLevel="0" collapsed="false">
      <c r="B197" s="7"/>
      <c r="C197" s="39"/>
      <c r="D197" s="24" t="str">
        <f aca="false">IF(B197="","",SUMIFS(Vendas!$G$5:$G$2004,Vendas!$C$5:$C$2004,B197))</f>
        <v/>
      </c>
      <c r="E197" s="24" t="str">
        <f aca="false">IF(B197="","",SUMIFS(Recebi!$D$5:$D$2004,Recebi!$C$5:$C$2004,B197)+SUMIFS(Vendas!$G$5:$G$2004,Vendas!$C$5:$C$2004,B197,Vendas!$J$5:$J$2004,"Sim"))</f>
        <v/>
      </c>
      <c r="F197" s="31" t="str">
        <f aca="false">IF(B197="","",D197-E197)</f>
        <v/>
      </c>
      <c r="G197" s="40" t="str">
        <f aca="false">IF(B197="","",IF(COUNTIF(Vendas!$C$5:$C$2004,B197)=0,"",_xlfn.MAXIFS(Vendas!$B$5:$B$2004,Vendas!$C$5:$C$2004,B197)))</f>
        <v/>
      </c>
      <c r="H197" s="34" t="str">
        <f aca="false">IF(B197="","",IF(F197&gt;0.005,"Deve",IF(F197&lt;-0.005,"Tem crédito",IF(D197&gt;0,"Em dia","Ainda não comprou"))))</f>
        <v/>
      </c>
    </row>
    <row r="198" customFormat="false" ht="21" hidden="false" customHeight="true" outlineLevel="0" collapsed="false">
      <c r="B198" s="7"/>
      <c r="C198" s="39"/>
      <c r="D198" s="24" t="str">
        <f aca="false">IF(B198="","",SUMIFS(Vendas!$G$5:$G$2004,Vendas!$C$5:$C$2004,B198))</f>
        <v/>
      </c>
      <c r="E198" s="24" t="str">
        <f aca="false">IF(B198="","",SUMIFS(Recebi!$D$5:$D$2004,Recebi!$C$5:$C$2004,B198)+SUMIFS(Vendas!$G$5:$G$2004,Vendas!$C$5:$C$2004,B198,Vendas!$J$5:$J$2004,"Sim"))</f>
        <v/>
      </c>
      <c r="F198" s="31" t="str">
        <f aca="false">IF(B198="","",D198-E198)</f>
        <v/>
      </c>
      <c r="G198" s="40" t="str">
        <f aca="false">IF(B198="","",IF(COUNTIF(Vendas!$C$5:$C$2004,B198)=0,"",_xlfn.MAXIFS(Vendas!$B$5:$B$2004,Vendas!$C$5:$C$2004,B198)))</f>
        <v/>
      </c>
      <c r="H198" s="34" t="str">
        <f aca="false">IF(B198="","",IF(F198&gt;0.005,"Deve",IF(F198&lt;-0.005,"Tem crédito",IF(D198&gt;0,"Em dia","Ainda não comprou"))))</f>
        <v/>
      </c>
    </row>
    <row r="199" customFormat="false" ht="21" hidden="false" customHeight="true" outlineLevel="0" collapsed="false">
      <c r="B199" s="7"/>
      <c r="C199" s="39"/>
      <c r="D199" s="24" t="str">
        <f aca="false">IF(B199="","",SUMIFS(Vendas!$G$5:$G$2004,Vendas!$C$5:$C$2004,B199))</f>
        <v/>
      </c>
      <c r="E199" s="24" t="str">
        <f aca="false">IF(B199="","",SUMIFS(Recebi!$D$5:$D$2004,Recebi!$C$5:$C$2004,B199)+SUMIFS(Vendas!$G$5:$G$2004,Vendas!$C$5:$C$2004,B199,Vendas!$J$5:$J$2004,"Sim"))</f>
        <v/>
      </c>
      <c r="F199" s="31" t="str">
        <f aca="false">IF(B199="","",D199-E199)</f>
        <v/>
      </c>
      <c r="G199" s="40" t="str">
        <f aca="false">IF(B199="","",IF(COUNTIF(Vendas!$C$5:$C$2004,B199)=0,"",_xlfn.MAXIFS(Vendas!$B$5:$B$2004,Vendas!$C$5:$C$2004,B199)))</f>
        <v/>
      </c>
      <c r="H199" s="34" t="str">
        <f aca="false">IF(B199="","",IF(F199&gt;0.005,"Deve",IF(F199&lt;-0.005,"Tem crédito",IF(D199&gt;0,"Em dia","Ainda não comprou"))))</f>
        <v/>
      </c>
    </row>
    <row r="200" customFormat="false" ht="21" hidden="false" customHeight="true" outlineLevel="0" collapsed="false">
      <c r="B200" s="7"/>
      <c r="C200" s="39"/>
      <c r="D200" s="24" t="str">
        <f aca="false">IF(B200="","",SUMIFS(Vendas!$G$5:$G$2004,Vendas!$C$5:$C$2004,B200))</f>
        <v/>
      </c>
      <c r="E200" s="24" t="str">
        <f aca="false">IF(B200="","",SUMIFS(Recebi!$D$5:$D$2004,Recebi!$C$5:$C$2004,B200)+SUMIFS(Vendas!$G$5:$G$2004,Vendas!$C$5:$C$2004,B200,Vendas!$J$5:$J$2004,"Sim"))</f>
        <v/>
      </c>
      <c r="F200" s="31" t="str">
        <f aca="false">IF(B200="","",D200-E200)</f>
        <v/>
      </c>
      <c r="G200" s="40" t="str">
        <f aca="false">IF(B200="","",IF(COUNTIF(Vendas!$C$5:$C$2004,B200)=0,"",_xlfn.MAXIFS(Vendas!$B$5:$B$2004,Vendas!$C$5:$C$2004,B200)))</f>
        <v/>
      </c>
      <c r="H200" s="34" t="str">
        <f aca="false">IF(B200="","",IF(F200&gt;0.005,"Deve",IF(F200&lt;-0.005,"Tem crédito",IF(D200&gt;0,"Em dia","Ainda não comprou"))))</f>
        <v/>
      </c>
    </row>
    <row r="201" customFormat="false" ht="21" hidden="false" customHeight="true" outlineLevel="0" collapsed="false">
      <c r="B201" s="7"/>
      <c r="C201" s="39"/>
      <c r="D201" s="24" t="str">
        <f aca="false">IF(B201="","",SUMIFS(Vendas!$G$5:$G$2004,Vendas!$C$5:$C$2004,B201))</f>
        <v/>
      </c>
      <c r="E201" s="24" t="str">
        <f aca="false">IF(B201="","",SUMIFS(Recebi!$D$5:$D$2004,Recebi!$C$5:$C$2004,B201)+SUMIFS(Vendas!$G$5:$G$2004,Vendas!$C$5:$C$2004,B201,Vendas!$J$5:$J$2004,"Sim"))</f>
        <v/>
      </c>
      <c r="F201" s="31" t="str">
        <f aca="false">IF(B201="","",D201-E201)</f>
        <v/>
      </c>
      <c r="G201" s="40" t="str">
        <f aca="false">IF(B201="","",IF(COUNTIF(Vendas!$C$5:$C$2004,B201)=0,"",_xlfn.MAXIFS(Vendas!$B$5:$B$2004,Vendas!$C$5:$C$2004,B201)))</f>
        <v/>
      </c>
      <c r="H201" s="34" t="str">
        <f aca="false">IF(B201="","",IF(F201&gt;0.005,"Deve",IF(F201&lt;-0.005,"Tem crédito",IF(D201&gt;0,"Em dia","Ainda não comprou"))))</f>
        <v/>
      </c>
    </row>
    <row r="202" customFormat="false" ht="21" hidden="false" customHeight="true" outlineLevel="0" collapsed="false">
      <c r="B202" s="7"/>
      <c r="C202" s="39"/>
      <c r="D202" s="24" t="str">
        <f aca="false">IF(B202="","",SUMIFS(Vendas!$G$5:$G$2004,Vendas!$C$5:$C$2004,B202))</f>
        <v/>
      </c>
      <c r="E202" s="24" t="str">
        <f aca="false">IF(B202="","",SUMIFS(Recebi!$D$5:$D$2004,Recebi!$C$5:$C$2004,B202)+SUMIFS(Vendas!$G$5:$G$2004,Vendas!$C$5:$C$2004,B202,Vendas!$J$5:$J$2004,"Sim"))</f>
        <v/>
      </c>
      <c r="F202" s="31" t="str">
        <f aca="false">IF(B202="","",D202-E202)</f>
        <v/>
      </c>
      <c r="G202" s="40" t="str">
        <f aca="false">IF(B202="","",IF(COUNTIF(Vendas!$C$5:$C$2004,B202)=0,"",_xlfn.MAXIFS(Vendas!$B$5:$B$2004,Vendas!$C$5:$C$2004,B202)))</f>
        <v/>
      </c>
      <c r="H202" s="34" t="str">
        <f aca="false">IF(B202="","",IF(F202&gt;0.005,"Deve",IF(F202&lt;-0.005,"Tem crédito",IF(D202&gt;0,"Em dia","Ainda não comprou"))))</f>
        <v/>
      </c>
    </row>
    <row r="203" customFormat="false" ht="21" hidden="false" customHeight="true" outlineLevel="0" collapsed="false">
      <c r="B203" s="7"/>
      <c r="C203" s="39"/>
      <c r="D203" s="24" t="str">
        <f aca="false">IF(B203="","",SUMIFS(Vendas!$G$5:$G$2004,Vendas!$C$5:$C$2004,B203))</f>
        <v/>
      </c>
      <c r="E203" s="24" t="str">
        <f aca="false">IF(B203="","",SUMIFS(Recebi!$D$5:$D$2004,Recebi!$C$5:$C$2004,B203)+SUMIFS(Vendas!$G$5:$G$2004,Vendas!$C$5:$C$2004,B203,Vendas!$J$5:$J$2004,"Sim"))</f>
        <v/>
      </c>
      <c r="F203" s="31" t="str">
        <f aca="false">IF(B203="","",D203-E203)</f>
        <v/>
      </c>
      <c r="G203" s="40" t="str">
        <f aca="false">IF(B203="","",IF(COUNTIF(Vendas!$C$5:$C$2004,B203)=0,"",_xlfn.MAXIFS(Vendas!$B$5:$B$2004,Vendas!$C$5:$C$2004,B203)))</f>
        <v/>
      </c>
      <c r="H203" s="34" t="str">
        <f aca="false">IF(B203="","",IF(F203&gt;0.005,"Deve",IF(F203&lt;-0.005,"Tem crédito",IF(D203&gt;0,"Em dia","Ainda não comprou"))))</f>
        <v/>
      </c>
    </row>
    <row r="204" customFormat="false" ht="21" hidden="false" customHeight="true" outlineLevel="0" collapsed="false">
      <c r="B204" s="7"/>
      <c r="C204" s="39"/>
      <c r="D204" s="24" t="str">
        <f aca="false">IF(B204="","",SUMIFS(Vendas!$G$5:$G$2004,Vendas!$C$5:$C$2004,B204))</f>
        <v/>
      </c>
      <c r="E204" s="24" t="str">
        <f aca="false">IF(B204="","",SUMIFS(Recebi!$D$5:$D$2004,Recebi!$C$5:$C$2004,B204)+SUMIFS(Vendas!$G$5:$G$2004,Vendas!$C$5:$C$2004,B204,Vendas!$J$5:$J$2004,"Sim"))</f>
        <v/>
      </c>
      <c r="F204" s="31" t="str">
        <f aca="false">IF(B204="","",D204-E204)</f>
        <v/>
      </c>
      <c r="G204" s="40" t="str">
        <f aca="false">IF(B204="","",IF(COUNTIF(Vendas!$C$5:$C$2004,B204)=0,"",_xlfn.MAXIFS(Vendas!$B$5:$B$2004,Vendas!$C$5:$C$2004,B204)))</f>
        <v/>
      </c>
      <c r="H204" s="34" t="str">
        <f aca="false">IF(B204="","",IF(F204&gt;0.005,"Deve",IF(F204&lt;-0.005,"Tem crédito",IF(D204&gt;0,"Em dia","Ainda não comprou"))))</f>
        <v/>
      </c>
    </row>
  </sheetData>
  <mergeCells count="2">
    <mergeCell ref="B1:H1"/>
    <mergeCell ref="B2:H2"/>
  </mergeCells>
  <conditionalFormatting sqref="H5:H204">
    <cfRule type="expression" priority="2" aboveAverage="0" equalAverage="0" bottom="0" percent="0" rank="0" text="" dxfId="0">
      <formula>H5="Deve"</formula>
    </cfRule>
    <cfRule type="expression" priority="3" aboveAverage="0" equalAverage="0" bottom="0" percent="0" rank="0" text="" dxfId="1">
      <formula>H5="Em dia"</formula>
    </cfRule>
  </conditionalFormatting>
  <conditionalFormatting sqref="F5:F204">
    <cfRule type="cellIs" priority="4" operator="greaterThan" aboveAverage="0" equalAverage="0" bottom="0" percent="0" rank="0" text="" dxfId="2">
      <formula>0.005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3426"/>
    <pageSetUpPr fitToPage="true"/>
  </sheetPr>
  <dimension ref="B1:O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12" min="9" style="0" width="14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true" outlineLevel="0" max="15" min="15" style="0" width="13"/>
  </cols>
  <sheetData>
    <row r="1" customFormat="false" ht="39.7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6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9.75" hidden="false" customHeight="true" outlineLevel="0" collapsed="false"/>
    <row r="4" customFormat="false" ht="43.5" hidden="false" customHeight="true" outlineLevel="0" collapsed="false">
      <c r="B4" s="35" t="s">
        <v>81</v>
      </c>
      <c r="C4" s="35" t="s">
        <v>125</v>
      </c>
      <c r="D4" s="35" t="s">
        <v>126</v>
      </c>
      <c r="E4" s="14" t="s">
        <v>127</v>
      </c>
      <c r="F4" s="14" t="s">
        <v>128</v>
      </c>
      <c r="G4" s="14" t="s">
        <v>129</v>
      </c>
      <c r="H4" s="14" t="s">
        <v>130</v>
      </c>
      <c r="I4" s="14" t="s">
        <v>131</v>
      </c>
      <c r="J4" s="14" t="s">
        <v>38</v>
      </c>
      <c r="K4" s="35" t="s">
        <v>132</v>
      </c>
      <c r="L4" s="14" t="s">
        <v>133</v>
      </c>
      <c r="M4" s="14" t="s">
        <v>134</v>
      </c>
      <c r="N4" s="14" t="s">
        <v>41</v>
      </c>
    </row>
    <row r="5" customFormat="false" ht="21" hidden="false" customHeight="true" outlineLevel="0" collapsed="false">
      <c r="B5" s="7" t="s">
        <v>93</v>
      </c>
      <c r="C5" s="37" t="n">
        <v>12</v>
      </c>
      <c r="D5" s="37" t="n">
        <v>3</v>
      </c>
      <c r="E5" s="24" t="n">
        <f aca="false">IF(B5="","",SUMIFS(Receitas!$F$5:$F$504,Receitas!$B$5:$B$504,B5))</f>
        <v>45.8083666666667</v>
      </c>
      <c r="F5" s="24" t="n">
        <f aca="false">IF(AND(B5&lt;&gt;"",N(C5)&gt;0),E5*(1+Perdas)/C5,"")</f>
        <v>4.00823208333333</v>
      </c>
      <c r="G5" s="24" t="n">
        <f aca="false">IF(AND(B5&lt;&gt;"",N(C5)&gt;0),N(D5)*ValorHora/C5,"")</f>
        <v>4.33409090909091</v>
      </c>
      <c r="H5" s="31" t="n">
        <f aca="false">IF(AND(B5&lt;&gt;"",N(C5)&gt;0),F5+G5,"")</f>
        <v>8.34232299242424</v>
      </c>
      <c r="I5" s="24" t="n">
        <f aca="false">IF(H5="","",H5/(1-Taxas))</f>
        <v>8.60033298188066</v>
      </c>
      <c r="J5" s="31" t="n">
        <f aca="false">IF(H5="","",IF(Taxas+LucroDesejado&gt;=1,"",IF(H5/(1-Taxas-LucroDesejado)&lt;3,CEILING(H5/(1-Taxas-LucroDesejado),0.1),CEILING(H5/(1-Taxas-LucroDesejado),0.5))))</f>
        <v>10.5</v>
      </c>
      <c r="K5" s="38" t="n">
        <v>12</v>
      </c>
      <c r="L5" s="24" t="n">
        <f aca="false">IF(OR(H5="",N(K5)=0),"",K5-H5-K5*Taxas)</f>
        <v>3.29767700757576</v>
      </c>
      <c r="M5" s="30" t="n">
        <f aca="false">IF(L5="","",L5/K5)</f>
        <v>0.27480641729798</v>
      </c>
      <c r="N5" s="34" t="str">
        <f aca="false">IF(B5="","",IF(N(C5)=0,"Falta o rendimento",IF(N(E5)=0,"Falta a receita",IF(N(K5)=0,"Falta o seu preço",IF(K5&lt;F5/(1-Taxas),"Prejuízo",IF(K5&lt;I5,"Não paga o seu tempo",IF(K5&lt;J5-0.005,"Abaixo do sugerido","Preço bom")))))))</f>
        <v>Preço bom</v>
      </c>
      <c r="O5" s="41" t="n">
        <f aca="false">IF(OR(F5="",N(K5)=0),"",(K5-F5)/K5-Taxas)</f>
        <v>0.635980659722222</v>
      </c>
    </row>
    <row r="6" customFormat="false" ht="21" hidden="false" customHeight="true" outlineLevel="0" collapsed="false">
      <c r="B6" s="7" t="s">
        <v>98</v>
      </c>
      <c r="C6" s="37" t="n">
        <v>20</v>
      </c>
      <c r="D6" s="37" t="n">
        <v>1.5</v>
      </c>
      <c r="E6" s="24" t="n">
        <f aca="false">IF(B6="","",SUMIFS(Receitas!$F$5:$F$504,Receitas!$B$5:$B$504,B6))</f>
        <v>28.017</v>
      </c>
      <c r="F6" s="24" t="n">
        <f aca="false">IF(AND(B6&lt;&gt;"",N(C6)&gt;0),E6*(1+Perdas)/C6,"")</f>
        <v>1.4708925</v>
      </c>
      <c r="G6" s="24" t="n">
        <f aca="false">IF(AND(B6&lt;&gt;"",N(C6)&gt;0),N(D6)*ValorHora/C6,"")</f>
        <v>1.30022727272727</v>
      </c>
      <c r="H6" s="31" t="n">
        <f aca="false">IF(AND(B6&lt;&gt;"",N(C6)&gt;0),F6+G6,"")</f>
        <v>2.77111977272727</v>
      </c>
      <c r="I6" s="24" t="n">
        <f aca="false">IF(H6="","",H6/(1-Taxas))</f>
        <v>2.85682450796626</v>
      </c>
      <c r="J6" s="31" t="n">
        <f aca="false">IF(H6="","",IF(Taxas+LucroDesejado&gt;=1,"",IF(H6/(1-Taxas-LucroDesejado)&lt;3,CEILING(H6/(1-Taxas-LucroDesejado),0.1),CEILING(H6/(1-Taxas-LucroDesejado),0.5))))</f>
        <v>3.5</v>
      </c>
      <c r="K6" s="38" t="n">
        <v>5</v>
      </c>
      <c r="L6" s="24" t="n">
        <f aca="false">IF(OR(H6="",N(K6)=0),"",K6-H6-K6*Taxas)</f>
        <v>2.07888022727273</v>
      </c>
      <c r="M6" s="30" t="n">
        <f aca="false">IF(L6="","",L6/K6)</f>
        <v>0.415776045454545</v>
      </c>
      <c r="N6" s="34" t="str">
        <f aca="false">IF(B6="","",IF(N(C6)=0,"Falta o rendimento",IF(N(E6)=0,"Falta a receita",IF(N(K6)=0,"Falta o seu preço",IF(K6&lt;F6/(1-Taxas),"Prejuízo",IF(K6&lt;I6,"Não paga o seu tempo",IF(K6&lt;J6-0.005,"Abaixo do sugerido","Preço bom")))))))</f>
        <v>Preço bom</v>
      </c>
      <c r="O6" s="41" t="n">
        <f aca="false">IF(OR(F6="",N(K6)=0),"",(K6-F6)/K6-Taxas)</f>
        <v>0.6758215</v>
      </c>
    </row>
    <row r="7" customFormat="false" ht="21" hidden="false" customHeight="true" outlineLevel="0" collapsed="false">
      <c r="B7" s="7" t="s">
        <v>95</v>
      </c>
      <c r="C7" s="37" t="n">
        <v>30</v>
      </c>
      <c r="D7" s="37" t="n">
        <v>1.5</v>
      </c>
      <c r="E7" s="24" t="n">
        <f aca="false">IF(B7="","",SUMIFS(Receitas!$F$5:$F$504,Receitas!$B$5:$B$504,B7))</f>
        <v>13.614</v>
      </c>
      <c r="F7" s="24" t="n">
        <f aca="false">IF(AND(B7&lt;&gt;"",N(C7)&gt;0),E7*(1+Perdas)/C7,"")</f>
        <v>0.47649</v>
      </c>
      <c r="G7" s="24" t="n">
        <f aca="false">IF(AND(B7&lt;&gt;"",N(C7)&gt;0),N(D7)*ValorHora/C7,"")</f>
        <v>0.866818181818182</v>
      </c>
      <c r="H7" s="31" t="n">
        <f aca="false">IF(AND(B7&lt;&gt;"",N(C7)&gt;0),F7+G7,"")</f>
        <v>1.34330818181818</v>
      </c>
      <c r="I7" s="24" t="n">
        <f aca="false">IF(H7="","",H7/(1-Taxas))</f>
        <v>1.38485379568885</v>
      </c>
      <c r="J7" s="31" t="n">
        <f aca="false">IF(H7="","",IF(Taxas+LucroDesejado&gt;=1,"",IF(H7/(1-Taxas-LucroDesejado)&lt;3,CEILING(H7/(1-Taxas-LucroDesejado),0.1),CEILING(H7/(1-Taxas-LucroDesejado),0.5))))</f>
        <v>1.7</v>
      </c>
      <c r="K7" s="38" t="n">
        <v>2.5</v>
      </c>
      <c r="L7" s="24" t="n">
        <f aca="false">IF(OR(H7="",N(K7)=0),"",K7-H7-K7*Taxas)</f>
        <v>1.08169181818182</v>
      </c>
      <c r="M7" s="30" t="n">
        <f aca="false">IF(L7="","",L7/K7)</f>
        <v>0.432676727272727</v>
      </c>
      <c r="N7" s="34" t="str">
        <f aca="false">IF(B7="","",IF(N(C7)=0,"Falta o rendimento",IF(N(E7)=0,"Falta a receita",IF(N(K7)=0,"Falta o seu preço",IF(K7&lt;F7/(1-Taxas),"Prejuízo",IF(K7&lt;I7,"Não paga o seu tempo",IF(K7&lt;J7-0.005,"Abaixo do sugerido","Preço bom")))))))</f>
        <v>Preço bom</v>
      </c>
      <c r="O7" s="41" t="n">
        <f aca="false">IF(OR(F7="",N(K7)=0),"",(K7-F7)/K7-Taxas)</f>
        <v>0.779404</v>
      </c>
    </row>
    <row r="8" customFormat="false" ht="21" hidden="false" customHeight="true" outlineLevel="0" collapsed="false">
      <c r="B8" s="7" t="s">
        <v>100</v>
      </c>
      <c r="C8" s="37" t="n">
        <v>20</v>
      </c>
      <c r="D8" s="37" t="n">
        <v>3</v>
      </c>
      <c r="E8" s="24" t="n">
        <f aca="false">IF(B8="","",SUMIFS(Receitas!$F$5:$F$504,Receitas!$B$5:$B$504,B8))</f>
        <v>42.5305166666667</v>
      </c>
      <c r="F8" s="24" t="n">
        <f aca="false">IF(AND(B8&lt;&gt;"",N(C8)&gt;0),E8*(1+Perdas)/C8,"")</f>
        <v>2.232852125</v>
      </c>
      <c r="G8" s="24" t="n">
        <f aca="false">IF(AND(B8&lt;&gt;"",N(C8)&gt;0),N(D8)*ValorHora/C8,"")</f>
        <v>2.60045454545455</v>
      </c>
      <c r="H8" s="31" t="n">
        <f aca="false">IF(AND(B8&lt;&gt;"",N(C8)&gt;0),F8+G8,"")</f>
        <v>4.83330667045455</v>
      </c>
      <c r="I8" s="24" t="n">
        <f aca="false">IF(H8="","",H8/(1-Taxas))</f>
        <v>4.9827903819119</v>
      </c>
      <c r="J8" s="31" t="n">
        <f aca="false">IF(H8="","",IF(Taxas+LucroDesejado&gt;=1,"",IF(H8/(1-Taxas-LucroDesejado)&lt;3,CEILING(H8/(1-Taxas-LucroDesejado),0.1),CEILING(H8/(1-Taxas-LucroDesejado),0.5))))</f>
        <v>6</v>
      </c>
      <c r="K8" s="38" t="n">
        <v>5</v>
      </c>
      <c r="L8" s="24" t="n">
        <f aca="false">IF(OR(H8="",N(K8)=0),"",K8-H8-K8*Taxas)</f>
        <v>0.0166933295454545</v>
      </c>
      <c r="M8" s="30" t="n">
        <f aca="false">IF(L8="","",L8/K8)</f>
        <v>0.00333866590909089</v>
      </c>
      <c r="N8" s="34" t="str">
        <f aca="false">IF(B8="","",IF(N(C8)=0,"Falta o rendimento",IF(N(E8)=0,"Falta a receita",IF(N(K8)=0,"Falta o seu preço",IF(K8&lt;F8/(1-Taxas),"Prejuízo",IF(K8&lt;I8,"Não paga o seu tempo",IF(K8&lt;J8-0.005,"Abaixo do sugerido","Preço bom")))))))</f>
        <v>Abaixo do sugerido</v>
      </c>
      <c r="O8" s="41" t="n">
        <f aca="false">IF(OR(F8="",N(K8)=0),"",(K8-F8)/K8-Taxas)</f>
        <v>0.523429575</v>
      </c>
    </row>
    <row r="9" customFormat="false" ht="21" hidden="false" customHeight="true" outlineLevel="0" collapsed="false">
      <c r="B9" s="7"/>
      <c r="C9" s="37"/>
      <c r="D9" s="37"/>
      <c r="E9" s="24" t="str">
        <f aca="false">IF(B9="","",SUMIFS(Receitas!$F$5:$F$504,Receitas!$B$5:$B$504,B9))</f>
        <v/>
      </c>
      <c r="F9" s="24" t="str">
        <f aca="false">IF(AND(B9&lt;&gt;"",N(C9)&gt;0),E9*(1+Perdas)/C9,"")</f>
        <v/>
      </c>
      <c r="G9" s="24" t="str">
        <f aca="false">IF(AND(B9&lt;&gt;"",N(C9)&gt;0),N(D9)*ValorHora/C9,"")</f>
        <v/>
      </c>
      <c r="H9" s="31" t="str">
        <f aca="false">IF(AND(B9&lt;&gt;"",N(C9)&gt;0),F9+G9,"")</f>
        <v/>
      </c>
      <c r="I9" s="24" t="str">
        <f aca="false">IF(H9="","",H9/(1-Taxas))</f>
        <v/>
      </c>
      <c r="J9" s="31" t="str">
        <f aca="false">IF(H9="","",IF(Taxas+LucroDesejado&gt;=1,"",IF(H9/(1-Taxas-LucroDesejado)&lt;3,CEILING(H9/(1-Taxas-LucroDesejado),0.1),CEILING(H9/(1-Taxas-LucroDesejado),0.5))))</f>
        <v/>
      </c>
      <c r="K9" s="38"/>
      <c r="L9" s="24" t="str">
        <f aca="false">IF(OR(H9="",N(K9)=0),"",K9-H9-K9*Taxas)</f>
        <v/>
      </c>
      <c r="M9" s="30" t="str">
        <f aca="false">IF(L9="","",L9/K9)</f>
        <v/>
      </c>
      <c r="N9" s="34" t="str">
        <f aca="false">IF(B9="","",IF(N(C9)=0,"Falta o rendimento",IF(N(E9)=0,"Falta a receita",IF(N(K9)=0,"Falta o seu preço",IF(K9&lt;F9/(1-Taxas),"Prejuízo",IF(K9&lt;I9,"Não paga o seu tempo",IF(K9&lt;J9-0.005,"Abaixo do sugerido","Preço bom")))))))</f>
        <v/>
      </c>
      <c r="O9" s="0" t="str">
        <f aca="false">IF(OR(F9="",N(K9)=0),"",(K9-F9)/K9-Taxas)</f>
        <v/>
      </c>
    </row>
    <row r="10" customFormat="false" ht="21" hidden="false" customHeight="true" outlineLevel="0" collapsed="false">
      <c r="B10" s="7"/>
      <c r="C10" s="37"/>
      <c r="D10" s="37"/>
      <c r="E10" s="24" t="str">
        <f aca="false">IF(B10="","",SUMIFS(Receitas!$F$5:$F$504,Receitas!$B$5:$B$504,B10))</f>
        <v/>
      </c>
      <c r="F10" s="24" t="str">
        <f aca="false">IF(AND(B10&lt;&gt;"",N(C10)&gt;0),E10*(1+Perdas)/C10,"")</f>
        <v/>
      </c>
      <c r="G10" s="24" t="str">
        <f aca="false">IF(AND(B10&lt;&gt;"",N(C10)&gt;0),N(D10)*ValorHora/C10,"")</f>
        <v/>
      </c>
      <c r="H10" s="31" t="str">
        <f aca="false">IF(AND(B10&lt;&gt;"",N(C10)&gt;0),F10+G10,"")</f>
        <v/>
      </c>
      <c r="I10" s="24" t="str">
        <f aca="false">IF(H10="","",H10/(1-Taxas))</f>
        <v/>
      </c>
      <c r="J10" s="31" t="str">
        <f aca="false">IF(H10="","",IF(Taxas+LucroDesejado&gt;=1,"",IF(H10/(1-Taxas-LucroDesejado)&lt;3,CEILING(H10/(1-Taxas-LucroDesejado),0.1),CEILING(H10/(1-Taxas-LucroDesejado),0.5))))</f>
        <v/>
      </c>
      <c r="K10" s="38"/>
      <c r="L10" s="24" t="str">
        <f aca="false">IF(OR(H10="",N(K10)=0),"",K10-H10-K10*Taxas)</f>
        <v/>
      </c>
      <c r="M10" s="30" t="str">
        <f aca="false">IF(L10="","",L10/K10)</f>
        <v/>
      </c>
      <c r="N10" s="34" t="str">
        <f aca="false">IF(B10="","",IF(N(C10)=0,"Falta o rendimento",IF(N(E10)=0,"Falta a receita",IF(N(K10)=0,"Falta o seu preço",IF(K10&lt;F10/(1-Taxas),"Prejuízo",IF(K10&lt;I10,"Não paga o seu tempo",IF(K10&lt;J10-0.005,"Abaixo do sugerido","Preço bom")))))))</f>
        <v/>
      </c>
      <c r="O10" s="0" t="str">
        <f aca="false">IF(OR(F10="",N(K10)=0),"",(K10-F10)/K10-Taxas)</f>
        <v/>
      </c>
    </row>
    <row r="11" customFormat="false" ht="21" hidden="false" customHeight="true" outlineLevel="0" collapsed="false">
      <c r="B11" s="7"/>
      <c r="C11" s="37"/>
      <c r="D11" s="37"/>
      <c r="E11" s="24" t="str">
        <f aca="false">IF(B11="","",SUMIFS(Receitas!$F$5:$F$504,Receitas!$B$5:$B$504,B11))</f>
        <v/>
      </c>
      <c r="F11" s="24" t="str">
        <f aca="false">IF(AND(B11&lt;&gt;"",N(C11)&gt;0),E11*(1+Perdas)/C11,"")</f>
        <v/>
      </c>
      <c r="G11" s="24" t="str">
        <f aca="false">IF(AND(B11&lt;&gt;"",N(C11)&gt;0),N(D11)*ValorHora/C11,"")</f>
        <v/>
      </c>
      <c r="H11" s="31" t="str">
        <f aca="false">IF(AND(B11&lt;&gt;"",N(C11)&gt;0),F11+G11,"")</f>
        <v/>
      </c>
      <c r="I11" s="24" t="str">
        <f aca="false">IF(H11="","",H11/(1-Taxas))</f>
        <v/>
      </c>
      <c r="J11" s="31" t="str">
        <f aca="false">IF(H11="","",IF(Taxas+LucroDesejado&gt;=1,"",IF(H11/(1-Taxas-LucroDesejado)&lt;3,CEILING(H11/(1-Taxas-LucroDesejado),0.1),CEILING(H11/(1-Taxas-LucroDesejado),0.5))))</f>
        <v/>
      </c>
      <c r="K11" s="38"/>
      <c r="L11" s="24" t="str">
        <f aca="false">IF(OR(H11="",N(K11)=0),"",K11-H11-K11*Taxas)</f>
        <v/>
      </c>
      <c r="M11" s="30" t="str">
        <f aca="false">IF(L11="","",L11/K11)</f>
        <v/>
      </c>
      <c r="N11" s="34" t="str">
        <f aca="false">IF(B11="","",IF(N(C11)=0,"Falta o rendimento",IF(N(E11)=0,"Falta a receita",IF(N(K11)=0,"Falta o seu preço",IF(K11&lt;F11/(1-Taxas),"Prejuízo",IF(K11&lt;I11,"Não paga o seu tempo",IF(K11&lt;J11-0.005,"Abaixo do sugerido","Preço bom")))))))</f>
        <v/>
      </c>
      <c r="O11" s="0" t="str">
        <f aca="false">IF(OR(F11="",N(K11)=0),"",(K11-F11)/K11-Taxas)</f>
        <v/>
      </c>
    </row>
    <row r="12" customFormat="false" ht="21" hidden="false" customHeight="true" outlineLevel="0" collapsed="false">
      <c r="B12" s="7"/>
      <c r="C12" s="37"/>
      <c r="D12" s="37"/>
      <c r="E12" s="24" t="str">
        <f aca="false">IF(B12="","",SUMIFS(Receitas!$F$5:$F$504,Receitas!$B$5:$B$504,B12))</f>
        <v/>
      </c>
      <c r="F12" s="24" t="str">
        <f aca="false">IF(AND(B12&lt;&gt;"",N(C12)&gt;0),E12*(1+Perdas)/C12,"")</f>
        <v/>
      </c>
      <c r="G12" s="24" t="str">
        <f aca="false">IF(AND(B12&lt;&gt;"",N(C12)&gt;0),N(D12)*ValorHora/C12,"")</f>
        <v/>
      </c>
      <c r="H12" s="31" t="str">
        <f aca="false">IF(AND(B12&lt;&gt;"",N(C12)&gt;0),F12+G12,"")</f>
        <v/>
      </c>
      <c r="I12" s="24" t="str">
        <f aca="false">IF(H12="","",H12/(1-Taxas))</f>
        <v/>
      </c>
      <c r="J12" s="31" t="str">
        <f aca="false">IF(H12="","",IF(Taxas+LucroDesejado&gt;=1,"",IF(H12/(1-Taxas-LucroDesejado)&lt;3,CEILING(H12/(1-Taxas-LucroDesejado),0.1),CEILING(H12/(1-Taxas-LucroDesejado),0.5))))</f>
        <v/>
      </c>
      <c r="K12" s="38"/>
      <c r="L12" s="24" t="str">
        <f aca="false">IF(OR(H12="",N(K12)=0),"",K12-H12-K12*Taxas)</f>
        <v/>
      </c>
      <c r="M12" s="30" t="str">
        <f aca="false">IF(L12="","",L12/K12)</f>
        <v/>
      </c>
      <c r="N12" s="34" t="str">
        <f aca="false">IF(B12="","",IF(N(C12)=0,"Falta o rendimento",IF(N(E12)=0,"Falta a receita",IF(N(K12)=0,"Falta o seu preço",IF(K12&lt;F12/(1-Taxas),"Prejuízo",IF(K12&lt;I12,"Não paga o seu tempo",IF(K12&lt;J12-0.005,"Abaixo do sugerido","Preço bom")))))))</f>
        <v/>
      </c>
      <c r="O12" s="0" t="str">
        <f aca="false">IF(OR(F12="",N(K12)=0),"",(K12-F12)/K12-Taxas)</f>
        <v/>
      </c>
    </row>
    <row r="13" customFormat="false" ht="21" hidden="false" customHeight="true" outlineLevel="0" collapsed="false">
      <c r="B13" s="7"/>
      <c r="C13" s="37"/>
      <c r="D13" s="37"/>
      <c r="E13" s="24" t="str">
        <f aca="false">IF(B13="","",SUMIFS(Receitas!$F$5:$F$504,Receitas!$B$5:$B$504,B13))</f>
        <v/>
      </c>
      <c r="F13" s="24" t="str">
        <f aca="false">IF(AND(B13&lt;&gt;"",N(C13)&gt;0),E13*(1+Perdas)/C13,"")</f>
        <v/>
      </c>
      <c r="G13" s="24" t="str">
        <f aca="false">IF(AND(B13&lt;&gt;"",N(C13)&gt;0),N(D13)*ValorHora/C13,"")</f>
        <v/>
      </c>
      <c r="H13" s="31" t="str">
        <f aca="false">IF(AND(B13&lt;&gt;"",N(C13)&gt;0),F13+G13,"")</f>
        <v/>
      </c>
      <c r="I13" s="24" t="str">
        <f aca="false">IF(H13="","",H13/(1-Taxas))</f>
        <v/>
      </c>
      <c r="J13" s="31" t="str">
        <f aca="false">IF(H13="","",IF(Taxas+LucroDesejado&gt;=1,"",IF(H13/(1-Taxas-LucroDesejado)&lt;3,CEILING(H13/(1-Taxas-LucroDesejado),0.1),CEILING(H13/(1-Taxas-LucroDesejado),0.5))))</f>
        <v/>
      </c>
      <c r="K13" s="38"/>
      <c r="L13" s="24" t="str">
        <f aca="false">IF(OR(H13="",N(K13)=0),"",K13-H13-K13*Taxas)</f>
        <v/>
      </c>
      <c r="M13" s="30" t="str">
        <f aca="false">IF(L13="","",L13/K13)</f>
        <v/>
      </c>
      <c r="N13" s="34" t="str">
        <f aca="false">IF(B13="","",IF(N(C13)=0,"Falta o rendimento",IF(N(E13)=0,"Falta a receita",IF(N(K13)=0,"Falta o seu preço",IF(K13&lt;F13/(1-Taxas),"Prejuízo",IF(K13&lt;I13,"Não paga o seu tempo",IF(K13&lt;J13-0.005,"Abaixo do sugerido","Preço bom")))))))</f>
        <v/>
      </c>
      <c r="O13" s="0" t="str">
        <f aca="false">IF(OR(F13="",N(K13)=0),"",(K13-F13)/K13-Taxas)</f>
        <v/>
      </c>
    </row>
    <row r="14" customFormat="false" ht="21" hidden="false" customHeight="true" outlineLevel="0" collapsed="false">
      <c r="B14" s="7"/>
      <c r="C14" s="37"/>
      <c r="D14" s="37"/>
      <c r="E14" s="24" t="str">
        <f aca="false">IF(B14="","",SUMIFS(Receitas!$F$5:$F$504,Receitas!$B$5:$B$504,B14))</f>
        <v/>
      </c>
      <c r="F14" s="24" t="str">
        <f aca="false">IF(AND(B14&lt;&gt;"",N(C14)&gt;0),E14*(1+Perdas)/C14,"")</f>
        <v/>
      </c>
      <c r="G14" s="24" t="str">
        <f aca="false">IF(AND(B14&lt;&gt;"",N(C14)&gt;0),N(D14)*ValorHora/C14,"")</f>
        <v/>
      </c>
      <c r="H14" s="31" t="str">
        <f aca="false">IF(AND(B14&lt;&gt;"",N(C14)&gt;0),F14+G14,"")</f>
        <v/>
      </c>
      <c r="I14" s="24" t="str">
        <f aca="false">IF(H14="","",H14/(1-Taxas))</f>
        <v/>
      </c>
      <c r="J14" s="31" t="str">
        <f aca="false">IF(H14="","",IF(Taxas+LucroDesejado&gt;=1,"",IF(H14/(1-Taxas-LucroDesejado)&lt;3,CEILING(H14/(1-Taxas-LucroDesejado),0.1),CEILING(H14/(1-Taxas-LucroDesejado),0.5))))</f>
        <v/>
      </c>
      <c r="K14" s="38"/>
      <c r="L14" s="24" t="str">
        <f aca="false">IF(OR(H14="",N(K14)=0),"",K14-H14-K14*Taxas)</f>
        <v/>
      </c>
      <c r="M14" s="30" t="str">
        <f aca="false">IF(L14="","",L14/K14)</f>
        <v/>
      </c>
      <c r="N14" s="34" t="str">
        <f aca="false">IF(B14="","",IF(N(C14)=0,"Falta o rendimento",IF(N(E14)=0,"Falta a receita",IF(N(K14)=0,"Falta o seu preço",IF(K14&lt;F14/(1-Taxas),"Prejuízo",IF(K14&lt;I14,"Não paga o seu tempo",IF(K14&lt;J14-0.005,"Abaixo do sugerido","Preço bom")))))))</f>
        <v/>
      </c>
      <c r="O14" s="0" t="str">
        <f aca="false">IF(OR(F14="",N(K14)=0),"",(K14-F14)/K14-Taxas)</f>
        <v/>
      </c>
    </row>
    <row r="15" customFormat="false" ht="21" hidden="false" customHeight="true" outlineLevel="0" collapsed="false">
      <c r="B15" s="7"/>
      <c r="C15" s="37"/>
      <c r="D15" s="37"/>
      <c r="E15" s="24" t="str">
        <f aca="false">IF(B15="","",SUMIFS(Receitas!$F$5:$F$504,Receitas!$B$5:$B$504,B15))</f>
        <v/>
      </c>
      <c r="F15" s="24" t="str">
        <f aca="false">IF(AND(B15&lt;&gt;"",N(C15)&gt;0),E15*(1+Perdas)/C15,"")</f>
        <v/>
      </c>
      <c r="G15" s="24" t="str">
        <f aca="false">IF(AND(B15&lt;&gt;"",N(C15)&gt;0),N(D15)*ValorHora/C15,"")</f>
        <v/>
      </c>
      <c r="H15" s="31" t="str">
        <f aca="false">IF(AND(B15&lt;&gt;"",N(C15)&gt;0),F15+G15,"")</f>
        <v/>
      </c>
      <c r="I15" s="24" t="str">
        <f aca="false">IF(H15="","",H15/(1-Taxas))</f>
        <v/>
      </c>
      <c r="J15" s="31" t="str">
        <f aca="false">IF(H15="","",IF(Taxas+LucroDesejado&gt;=1,"",IF(H15/(1-Taxas-LucroDesejado)&lt;3,CEILING(H15/(1-Taxas-LucroDesejado),0.1),CEILING(H15/(1-Taxas-LucroDesejado),0.5))))</f>
        <v/>
      </c>
      <c r="K15" s="38"/>
      <c r="L15" s="24" t="str">
        <f aca="false">IF(OR(H15="",N(K15)=0),"",K15-H15-K15*Taxas)</f>
        <v/>
      </c>
      <c r="M15" s="30" t="str">
        <f aca="false">IF(L15="","",L15/K15)</f>
        <v/>
      </c>
      <c r="N15" s="34" t="str">
        <f aca="false">IF(B15="","",IF(N(C15)=0,"Falta o rendimento",IF(N(E15)=0,"Falta a receita",IF(N(K15)=0,"Falta o seu preço",IF(K15&lt;F15/(1-Taxas),"Prejuízo",IF(K15&lt;I15,"Não paga o seu tempo",IF(K15&lt;J15-0.005,"Abaixo do sugerido","Preço bom")))))))</f>
        <v/>
      </c>
      <c r="O15" s="0" t="str">
        <f aca="false">IF(OR(F15="",N(K15)=0),"",(K15-F15)/K15-Taxas)</f>
        <v/>
      </c>
    </row>
    <row r="16" customFormat="false" ht="21" hidden="false" customHeight="true" outlineLevel="0" collapsed="false">
      <c r="B16" s="7"/>
      <c r="C16" s="37"/>
      <c r="D16" s="37"/>
      <c r="E16" s="24" t="str">
        <f aca="false">IF(B16="","",SUMIFS(Receitas!$F$5:$F$504,Receitas!$B$5:$B$504,B16))</f>
        <v/>
      </c>
      <c r="F16" s="24" t="str">
        <f aca="false">IF(AND(B16&lt;&gt;"",N(C16)&gt;0),E16*(1+Perdas)/C16,"")</f>
        <v/>
      </c>
      <c r="G16" s="24" t="str">
        <f aca="false">IF(AND(B16&lt;&gt;"",N(C16)&gt;0),N(D16)*ValorHora/C16,"")</f>
        <v/>
      </c>
      <c r="H16" s="31" t="str">
        <f aca="false">IF(AND(B16&lt;&gt;"",N(C16)&gt;0),F16+G16,"")</f>
        <v/>
      </c>
      <c r="I16" s="24" t="str">
        <f aca="false">IF(H16="","",H16/(1-Taxas))</f>
        <v/>
      </c>
      <c r="J16" s="31" t="str">
        <f aca="false">IF(H16="","",IF(Taxas+LucroDesejado&gt;=1,"",IF(H16/(1-Taxas-LucroDesejado)&lt;3,CEILING(H16/(1-Taxas-LucroDesejado),0.1),CEILING(H16/(1-Taxas-LucroDesejado),0.5))))</f>
        <v/>
      </c>
      <c r="K16" s="38"/>
      <c r="L16" s="24" t="str">
        <f aca="false">IF(OR(H16="",N(K16)=0),"",K16-H16-K16*Taxas)</f>
        <v/>
      </c>
      <c r="M16" s="30" t="str">
        <f aca="false">IF(L16="","",L16/K16)</f>
        <v/>
      </c>
      <c r="N16" s="34" t="str">
        <f aca="false">IF(B16="","",IF(N(C16)=0,"Falta o rendimento",IF(N(E16)=0,"Falta a receita",IF(N(K16)=0,"Falta o seu preço",IF(K16&lt;F16/(1-Taxas),"Prejuízo",IF(K16&lt;I16,"Não paga o seu tempo",IF(K16&lt;J16-0.005,"Abaixo do sugerido","Preço bom")))))))</f>
        <v/>
      </c>
      <c r="O16" s="0" t="str">
        <f aca="false">IF(OR(F16="",N(K16)=0),"",(K16-F16)/K16-Taxas)</f>
        <v/>
      </c>
    </row>
    <row r="17" customFormat="false" ht="21" hidden="false" customHeight="true" outlineLevel="0" collapsed="false">
      <c r="B17" s="7"/>
      <c r="C17" s="37"/>
      <c r="D17" s="37"/>
      <c r="E17" s="24" t="str">
        <f aca="false">IF(B17="","",SUMIFS(Receitas!$F$5:$F$504,Receitas!$B$5:$B$504,B17))</f>
        <v/>
      </c>
      <c r="F17" s="24" t="str">
        <f aca="false">IF(AND(B17&lt;&gt;"",N(C17)&gt;0),E17*(1+Perdas)/C17,"")</f>
        <v/>
      </c>
      <c r="G17" s="24" t="str">
        <f aca="false">IF(AND(B17&lt;&gt;"",N(C17)&gt;0),N(D17)*ValorHora/C17,"")</f>
        <v/>
      </c>
      <c r="H17" s="31" t="str">
        <f aca="false">IF(AND(B17&lt;&gt;"",N(C17)&gt;0),F17+G17,"")</f>
        <v/>
      </c>
      <c r="I17" s="24" t="str">
        <f aca="false">IF(H17="","",H17/(1-Taxas))</f>
        <v/>
      </c>
      <c r="J17" s="31" t="str">
        <f aca="false">IF(H17="","",IF(Taxas+LucroDesejado&gt;=1,"",IF(H17/(1-Taxas-LucroDesejado)&lt;3,CEILING(H17/(1-Taxas-LucroDesejado),0.1),CEILING(H17/(1-Taxas-LucroDesejado),0.5))))</f>
        <v/>
      </c>
      <c r="K17" s="38"/>
      <c r="L17" s="24" t="str">
        <f aca="false">IF(OR(H17="",N(K17)=0),"",K17-H17-K17*Taxas)</f>
        <v/>
      </c>
      <c r="M17" s="30" t="str">
        <f aca="false">IF(L17="","",L17/K17)</f>
        <v/>
      </c>
      <c r="N17" s="34" t="str">
        <f aca="false">IF(B17="","",IF(N(C17)=0,"Falta o rendimento",IF(N(E17)=0,"Falta a receita",IF(N(K17)=0,"Falta o seu preço",IF(K17&lt;F17/(1-Taxas),"Prejuízo",IF(K17&lt;I17,"Não paga o seu tempo",IF(K17&lt;J17-0.005,"Abaixo do sugerido","Preço bom")))))))</f>
        <v/>
      </c>
      <c r="O17" s="0" t="str">
        <f aca="false">IF(OR(F17="",N(K17)=0),"",(K17-F17)/K17-Taxas)</f>
        <v/>
      </c>
    </row>
    <row r="18" customFormat="false" ht="21" hidden="false" customHeight="true" outlineLevel="0" collapsed="false">
      <c r="B18" s="7"/>
      <c r="C18" s="37"/>
      <c r="D18" s="37"/>
      <c r="E18" s="24" t="str">
        <f aca="false">IF(B18="","",SUMIFS(Receitas!$F$5:$F$504,Receitas!$B$5:$B$504,B18))</f>
        <v/>
      </c>
      <c r="F18" s="24" t="str">
        <f aca="false">IF(AND(B18&lt;&gt;"",N(C18)&gt;0),E18*(1+Perdas)/C18,"")</f>
        <v/>
      </c>
      <c r="G18" s="24" t="str">
        <f aca="false">IF(AND(B18&lt;&gt;"",N(C18)&gt;0),N(D18)*ValorHora/C18,"")</f>
        <v/>
      </c>
      <c r="H18" s="31" t="str">
        <f aca="false">IF(AND(B18&lt;&gt;"",N(C18)&gt;0),F18+G18,"")</f>
        <v/>
      </c>
      <c r="I18" s="24" t="str">
        <f aca="false">IF(H18="","",H18/(1-Taxas))</f>
        <v/>
      </c>
      <c r="J18" s="31" t="str">
        <f aca="false">IF(H18="","",IF(Taxas+LucroDesejado&gt;=1,"",IF(H18/(1-Taxas-LucroDesejado)&lt;3,CEILING(H18/(1-Taxas-LucroDesejado),0.1),CEILING(H18/(1-Taxas-LucroDesejado),0.5))))</f>
        <v/>
      </c>
      <c r="K18" s="38"/>
      <c r="L18" s="24" t="str">
        <f aca="false">IF(OR(H18="",N(K18)=0),"",K18-H18-K18*Taxas)</f>
        <v/>
      </c>
      <c r="M18" s="30" t="str">
        <f aca="false">IF(L18="","",L18/K18)</f>
        <v/>
      </c>
      <c r="N18" s="34" t="str">
        <f aca="false">IF(B18="","",IF(N(C18)=0,"Falta o rendimento",IF(N(E18)=0,"Falta a receita",IF(N(K18)=0,"Falta o seu preço",IF(K18&lt;F18/(1-Taxas),"Prejuízo",IF(K18&lt;I18,"Não paga o seu tempo",IF(K18&lt;J18-0.005,"Abaixo do sugerido","Preço bom")))))))</f>
        <v/>
      </c>
      <c r="O18" s="0" t="str">
        <f aca="false">IF(OR(F18="",N(K18)=0),"",(K18-F18)/K18-Taxas)</f>
        <v/>
      </c>
    </row>
    <row r="19" customFormat="false" ht="21" hidden="false" customHeight="true" outlineLevel="0" collapsed="false">
      <c r="B19" s="7"/>
      <c r="C19" s="37"/>
      <c r="D19" s="37"/>
      <c r="E19" s="24" t="str">
        <f aca="false">IF(B19="","",SUMIFS(Receitas!$F$5:$F$504,Receitas!$B$5:$B$504,B19))</f>
        <v/>
      </c>
      <c r="F19" s="24" t="str">
        <f aca="false">IF(AND(B19&lt;&gt;"",N(C19)&gt;0),E19*(1+Perdas)/C19,"")</f>
        <v/>
      </c>
      <c r="G19" s="24" t="str">
        <f aca="false">IF(AND(B19&lt;&gt;"",N(C19)&gt;0),N(D19)*ValorHora/C19,"")</f>
        <v/>
      </c>
      <c r="H19" s="31" t="str">
        <f aca="false">IF(AND(B19&lt;&gt;"",N(C19)&gt;0),F19+G19,"")</f>
        <v/>
      </c>
      <c r="I19" s="24" t="str">
        <f aca="false">IF(H19="","",H19/(1-Taxas))</f>
        <v/>
      </c>
      <c r="J19" s="31" t="str">
        <f aca="false">IF(H19="","",IF(Taxas+LucroDesejado&gt;=1,"",IF(H19/(1-Taxas-LucroDesejado)&lt;3,CEILING(H19/(1-Taxas-LucroDesejado),0.1),CEILING(H19/(1-Taxas-LucroDesejado),0.5))))</f>
        <v/>
      </c>
      <c r="K19" s="38"/>
      <c r="L19" s="24" t="str">
        <f aca="false">IF(OR(H19="",N(K19)=0),"",K19-H19-K19*Taxas)</f>
        <v/>
      </c>
      <c r="M19" s="30" t="str">
        <f aca="false">IF(L19="","",L19/K19)</f>
        <v/>
      </c>
      <c r="N19" s="34" t="str">
        <f aca="false">IF(B19="","",IF(N(C19)=0,"Falta o rendimento",IF(N(E19)=0,"Falta a receita",IF(N(K19)=0,"Falta o seu preço",IF(K19&lt;F19/(1-Taxas),"Prejuízo",IF(K19&lt;I19,"Não paga o seu tempo",IF(K19&lt;J19-0.005,"Abaixo do sugerido","Preço bom")))))))</f>
        <v/>
      </c>
      <c r="O19" s="0" t="str">
        <f aca="false">IF(OR(F19="",N(K19)=0),"",(K19-F19)/K19-Taxas)</f>
        <v/>
      </c>
    </row>
    <row r="20" customFormat="false" ht="21" hidden="false" customHeight="true" outlineLevel="0" collapsed="false">
      <c r="B20" s="7"/>
      <c r="C20" s="37"/>
      <c r="D20" s="37"/>
      <c r="E20" s="24" t="str">
        <f aca="false">IF(B20="","",SUMIFS(Receitas!$F$5:$F$504,Receitas!$B$5:$B$504,B20))</f>
        <v/>
      </c>
      <c r="F20" s="24" t="str">
        <f aca="false">IF(AND(B20&lt;&gt;"",N(C20)&gt;0),E20*(1+Perdas)/C20,"")</f>
        <v/>
      </c>
      <c r="G20" s="24" t="str">
        <f aca="false">IF(AND(B20&lt;&gt;"",N(C20)&gt;0),N(D20)*ValorHora/C20,"")</f>
        <v/>
      </c>
      <c r="H20" s="31" t="str">
        <f aca="false">IF(AND(B20&lt;&gt;"",N(C20)&gt;0),F20+G20,"")</f>
        <v/>
      </c>
      <c r="I20" s="24" t="str">
        <f aca="false">IF(H20="","",H20/(1-Taxas))</f>
        <v/>
      </c>
      <c r="J20" s="31" t="str">
        <f aca="false">IF(H20="","",IF(Taxas+LucroDesejado&gt;=1,"",IF(H20/(1-Taxas-LucroDesejado)&lt;3,CEILING(H20/(1-Taxas-LucroDesejado),0.1),CEILING(H20/(1-Taxas-LucroDesejado),0.5))))</f>
        <v/>
      </c>
      <c r="K20" s="38"/>
      <c r="L20" s="24" t="str">
        <f aca="false">IF(OR(H20="",N(K20)=0),"",K20-H20-K20*Taxas)</f>
        <v/>
      </c>
      <c r="M20" s="30" t="str">
        <f aca="false">IF(L20="","",L20/K20)</f>
        <v/>
      </c>
      <c r="N20" s="34" t="str">
        <f aca="false">IF(B20="","",IF(N(C20)=0,"Falta o rendimento",IF(N(E20)=0,"Falta a receita",IF(N(K20)=0,"Falta o seu preço",IF(K20&lt;F20/(1-Taxas),"Prejuízo",IF(K20&lt;I20,"Não paga o seu tempo",IF(K20&lt;J20-0.005,"Abaixo do sugerido","Preço bom")))))))</f>
        <v/>
      </c>
      <c r="O20" s="0" t="str">
        <f aca="false">IF(OR(F20="",N(K20)=0),"",(K20-F20)/K20-Taxas)</f>
        <v/>
      </c>
    </row>
    <row r="21" customFormat="false" ht="21" hidden="false" customHeight="true" outlineLevel="0" collapsed="false">
      <c r="B21" s="7"/>
      <c r="C21" s="37"/>
      <c r="D21" s="37"/>
      <c r="E21" s="24" t="str">
        <f aca="false">IF(B21="","",SUMIFS(Receitas!$F$5:$F$504,Receitas!$B$5:$B$504,B21))</f>
        <v/>
      </c>
      <c r="F21" s="24" t="str">
        <f aca="false">IF(AND(B21&lt;&gt;"",N(C21)&gt;0),E21*(1+Perdas)/C21,"")</f>
        <v/>
      </c>
      <c r="G21" s="24" t="str">
        <f aca="false">IF(AND(B21&lt;&gt;"",N(C21)&gt;0),N(D21)*ValorHora/C21,"")</f>
        <v/>
      </c>
      <c r="H21" s="31" t="str">
        <f aca="false">IF(AND(B21&lt;&gt;"",N(C21)&gt;0),F21+G21,"")</f>
        <v/>
      </c>
      <c r="I21" s="24" t="str">
        <f aca="false">IF(H21="","",H21/(1-Taxas))</f>
        <v/>
      </c>
      <c r="J21" s="31" t="str">
        <f aca="false">IF(H21="","",IF(Taxas+LucroDesejado&gt;=1,"",IF(H21/(1-Taxas-LucroDesejado)&lt;3,CEILING(H21/(1-Taxas-LucroDesejado),0.1),CEILING(H21/(1-Taxas-LucroDesejado),0.5))))</f>
        <v/>
      </c>
      <c r="K21" s="38"/>
      <c r="L21" s="24" t="str">
        <f aca="false">IF(OR(H21="",N(K21)=0),"",K21-H21-K21*Taxas)</f>
        <v/>
      </c>
      <c r="M21" s="30" t="str">
        <f aca="false">IF(L21="","",L21/K21)</f>
        <v/>
      </c>
      <c r="N21" s="34" t="str">
        <f aca="false">IF(B21="","",IF(N(C21)=0,"Falta o rendimento",IF(N(E21)=0,"Falta a receita",IF(N(K21)=0,"Falta o seu preço",IF(K21&lt;F21/(1-Taxas),"Prejuízo",IF(K21&lt;I21,"Não paga o seu tempo",IF(K21&lt;J21-0.005,"Abaixo do sugerido","Preço bom")))))))</f>
        <v/>
      </c>
      <c r="O21" s="0" t="str">
        <f aca="false">IF(OR(F21="",N(K21)=0),"",(K21-F21)/K21-Taxas)</f>
        <v/>
      </c>
    </row>
    <row r="22" customFormat="false" ht="21" hidden="false" customHeight="true" outlineLevel="0" collapsed="false">
      <c r="B22" s="7"/>
      <c r="C22" s="37"/>
      <c r="D22" s="37"/>
      <c r="E22" s="24" t="str">
        <f aca="false">IF(B22="","",SUMIFS(Receitas!$F$5:$F$504,Receitas!$B$5:$B$504,B22))</f>
        <v/>
      </c>
      <c r="F22" s="24" t="str">
        <f aca="false">IF(AND(B22&lt;&gt;"",N(C22)&gt;0),E22*(1+Perdas)/C22,"")</f>
        <v/>
      </c>
      <c r="G22" s="24" t="str">
        <f aca="false">IF(AND(B22&lt;&gt;"",N(C22)&gt;0),N(D22)*ValorHora/C22,"")</f>
        <v/>
      </c>
      <c r="H22" s="31" t="str">
        <f aca="false">IF(AND(B22&lt;&gt;"",N(C22)&gt;0),F22+G22,"")</f>
        <v/>
      </c>
      <c r="I22" s="24" t="str">
        <f aca="false">IF(H22="","",H22/(1-Taxas))</f>
        <v/>
      </c>
      <c r="J22" s="31" t="str">
        <f aca="false">IF(H22="","",IF(Taxas+LucroDesejado&gt;=1,"",IF(H22/(1-Taxas-LucroDesejado)&lt;3,CEILING(H22/(1-Taxas-LucroDesejado),0.1),CEILING(H22/(1-Taxas-LucroDesejado),0.5))))</f>
        <v/>
      </c>
      <c r="K22" s="38"/>
      <c r="L22" s="24" t="str">
        <f aca="false">IF(OR(H22="",N(K22)=0),"",K22-H22-K22*Taxas)</f>
        <v/>
      </c>
      <c r="M22" s="30" t="str">
        <f aca="false">IF(L22="","",L22/K22)</f>
        <v/>
      </c>
      <c r="N22" s="34" t="str">
        <f aca="false">IF(B22="","",IF(N(C22)=0,"Falta o rendimento",IF(N(E22)=0,"Falta a receita",IF(N(K22)=0,"Falta o seu preço",IF(K22&lt;F22/(1-Taxas),"Prejuízo",IF(K22&lt;I22,"Não paga o seu tempo",IF(K22&lt;J22-0.005,"Abaixo do sugerido","Preço bom")))))))</f>
        <v/>
      </c>
      <c r="O22" s="0" t="str">
        <f aca="false">IF(OR(F22="",N(K22)=0),"",(K22-F22)/K22-Taxas)</f>
        <v/>
      </c>
    </row>
    <row r="23" customFormat="false" ht="21" hidden="false" customHeight="true" outlineLevel="0" collapsed="false">
      <c r="B23" s="7"/>
      <c r="C23" s="37"/>
      <c r="D23" s="37"/>
      <c r="E23" s="24" t="str">
        <f aca="false">IF(B23="","",SUMIFS(Receitas!$F$5:$F$504,Receitas!$B$5:$B$504,B23))</f>
        <v/>
      </c>
      <c r="F23" s="24" t="str">
        <f aca="false">IF(AND(B23&lt;&gt;"",N(C23)&gt;0),E23*(1+Perdas)/C23,"")</f>
        <v/>
      </c>
      <c r="G23" s="24" t="str">
        <f aca="false">IF(AND(B23&lt;&gt;"",N(C23)&gt;0),N(D23)*ValorHora/C23,"")</f>
        <v/>
      </c>
      <c r="H23" s="31" t="str">
        <f aca="false">IF(AND(B23&lt;&gt;"",N(C23)&gt;0),F23+G23,"")</f>
        <v/>
      </c>
      <c r="I23" s="24" t="str">
        <f aca="false">IF(H23="","",H23/(1-Taxas))</f>
        <v/>
      </c>
      <c r="J23" s="31" t="str">
        <f aca="false">IF(H23="","",IF(Taxas+LucroDesejado&gt;=1,"",IF(H23/(1-Taxas-LucroDesejado)&lt;3,CEILING(H23/(1-Taxas-LucroDesejado),0.1),CEILING(H23/(1-Taxas-LucroDesejado),0.5))))</f>
        <v/>
      </c>
      <c r="K23" s="38"/>
      <c r="L23" s="24" t="str">
        <f aca="false">IF(OR(H23="",N(K23)=0),"",K23-H23-K23*Taxas)</f>
        <v/>
      </c>
      <c r="M23" s="30" t="str">
        <f aca="false">IF(L23="","",L23/K23)</f>
        <v/>
      </c>
      <c r="N23" s="34" t="str">
        <f aca="false">IF(B23="","",IF(N(C23)=0,"Falta o rendimento",IF(N(E23)=0,"Falta a receita",IF(N(K23)=0,"Falta o seu preço",IF(K23&lt;F23/(1-Taxas),"Prejuízo",IF(K23&lt;I23,"Não paga o seu tempo",IF(K23&lt;J23-0.005,"Abaixo do sugerido","Preço bom")))))))</f>
        <v/>
      </c>
      <c r="O23" s="0" t="str">
        <f aca="false">IF(OR(F23="",N(K23)=0),"",(K23-F23)/K23-Taxas)</f>
        <v/>
      </c>
    </row>
    <row r="24" customFormat="false" ht="21" hidden="false" customHeight="true" outlineLevel="0" collapsed="false">
      <c r="B24" s="7"/>
      <c r="C24" s="37"/>
      <c r="D24" s="37"/>
      <c r="E24" s="24" t="str">
        <f aca="false">IF(B24="","",SUMIFS(Receitas!$F$5:$F$504,Receitas!$B$5:$B$504,B24))</f>
        <v/>
      </c>
      <c r="F24" s="24" t="str">
        <f aca="false">IF(AND(B24&lt;&gt;"",N(C24)&gt;0),E24*(1+Perdas)/C24,"")</f>
        <v/>
      </c>
      <c r="G24" s="24" t="str">
        <f aca="false">IF(AND(B24&lt;&gt;"",N(C24)&gt;0),N(D24)*ValorHora/C24,"")</f>
        <v/>
      </c>
      <c r="H24" s="31" t="str">
        <f aca="false">IF(AND(B24&lt;&gt;"",N(C24)&gt;0),F24+G24,"")</f>
        <v/>
      </c>
      <c r="I24" s="24" t="str">
        <f aca="false">IF(H24="","",H24/(1-Taxas))</f>
        <v/>
      </c>
      <c r="J24" s="31" t="str">
        <f aca="false">IF(H24="","",IF(Taxas+LucroDesejado&gt;=1,"",IF(H24/(1-Taxas-LucroDesejado)&lt;3,CEILING(H24/(1-Taxas-LucroDesejado),0.1),CEILING(H24/(1-Taxas-LucroDesejado),0.5))))</f>
        <v/>
      </c>
      <c r="K24" s="38"/>
      <c r="L24" s="24" t="str">
        <f aca="false">IF(OR(H24="",N(K24)=0),"",K24-H24-K24*Taxas)</f>
        <v/>
      </c>
      <c r="M24" s="30" t="str">
        <f aca="false">IF(L24="","",L24/K24)</f>
        <v/>
      </c>
      <c r="N24" s="34" t="str">
        <f aca="false">IF(B24="","",IF(N(C24)=0,"Falta o rendimento",IF(N(E24)=0,"Falta a receita",IF(N(K24)=0,"Falta o seu preço",IF(K24&lt;F24/(1-Taxas),"Prejuízo",IF(K24&lt;I24,"Não paga o seu tempo",IF(K24&lt;J24-0.005,"Abaixo do sugerido","Preço bom")))))))</f>
        <v/>
      </c>
      <c r="O24" s="0" t="str">
        <f aca="false">IF(OR(F24="",N(K24)=0),"",(K24-F24)/K24-Taxas)</f>
        <v/>
      </c>
    </row>
    <row r="25" customFormat="false" ht="21" hidden="false" customHeight="true" outlineLevel="0" collapsed="false">
      <c r="B25" s="7"/>
      <c r="C25" s="37"/>
      <c r="D25" s="37"/>
      <c r="E25" s="24" t="str">
        <f aca="false">IF(B25="","",SUMIFS(Receitas!$F$5:$F$504,Receitas!$B$5:$B$504,B25))</f>
        <v/>
      </c>
      <c r="F25" s="24" t="str">
        <f aca="false">IF(AND(B25&lt;&gt;"",N(C25)&gt;0),E25*(1+Perdas)/C25,"")</f>
        <v/>
      </c>
      <c r="G25" s="24" t="str">
        <f aca="false">IF(AND(B25&lt;&gt;"",N(C25)&gt;0),N(D25)*ValorHora/C25,"")</f>
        <v/>
      </c>
      <c r="H25" s="31" t="str">
        <f aca="false">IF(AND(B25&lt;&gt;"",N(C25)&gt;0),F25+G25,"")</f>
        <v/>
      </c>
      <c r="I25" s="24" t="str">
        <f aca="false">IF(H25="","",H25/(1-Taxas))</f>
        <v/>
      </c>
      <c r="J25" s="31" t="str">
        <f aca="false">IF(H25="","",IF(Taxas+LucroDesejado&gt;=1,"",IF(H25/(1-Taxas-LucroDesejado)&lt;3,CEILING(H25/(1-Taxas-LucroDesejado),0.1),CEILING(H25/(1-Taxas-LucroDesejado),0.5))))</f>
        <v/>
      </c>
      <c r="K25" s="38"/>
      <c r="L25" s="24" t="str">
        <f aca="false">IF(OR(H25="",N(K25)=0),"",K25-H25-K25*Taxas)</f>
        <v/>
      </c>
      <c r="M25" s="30" t="str">
        <f aca="false">IF(L25="","",L25/K25)</f>
        <v/>
      </c>
      <c r="N25" s="34" t="str">
        <f aca="false">IF(B25="","",IF(N(C25)=0,"Falta o rendimento",IF(N(E25)=0,"Falta a receita",IF(N(K25)=0,"Falta o seu preço",IF(K25&lt;F25/(1-Taxas),"Prejuízo",IF(K25&lt;I25,"Não paga o seu tempo",IF(K25&lt;J25-0.005,"Abaixo do sugerido","Preço bom")))))))</f>
        <v/>
      </c>
      <c r="O25" s="0" t="str">
        <f aca="false">IF(OR(F25="",N(K25)=0),"",(K25-F25)/K25-Taxas)</f>
        <v/>
      </c>
    </row>
    <row r="26" customFormat="false" ht="21" hidden="false" customHeight="true" outlineLevel="0" collapsed="false">
      <c r="B26" s="7"/>
      <c r="C26" s="37"/>
      <c r="D26" s="37"/>
      <c r="E26" s="24" t="str">
        <f aca="false">IF(B26="","",SUMIFS(Receitas!$F$5:$F$504,Receitas!$B$5:$B$504,B26))</f>
        <v/>
      </c>
      <c r="F26" s="24" t="str">
        <f aca="false">IF(AND(B26&lt;&gt;"",N(C26)&gt;0),E26*(1+Perdas)/C26,"")</f>
        <v/>
      </c>
      <c r="G26" s="24" t="str">
        <f aca="false">IF(AND(B26&lt;&gt;"",N(C26)&gt;0),N(D26)*ValorHora/C26,"")</f>
        <v/>
      </c>
      <c r="H26" s="31" t="str">
        <f aca="false">IF(AND(B26&lt;&gt;"",N(C26)&gt;0),F26+G26,"")</f>
        <v/>
      </c>
      <c r="I26" s="24" t="str">
        <f aca="false">IF(H26="","",H26/(1-Taxas))</f>
        <v/>
      </c>
      <c r="J26" s="31" t="str">
        <f aca="false">IF(H26="","",IF(Taxas+LucroDesejado&gt;=1,"",IF(H26/(1-Taxas-LucroDesejado)&lt;3,CEILING(H26/(1-Taxas-LucroDesejado),0.1),CEILING(H26/(1-Taxas-LucroDesejado),0.5))))</f>
        <v/>
      </c>
      <c r="K26" s="38"/>
      <c r="L26" s="24" t="str">
        <f aca="false">IF(OR(H26="",N(K26)=0),"",K26-H26-K26*Taxas)</f>
        <v/>
      </c>
      <c r="M26" s="30" t="str">
        <f aca="false">IF(L26="","",L26/K26)</f>
        <v/>
      </c>
      <c r="N26" s="34" t="str">
        <f aca="false">IF(B26="","",IF(N(C26)=0,"Falta o rendimento",IF(N(E26)=0,"Falta a receita",IF(N(K26)=0,"Falta o seu preço",IF(K26&lt;F26/(1-Taxas),"Prejuízo",IF(K26&lt;I26,"Não paga o seu tempo",IF(K26&lt;J26-0.005,"Abaixo do sugerido","Preço bom")))))))</f>
        <v/>
      </c>
      <c r="O26" s="0" t="str">
        <f aca="false">IF(OR(F26="",N(K26)=0),"",(K26-F26)/K26-Taxas)</f>
        <v/>
      </c>
    </row>
    <row r="27" customFormat="false" ht="21" hidden="false" customHeight="true" outlineLevel="0" collapsed="false">
      <c r="B27" s="7"/>
      <c r="C27" s="37"/>
      <c r="D27" s="37"/>
      <c r="E27" s="24" t="str">
        <f aca="false">IF(B27="","",SUMIFS(Receitas!$F$5:$F$504,Receitas!$B$5:$B$504,B27))</f>
        <v/>
      </c>
      <c r="F27" s="24" t="str">
        <f aca="false">IF(AND(B27&lt;&gt;"",N(C27)&gt;0),E27*(1+Perdas)/C27,"")</f>
        <v/>
      </c>
      <c r="G27" s="24" t="str">
        <f aca="false">IF(AND(B27&lt;&gt;"",N(C27)&gt;0),N(D27)*ValorHora/C27,"")</f>
        <v/>
      </c>
      <c r="H27" s="31" t="str">
        <f aca="false">IF(AND(B27&lt;&gt;"",N(C27)&gt;0),F27+G27,"")</f>
        <v/>
      </c>
      <c r="I27" s="24" t="str">
        <f aca="false">IF(H27="","",H27/(1-Taxas))</f>
        <v/>
      </c>
      <c r="J27" s="31" t="str">
        <f aca="false">IF(H27="","",IF(Taxas+LucroDesejado&gt;=1,"",IF(H27/(1-Taxas-LucroDesejado)&lt;3,CEILING(H27/(1-Taxas-LucroDesejado),0.1),CEILING(H27/(1-Taxas-LucroDesejado),0.5))))</f>
        <v/>
      </c>
      <c r="K27" s="38"/>
      <c r="L27" s="24" t="str">
        <f aca="false">IF(OR(H27="",N(K27)=0),"",K27-H27-K27*Taxas)</f>
        <v/>
      </c>
      <c r="M27" s="30" t="str">
        <f aca="false">IF(L27="","",L27/K27)</f>
        <v/>
      </c>
      <c r="N27" s="34" t="str">
        <f aca="false">IF(B27="","",IF(N(C27)=0,"Falta o rendimento",IF(N(E27)=0,"Falta a receita",IF(N(K27)=0,"Falta o seu preço",IF(K27&lt;F27/(1-Taxas),"Prejuízo",IF(K27&lt;I27,"Não paga o seu tempo",IF(K27&lt;J27-0.005,"Abaixo do sugerido","Preço bom")))))))</f>
        <v/>
      </c>
      <c r="O27" s="0" t="str">
        <f aca="false">IF(OR(F27="",N(K27)=0),"",(K27-F27)/K27-Taxas)</f>
        <v/>
      </c>
    </row>
    <row r="28" customFormat="false" ht="21" hidden="false" customHeight="true" outlineLevel="0" collapsed="false">
      <c r="B28" s="7"/>
      <c r="C28" s="37"/>
      <c r="D28" s="37"/>
      <c r="E28" s="24" t="str">
        <f aca="false">IF(B28="","",SUMIFS(Receitas!$F$5:$F$504,Receitas!$B$5:$B$504,B28))</f>
        <v/>
      </c>
      <c r="F28" s="24" t="str">
        <f aca="false">IF(AND(B28&lt;&gt;"",N(C28)&gt;0),E28*(1+Perdas)/C28,"")</f>
        <v/>
      </c>
      <c r="G28" s="24" t="str">
        <f aca="false">IF(AND(B28&lt;&gt;"",N(C28)&gt;0),N(D28)*ValorHora/C28,"")</f>
        <v/>
      </c>
      <c r="H28" s="31" t="str">
        <f aca="false">IF(AND(B28&lt;&gt;"",N(C28)&gt;0),F28+G28,"")</f>
        <v/>
      </c>
      <c r="I28" s="24" t="str">
        <f aca="false">IF(H28="","",H28/(1-Taxas))</f>
        <v/>
      </c>
      <c r="J28" s="31" t="str">
        <f aca="false">IF(H28="","",IF(Taxas+LucroDesejado&gt;=1,"",IF(H28/(1-Taxas-LucroDesejado)&lt;3,CEILING(H28/(1-Taxas-LucroDesejado),0.1),CEILING(H28/(1-Taxas-LucroDesejado),0.5))))</f>
        <v/>
      </c>
      <c r="K28" s="38"/>
      <c r="L28" s="24" t="str">
        <f aca="false">IF(OR(H28="",N(K28)=0),"",K28-H28-K28*Taxas)</f>
        <v/>
      </c>
      <c r="M28" s="30" t="str">
        <f aca="false">IF(L28="","",L28/K28)</f>
        <v/>
      </c>
      <c r="N28" s="34" t="str">
        <f aca="false">IF(B28="","",IF(N(C28)=0,"Falta o rendimento",IF(N(E28)=0,"Falta a receita",IF(N(K28)=0,"Falta o seu preço",IF(K28&lt;F28/(1-Taxas),"Prejuízo",IF(K28&lt;I28,"Não paga o seu tempo",IF(K28&lt;J28-0.005,"Abaixo do sugerido","Preço bom")))))))</f>
        <v/>
      </c>
      <c r="O28" s="0" t="str">
        <f aca="false">IF(OR(F28="",N(K28)=0),"",(K28-F28)/K28-Taxas)</f>
        <v/>
      </c>
    </row>
    <row r="29" customFormat="false" ht="21" hidden="false" customHeight="true" outlineLevel="0" collapsed="false">
      <c r="B29" s="7"/>
      <c r="C29" s="37"/>
      <c r="D29" s="37"/>
      <c r="E29" s="24" t="str">
        <f aca="false">IF(B29="","",SUMIFS(Receitas!$F$5:$F$504,Receitas!$B$5:$B$504,B29))</f>
        <v/>
      </c>
      <c r="F29" s="24" t="str">
        <f aca="false">IF(AND(B29&lt;&gt;"",N(C29)&gt;0),E29*(1+Perdas)/C29,"")</f>
        <v/>
      </c>
      <c r="G29" s="24" t="str">
        <f aca="false">IF(AND(B29&lt;&gt;"",N(C29)&gt;0),N(D29)*ValorHora/C29,"")</f>
        <v/>
      </c>
      <c r="H29" s="31" t="str">
        <f aca="false">IF(AND(B29&lt;&gt;"",N(C29)&gt;0),F29+G29,"")</f>
        <v/>
      </c>
      <c r="I29" s="24" t="str">
        <f aca="false">IF(H29="","",H29/(1-Taxas))</f>
        <v/>
      </c>
      <c r="J29" s="31" t="str">
        <f aca="false">IF(H29="","",IF(Taxas+LucroDesejado&gt;=1,"",IF(H29/(1-Taxas-LucroDesejado)&lt;3,CEILING(H29/(1-Taxas-LucroDesejado),0.1),CEILING(H29/(1-Taxas-LucroDesejado),0.5))))</f>
        <v/>
      </c>
      <c r="K29" s="38"/>
      <c r="L29" s="24" t="str">
        <f aca="false">IF(OR(H29="",N(K29)=0),"",K29-H29-K29*Taxas)</f>
        <v/>
      </c>
      <c r="M29" s="30" t="str">
        <f aca="false">IF(L29="","",L29/K29)</f>
        <v/>
      </c>
      <c r="N29" s="34" t="str">
        <f aca="false">IF(B29="","",IF(N(C29)=0,"Falta o rendimento",IF(N(E29)=0,"Falta a receita",IF(N(K29)=0,"Falta o seu preço",IF(K29&lt;F29/(1-Taxas),"Prejuízo",IF(K29&lt;I29,"Não paga o seu tempo",IF(K29&lt;J29-0.005,"Abaixo do sugerido","Preço bom")))))))</f>
        <v/>
      </c>
      <c r="O29" s="0" t="str">
        <f aca="false">IF(OR(F29="",N(K29)=0),"",(K29-F29)/K29-Taxas)</f>
        <v/>
      </c>
    </row>
    <row r="30" customFormat="false" ht="21" hidden="false" customHeight="true" outlineLevel="0" collapsed="false">
      <c r="B30" s="7"/>
      <c r="C30" s="37"/>
      <c r="D30" s="37"/>
      <c r="E30" s="24" t="str">
        <f aca="false">IF(B30="","",SUMIFS(Receitas!$F$5:$F$504,Receitas!$B$5:$B$504,B30))</f>
        <v/>
      </c>
      <c r="F30" s="24" t="str">
        <f aca="false">IF(AND(B30&lt;&gt;"",N(C30)&gt;0),E30*(1+Perdas)/C30,"")</f>
        <v/>
      </c>
      <c r="G30" s="24" t="str">
        <f aca="false">IF(AND(B30&lt;&gt;"",N(C30)&gt;0),N(D30)*ValorHora/C30,"")</f>
        <v/>
      </c>
      <c r="H30" s="31" t="str">
        <f aca="false">IF(AND(B30&lt;&gt;"",N(C30)&gt;0),F30+G30,"")</f>
        <v/>
      </c>
      <c r="I30" s="24" t="str">
        <f aca="false">IF(H30="","",H30/(1-Taxas))</f>
        <v/>
      </c>
      <c r="J30" s="31" t="str">
        <f aca="false">IF(H30="","",IF(Taxas+LucroDesejado&gt;=1,"",IF(H30/(1-Taxas-LucroDesejado)&lt;3,CEILING(H30/(1-Taxas-LucroDesejado),0.1),CEILING(H30/(1-Taxas-LucroDesejado),0.5))))</f>
        <v/>
      </c>
      <c r="K30" s="38"/>
      <c r="L30" s="24" t="str">
        <f aca="false">IF(OR(H30="",N(K30)=0),"",K30-H30-K30*Taxas)</f>
        <v/>
      </c>
      <c r="M30" s="30" t="str">
        <f aca="false">IF(L30="","",L30/K30)</f>
        <v/>
      </c>
      <c r="N30" s="34" t="str">
        <f aca="false">IF(B30="","",IF(N(C30)=0,"Falta o rendimento",IF(N(E30)=0,"Falta a receita",IF(N(K30)=0,"Falta o seu preço",IF(K30&lt;F30/(1-Taxas),"Prejuízo",IF(K30&lt;I30,"Não paga o seu tempo",IF(K30&lt;J30-0.005,"Abaixo do sugerido","Preço bom")))))))</f>
        <v/>
      </c>
      <c r="O30" s="0" t="str">
        <f aca="false">IF(OR(F30="",N(K30)=0),"",(K30-F30)/K30-Taxas)</f>
        <v/>
      </c>
    </row>
    <row r="31" customFormat="false" ht="21" hidden="false" customHeight="true" outlineLevel="0" collapsed="false">
      <c r="B31" s="7"/>
      <c r="C31" s="37"/>
      <c r="D31" s="37"/>
      <c r="E31" s="24" t="str">
        <f aca="false">IF(B31="","",SUMIFS(Receitas!$F$5:$F$504,Receitas!$B$5:$B$504,B31))</f>
        <v/>
      </c>
      <c r="F31" s="24" t="str">
        <f aca="false">IF(AND(B31&lt;&gt;"",N(C31)&gt;0),E31*(1+Perdas)/C31,"")</f>
        <v/>
      </c>
      <c r="G31" s="24" t="str">
        <f aca="false">IF(AND(B31&lt;&gt;"",N(C31)&gt;0),N(D31)*ValorHora/C31,"")</f>
        <v/>
      </c>
      <c r="H31" s="31" t="str">
        <f aca="false">IF(AND(B31&lt;&gt;"",N(C31)&gt;0),F31+G31,"")</f>
        <v/>
      </c>
      <c r="I31" s="24" t="str">
        <f aca="false">IF(H31="","",H31/(1-Taxas))</f>
        <v/>
      </c>
      <c r="J31" s="31" t="str">
        <f aca="false">IF(H31="","",IF(Taxas+LucroDesejado&gt;=1,"",IF(H31/(1-Taxas-LucroDesejado)&lt;3,CEILING(H31/(1-Taxas-LucroDesejado),0.1),CEILING(H31/(1-Taxas-LucroDesejado),0.5))))</f>
        <v/>
      </c>
      <c r="K31" s="38"/>
      <c r="L31" s="24" t="str">
        <f aca="false">IF(OR(H31="",N(K31)=0),"",K31-H31-K31*Taxas)</f>
        <v/>
      </c>
      <c r="M31" s="30" t="str">
        <f aca="false">IF(L31="","",L31/K31)</f>
        <v/>
      </c>
      <c r="N31" s="34" t="str">
        <f aca="false">IF(B31="","",IF(N(C31)=0,"Falta o rendimento",IF(N(E31)=0,"Falta a receita",IF(N(K31)=0,"Falta o seu preço",IF(K31&lt;F31/(1-Taxas),"Prejuízo",IF(K31&lt;I31,"Não paga o seu tempo",IF(K31&lt;J31-0.005,"Abaixo do sugerido","Preço bom")))))))</f>
        <v/>
      </c>
      <c r="O31" s="0" t="str">
        <f aca="false">IF(OR(F31="",N(K31)=0),"",(K31-F31)/K31-Taxas)</f>
        <v/>
      </c>
    </row>
    <row r="32" customFormat="false" ht="21" hidden="false" customHeight="true" outlineLevel="0" collapsed="false">
      <c r="B32" s="7"/>
      <c r="C32" s="37"/>
      <c r="D32" s="37"/>
      <c r="E32" s="24" t="str">
        <f aca="false">IF(B32="","",SUMIFS(Receitas!$F$5:$F$504,Receitas!$B$5:$B$504,B32))</f>
        <v/>
      </c>
      <c r="F32" s="24" t="str">
        <f aca="false">IF(AND(B32&lt;&gt;"",N(C32)&gt;0),E32*(1+Perdas)/C32,"")</f>
        <v/>
      </c>
      <c r="G32" s="24" t="str">
        <f aca="false">IF(AND(B32&lt;&gt;"",N(C32)&gt;0),N(D32)*ValorHora/C32,"")</f>
        <v/>
      </c>
      <c r="H32" s="31" t="str">
        <f aca="false">IF(AND(B32&lt;&gt;"",N(C32)&gt;0),F32+G32,"")</f>
        <v/>
      </c>
      <c r="I32" s="24" t="str">
        <f aca="false">IF(H32="","",H32/(1-Taxas))</f>
        <v/>
      </c>
      <c r="J32" s="31" t="str">
        <f aca="false">IF(H32="","",IF(Taxas+LucroDesejado&gt;=1,"",IF(H32/(1-Taxas-LucroDesejado)&lt;3,CEILING(H32/(1-Taxas-LucroDesejado),0.1),CEILING(H32/(1-Taxas-LucroDesejado),0.5))))</f>
        <v/>
      </c>
      <c r="K32" s="38"/>
      <c r="L32" s="24" t="str">
        <f aca="false">IF(OR(H32="",N(K32)=0),"",K32-H32-K32*Taxas)</f>
        <v/>
      </c>
      <c r="M32" s="30" t="str">
        <f aca="false">IF(L32="","",L32/K32)</f>
        <v/>
      </c>
      <c r="N32" s="34" t="str">
        <f aca="false">IF(B32="","",IF(N(C32)=0,"Falta o rendimento",IF(N(E32)=0,"Falta a receita",IF(N(K32)=0,"Falta o seu preço",IF(K32&lt;F32/(1-Taxas),"Prejuízo",IF(K32&lt;I32,"Não paga o seu tempo",IF(K32&lt;J32-0.005,"Abaixo do sugerido","Preço bom")))))))</f>
        <v/>
      </c>
      <c r="O32" s="0" t="str">
        <f aca="false">IF(OR(F32="",N(K32)=0),"",(K32-F32)/K32-Taxas)</f>
        <v/>
      </c>
    </row>
    <row r="33" customFormat="false" ht="21" hidden="false" customHeight="true" outlineLevel="0" collapsed="false">
      <c r="B33" s="7"/>
      <c r="C33" s="37"/>
      <c r="D33" s="37"/>
      <c r="E33" s="24" t="str">
        <f aca="false">IF(B33="","",SUMIFS(Receitas!$F$5:$F$504,Receitas!$B$5:$B$504,B33))</f>
        <v/>
      </c>
      <c r="F33" s="24" t="str">
        <f aca="false">IF(AND(B33&lt;&gt;"",N(C33)&gt;0),E33*(1+Perdas)/C33,"")</f>
        <v/>
      </c>
      <c r="G33" s="24" t="str">
        <f aca="false">IF(AND(B33&lt;&gt;"",N(C33)&gt;0),N(D33)*ValorHora/C33,"")</f>
        <v/>
      </c>
      <c r="H33" s="31" t="str">
        <f aca="false">IF(AND(B33&lt;&gt;"",N(C33)&gt;0),F33+G33,"")</f>
        <v/>
      </c>
      <c r="I33" s="24" t="str">
        <f aca="false">IF(H33="","",H33/(1-Taxas))</f>
        <v/>
      </c>
      <c r="J33" s="31" t="str">
        <f aca="false">IF(H33="","",IF(Taxas+LucroDesejado&gt;=1,"",IF(H33/(1-Taxas-LucroDesejado)&lt;3,CEILING(H33/(1-Taxas-LucroDesejado),0.1),CEILING(H33/(1-Taxas-LucroDesejado),0.5))))</f>
        <v/>
      </c>
      <c r="K33" s="38"/>
      <c r="L33" s="24" t="str">
        <f aca="false">IF(OR(H33="",N(K33)=0),"",K33-H33-K33*Taxas)</f>
        <v/>
      </c>
      <c r="M33" s="30" t="str">
        <f aca="false">IF(L33="","",L33/K33)</f>
        <v/>
      </c>
      <c r="N33" s="34" t="str">
        <f aca="false">IF(B33="","",IF(N(C33)=0,"Falta o rendimento",IF(N(E33)=0,"Falta a receita",IF(N(K33)=0,"Falta o seu preço",IF(K33&lt;F33/(1-Taxas),"Prejuízo",IF(K33&lt;I33,"Não paga o seu tempo",IF(K33&lt;J33-0.005,"Abaixo do sugerido","Preço bom")))))))</f>
        <v/>
      </c>
      <c r="O33" s="0" t="str">
        <f aca="false">IF(OR(F33="",N(K33)=0),"",(K33-F33)/K33-Taxas)</f>
        <v/>
      </c>
    </row>
    <row r="34" customFormat="false" ht="21" hidden="false" customHeight="true" outlineLevel="0" collapsed="false">
      <c r="B34" s="7"/>
      <c r="C34" s="37"/>
      <c r="D34" s="37"/>
      <c r="E34" s="24" t="str">
        <f aca="false">IF(B34="","",SUMIFS(Receitas!$F$5:$F$504,Receitas!$B$5:$B$504,B34))</f>
        <v/>
      </c>
      <c r="F34" s="24" t="str">
        <f aca="false">IF(AND(B34&lt;&gt;"",N(C34)&gt;0),E34*(1+Perdas)/C34,"")</f>
        <v/>
      </c>
      <c r="G34" s="24" t="str">
        <f aca="false">IF(AND(B34&lt;&gt;"",N(C34)&gt;0),N(D34)*ValorHora/C34,"")</f>
        <v/>
      </c>
      <c r="H34" s="31" t="str">
        <f aca="false">IF(AND(B34&lt;&gt;"",N(C34)&gt;0),F34+G34,"")</f>
        <v/>
      </c>
      <c r="I34" s="24" t="str">
        <f aca="false">IF(H34="","",H34/(1-Taxas))</f>
        <v/>
      </c>
      <c r="J34" s="31" t="str">
        <f aca="false">IF(H34="","",IF(Taxas+LucroDesejado&gt;=1,"",IF(H34/(1-Taxas-LucroDesejado)&lt;3,CEILING(H34/(1-Taxas-LucroDesejado),0.1),CEILING(H34/(1-Taxas-LucroDesejado),0.5))))</f>
        <v/>
      </c>
      <c r="K34" s="38"/>
      <c r="L34" s="24" t="str">
        <f aca="false">IF(OR(H34="",N(K34)=0),"",K34-H34-K34*Taxas)</f>
        <v/>
      </c>
      <c r="M34" s="30" t="str">
        <f aca="false">IF(L34="","",L34/K34)</f>
        <v/>
      </c>
      <c r="N34" s="34" t="str">
        <f aca="false">IF(B34="","",IF(N(C34)=0,"Falta o rendimento",IF(N(E34)=0,"Falta a receita",IF(N(K34)=0,"Falta o seu preço",IF(K34&lt;F34/(1-Taxas),"Prejuízo",IF(K34&lt;I34,"Não paga o seu tempo",IF(K34&lt;J34-0.005,"Abaixo do sugerido","Preço bom")))))))</f>
        <v/>
      </c>
      <c r="O34" s="0" t="str">
        <f aca="false">IF(OR(F34="",N(K34)=0),"",(K34-F34)/K34-Taxas)</f>
        <v/>
      </c>
    </row>
    <row r="35" customFormat="false" ht="21" hidden="false" customHeight="true" outlineLevel="0" collapsed="false">
      <c r="B35" s="7"/>
      <c r="C35" s="37"/>
      <c r="D35" s="37"/>
      <c r="E35" s="24" t="str">
        <f aca="false">IF(B35="","",SUMIFS(Receitas!$F$5:$F$504,Receitas!$B$5:$B$504,B35))</f>
        <v/>
      </c>
      <c r="F35" s="24" t="str">
        <f aca="false">IF(AND(B35&lt;&gt;"",N(C35)&gt;0),E35*(1+Perdas)/C35,"")</f>
        <v/>
      </c>
      <c r="G35" s="24" t="str">
        <f aca="false">IF(AND(B35&lt;&gt;"",N(C35)&gt;0),N(D35)*ValorHora/C35,"")</f>
        <v/>
      </c>
      <c r="H35" s="31" t="str">
        <f aca="false">IF(AND(B35&lt;&gt;"",N(C35)&gt;0),F35+G35,"")</f>
        <v/>
      </c>
      <c r="I35" s="24" t="str">
        <f aca="false">IF(H35="","",H35/(1-Taxas))</f>
        <v/>
      </c>
      <c r="J35" s="31" t="str">
        <f aca="false">IF(H35="","",IF(Taxas+LucroDesejado&gt;=1,"",IF(H35/(1-Taxas-LucroDesejado)&lt;3,CEILING(H35/(1-Taxas-LucroDesejado),0.1),CEILING(H35/(1-Taxas-LucroDesejado),0.5))))</f>
        <v/>
      </c>
      <c r="K35" s="38"/>
      <c r="L35" s="24" t="str">
        <f aca="false">IF(OR(H35="",N(K35)=0),"",K35-H35-K35*Taxas)</f>
        <v/>
      </c>
      <c r="M35" s="30" t="str">
        <f aca="false">IF(L35="","",L35/K35)</f>
        <v/>
      </c>
      <c r="N35" s="34" t="str">
        <f aca="false">IF(B35="","",IF(N(C35)=0,"Falta o rendimento",IF(N(E35)=0,"Falta a receita",IF(N(K35)=0,"Falta o seu preço",IF(K35&lt;F35/(1-Taxas),"Prejuízo",IF(K35&lt;I35,"Não paga o seu tempo",IF(K35&lt;J35-0.005,"Abaixo do sugerido","Preço bom")))))))</f>
        <v/>
      </c>
      <c r="O35" s="0" t="str">
        <f aca="false">IF(OR(F35="",N(K35)=0),"",(K35-F35)/K35-Taxas)</f>
        <v/>
      </c>
    </row>
    <row r="36" customFormat="false" ht="21" hidden="false" customHeight="true" outlineLevel="0" collapsed="false">
      <c r="B36" s="7"/>
      <c r="C36" s="37"/>
      <c r="D36" s="37"/>
      <c r="E36" s="24" t="str">
        <f aca="false">IF(B36="","",SUMIFS(Receitas!$F$5:$F$504,Receitas!$B$5:$B$504,B36))</f>
        <v/>
      </c>
      <c r="F36" s="24" t="str">
        <f aca="false">IF(AND(B36&lt;&gt;"",N(C36)&gt;0),E36*(1+Perdas)/C36,"")</f>
        <v/>
      </c>
      <c r="G36" s="24" t="str">
        <f aca="false">IF(AND(B36&lt;&gt;"",N(C36)&gt;0),N(D36)*ValorHora/C36,"")</f>
        <v/>
      </c>
      <c r="H36" s="31" t="str">
        <f aca="false">IF(AND(B36&lt;&gt;"",N(C36)&gt;0),F36+G36,"")</f>
        <v/>
      </c>
      <c r="I36" s="24" t="str">
        <f aca="false">IF(H36="","",H36/(1-Taxas))</f>
        <v/>
      </c>
      <c r="J36" s="31" t="str">
        <f aca="false">IF(H36="","",IF(Taxas+LucroDesejado&gt;=1,"",IF(H36/(1-Taxas-LucroDesejado)&lt;3,CEILING(H36/(1-Taxas-LucroDesejado),0.1),CEILING(H36/(1-Taxas-LucroDesejado),0.5))))</f>
        <v/>
      </c>
      <c r="K36" s="38"/>
      <c r="L36" s="24" t="str">
        <f aca="false">IF(OR(H36="",N(K36)=0),"",K36-H36-K36*Taxas)</f>
        <v/>
      </c>
      <c r="M36" s="30" t="str">
        <f aca="false">IF(L36="","",L36/K36)</f>
        <v/>
      </c>
      <c r="N36" s="34" t="str">
        <f aca="false">IF(B36="","",IF(N(C36)=0,"Falta o rendimento",IF(N(E36)=0,"Falta a receita",IF(N(K36)=0,"Falta o seu preço",IF(K36&lt;F36/(1-Taxas),"Prejuízo",IF(K36&lt;I36,"Não paga o seu tempo",IF(K36&lt;J36-0.005,"Abaixo do sugerido","Preço bom")))))))</f>
        <v/>
      </c>
      <c r="O36" s="0" t="str">
        <f aca="false">IF(OR(F36="",N(K36)=0),"",(K36-F36)/K36-Taxas)</f>
        <v/>
      </c>
    </row>
    <row r="37" customFormat="false" ht="21" hidden="false" customHeight="true" outlineLevel="0" collapsed="false">
      <c r="B37" s="7"/>
      <c r="C37" s="37"/>
      <c r="D37" s="37"/>
      <c r="E37" s="24" t="str">
        <f aca="false">IF(B37="","",SUMIFS(Receitas!$F$5:$F$504,Receitas!$B$5:$B$504,B37))</f>
        <v/>
      </c>
      <c r="F37" s="24" t="str">
        <f aca="false">IF(AND(B37&lt;&gt;"",N(C37)&gt;0),E37*(1+Perdas)/C37,"")</f>
        <v/>
      </c>
      <c r="G37" s="24" t="str">
        <f aca="false">IF(AND(B37&lt;&gt;"",N(C37)&gt;0),N(D37)*ValorHora/C37,"")</f>
        <v/>
      </c>
      <c r="H37" s="31" t="str">
        <f aca="false">IF(AND(B37&lt;&gt;"",N(C37)&gt;0),F37+G37,"")</f>
        <v/>
      </c>
      <c r="I37" s="24" t="str">
        <f aca="false">IF(H37="","",H37/(1-Taxas))</f>
        <v/>
      </c>
      <c r="J37" s="31" t="str">
        <f aca="false">IF(H37="","",IF(Taxas+LucroDesejado&gt;=1,"",IF(H37/(1-Taxas-LucroDesejado)&lt;3,CEILING(H37/(1-Taxas-LucroDesejado),0.1),CEILING(H37/(1-Taxas-LucroDesejado),0.5))))</f>
        <v/>
      </c>
      <c r="K37" s="38"/>
      <c r="L37" s="24" t="str">
        <f aca="false">IF(OR(H37="",N(K37)=0),"",K37-H37-K37*Taxas)</f>
        <v/>
      </c>
      <c r="M37" s="30" t="str">
        <f aca="false">IF(L37="","",L37/K37)</f>
        <v/>
      </c>
      <c r="N37" s="34" t="str">
        <f aca="false">IF(B37="","",IF(N(C37)=0,"Falta o rendimento",IF(N(E37)=0,"Falta a receita",IF(N(K37)=0,"Falta o seu preço",IF(K37&lt;F37/(1-Taxas),"Prejuízo",IF(K37&lt;I37,"Não paga o seu tempo",IF(K37&lt;J37-0.005,"Abaixo do sugerido","Preço bom")))))))</f>
        <v/>
      </c>
      <c r="O37" s="0" t="str">
        <f aca="false">IF(OR(F37="",N(K37)=0),"",(K37-F37)/K37-Taxas)</f>
        <v/>
      </c>
    </row>
    <row r="38" customFormat="false" ht="21" hidden="false" customHeight="true" outlineLevel="0" collapsed="false">
      <c r="B38" s="7"/>
      <c r="C38" s="37"/>
      <c r="D38" s="37"/>
      <c r="E38" s="24" t="str">
        <f aca="false">IF(B38="","",SUMIFS(Receitas!$F$5:$F$504,Receitas!$B$5:$B$504,B38))</f>
        <v/>
      </c>
      <c r="F38" s="24" t="str">
        <f aca="false">IF(AND(B38&lt;&gt;"",N(C38)&gt;0),E38*(1+Perdas)/C38,"")</f>
        <v/>
      </c>
      <c r="G38" s="24" t="str">
        <f aca="false">IF(AND(B38&lt;&gt;"",N(C38)&gt;0),N(D38)*ValorHora/C38,"")</f>
        <v/>
      </c>
      <c r="H38" s="31" t="str">
        <f aca="false">IF(AND(B38&lt;&gt;"",N(C38)&gt;0),F38+G38,"")</f>
        <v/>
      </c>
      <c r="I38" s="24" t="str">
        <f aca="false">IF(H38="","",H38/(1-Taxas))</f>
        <v/>
      </c>
      <c r="J38" s="31" t="str">
        <f aca="false">IF(H38="","",IF(Taxas+LucroDesejado&gt;=1,"",IF(H38/(1-Taxas-LucroDesejado)&lt;3,CEILING(H38/(1-Taxas-LucroDesejado),0.1),CEILING(H38/(1-Taxas-LucroDesejado),0.5))))</f>
        <v/>
      </c>
      <c r="K38" s="38"/>
      <c r="L38" s="24" t="str">
        <f aca="false">IF(OR(H38="",N(K38)=0),"",K38-H38-K38*Taxas)</f>
        <v/>
      </c>
      <c r="M38" s="30" t="str">
        <f aca="false">IF(L38="","",L38/K38)</f>
        <v/>
      </c>
      <c r="N38" s="34" t="str">
        <f aca="false">IF(B38="","",IF(N(C38)=0,"Falta o rendimento",IF(N(E38)=0,"Falta a receita",IF(N(K38)=0,"Falta o seu preço",IF(K38&lt;F38/(1-Taxas),"Prejuízo",IF(K38&lt;I38,"Não paga o seu tempo",IF(K38&lt;J38-0.005,"Abaixo do sugerido","Preço bom")))))))</f>
        <v/>
      </c>
      <c r="O38" s="0" t="str">
        <f aca="false">IF(OR(F38="",N(K38)=0),"",(K38-F38)/K38-Taxas)</f>
        <v/>
      </c>
    </row>
    <row r="39" customFormat="false" ht="21" hidden="false" customHeight="true" outlineLevel="0" collapsed="false">
      <c r="B39" s="7"/>
      <c r="C39" s="37"/>
      <c r="D39" s="37"/>
      <c r="E39" s="24" t="str">
        <f aca="false">IF(B39="","",SUMIFS(Receitas!$F$5:$F$504,Receitas!$B$5:$B$504,B39))</f>
        <v/>
      </c>
      <c r="F39" s="24" t="str">
        <f aca="false">IF(AND(B39&lt;&gt;"",N(C39)&gt;0),E39*(1+Perdas)/C39,"")</f>
        <v/>
      </c>
      <c r="G39" s="24" t="str">
        <f aca="false">IF(AND(B39&lt;&gt;"",N(C39)&gt;0),N(D39)*ValorHora/C39,"")</f>
        <v/>
      </c>
      <c r="H39" s="31" t="str">
        <f aca="false">IF(AND(B39&lt;&gt;"",N(C39)&gt;0),F39+G39,"")</f>
        <v/>
      </c>
      <c r="I39" s="24" t="str">
        <f aca="false">IF(H39="","",H39/(1-Taxas))</f>
        <v/>
      </c>
      <c r="J39" s="31" t="str">
        <f aca="false">IF(H39="","",IF(Taxas+LucroDesejado&gt;=1,"",IF(H39/(1-Taxas-LucroDesejado)&lt;3,CEILING(H39/(1-Taxas-LucroDesejado),0.1),CEILING(H39/(1-Taxas-LucroDesejado),0.5))))</f>
        <v/>
      </c>
      <c r="K39" s="38"/>
      <c r="L39" s="24" t="str">
        <f aca="false">IF(OR(H39="",N(K39)=0),"",K39-H39-K39*Taxas)</f>
        <v/>
      </c>
      <c r="M39" s="30" t="str">
        <f aca="false">IF(L39="","",L39/K39)</f>
        <v/>
      </c>
      <c r="N39" s="34" t="str">
        <f aca="false">IF(B39="","",IF(N(C39)=0,"Falta o rendimento",IF(N(E39)=0,"Falta a receita",IF(N(K39)=0,"Falta o seu preço",IF(K39&lt;F39/(1-Taxas),"Prejuízo",IF(K39&lt;I39,"Não paga o seu tempo",IF(K39&lt;J39-0.005,"Abaixo do sugerido","Preço bom")))))))</f>
        <v/>
      </c>
      <c r="O39" s="0" t="str">
        <f aca="false">IF(OR(F39="",N(K39)=0),"",(K39-F39)/K39-Taxas)</f>
        <v/>
      </c>
    </row>
    <row r="40" customFormat="false" ht="21" hidden="false" customHeight="true" outlineLevel="0" collapsed="false">
      <c r="B40" s="7"/>
      <c r="C40" s="37"/>
      <c r="D40" s="37"/>
      <c r="E40" s="24" t="str">
        <f aca="false">IF(B40="","",SUMIFS(Receitas!$F$5:$F$504,Receitas!$B$5:$B$504,B40))</f>
        <v/>
      </c>
      <c r="F40" s="24" t="str">
        <f aca="false">IF(AND(B40&lt;&gt;"",N(C40)&gt;0),E40*(1+Perdas)/C40,"")</f>
        <v/>
      </c>
      <c r="G40" s="24" t="str">
        <f aca="false">IF(AND(B40&lt;&gt;"",N(C40)&gt;0),N(D40)*ValorHora/C40,"")</f>
        <v/>
      </c>
      <c r="H40" s="31" t="str">
        <f aca="false">IF(AND(B40&lt;&gt;"",N(C40)&gt;0),F40+G40,"")</f>
        <v/>
      </c>
      <c r="I40" s="24" t="str">
        <f aca="false">IF(H40="","",H40/(1-Taxas))</f>
        <v/>
      </c>
      <c r="J40" s="31" t="str">
        <f aca="false">IF(H40="","",IF(Taxas+LucroDesejado&gt;=1,"",IF(H40/(1-Taxas-LucroDesejado)&lt;3,CEILING(H40/(1-Taxas-LucroDesejado),0.1),CEILING(H40/(1-Taxas-LucroDesejado),0.5))))</f>
        <v/>
      </c>
      <c r="K40" s="38"/>
      <c r="L40" s="24" t="str">
        <f aca="false">IF(OR(H40="",N(K40)=0),"",K40-H40-K40*Taxas)</f>
        <v/>
      </c>
      <c r="M40" s="30" t="str">
        <f aca="false">IF(L40="","",L40/K40)</f>
        <v/>
      </c>
      <c r="N40" s="34" t="str">
        <f aca="false">IF(B40="","",IF(N(C40)=0,"Falta o rendimento",IF(N(E40)=0,"Falta a receita",IF(N(K40)=0,"Falta o seu preço",IF(K40&lt;F40/(1-Taxas),"Prejuízo",IF(K40&lt;I40,"Não paga o seu tempo",IF(K40&lt;J40-0.005,"Abaixo do sugerido","Preço bom")))))))</f>
        <v/>
      </c>
      <c r="O40" s="0" t="str">
        <f aca="false">IF(OR(F40="",N(K40)=0),"",(K40-F40)/K40-Taxas)</f>
        <v/>
      </c>
    </row>
    <row r="41" customFormat="false" ht="21" hidden="false" customHeight="true" outlineLevel="0" collapsed="false">
      <c r="B41" s="7"/>
      <c r="C41" s="37"/>
      <c r="D41" s="37"/>
      <c r="E41" s="24" t="str">
        <f aca="false">IF(B41="","",SUMIFS(Receitas!$F$5:$F$504,Receitas!$B$5:$B$504,B41))</f>
        <v/>
      </c>
      <c r="F41" s="24" t="str">
        <f aca="false">IF(AND(B41&lt;&gt;"",N(C41)&gt;0),E41*(1+Perdas)/C41,"")</f>
        <v/>
      </c>
      <c r="G41" s="24" t="str">
        <f aca="false">IF(AND(B41&lt;&gt;"",N(C41)&gt;0),N(D41)*ValorHora/C41,"")</f>
        <v/>
      </c>
      <c r="H41" s="31" t="str">
        <f aca="false">IF(AND(B41&lt;&gt;"",N(C41)&gt;0),F41+G41,"")</f>
        <v/>
      </c>
      <c r="I41" s="24" t="str">
        <f aca="false">IF(H41="","",H41/(1-Taxas))</f>
        <v/>
      </c>
      <c r="J41" s="31" t="str">
        <f aca="false">IF(H41="","",IF(Taxas+LucroDesejado&gt;=1,"",IF(H41/(1-Taxas-LucroDesejado)&lt;3,CEILING(H41/(1-Taxas-LucroDesejado),0.1),CEILING(H41/(1-Taxas-LucroDesejado),0.5))))</f>
        <v/>
      </c>
      <c r="K41" s="38"/>
      <c r="L41" s="24" t="str">
        <f aca="false">IF(OR(H41="",N(K41)=0),"",K41-H41-K41*Taxas)</f>
        <v/>
      </c>
      <c r="M41" s="30" t="str">
        <f aca="false">IF(L41="","",L41/K41)</f>
        <v/>
      </c>
      <c r="N41" s="34" t="str">
        <f aca="false">IF(B41="","",IF(N(C41)=0,"Falta o rendimento",IF(N(E41)=0,"Falta a receita",IF(N(K41)=0,"Falta o seu preço",IF(K41&lt;F41/(1-Taxas),"Prejuízo",IF(K41&lt;I41,"Não paga o seu tempo",IF(K41&lt;J41-0.005,"Abaixo do sugerido","Preço bom")))))))</f>
        <v/>
      </c>
      <c r="O41" s="0" t="str">
        <f aca="false">IF(OR(F41="",N(K41)=0),"",(K41-F41)/K41-Taxas)</f>
        <v/>
      </c>
    </row>
    <row r="42" customFormat="false" ht="21" hidden="false" customHeight="true" outlineLevel="0" collapsed="false">
      <c r="B42" s="7"/>
      <c r="C42" s="37"/>
      <c r="D42" s="37"/>
      <c r="E42" s="24" t="str">
        <f aca="false">IF(B42="","",SUMIFS(Receitas!$F$5:$F$504,Receitas!$B$5:$B$504,B42))</f>
        <v/>
      </c>
      <c r="F42" s="24" t="str">
        <f aca="false">IF(AND(B42&lt;&gt;"",N(C42)&gt;0),E42*(1+Perdas)/C42,"")</f>
        <v/>
      </c>
      <c r="G42" s="24" t="str">
        <f aca="false">IF(AND(B42&lt;&gt;"",N(C42)&gt;0),N(D42)*ValorHora/C42,"")</f>
        <v/>
      </c>
      <c r="H42" s="31" t="str">
        <f aca="false">IF(AND(B42&lt;&gt;"",N(C42)&gt;0),F42+G42,"")</f>
        <v/>
      </c>
      <c r="I42" s="24" t="str">
        <f aca="false">IF(H42="","",H42/(1-Taxas))</f>
        <v/>
      </c>
      <c r="J42" s="31" t="str">
        <f aca="false">IF(H42="","",IF(Taxas+LucroDesejado&gt;=1,"",IF(H42/(1-Taxas-LucroDesejado)&lt;3,CEILING(H42/(1-Taxas-LucroDesejado),0.1),CEILING(H42/(1-Taxas-LucroDesejado),0.5))))</f>
        <v/>
      </c>
      <c r="K42" s="38"/>
      <c r="L42" s="24" t="str">
        <f aca="false">IF(OR(H42="",N(K42)=0),"",K42-H42-K42*Taxas)</f>
        <v/>
      </c>
      <c r="M42" s="30" t="str">
        <f aca="false">IF(L42="","",L42/K42)</f>
        <v/>
      </c>
      <c r="N42" s="34" t="str">
        <f aca="false">IF(B42="","",IF(N(C42)=0,"Falta o rendimento",IF(N(E42)=0,"Falta a receita",IF(N(K42)=0,"Falta o seu preço",IF(K42&lt;F42/(1-Taxas),"Prejuízo",IF(K42&lt;I42,"Não paga o seu tempo",IF(K42&lt;J42-0.005,"Abaixo do sugerido","Preço bom")))))))</f>
        <v/>
      </c>
      <c r="O42" s="0" t="str">
        <f aca="false">IF(OR(F42="",N(K42)=0),"",(K42-F42)/K42-Taxas)</f>
        <v/>
      </c>
    </row>
    <row r="43" customFormat="false" ht="21" hidden="false" customHeight="true" outlineLevel="0" collapsed="false">
      <c r="B43" s="7"/>
      <c r="C43" s="37"/>
      <c r="D43" s="37"/>
      <c r="E43" s="24" t="str">
        <f aca="false">IF(B43="","",SUMIFS(Receitas!$F$5:$F$504,Receitas!$B$5:$B$504,B43))</f>
        <v/>
      </c>
      <c r="F43" s="24" t="str">
        <f aca="false">IF(AND(B43&lt;&gt;"",N(C43)&gt;0),E43*(1+Perdas)/C43,"")</f>
        <v/>
      </c>
      <c r="G43" s="24" t="str">
        <f aca="false">IF(AND(B43&lt;&gt;"",N(C43)&gt;0),N(D43)*ValorHora/C43,"")</f>
        <v/>
      </c>
      <c r="H43" s="31" t="str">
        <f aca="false">IF(AND(B43&lt;&gt;"",N(C43)&gt;0),F43+G43,"")</f>
        <v/>
      </c>
      <c r="I43" s="24" t="str">
        <f aca="false">IF(H43="","",H43/(1-Taxas))</f>
        <v/>
      </c>
      <c r="J43" s="31" t="str">
        <f aca="false">IF(H43="","",IF(Taxas+LucroDesejado&gt;=1,"",IF(H43/(1-Taxas-LucroDesejado)&lt;3,CEILING(H43/(1-Taxas-LucroDesejado),0.1),CEILING(H43/(1-Taxas-LucroDesejado),0.5))))</f>
        <v/>
      </c>
      <c r="K43" s="38"/>
      <c r="L43" s="24" t="str">
        <f aca="false">IF(OR(H43="",N(K43)=0),"",K43-H43-K43*Taxas)</f>
        <v/>
      </c>
      <c r="M43" s="30" t="str">
        <f aca="false">IF(L43="","",L43/K43)</f>
        <v/>
      </c>
      <c r="N43" s="34" t="str">
        <f aca="false">IF(B43="","",IF(N(C43)=0,"Falta o rendimento",IF(N(E43)=0,"Falta a receita",IF(N(K43)=0,"Falta o seu preço",IF(K43&lt;F43/(1-Taxas),"Prejuízo",IF(K43&lt;I43,"Não paga o seu tempo",IF(K43&lt;J43-0.005,"Abaixo do sugerido","Preço bom")))))))</f>
        <v/>
      </c>
      <c r="O43" s="0" t="str">
        <f aca="false">IF(OR(F43="",N(K43)=0),"",(K43-F43)/K43-Taxas)</f>
        <v/>
      </c>
    </row>
    <row r="44" customFormat="false" ht="21" hidden="false" customHeight="true" outlineLevel="0" collapsed="false">
      <c r="B44" s="7"/>
      <c r="C44" s="37"/>
      <c r="D44" s="37"/>
      <c r="E44" s="24" t="str">
        <f aca="false">IF(B44="","",SUMIFS(Receitas!$F$5:$F$504,Receitas!$B$5:$B$504,B44))</f>
        <v/>
      </c>
      <c r="F44" s="24" t="str">
        <f aca="false">IF(AND(B44&lt;&gt;"",N(C44)&gt;0),E44*(1+Perdas)/C44,"")</f>
        <v/>
      </c>
      <c r="G44" s="24" t="str">
        <f aca="false">IF(AND(B44&lt;&gt;"",N(C44)&gt;0),N(D44)*ValorHora/C44,"")</f>
        <v/>
      </c>
      <c r="H44" s="31" t="str">
        <f aca="false">IF(AND(B44&lt;&gt;"",N(C44)&gt;0),F44+G44,"")</f>
        <v/>
      </c>
      <c r="I44" s="24" t="str">
        <f aca="false">IF(H44="","",H44/(1-Taxas))</f>
        <v/>
      </c>
      <c r="J44" s="31" t="str">
        <f aca="false">IF(H44="","",IF(Taxas+LucroDesejado&gt;=1,"",IF(H44/(1-Taxas-LucroDesejado)&lt;3,CEILING(H44/(1-Taxas-LucroDesejado),0.1),CEILING(H44/(1-Taxas-LucroDesejado),0.5))))</f>
        <v/>
      </c>
      <c r="K44" s="38"/>
      <c r="L44" s="24" t="str">
        <f aca="false">IF(OR(H44="",N(K44)=0),"",K44-H44-K44*Taxas)</f>
        <v/>
      </c>
      <c r="M44" s="30" t="str">
        <f aca="false">IF(L44="","",L44/K44)</f>
        <v/>
      </c>
      <c r="N44" s="34" t="str">
        <f aca="false">IF(B44="","",IF(N(C44)=0,"Falta o rendimento",IF(N(E44)=0,"Falta a receita",IF(N(K44)=0,"Falta o seu preço",IF(K44&lt;F44/(1-Taxas),"Prejuízo",IF(K44&lt;I44,"Não paga o seu tempo",IF(K44&lt;J44-0.005,"Abaixo do sugerido","Preço bom")))))))</f>
        <v/>
      </c>
      <c r="O44" s="0" t="str">
        <f aca="false">IF(OR(F44="",N(K44)=0),"",(K44-F44)/K44-Taxas)</f>
        <v/>
      </c>
    </row>
    <row r="45" customFormat="false" ht="21" hidden="false" customHeight="true" outlineLevel="0" collapsed="false">
      <c r="B45" s="7"/>
      <c r="C45" s="37"/>
      <c r="D45" s="37"/>
      <c r="E45" s="24" t="str">
        <f aca="false">IF(B45="","",SUMIFS(Receitas!$F$5:$F$504,Receitas!$B$5:$B$504,B45))</f>
        <v/>
      </c>
      <c r="F45" s="24" t="str">
        <f aca="false">IF(AND(B45&lt;&gt;"",N(C45)&gt;0),E45*(1+Perdas)/C45,"")</f>
        <v/>
      </c>
      <c r="G45" s="24" t="str">
        <f aca="false">IF(AND(B45&lt;&gt;"",N(C45)&gt;0),N(D45)*ValorHora/C45,"")</f>
        <v/>
      </c>
      <c r="H45" s="31" t="str">
        <f aca="false">IF(AND(B45&lt;&gt;"",N(C45)&gt;0),F45+G45,"")</f>
        <v/>
      </c>
      <c r="I45" s="24" t="str">
        <f aca="false">IF(H45="","",H45/(1-Taxas))</f>
        <v/>
      </c>
      <c r="J45" s="31" t="str">
        <f aca="false">IF(H45="","",IF(Taxas+LucroDesejado&gt;=1,"",IF(H45/(1-Taxas-LucroDesejado)&lt;3,CEILING(H45/(1-Taxas-LucroDesejado),0.1),CEILING(H45/(1-Taxas-LucroDesejado),0.5))))</f>
        <v/>
      </c>
      <c r="K45" s="38"/>
      <c r="L45" s="24" t="str">
        <f aca="false">IF(OR(H45="",N(K45)=0),"",K45-H45-K45*Taxas)</f>
        <v/>
      </c>
      <c r="M45" s="30" t="str">
        <f aca="false">IF(L45="","",L45/K45)</f>
        <v/>
      </c>
      <c r="N45" s="34" t="str">
        <f aca="false">IF(B45="","",IF(N(C45)=0,"Falta o rendimento",IF(N(E45)=0,"Falta a receita",IF(N(K45)=0,"Falta o seu preço",IF(K45&lt;F45/(1-Taxas),"Prejuízo",IF(K45&lt;I45,"Não paga o seu tempo",IF(K45&lt;J45-0.005,"Abaixo do sugerido","Preço bom")))))))</f>
        <v/>
      </c>
      <c r="O45" s="0" t="str">
        <f aca="false">IF(OR(F45="",N(K45)=0),"",(K45-F45)/K45-Taxas)</f>
        <v/>
      </c>
    </row>
    <row r="46" customFormat="false" ht="21" hidden="false" customHeight="true" outlineLevel="0" collapsed="false">
      <c r="B46" s="7"/>
      <c r="C46" s="37"/>
      <c r="D46" s="37"/>
      <c r="E46" s="24" t="str">
        <f aca="false">IF(B46="","",SUMIFS(Receitas!$F$5:$F$504,Receitas!$B$5:$B$504,B46))</f>
        <v/>
      </c>
      <c r="F46" s="24" t="str">
        <f aca="false">IF(AND(B46&lt;&gt;"",N(C46)&gt;0),E46*(1+Perdas)/C46,"")</f>
        <v/>
      </c>
      <c r="G46" s="24" t="str">
        <f aca="false">IF(AND(B46&lt;&gt;"",N(C46)&gt;0),N(D46)*ValorHora/C46,"")</f>
        <v/>
      </c>
      <c r="H46" s="31" t="str">
        <f aca="false">IF(AND(B46&lt;&gt;"",N(C46)&gt;0),F46+G46,"")</f>
        <v/>
      </c>
      <c r="I46" s="24" t="str">
        <f aca="false">IF(H46="","",H46/(1-Taxas))</f>
        <v/>
      </c>
      <c r="J46" s="31" t="str">
        <f aca="false">IF(H46="","",IF(Taxas+LucroDesejado&gt;=1,"",IF(H46/(1-Taxas-LucroDesejado)&lt;3,CEILING(H46/(1-Taxas-LucroDesejado),0.1),CEILING(H46/(1-Taxas-LucroDesejado),0.5))))</f>
        <v/>
      </c>
      <c r="K46" s="38"/>
      <c r="L46" s="24" t="str">
        <f aca="false">IF(OR(H46="",N(K46)=0),"",K46-H46-K46*Taxas)</f>
        <v/>
      </c>
      <c r="M46" s="30" t="str">
        <f aca="false">IF(L46="","",L46/K46)</f>
        <v/>
      </c>
      <c r="N46" s="34" t="str">
        <f aca="false">IF(B46="","",IF(N(C46)=0,"Falta o rendimento",IF(N(E46)=0,"Falta a receita",IF(N(K46)=0,"Falta o seu preço",IF(K46&lt;F46/(1-Taxas),"Prejuízo",IF(K46&lt;I46,"Não paga o seu tempo",IF(K46&lt;J46-0.005,"Abaixo do sugerido","Preço bom")))))))</f>
        <v/>
      </c>
      <c r="O46" s="0" t="str">
        <f aca="false">IF(OR(F46="",N(K46)=0),"",(K46-F46)/K46-Taxas)</f>
        <v/>
      </c>
    </row>
    <row r="47" customFormat="false" ht="21" hidden="false" customHeight="true" outlineLevel="0" collapsed="false">
      <c r="B47" s="7"/>
      <c r="C47" s="37"/>
      <c r="D47" s="37"/>
      <c r="E47" s="24" t="str">
        <f aca="false">IF(B47="","",SUMIFS(Receitas!$F$5:$F$504,Receitas!$B$5:$B$504,B47))</f>
        <v/>
      </c>
      <c r="F47" s="24" t="str">
        <f aca="false">IF(AND(B47&lt;&gt;"",N(C47)&gt;0),E47*(1+Perdas)/C47,"")</f>
        <v/>
      </c>
      <c r="G47" s="24" t="str">
        <f aca="false">IF(AND(B47&lt;&gt;"",N(C47)&gt;0),N(D47)*ValorHora/C47,"")</f>
        <v/>
      </c>
      <c r="H47" s="31" t="str">
        <f aca="false">IF(AND(B47&lt;&gt;"",N(C47)&gt;0),F47+G47,"")</f>
        <v/>
      </c>
      <c r="I47" s="24" t="str">
        <f aca="false">IF(H47="","",H47/(1-Taxas))</f>
        <v/>
      </c>
      <c r="J47" s="31" t="str">
        <f aca="false">IF(H47="","",IF(Taxas+LucroDesejado&gt;=1,"",IF(H47/(1-Taxas-LucroDesejado)&lt;3,CEILING(H47/(1-Taxas-LucroDesejado),0.1),CEILING(H47/(1-Taxas-LucroDesejado),0.5))))</f>
        <v/>
      </c>
      <c r="K47" s="38"/>
      <c r="L47" s="24" t="str">
        <f aca="false">IF(OR(H47="",N(K47)=0),"",K47-H47-K47*Taxas)</f>
        <v/>
      </c>
      <c r="M47" s="30" t="str">
        <f aca="false">IF(L47="","",L47/K47)</f>
        <v/>
      </c>
      <c r="N47" s="34" t="str">
        <f aca="false">IF(B47="","",IF(N(C47)=0,"Falta o rendimento",IF(N(E47)=0,"Falta a receita",IF(N(K47)=0,"Falta o seu preço",IF(K47&lt;F47/(1-Taxas),"Prejuízo",IF(K47&lt;I47,"Não paga o seu tempo",IF(K47&lt;J47-0.005,"Abaixo do sugerido","Preço bom")))))))</f>
        <v/>
      </c>
      <c r="O47" s="0" t="str">
        <f aca="false">IF(OR(F47="",N(K47)=0),"",(K47-F47)/K47-Taxas)</f>
        <v/>
      </c>
    </row>
    <row r="48" customFormat="false" ht="21" hidden="false" customHeight="true" outlineLevel="0" collapsed="false">
      <c r="B48" s="7"/>
      <c r="C48" s="37"/>
      <c r="D48" s="37"/>
      <c r="E48" s="24" t="str">
        <f aca="false">IF(B48="","",SUMIFS(Receitas!$F$5:$F$504,Receitas!$B$5:$B$504,B48))</f>
        <v/>
      </c>
      <c r="F48" s="24" t="str">
        <f aca="false">IF(AND(B48&lt;&gt;"",N(C48)&gt;0),E48*(1+Perdas)/C48,"")</f>
        <v/>
      </c>
      <c r="G48" s="24" t="str">
        <f aca="false">IF(AND(B48&lt;&gt;"",N(C48)&gt;0),N(D48)*ValorHora/C48,"")</f>
        <v/>
      </c>
      <c r="H48" s="31" t="str">
        <f aca="false">IF(AND(B48&lt;&gt;"",N(C48)&gt;0),F48+G48,"")</f>
        <v/>
      </c>
      <c r="I48" s="24" t="str">
        <f aca="false">IF(H48="","",H48/(1-Taxas))</f>
        <v/>
      </c>
      <c r="J48" s="31" t="str">
        <f aca="false">IF(H48="","",IF(Taxas+LucroDesejado&gt;=1,"",IF(H48/(1-Taxas-LucroDesejado)&lt;3,CEILING(H48/(1-Taxas-LucroDesejado),0.1),CEILING(H48/(1-Taxas-LucroDesejado),0.5))))</f>
        <v/>
      </c>
      <c r="K48" s="38"/>
      <c r="L48" s="24" t="str">
        <f aca="false">IF(OR(H48="",N(K48)=0),"",K48-H48-K48*Taxas)</f>
        <v/>
      </c>
      <c r="M48" s="30" t="str">
        <f aca="false">IF(L48="","",L48/K48)</f>
        <v/>
      </c>
      <c r="N48" s="34" t="str">
        <f aca="false">IF(B48="","",IF(N(C48)=0,"Falta o rendimento",IF(N(E48)=0,"Falta a receita",IF(N(K48)=0,"Falta o seu preço",IF(K48&lt;F48/(1-Taxas),"Prejuízo",IF(K48&lt;I48,"Não paga o seu tempo",IF(K48&lt;J48-0.005,"Abaixo do sugerido","Preço bom")))))))</f>
        <v/>
      </c>
      <c r="O48" s="0" t="str">
        <f aca="false">IF(OR(F48="",N(K48)=0),"",(K48-F48)/K48-Taxas)</f>
        <v/>
      </c>
    </row>
    <row r="49" customFormat="false" ht="21" hidden="false" customHeight="true" outlineLevel="0" collapsed="false">
      <c r="B49" s="7"/>
      <c r="C49" s="37"/>
      <c r="D49" s="37"/>
      <c r="E49" s="24" t="str">
        <f aca="false">IF(B49="","",SUMIFS(Receitas!$F$5:$F$504,Receitas!$B$5:$B$504,B49))</f>
        <v/>
      </c>
      <c r="F49" s="24" t="str">
        <f aca="false">IF(AND(B49&lt;&gt;"",N(C49)&gt;0),E49*(1+Perdas)/C49,"")</f>
        <v/>
      </c>
      <c r="G49" s="24" t="str">
        <f aca="false">IF(AND(B49&lt;&gt;"",N(C49)&gt;0),N(D49)*ValorHora/C49,"")</f>
        <v/>
      </c>
      <c r="H49" s="31" t="str">
        <f aca="false">IF(AND(B49&lt;&gt;"",N(C49)&gt;0),F49+G49,"")</f>
        <v/>
      </c>
      <c r="I49" s="24" t="str">
        <f aca="false">IF(H49="","",H49/(1-Taxas))</f>
        <v/>
      </c>
      <c r="J49" s="31" t="str">
        <f aca="false">IF(H49="","",IF(Taxas+LucroDesejado&gt;=1,"",IF(H49/(1-Taxas-LucroDesejado)&lt;3,CEILING(H49/(1-Taxas-LucroDesejado),0.1),CEILING(H49/(1-Taxas-LucroDesejado),0.5))))</f>
        <v/>
      </c>
      <c r="K49" s="38"/>
      <c r="L49" s="24" t="str">
        <f aca="false">IF(OR(H49="",N(K49)=0),"",K49-H49-K49*Taxas)</f>
        <v/>
      </c>
      <c r="M49" s="30" t="str">
        <f aca="false">IF(L49="","",L49/K49)</f>
        <v/>
      </c>
      <c r="N49" s="34" t="str">
        <f aca="false">IF(B49="","",IF(N(C49)=0,"Falta o rendimento",IF(N(E49)=0,"Falta a receita",IF(N(K49)=0,"Falta o seu preço",IF(K49&lt;F49/(1-Taxas),"Prejuízo",IF(K49&lt;I49,"Não paga o seu tempo",IF(K49&lt;J49-0.005,"Abaixo do sugerido","Preço bom")))))))</f>
        <v/>
      </c>
      <c r="O49" s="0" t="str">
        <f aca="false">IF(OR(F49="",N(K49)=0),"",(K49-F49)/K49-Taxas)</f>
        <v/>
      </c>
    </row>
    <row r="50" customFormat="false" ht="21" hidden="false" customHeight="true" outlineLevel="0" collapsed="false">
      <c r="B50" s="7"/>
      <c r="C50" s="37"/>
      <c r="D50" s="37"/>
      <c r="E50" s="24" t="str">
        <f aca="false">IF(B50="","",SUMIFS(Receitas!$F$5:$F$504,Receitas!$B$5:$B$504,B50))</f>
        <v/>
      </c>
      <c r="F50" s="24" t="str">
        <f aca="false">IF(AND(B50&lt;&gt;"",N(C50)&gt;0),E50*(1+Perdas)/C50,"")</f>
        <v/>
      </c>
      <c r="G50" s="24" t="str">
        <f aca="false">IF(AND(B50&lt;&gt;"",N(C50)&gt;0),N(D50)*ValorHora/C50,"")</f>
        <v/>
      </c>
      <c r="H50" s="31" t="str">
        <f aca="false">IF(AND(B50&lt;&gt;"",N(C50)&gt;0),F50+G50,"")</f>
        <v/>
      </c>
      <c r="I50" s="24" t="str">
        <f aca="false">IF(H50="","",H50/(1-Taxas))</f>
        <v/>
      </c>
      <c r="J50" s="31" t="str">
        <f aca="false">IF(H50="","",IF(Taxas+LucroDesejado&gt;=1,"",IF(H50/(1-Taxas-LucroDesejado)&lt;3,CEILING(H50/(1-Taxas-LucroDesejado),0.1),CEILING(H50/(1-Taxas-LucroDesejado),0.5))))</f>
        <v/>
      </c>
      <c r="K50" s="38"/>
      <c r="L50" s="24" t="str">
        <f aca="false">IF(OR(H50="",N(K50)=0),"",K50-H50-K50*Taxas)</f>
        <v/>
      </c>
      <c r="M50" s="30" t="str">
        <f aca="false">IF(L50="","",L50/K50)</f>
        <v/>
      </c>
      <c r="N50" s="34" t="str">
        <f aca="false">IF(B50="","",IF(N(C50)=0,"Falta o rendimento",IF(N(E50)=0,"Falta a receita",IF(N(K50)=0,"Falta o seu preço",IF(K50&lt;F50/(1-Taxas),"Prejuízo",IF(K50&lt;I50,"Não paga o seu tempo",IF(K50&lt;J50-0.005,"Abaixo do sugerido","Preço bom")))))))</f>
        <v/>
      </c>
      <c r="O50" s="0" t="str">
        <f aca="false">IF(OR(F50="",N(K50)=0),"",(K50-F50)/K50-Taxas)</f>
        <v/>
      </c>
    </row>
    <row r="51" customFormat="false" ht="21" hidden="false" customHeight="true" outlineLevel="0" collapsed="false">
      <c r="B51" s="7"/>
      <c r="C51" s="37"/>
      <c r="D51" s="37"/>
      <c r="E51" s="24" t="str">
        <f aca="false">IF(B51="","",SUMIFS(Receitas!$F$5:$F$504,Receitas!$B$5:$B$504,B51))</f>
        <v/>
      </c>
      <c r="F51" s="24" t="str">
        <f aca="false">IF(AND(B51&lt;&gt;"",N(C51)&gt;0),E51*(1+Perdas)/C51,"")</f>
        <v/>
      </c>
      <c r="G51" s="24" t="str">
        <f aca="false">IF(AND(B51&lt;&gt;"",N(C51)&gt;0),N(D51)*ValorHora/C51,"")</f>
        <v/>
      </c>
      <c r="H51" s="31" t="str">
        <f aca="false">IF(AND(B51&lt;&gt;"",N(C51)&gt;0),F51+G51,"")</f>
        <v/>
      </c>
      <c r="I51" s="24" t="str">
        <f aca="false">IF(H51="","",H51/(1-Taxas))</f>
        <v/>
      </c>
      <c r="J51" s="31" t="str">
        <f aca="false">IF(H51="","",IF(Taxas+LucroDesejado&gt;=1,"",IF(H51/(1-Taxas-LucroDesejado)&lt;3,CEILING(H51/(1-Taxas-LucroDesejado),0.1),CEILING(H51/(1-Taxas-LucroDesejado),0.5))))</f>
        <v/>
      </c>
      <c r="K51" s="38"/>
      <c r="L51" s="24" t="str">
        <f aca="false">IF(OR(H51="",N(K51)=0),"",K51-H51-K51*Taxas)</f>
        <v/>
      </c>
      <c r="M51" s="30" t="str">
        <f aca="false">IF(L51="","",L51/K51)</f>
        <v/>
      </c>
      <c r="N51" s="34" t="str">
        <f aca="false">IF(B51="","",IF(N(C51)=0,"Falta o rendimento",IF(N(E51)=0,"Falta a receita",IF(N(K51)=0,"Falta o seu preço",IF(K51&lt;F51/(1-Taxas),"Prejuízo",IF(K51&lt;I51,"Não paga o seu tempo",IF(K51&lt;J51-0.005,"Abaixo do sugerido","Preço bom")))))))</f>
        <v/>
      </c>
      <c r="O51" s="0" t="str">
        <f aca="false">IF(OR(F51="",N(K51)=0),"",(K51-F51)/K51-Taxas)</f>
        <v/>
      </c>
    </row>
    <row r="52" customFormat="false" ht="21" hidden="false" customHeight="true" outlineLevel="0" collapsed="false">
      <c r="B52" s="7"/>
      <c r="C52" s="37"/>
      <c r="D52" s="37"/>
      <c r="E52" s="24" t="str">
        <f aca="false">IF(B52="","",SUMIFS(Receitas!$F$5:$F$504,Receitas!$B$5:$B$504,B52))</f>
        <v/>
      </c>
      <c r="F52" s="24" t="str">
        <f aca="false">IF(AND(B52&lt;&gt;"",N(C52)&gt;0),E52*(1+Perdas)/C52,"")</f>
        <v/>
      </c>
      <c r="G52" s="24" t="str">
        <f aca="false">IF(AND(B52&lt;&gt;"",N(C52)&gt;0),N(D52)*ValorHora/C52,"")</f>
        <v/>
      </c>
      <c r="H52" s="31" t="str">
        <f aca="false">IF(AND(B52&lt;&gt;"",N(C52)&gt;0),F52+G52,"")</f>
        <v/>
      </c>
      <c r="I52" s="24" t="str">
        <f aca="false">IF(H52="","",H52/(1-Taxas))</f>
        <v/>
      </c>
      <c r="J52" s="31" t="str">
        <f aca="false">IF(H52="","",IF(Taxas+LucroDesejado&gt;=1,"",IF(H52/(1-Taxas-LucroDesejado)&lt;3,CEILING(H52/(1-Taxas-LucroDesejado),0.1),CEILING(H52/(1-Taxas-LucroDesejado),0.5))))</f>
        <v/>
      </c>
      <c r="K52" s="38"/>
      <c r="L52" s="24" t="str">
        <f aca="false">IF(OR(H52="",N(K52)=0),"",K52-H52-K52*Taxas)</f>
        <v/>
      </c>
      <c r="M52" s="30" t="str">
        <f aca="false">IF(L52="","",L52/K52)</f>
        <v/>
      </c>
      <c r="N52" s="34" t="str">
        <f aca="false">IF(B52="","",IF(N(C52)=0,"Falta o rendimento",IF(N(E52)=0,"Falta a receita",IF(N(K52)=0,"Falta o seu preço",IF(K52&lt;F52/(1-Taxas),"Prejuízo",IF(K52&lt;I52,"Não paga o seu tempo",IF(K52&lt;J52-0.005,"Abaixo do sugerido","Preço bom")))))))</f>
        <v/>
      </c>
      <c r="O52" s="0" t="str">
        <f aca="false">IF(OR(F52="",N(K52)=0),"",(K52-F52)/K52-Taxas)</f>
        <v/>
      </c>
    </row>
    <row r="53" customFormat="false" ht="21" hidden="false" customHeight="true" outlineLevel="0" collapsed="false">
      <c r="B53" s="7"/>
      <c r="C53" s="37"/>
      <c r="D53" s="37"/>
      <c r="E53" s="24" t="str">
        <f aca="false">IF(B53="","",SUMIFS(Receitas!$F$5:$F$504,Receitas!$B$5:$B$504,B53))</f>
        <v/>
      </c>
      <c r="F53" s="24" t="str">
        <f aca="false">IF(AND(B53&lt;&gt;"",N(C53)&gt;0),E53*(1+Perdas)/C53,"")</f>
        <v/>
      </c>
      <c r="G53" s="24" t="str">
        <f aca="false">IF(AND(B53&lt;&gt;"",N(C53)&gt;0),N(D53)*ValorHora/C53,"")</f>
        <v/>
      </c>
      <c r="H53" s="31" t="str">
        <f aca="false">IF(AND(B53&lt;&gt;"",N(C53)&gt;0),F53+G53,"")</f>
        <v/>
      </c>
      <c r="I53" s="24" t="str">
        <f aca="false">IF(H53="","",H53/(1-Taxas))</f>
        <v/>
      </c>
      <c r="J53" s="31" t="str">
        <f aca="false">IF(H53="","",IF(Taxas+LucroDesejado&gt;=1,"",IF(H53/(1-Taxas-LucroDesejado)&lt;3,CEILING(H53/(1-Taxas-LucroDesejado),0.1),CEILING(H53/(1-Taxas-LucroDesejado),0.5))))</f>
        <v/>
      </c>
      <c r="K53" s="38"/>
      <c r="L53" s="24" t="str">
        <f aca="false">IF(OR(H53="",N(K53)=0),"",K53-H53-K53*Taxas)</f>
        <v/>
      </c>
      <c r="M53" s="30" t="str">
        <f aca="false">IF(L53="","",L53/K53)</f>
        <v/>
      </c>
      <c r="N53" s="34" t="str">
        <f aca="false">IF(B53="","",IF(N(C53)=0,"Falta o rendimento",IF(N(E53)=0,"Falta a receita",IF(N(K53)=0,"Falta o seu preço",IF(K53&lt;F53/(1-Taxas),"Prejuízo",IF(K53&lt;I53,"Não paga o seu tempo",IF(K53&lt;J53-0.005,"Abaixo do sugerido","Preço bom")))))))</f>
        <v/>
      </c>
      <c r="O53" s="0" t="str">
        <f aca="false">IF(OR(F53="",N(K53)=0),"",(K53-F53)/K53-Taxas)</f>
        <v/>
      </c>
    </row>
    <row r="54" customFormat="false" ht="21" hidden="false" customHeight="true" outlineLevel="0" collapsed="false">
      <c r="B54" s="7"/>
      <c r="C54" s="37"/>
      <c r="D54" s="37"/>
      <c r="E54" s="24" t="str">
        <f aca="false">IF(B54="","",SUMIFS(Receitas!$F$5:$F$504,Receitas!$B$5:$B$504,B54))</f>
        <v/>
      </c>
      <c r="F54" s="24" t="str">
        <f aca="false">IF(AND(B54&lt;&gt;"",N(C54)&gt;0),E54*(1+Perdas)/C54,"")</f>
        <v/>
      </c>
      <c r="G54" s="24" t="str">
        <f aca="false">IF(AND(B54&lt;&gt;"",N(C54)&gt;0),N(D54)*ValorHora/C54,"")</f>
        <v/>
      </c>
      <c r="H54" s="31" t="str">
        <f aca="false">IF(AND(B54&lt;&gt;"",N(C54)&gt;0),F54+G54,"")</f>
        <v/>
      </c>
      <c r="I54" s="24" t="str">
        <f aca="false">IF(H54="","",H54/(1-Taxas))</f>
        <v/>
      </c>
      <c r="J54" s="31" t="str">
        <f aca="false">IF(H54="","",IF(Taxas+LucroDesejado&gt;=1,"",IF(H54/(1-Taxas-LucroDesejado)&lt;3,CEILING(H54/(1-Taxas-LucroDesejado),0.1),CEILING(H54/(1-Taxas-LucroDesejado),0.5))))</f>
        <v/>
      </c>
      <c r="K54" s="38"/>
      <c r="L54" s="24" t="str">
        <f aca="false">IF(OR(H54="",N(K54)=0),"",K54-H54-K54*Taxas)</f>
        <v/>
      </c>
      <c r="M54" s="30" t="str">
        <f aca="false">IF(L54="","",L54/K54)</f>
        <v/>
      </c>
      <c r="N54" s="34" t="str">
        <f aca="false">IF(B54="","",IF(N(C54)=0,"Falta o rendimento",IF(N(E54)=0,"Falta a receita",IF(N(K54)=0,"Falta o seu preço",IF(K54&lt;F54/(1-Taxas),"Prejuízo",IF(K54&lt;I54,"Não paga o seu tempo",IF(K54&lt;J54-0.005,"Abaixo do sugerido","Preço bom")))))))</f>
        <v/>
      </c>
      <c r="O54" s="0" t="str">
        <f aca="false">IF(OR(F54="",N(K54)=0),"",(K54-F54)/K54-Taxas)</f>
        <v/>
      </c>
    </row>
  </sheetData>
  <mergeCells count="2">
    <mergeCell ref="B1:N1"/>
    <mergeCell ref="B2:N2"/>
  </mergeCells>
  <conditionalFormatting sqref="N5:N54">
    <cfRule type="expression" priority="2" aboveAverage="0" equalAverage="0" bottom="0" percent="0" rank="0" text="" dxfId="1">
      <formula>N5="Preço bom"</formula>
    </cfRule>
    <cfRule type="expression" priority="3" aboveAverage="0" equalAverage="0" bottom="0" percent="0" rank="0" text="" dxfId="0">
      <formula>N5="Prejuízo"</formula>
    </cfRule>
    <cfRule type="expression" priority="4" aboveAverage="0" equalAverage="0" bottom="0" percent="0" rank="0" text="" dxfId="0">
      <formula>N5="Não paga o seu tempo"</formula>
    </cfRule>
    <cfRule type="expression" priority="5" aboveAverage="0" equalAverage="0" bottom="0" percent="0" rank="0" text="" dxfId="3">
      <formula>N5="Abaixo do sugerido"</formula>
    </cfRule>
  </conditionalFormatting>
  <conditionalFormatting sqref="L5:M54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3426"/>
    <pageSetUpPr fitToPage="true"/>
  </sheetPr>
  <dimension ref="B1:G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3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39.75" hidden="false" customHeight="true" outlineLevel="0" collapsed="false">
      <c r="B1" s="1" t="s">
        <v>9</v>
      </c>
      <c r="C1" s="1"/>
      <c r="D1" s="1"/>
      <c r="E1" s="1"/>
      <c r="F1" s="1"/>
      <c r="G1" s="1"/>
    </row>
    <row r="2" customFormat="false" ht="36" hidden="false" customHeight="true" outlineLevel="0" collapsed="false">
      <c r="B2" s="2" t="s">
        <v>135</v>
      </c>
      <c r="C2" s="2"/>
      <c r="D2" s="2"/>
      <c r="E2" s="2"/>
      <c r="F2" s="2"/>
      <c r="G2" s="2"/>
    </row>
    <row r="3" customFormat="false" ht="9.75" hidden="false" customHeight="true" outlineLevel="0" collapsed="false"/>
    <row r="4" customFormat="false" ht="43.5" hidden="false" customHeight="true" outlineLevel="0" collapsed="false">
      <c r="B4" s="35" t="s">
        <v>81</v>
      </c>
      <c r="C4" s="35" t="s">
        <v>136</v>
      </c>
      <c r="D4" s="35" t="s">
        <v>137</v>
      </c>
      <c r="E4" s="14" t="s">
        <v>138</v>
      </c>
      <c r="F4" s="14" t="s">
        <v>139</v>
      </c>
      <c r="G4" s="35" t="s">
        <v>105</v>
      </c>
    </row>
    <row r="5" customFormat="false" ht="21" hidden="false" customHeight="true" outlineLevel="0" collapsed="false">
      <c r="B5" s="7" t="s">
        <v>93</v>
      </c>
      <c r="C5" s="7" t="s">
        <v>140</v>
      </c>
      <c r="D5" s="37" t="n">
        <v>240</v>
      </c>
      <c r="E5" s="34" t="str">
        <f aca="false">IF(C5="","",IFERROR(INDEX(Ingredientes!$D$5:$D$204,MATCH(C5,Ingredientes!$B$5:$B$204,0)),"?"))</f>
        <v>g</v>
      </c>
      <c r="F5" s="24" t="n">
        <f aca="false">IF(OR(C5="",D5=""),"",IFERROR(D5*INDEX(Ingredientes!$F$5:$F$204,MATCH(C5,Ingredientes!$B$5:$B$204,0))/INDEX(Ingredientes!$E$5:$E$204,MATCH(C5,Ingredientes!$B$5:$B$204,0)),"Cadastre em Ingredientes"))</f>
        <v>1.3176</v>
      </c>
      <c r="G5" s="7" t="s">
        <v>141</v>
      </c>
    </row>
    <row r="6" customFormat="false" ht="21" hidden="false" customHeight="true" outlineLevel="0" collapsed="false">
      <c r="B6" s="7" t="s">
        <v>93</v>
      </c>
      <c r="C6" s="7" t="s">
        <v>142</v>
      </c>
      <c r="D6" s="37" t="n">
        <v>300</v>
      </c>
      <c r="E6" s="34" t="str">
        <f aca="false">IF(C6="","",IFERROR(INDEX(Ingredientes!$D$5:$D$204,MATCH(C6,Ingredientes!$B$5:$B$204,0)),"?"))</f>
        <v>g</v>
      </c>
      <c r="F6" s="24" t="n">
        <f aca="false">IF(OR(C6="",D6=""),"",IFERROR(D6*INDEX(Ingredientes!$F$5:$F$204,MATCH(C6,Ingredientes!$B$5:$B$204,0))/INDEX(Ingredientes!$E$5:$E$204,MATCH(C6,Ingredientes!$B$5:$B$204,0)),"Cadastre em Ingredientes"))</f>
        <v>1.437</v>
      </c>
      <c r="G6" s="7" t="s">
        <v>141</v>
      </c>
    </row>
    <row r="7" customFormat="false" ht="21" hidden="false" customHeight="true" outlineLevel="0" collapsed="false">
      <c r="B7" s="7" t="s">
        <v>93</v>
      </c>
      <c r="C7" s="7" t="s">
        <v>143</v>
      </c>
      <c r="D7" s="37" t="n">
        <v>100</v>
      </c>
      <c r="E7" s="34" t="str">
        <f aca="false">IF(C7="","",IFERROR(INDEX(Ingredientes!$D$5:$D$204,MATCH(C7,Ingredientes!$B$5:$B$204,0)),"?"))</f>
        <v>g</v>
      </c>
      <c r="F7" s="24" t="n">
        <f aca="false">IF(OR(C7="",D7=""),"",IFERROR(D7*INDEX(Ingredientes!$F$5:$F$204,MATCH(C7,Ingredientes!$B$5:$B$204,0))/INDEX(Ingredientes!$E$5:$E$204,MATCH(C7,Ingredientes!$B$5:$B$204,0)),"Cadastre em Ingredientes"))</f>
        <v>4.95</v>
      </c>
      <c r="G7" s="7" t="s">
        <v>144</v>
      </c>
    </row>
    <row r="8" customFormat="false" ht="21" hidden="false" customHeight="true" outlineLevel="0" collapsed="false">
      <c r="B8" s="7" t="s">
        <v>93</v>
      </c>
      <c r="C8" s="7" t="s">
        <v>145</v>
      </c>
      <c r="D8" s="37" t="n">
        <v>4</v>
      </c>
      <c r="E8" s="34" t="str">
        <f aca="false">IF(C8="","",IFERROR(INDEX(Ingredientes!$D$5:$D$204,MATCH(C8,Ingredientes!$B$5:$B$204,0)),"?"))</f>
        <v>un</v>
      </c>
      <c r="F8" s="24" t="n">
        <f aca="false">IF(OR(C8="",D8=""),"",IFERROR(D8*INDEX(Ingredientes!$F$5:$F$204,MATCH(C8,Ingredientes!$B$5:$B$204,0))/INDEX(Ingredientes!$E$5:$E$204,MATCH(C8,Ingredientes!$B$5:$B$204,0)),"Cadastre em Ingredientes"))</f>
        <v>2.65333333333333</v>
      </c>
      <c r="G8" s="7" t="s">
        <v>141</v>
      </c>
    </row>
    <row r="9" customFormat="false" ht="21" hidden="false" customHeight="true" outlineLevel="0" collapsed="false">
      <c r="B9" s="7" t="s">
        <v>93</v>
      </c>
      <c r="C9" s="7" t="s">
        <v>146</v>
      </c>
      <c r="D9" s="37" t="n">
        <v>240</v>
      </c>
      <c r="E9" s="34" t="str">
        <f aca="false">IF(C9="","",IFERROR(INDEX(Ingredientes!$D$5:$D$204,MATCH(C9,Ingredientes!$B$5:$B$204,0)),"?"))</f>
        <v>ml</v>
      </c>
      <c r="F9" s="24" t="n">
        <f aca="false">IF(OR(C9="",D9=""),"",IFERROR(D9*INDEX(Ingredientes!$F$5:$F$204,MATCH(C9,Ingredientes!$B$5:$B$204,0))/INDEX(Ingredientes!$E$5:$E$204,MATCH(C9,Ingredientes!$B$5:$B$204,0)),"Cadastre em Ingredientes"))</f>
        <v>1.2696</v>
      </c>
      <c r="G9" s="7" t="s">
        <v>141</v>
      </c>
    </row>
    <row r="10" customFormat="false" ht="21" hidden="false" customHeight="true" outlineLevel="0" collapsed="false">
      <c r="B10" s="7" t="s">
        <v>93</v>
      </c>
      <c r="C10" s="7" t="s">
        <v>147</v>
      </c>
      <c r="D10" s="37" t="n">
        <v>120</v>
      </c>
      <c r="E10" s="34" t="str">
        <f aca="false">IF(C10="","",IFERROR(INDEX(Ingredientes!$D$5:$D$204,MATCH(C10,Ingredientes!$B$5:$B$204,0)),"?"))</f>
        <v>ml</v>
      </c>
      <c r="F10" s="24" t="n">
        <f aca="false">IF(OR(C10="",D10=""),"",IFERROR(D10*INDEX(Ingredientes!$F$5:$F$204,MATCH(C10,Ingredientes!$B$5:$B$204,0))/INDEX(Ingredientes!$E$5:$E$204,MATCH(C10,Ingredientes!$B$5:$B$204,0)),"Cadastre em Ingredientes"))</f>
        <v>1.06533333333333</v>
      </c>
      <c r="G10" s="7" t="s">
        <v>141</v>
      </c>
    </row>
    <row r="11" customFormat="false" ht="21" hidden="false" customHeight="true" outlineLevel="0" collapsed="false">
      <c r="B11" s="7" t="s">
        <v>93</v>
      </c>
      <c r="C11" s="7" t="s">
        <v>148</v>
      </c>
      <c r="D11" s="37" t="n">
        <v>15</v>
      </c>
      <c r="E11" s="34" t="str">
        <f aca="false">IF(C11="","",IFERROR(INDEX(Ingredientes!$D$5:$D$204,MATCH(C11,Ingredientes!$B$5:$B$204,0)),"?"))</f>
        <v>g</v>
      </c>
      <c r="F11" s="24" t="n">
        <f aca="false">IF(OR(C11="",D11=""),"",IFERROR(D11*INDEX(Ingredientes!$F$5:$F$204,MATCH(C11,Ingredientes!$B$5:$B$204,0))/INDEX(Ingredientes!$E$5:$E$204,MATCH(C11,Ingredientes!$B$5:$B$204,0)),"Cadastre em Ingredientes"))</f>
        <v>0.5985</v>
      </c>
      <c r="G11" s="7" t="s">
        <v>141</v>
      </c>
    </row>
    <row r="12" customFormat="false" ht="21" hidden="false" customHeight="true" outlineLevel="0" collapsed="false">
      <c r="B12" s="7" t="s">
        <v>93</v>
      </c>
      <c r="C12" s="7" t="s">
        <v>149</v>
      </c>
      <c r="D12" s="37" t="n">
        <v>790</v>
      </c>
      <c r="E12" s="34" t="str">
        <f aca="false">IF(C12="","",IFERROR(INDEX(Ingredientes!$D$5:$D$204,MATCH(C12,Ingredientes!$B$5:$B$204,0)),"?"))</f>
        <v>g</v>
      </c>
      <c r="F12" s="24" t="n">
        <f aca="false">IF(OR(C12="",D12=""),"",IFERROR(D12*INDEX(Ingredientes!$F$5:$F$204,MATCH(C12,Ingredientes!$B$5:$B$204,0))/INDEX(Ingredientes!$E$5:$E$204,MATCH(C12,Ingredientes!$B$5:$B$204,0)),"Cadastre em Ingredientes"))</f>
        <v>12.98</v>
      </c>
      <c r="G12" s="7" t="s">
        <v>150</v>
      </c>
    </row>
    <row r="13" customFormat="false" ht="21" hidden="false" customHeight="true" outlineLevel="0" collapsed="false">
      <c r="B13" s="7" t="s">
        <v>93</v>
      </c>
      <c r="C13" s="7" t="s">
        <v>151</v>
      </c>
      <c r="D13" s="37" t="n">
        <v>200</v>
      </c>
      <c r="E13" s="34" t="str">
        <f aca="false">IF(C13="","",IFERROR(INDEX(Ingredientes!$D$5:$D$204,MATCH(C13,Ingredientes!$B$5:$B$204,0)),"?"))</f>
        <v>g</v>
      </c>
      <c r="F13" s="24" t="n">
        <f aca="false">IF(OR(C13="",D13=""),"",IFERROR(D13*INDEX(Ingredientes!$F$5:$F$204,MATCH(C13,Ingredientes!$B$5:$B$204,0))/INDEX(Ingredientes!$E$5:$E$204,MATCH(C13,Ingredientes!$B$5:$B$204,0)),"Cadastre em Ingredientes"))</f>
        <v>3.29</v>
      </c>
      <c r="G13" s="7" t="s">
        <v>152</v>
      </c>
    </row>
    <row r="14" customFormat="false" ht="21" hidden="false" customHeight="true" outlineLevel="0" collapsed="false">
      <c r="B14" s="7" t="s">
        <v>93</v>
      </c>
      <c r="C14" s="7" t="s">
        <v>153</v>
      </c>
      <c r="D14" s="37" t="n">
        <v>30</v>
      </c>
      <c r="E14" s="34" t="str">
        <f aca="false">IF(C14="","",IFERROR(INDEX(Ingredientes!$D$5:$D$204,MATCH(C14,Ingredientes!$B$5:$B$204,0)),"?"))</f>
        <v>g</v>
      </c>
      <c r="F14" s="24" t="n">
        <f aca="false">IF(OR(C14="",D14=""),"",IFERROR(D14*INDEX(Ingredientes!$F$5:$F$204,MATCH(C14,Ingredientes!$B$5:$B$204,0))/INDEX(Ingredientes!$E$5:$E$204,MATCH(C14,Ingredientes!$B$5:$B$204,0)),"Cadastre em Ingredientes"))</f>
        <v>1.485</v>
      </c>
      <c r="G14" s="7" t="s">
        <v>152</v>
      </c>
    </row>
    <row r="15" customFormat="false" ht="21" hidden="false" customHeight="true" outlineLevel="0" collapsed="false">
      <c r="B15" s="7" t="s">
        <v>93</v>
      </c>
      <c r="C15" s="7" t="s">
        <v>154</v>
      </c>
      <c r="D15" s="37" t="n">
        <v>50</v>
      </c>
      <c r="E15" s="34" t="str">
        <f aca="false">IF(C15="","",IFERROR(INDEX(Ingredientes!$D$5:$D$204,MATCH(C15,Ingredientes!$B$5:$B$204,0)),"?"))</f>
        <v>g</v>
      </c>
      <c r="F15" s="24" t="n">
        <f aca="false">IF(OR(C15="",D15=""),"",IFERROR(D15*INDEX(Ingredientes!$F$5:$F$204,MATCH(C15,Ingredientes!$B$5:$B$204,0))/INDEX(Ingredientes!$E$5:$E$204,MATCH(C15,Ingredientes!$B$5:$B$204,0)),"Cadastre em Ingredientes"))</f>
        <v>1.49</v>
      </c>
      <c r="G15" s="7" t="s">
        <v>155</v>
      </c>
    </row>
    <row r="16" customFormat="false" ht="21" hidden="false" customHeight="true" outlineLevel="0" collapsed="false">
      <c r="B16" s="7" t="s">
        <v>93</v>
      </c>
      <c r="C16" s="7" t="s">
        <v>156</v>
      </c>
      <c r="D16" s="37" t="n">
        <v>12</v>
      </c>
      <c r="E16" s="34" t="str">
        <f aca="false">IF(C16="","",IFERROR(INDEX(Ingredientes!$D$5:$D$204,MATCH(C16,Ingredientes!$B$5:$B$204,0)),"?"))</f>
        <v>un</v>
      </c>
      <c r="F16" s="24" t="n">
        <f aca="false">IF(OR(C16="",D16=""),"",IFERROR(D16*INDEX(Ingredientes!$F$5:$F$204,MATCH(C16,Ingredientes!$B$5:$B$204,0))/INDEX(Ingredientes!$E$5:$E$204,MATCH(C16,Ingredientes!$B$5:$B$204,0)),"Cadastre em Ingredientes"))</f>
        <v>9.576</v>
      </c>
      <c r="G16" s="7"/>
    </row>
    <row r="17" customFormat="false" ht="21" hidden="false" customHeight="true" outlineLevel="0" collapsed="false">
      <c r="B17" s="7" t="s">
        <v>93</v>
      </c>
      <c r="C17" s="7" t="s">
        <v>157</v>
      </c>
      <c r="D17" s="37" t="n">
        <v>12</v>
      </c>
      <c r="E17" s="34" t="str">
        <f aca="false">IF(C17="","",IFERROR(INDEX(Ingredientes!$D$5:$D$204,MATCH(C17,Ingredientes!$B$5:$B$204,0)),"?"))</f>
        <v>un</v>
      </c>
      <c r="F17" s="24" t="n">
        <f aca="false">IF(OR(C17="",D17=""),"",IFERROR(D17*INDEX(Ingredientes!$F$5:$F$204,MATCH(C17,Ingredientes!$B$5:$B$204,0))/INDEX(Ingredientes!$E$5:$E$204,MATCH(C17,Ingredientes!$B$5:$B$204,0)),"Cadastre em Ingredientes"))</f>
        <v>1.896</v>
      </c>
      <c r="G17" s="7"/>
    </row>
    <row r="18" customFormat="false" ht="21" hidden="false" customHeight="true" outlineLevel="0" collapsed="false">
      <c r="B18" s="7" t="s">
        <v>93</v>
      </c>
      <c r="C18" s="7" t="s">
        <v>158</v>
      </c>
      <c r="D18" s="37" t="n">
        <v>12</v>
      </c>
      <c r="E18" s="34" t="str">
        <f aca="false">IF(C18="","",IFERROR(INDEX(Ingredientes!$D$5:$D$204,MATCH(C18,Ingredientes!$B$5:$B$204,0)),"?"))</f>
        <v>un</v>
      </c>
      <c r="F18" s="24" t="n">
        <f aca="false">IF(OR(C18="",D18=""),"",IFERROR(D18*INDEX(Ingredientes!$F$5:$F$204,MATCH(C18,Ingredientes!$B$5:$B$204,0))/INDEX(Ingredientes!$E$5:$E$204,MATCH(C18,Ingredientes!$B$5:$B$204,0)),"Cadastre em Ingredientes"))</f>
        <v>1.8</v>
      </c>
      <c r="G18" s="7"/>
    </row>
    <row r="19" customFormat="false" ht="21" hidden="false" customHeight="true" outlineLevel="0" collapsed="false">
      <c r="B19" s="7" t="s">
        <v>98</v>
      </c>
      <c r="C19" s="7" t="s">
        <v>149</v>
      </c>
      <c r="D19" s="37" t="n">
        <v>790</v>
      </c>
      <c r="E19" s="34" t="str">
        <f aca="false">IF(C19="","",IFERROR(INDEX(Ingredientes!$D$5:$D$204,MATCH(C19,Ingredientes!$B$5:$B$204,0)),"?"))</f>
        <v>g</v>
      </c>
      <c r="F19" s="24" t="n">
        <f aca="false">IF(OR(C19="",D19=""),"",IFERROR(D19*INDEX(Ingredientes!$F$5:$F$204,MATCH(C19,Ingredientes!$B$5:$B$204,0))/INDEX(Ingredientes!$E$5:$E$204,MATCH(C19,Ingredientes!$B$5:$B$204,0)),"Cadastre em Ingredientes"))</f>
        <v>12.98</v>
      </c>
      <c r="G19" s="7"/>
    </row>
    <row r="20" customFormat="false" ht="21" hidden="false" customHeight="true" outlineLevel="0" collapsed="false">
      <c r="B20" s="7" t="s">
        <v>98</v>
      </c>
      <c r="C20" s="7" t="s">
        <v>143</v>
      </c>
      <c r="D20" s="37" t="n">
        <v>60</v>
      </c>
      <c r="E20" s="34" t="str">
        <f aca="false">IF(C20="","",IFERROR(INDEX(Ingredientes!$D$5:$D$204,MATCH(C20,Ingredientes!$B$5:$B$204,0)),"?"))</f>
        <v>g</v>
      </c>
      <c r="F20" s="24" t="n">
        <f aca="false">IF(OR(C20="",D20=""),"",IFERROR(D20*INDEX(Ingredientes!$F$5:$F$204,MATCH(C20,Ingredientes!$B$5:$B$204,0))/INDEX(Ingredientes!$E$5:$E$204,MATCH(C20,Ingredientes!$B$5:$B$204,0)),"Cadastre em Ingredientes"))</f>
        <v>2.97</v>
      </c>
      <c r="G20" s="7"/>
    </row>
    <row r="21" customFormat="false" ht="21" hidden="false" customHeight="true" outlineLevel="0" collapsed="false">
      <c r="B21" s="7" t="s">
        <v>98</v>
      </c>
      <c r="C21" s="7" t="s">
        <v>153</v>
      </c>
      <c r="D21" s="37" t="n">
        <v>40</v>
      </c>
      <c r="E21" s="34" t="str">
        <f aca="false">IF(C21="","",IFERROR(INDEX(Ingredientes!$D$5:$D$204,MATCH(C21,Ingredientes!$B$5:$B$204,0)),"?"))</f>
        <v>g</v>
      </c>
      <c r="F21" s="24" t="n">
        <f aca="false">IF(OR(C21="",D21=""),"",IFERROR(D21*INDEX(Ingredientes!$F$5:$F$204,MATCH(C21,Ingredientes!$B$5:$B$204,0))/INDEX(Ingredientes!$E$5:$E$204,MATCH(C21,Ingredientes!$B$5:$B$204,0)),"Cadastre em Ingredientes"))</f>
        <v>1.98</v>
      </c>
      <c r="G21" s="7"/>
    </row>
    <row r="22" customFormat="false" ht="21" hidden="false" customHeight="true" outlineLevel="0" collapsed="false">
      <c r="B22" s="7" t="s">
        <v>98</v>
      </c>
      <c r="C22" s="7" t="s">
        <v>159</v>
      </c>
      <c r="D22" s="37" t="n">
        <v>300</v>
      </c>
      <c r="E22" s="34" t="str">
        <f aca="false">IF(C22="","",IFERROR(INDEX(Ingredientes!$D$5:$D$204,MATCH(C22,Ingredientes!$B$5:$B$204,0)),"?"))</f>
        <v>g</v>
      </c>
      <c r="F22" s="24" t="n">
        <f aca="false">IF(OR(C22="",D22=""),"",IFERROR(D22*INDEX(Ingredientes!$F$5:$F$204,MATCH(C22,Ingredientes!$B$5:$B$204,0))/INDEX(Ingredientes!$E$5:$E$204,MATCH(C22,Ingredientes!$B$5:$B$204,0)),"Cadastre em Ingredientes"))</f>
        <v>4.8675</v>
      </c>
      <c r="G22" s="7"/>
    </row>
    <row r="23" customFormat="false" ht="21" hidden="false" customHeight="true" outlineLevel="0" collapsed="false">
      <c r="B23" s="7" t="s">
        <v>98</v>
      </c>
      <c r="C23" s="7" t="s">
        <v>142</v>
      </c>
      <c r="D23" s="37" t="n">
        <v>50</v>
      </c>
      <c r="E23" s="34" t="str">
        <f aca="false">IF(C23="","",IFERROR(INDEX(Ingredientes!$D$5:$D$204,MATCH(C23,Ingredientes!$B$5:$B$204,0)),"?"))</f>
        <v>g</v>
      </c>
      <c r="F23" s="24" t="n">
        <f aca="false">IF(OR(C23="",D23=""),"",IFERROR(D23*INDEX(Ingredientes!$F$5:$F$204,MATCH(C23,Ingredientes!$B$5:$B$204,0))/INDEX(Ingredientes!$E$5:$E$204,MATCH(C23,Ingredientes!$B$5:$B$204,0)),"Cadastre em Ingredientes"))</f>
        <v>0.2395</v>
      </c>
      <c r="G23" s="7" t="s">
        <v>160</v>
      </c>
    </row>
    <row r="24" customFormat="false" ht="21" hidden="false" customHeight="true" outlineLevel="0" collapsed="false">
      <c r="B24" s="7" t="s">
        <v>98</v>
      </c>
      <c r="C24" s="7" t="s">
        <v>161</v>
      </c>
      <c r="D24" s="37" t="n">
        <v>20</v>
      </c>
      <c r="E24" s="34" t="str">
        <f aca="false">IF(C24="","",IFERROR(INDEX(Ingredientes!$D$5:$D$204,MATCH(C24,Ingredientes!$B$5:$B$204,0)),"?"))</f>
        <v>un</v>
      </c>
      <c r="F24" s="24" t="n">
        <f aca="false">IF(OR(C24="",D24=""),"",IFERROR(D24*INDEX(Ingredientes!$F$5:$F$204,MATCH(C24,Ingredientes!$B$5:$B$204,0))/INDEX(Ingredientes!$E$5:$E$204,MATCH(C24,Ingredientes!$B$5:$B$204,0)),"Cadastre em Ingredientes"))</f>
        <v>1.98</v>
      </c>
      <c r="G24" s="7"/>
    </row>
    <row r="25" customFormat="false" ht="21" hidden="false" customHeight="true" outlineLevel="0" collapsed="false">
      <c r="B25" s="7" t="s">
        <v>98</v>
      </c>
      <c r="C25" s="7" t="s">
        <v>158</v>
      </c>
      <c r="D25" s="37" t="n">
        <v>20</v>
      </c>
      <c r="E25" s="34" t="str">
        <f aca="false">IF(C25="","",IFERROR(INDEX(Ingredientes!$D$5:$D$204,MATCH(C25,Ingredientes!$B$5:$B$204,0)),"?"))</f>
        <v>un</v>
      </c>
      <c r="F25" s="24" t="n">
        <f aca="false">IF(OR(C25="",D25=""),"",IFERROR(D25*INDEX(Ingredientes!$F$5:$F$204,MATCH(C25,Ingredientes!$B$5:$B$204,0))/INDEX(Ingredientes!$E$5:$E$204,MATCH(C25,Ingredientes!$B$5:$B$204,0)),"Cadastre em Ingredientes"))</f>
        <v>3</v>
      </c>
      <c r="G25" s="7"/>
    </row>
    <row r="26" customFormat="false" ht="21" hidden="false" customHeight="true" outlineLevel="0" collapsed="false">
      <c r="B26" s="7" t="s">
        <v>95</v>
      </c>
      <c r="C26" s="7" t="s">
        <v>149</v>
      </c>
      <c r="D26" s="37" t="n">
        <v>395</v>
      </c>
      <c r="E26" s="34" t="str">
        <f aca="false">IF(C26="","",IFERROR(INDEX(Ingredientes!$D$5:$D$204,MATCH(C26,Ingredientes!$B$5:$B$204,0)),"?"))</f>
        <v>g</v>
      </c>
      <c r="F26" s="24" t="n">
        <f aca="false">IF(OR(C26="",D26=""),"",IFERROR(D26*INDEX(Ingredientes!$F$5:$F$204,MATCH(C26,Ingredientes!$B$5:$B$204,0))/INDEX(Ingredientes!$E$5:$E$204,MATCH(C26,Ingredientes!$B$5:$B$204,0)),"Cadastre em Ingredientes"))</f>
        <v>6.49</v>
      </c>
      <c r="G26" s="7"/>
    </row>
    <row r="27" customFormat="false" ht="21" hidden="false" customHeight="true" outlineLevel="0" collapsed="false">
      <c r="B27" s="7" t="s">
        <v>95</v>
      </c>
      <c r="C27" s="7" t="s">
        <v>143</v>
      </c>
      <c r="D27" s="37" t="n">
        <v>40</v>
      </c>
      <c r="E27" s="34" t="str">
        <f aca="false">IF(C27="","",IFERROR(INDEX(Ingredientes!$D$5:$D$204,MATCH(C27,Ingredientes!$B$5:$B$204,0)),"?"))</f>
        <v>g</v>
      </c>
      <c r="F27" s="24" t="n">
        <f aca="false">IF(OR(C27="",D27=""),"",IFERROR(D27*INDEX(Ingredientes!$F$5:$F$204,MATCH(C27,Ingredientes!$B$5:$B$204,0))/INDEX(Ingredientes!$E$5:$E$204,MATCH(C27,Ingredientes!$B$5:$B$204,0)),"Cadastre em Ingredientes"))</f>
        <v>1.98</v>
      </c>
      <c r="G27" s="7"/>
    </row>
    <row r="28" customFormat="false" ht="21" hidden="false" customHeight="true" outlineLevel="0" collapsed="false">
      <c r="B28" s="7" t="s">
        <v>95</v>
      </c>
      <c r="C28" s="7" t="s">
        <v>153</v>
      </c>
      <c r="D28" s="37" t="n">
        <v>20</v>
      </c>
      <c r="E28" s="34" t="str">
        <f aca="false">IF(C28="","",IFERROR(INDEX(Ingredientes!$D$5:$D$204,MATCH(C28,Ingredientes!$B$5:$B$204,0)),"?"))</f>
        <v>g</v>
      </c>
      <c r="F28" s="24" t="n">
        <f aca="false">IF(OR(C28="",D28=""),"",IFERROR(D28*INDEX(Ingredientes!$F$5:$F$204,MATCH(C28,Ingredientes!$B$5:$B$204,0))/INDEX(Ingredientes!$E$5:$E$204,MATCH(C28,Ingredientes!$B$5:$B$204,0)),"Cadastre em Ingredientes"))</f>
        <v>0.99</v>
      </c>
      <c r="G28" s="7"/>
    </row>
    <row r="29" customFormat="false" ht="21" hidden="false" customHeight="true" outlineLevel="0" collapsed="false">
      <c r="B29" s="7" t="s">
        <v>95</v>
      </c>
      <c r="C29" s="7" t="s">
        <v>154</v>
      </c>
      <c r="D29" s="37" t="n">
        <v>80</v>
      </c>
      <c r="E29" s="34" t="str">
        <f aca="false">IF(C29="","",IFERROR(INDEX(Ingredientes!$D$5:$D$204,MATCH(C29,Ingredientes!$B$5:$B$204,0)),"?"))</f>
        <v>g</v>
      </c>
      <c r="F29" s="24" t="n">
        <f aca="false">IF(OR(C29="",D29=""),"",IFERROR(D29*INDEX(Ingredientes!$F$5:$F$204,MATCH(C29,Ingredientes!$B$5:$B$204,0))/INDEX(Ingredientes!$E$5:$E$204,MATCH(C29,Ingredientes!$B$5:$B$204,0)),"Cadastre em Ingredientes"))</f>
        <v>2.384</v>
      </c>
      <c r="G29" s="7"/>
    </row>
    <row r="30" customFormat="false" ht="21" hidden="false" customHeight="true" outlineLevel="0" collapsed="false">
      <c r="B30" s="7" t="s">
        <v>95</v>
      </c>
      <c r="C30" s="7" t="s">
        <v>162</v>
      </c>
      <c r="D30" s="37" t="n">
        <v>30</v>
      </c>
      <c r="E30" s="34" t="str">
        <f aca="false">IF(C30="","",IFERROR(INDEX(Ingredientes!$D$5:$D$204,MATCH(C30,Ingredientes!$B$5:$B$204,0)),"?"))</f>
        <v>un</v>
      </c>
      <c r="F30" s="24" t="n">
        <f aca="false">IF(OR(C30="",D30=""),"",IFERROR(D30*INDEX(Ingredientes!$F$5:$F$204,MATCH(C30,Ingredientes!$B$5:$B$204,0))/INDEX(Ingredientes!$E$5:$E$204,MATCH(C30,Ingredientes!$B$5:$B$204,0)),"Cadastre em Ingredientes"))</f>
        <v>1.77</v>
      </c>
      <c r="G30" s="7"/>
    </row>
    <row r="31" customFormat="false" ht="21" hidden="false" customHeight="true" outlineLevel="0" collapsed="false">
      <c r="B31" s="7" t="s">
        <v>100</v>
      </c>
      <c r="C31" s="7" t="s">
        <v>163</v>
      </c>
      <c r="D31" s="37" t="n">
        <v>800</v>
      </c>
      <c r="E31" s="34" t="str">
        <f aca="false">IF(C31="","",IFERROR(INDEX(Ingredientes!$D$5:$D$204,MATCH(C31,Ingredientes!$B$5:$B$204,0)),"?"))</f>
        <v>g</v>
      </c>
      <c r="F31" s="24" t="n">
        <f aca="false">IF(OR(C31="",D31=""),"",IFERROR(D31*INDEX(Ingredientes!$F$5:$F$204,MATCH(C31,Ingredientes!$B$5:$B$204,0))/INDEX(Ingredientes!$E$5:$E$204,MATCH(C31,Ingredientes!$B$5:$B$204,0)),"Cadastre em Ingredientes"))</f>
        <v>17.52</v>
      </c>
      <c r="G31" s="7" t="s">
        <v>152</v>
      </c>
    </row>
    <row r="32" customFormat="false" ht="21" hidden="false" customHeight="true" outlineLevel="0" collapsed="false">
      <c r="B32" s="7" t="s">
        <v>100</v>
      </c>
      <c r="C32" s="7" t="s">
        <v>164</v>
      </c>
      <c r="D32" s="37" t="n">
        <v>200</v>
      </c>
      <c r="E32" s="34" t="str">
        <f aca="false">IF(C32="","",IFERROR(INDEX(Ingredientes!$D$5:$D$204,MATCH(C32,Ingredientes!$B$5:$B$204,0)),"?"))</f>
        <v>g</v>
      </c>
      <c r="F32" s="24" t="n">
        <f aca="false">IF(OR(C32="",D32=""),"",IFERROR(D32*INDEX(Ingredientes!$F$5:$F$204,MATCH(C32,Ingredientes!$B$5:$B$204,0))/INDEX(Ingredientes!$E$5:$E$204,MATCH(C32,Ingredientes!$B$5:$B$204,0)),"Cadastre em Ingredientes"))</f>
        <v>5.45</v>
      </c>
      <c r="G32" s="7" t="s">
        <v>152</v>
      </c>
    </row>
    <row r="33" customFormat="false" ht="21" hidden="false" customHeight="true" outlineLevel="0" collapsed="false">
      <c r="B33" s="7" t="s">
        <v>100</v>
      </c>
      <c r="C33" s="7" t="s">
        <v>165</v>
      </c>
      <c r="D33" s="37" t="n">
        <v>100</v>
      </c>
      <c r="E33" s="34" t="str">
        <f aca="false">IF(C33="","",IFERROR(INDEX(Ingredientes!$D$5:$D$204,MATCH(C33,Ingredientes!$B$5:$B$204,0)),"?"))</f>
        <v>g</v>
      </c>
      <c r="F33" s="24" t="n">
        <f aca="false">IF(OR(C33="",D33=""),"",IFERROR(D33*INDEX(Ingredientes!$F$5:$F$204,MATCH(C33,Ingredientes!$B$5:$B$204,0))/INDEX(Ingredientes!$E$5:$E$204,MATCH(C33,Ingredientes!$B$5:$B$204,0)),"Cadastre em Ingredientes"))</f>
        <v>0.599</v>
      </c>
      <c r="G33" s="7" t="s">
        <v>152</v>
      </c>
    </row>
    <row r="34" customFormat="false" ht="21" hidden="false" customHeight="true" outlineLevel="0" collapsed="false">
      <c r="B34" s="7" t="s">
        <v>100</v>
      </c>
      <c r="C34" s="7" t="s">
        <v>140</v>
      </c>
      <c r="D34" s="37" t="n">
        <v>500</v>
      </c>
      <c r="E34" s="34" t="str">
        <f aca="false">IF(C34="","",IFERROR(INDEX(Ingredientes!$D$5:$D$204,MATCH(C34,Ingredientes!$B$5:$B$204,0)),"?"))</f>
        <v>g</v>
      </c>
      <c r="F34" s="24" t="n">
        <f aca="false">IF(OR(C34="",D34=""),"",IFERROR(D34*INDEX(Ingredientes!$F$5:$F$204,MATCH(C34,Ingredientes!$B$5:$B$204,0))/INDEX(Ingredientes!$E$5:$E$204,MATCH(C34,Ingredientes!$B$5:$B$204,0)),"Cadastre em Ingredientes"))</f>
        <v>2.745</v>
      </c>
      <c r="G34" s="7" t="s">
        <v>141</v>
      </c>
    </row>
    <row r="35" customFormat="false" ht="21" hidden="false" customHeight="true" outlineLevel="0" collapsed="false">
      <c r="B35" s="7" t="s">
        <v>100</v>
      </c>
      <c r="C35" s="7" t="s">
        <v>146</v>
      </c>
      <c r="D35" s="37" t="n">
        <v>500</v>
      </c>
      <c r="E35" s="34" t="str">
        <f aca="false">IF(C35="","",IFERROR(INDEX(Ingredientes!$D$5:$D$204,MATCH(C35,Ingredientes!$B$5:$B$204,0)),"?"))</f>
        <v>ml</v>
      </c>
      <c r="F35" s="24" t="n">
        <f aca="false">IF(OR(C35="",D35=""),"",IFERROR(D35*INDEX(Ingredientes!$F$5:$F$204,MATCH(C35,Ingredientes!$B$5:$B$204,0))/INDEX(Ingredientes!$E$5:$E$204,MATCH(C35,Ingredientes!$B$5:$B$204,0)),"Cadastre em Ingredientes"))</f>
        <v>2.645</v>
      </c>
      <c r="G35" s="7" t="s">
        <v>141</v>
      </c>
    </row>
    <row r="36" customFormat="false" ht="21" hidden="false" customHeight="true" outlineLevel="0" collapsed="false">
      <c r="B36" s="7" t="s">
        <v>100</v>
      </c>
      <c r="C36" s="7" t="s">
        <v>153</v>
      </c>
      <c r="D36" s="37" t="n">
        <v>30</v>
      </c>
      <c r="E36" s="34" t="str">
        <f aca="false">IF(C36="","",IFERROR(INDEX(Ingredientes!$D$5:$D$204,MATCH(C36,Ingredientes!$B$5:$B$204,0)),"?"))</f>
        <v>g</v>
      </c>
      <c r="F36" s="24" t="n">
        <f aca="false">IF(OR(C36="",D36=""),"",IFERROR(D36*INDEX(Ingredientes!$F$5:$F$204,MATCH(C36,Ingredientes!$B$5:$B$204,0))/INDEX(Ingredientes!$E$5:$E$204,MATCH(C36,Ingredientes!$B$5:$B$204,0)),"Cadastre em Ingredientes"))</f>
        <v>1.485</v>
      </c>
      <c r="G36" s="7" t="s">
        <v>141</v>
      </c>
    </row>
    <row r="37" customFormat="false" ht="21" hidden="false" customHeight="true" outlineLevel="0" collapsed="false">
      <c r="B37" s="7" t="s">
        <v>100</v>
      </c>
      <c r="C37" s="7" t="s">
        <v>166</v>
      </c>
      <c r="D37" s="37" t="n">
        <v>15</v>
      </c>
      <c r="E37" s="34" t="str">
        <f aca="false">IF(C37="","",IFERROR(INDEX(Ingredientes!$D$5:$D$204,MATCH(C37,Ingredientes!$B$5:$B$204,0)),"?"))</f>
        <v>g</v>
      </c>
      <c r="F37" s="24" t="n">
        <f aca="false">IF(OR(C37="",D37=""),"",IFERROR(D37*INDEX(Ingredientes!$F$5:$F$204,MATCH(C37,Ingredientes!$B$5:$B$204,0))/INDEX(Ingredientes!$E$5:$E$204,MATCH(C37,Ingredientes!$B$5:$B$204,0)),"Cadastre em Ingredientes"))</f>
        <v>0.04485</v>
      </c>
      <c r="G37" s="7"/>
    </row>
    <row r="38" customFormat="false" ht="21" hidden="false" customHeight="true" outlineLevel="0" collapsed="false">
      <c r="B38" s="7" t="s">
        <v>100</v>
      </c>
      <c r="C38" s="7" t="s">
        <v>145</v>
      </c>
      <c r="D38" s="37" t="n">
        <v>2</v>
      </c>
      <c r="E38" s="34" t="str">
        <f aca="false">IF(C38="","",IFERROR(INDEX(Ingredientes!$D$5:$D$204,MATCH(C38,Ingredientes!$B$5:$B$204,0)),"?"))</f>
        <v>un</v>
      </c>
      <c r="F38" s="24" t="n">
        <f aca="false">IF(OR(C38="",D38=""),"",IFERROR(D38*INDEX(Ingredientes!$F$5:$F$204,MATCH(C38,Ingredientes!$B$5:$B$204,0))/INDEX(Ingredientes!$E$5:$E$204,MATCH(C38,Ingredientes!$B$5:$B$204,0)),"Cadastre em Ingredientes"))</f>
        <v>1.32666666666667</v>
      </c>
      <c r="G38" s="7" t="s">
        <v>167</v>
      </c>
    </row>
    <row r="39" customFormat="false" ht="21" hidden="false" customHeight="true" outlineLevel="0" collapsed="false">
      <c r="B39" s="7" t="s">
        <v>100</v>
      </c>
      <c r="C39" s="7" t="s">
        <v>168</v>
      </c>
      <c r="D39" s="37" t="n">
        <v>300</v>
      </c>
      <c r="E39" s="34" t="str">
        <f aca="false">IF(C39="","",IFERROR(INDEX(Ingredientes!$D$5:$D$204,MATCH(C39,Ingredientes!$B$5:$B$204,0)),"?"))</f>
        <v>g</v>
      </c>
      <c r="F39" s="24" t="n">
        <f aca="false">IF(OR(C39="",D39=""),"",IFERROR(D39*INDEX(Ingredientes!$F$5:$F$204,MATCH(C39,Ingredientes!$B$5:$B$204,0))/INDEX(Ingredientes!$E$5:$E$204,MATCH(C39,Ingredientes!$B$5:$B$204,0)),"Cadastre em Ingredientes"))</f>
        <v>4.14</v>
      </c>
      <c r="G39" s="7" t="s">
        <v>167</v>
      </c>
    </row>
    <row r="40" customFormat="false" ht="21" hidden="false" customHeight="true" outlineLevel="0" collapsed="false">
      <c r="B40" s="7" t="s">
        <v>100</v>
      </c>
      <c r="C40" s="7" t="s">
        <v>147</v>
      </c>
      <c r="D40" s="37" t="n">
        <v>450</v>
      </c>
      <c r="E40" s="34" t="str">
        <f aca="false">IF(C40="","",IFERROR(INDEX(Ingredientes!$D$5:$D$204,MATCH(C40,Ingredientes!$B$5:$B$204,0)),"?"))</f>
        <v>ml</v>
      </c>
      <c r="F40" s="24" t="n">
        <f aca="false">IF(OR(C40="",D40=""),"",IFERROR(D40*INDEX(Ingredientes!$F$5:$F$204,MATCH(C40,Ingredientes!$B$5:$B$204,0))/INDEX(Ingredientes!$E$5:$E$204,MATCH(C40,Ingredientes!$B$5:$B$204,0)),"Cadastre em Ingredientes"))</f>
        <v>3.995</v>
      </c>
      <c r="G40" s="7" t="s">
        <v>169</v>
      </c>
    </row>
    <row r="41" customFormat="false" ht="21" hidden="false" customHeight="true" outlineLevel="0" collapsed="false">
      <c r="B41" s="7" t="s">
        <v>100</v>
      </c>
      <c r="C41" s="7" t="s">
        <v>170</v>
      </c>
      <c r="D41" s="37" t="n">
        <v>2</v>
      </c>
      <c r="E41" s="34" t="str">
        <f aca="false">IF(C41="","",IFERROR(INDEX(Ingredientes!$D$5:$D$204,MATCH(C41,Ingredientes!$B$5:$B$204,0)),"?"))</f>
        <v>un</v>
      </c>
      <c r="F41" s="24" t="n">
        <f aca="false">IF(OR(C41="",D41=""),"",IFERROR(D41*INDEX(Ingredientes!$F$5:$F$204,MATCH(C41,Ingredientes!$B$5:$B$204,0))/INDEX(Ingredientes!$E$5:$E$204,MATCH(C41,Ingredientes!$B$5:$B$204,0)),"Cadastre em Ingredientes"))</f>
        <v>2.58</v>
      </c>
      <c r="G41" s="7"/>
    </row>
    <row r="42" customFormat="false" ht="21" hidden="false" customHeight="true" outlineLevel="0" collapsed="false">
      <c r="B42" s="7"/>
      <c r="C42" s="7"/>
      <c r="D42" s="37"/>
      <c r="E42" s="34" t="str">
        <f aca="false">IF(C42="","",IFERROR(INDEX(Ingredientes!$D$5:$D$204,MATCH(C42,Ingredientes!$B$5:$B$204,0)),"?"))</f>
        <v/>
      </c>
      <c r="F42" s="24" t="str">
        <f aca="false">IF(OR(C42="",D42=""),"",IFERROR(D42*INDEX(Ingredientes!$F$5:$F$204,MATCH(C42,Ingredientes!$B$5:$B$204,0))/INDEX(Ingredientes!$E$5:$E$204,MATCH(C42,Ingredientes!$B$5:$B$204,0)),"Cadastre em Ingredientes"))</f>
        <v/>
      </c>
      <c r="G42" s="7"/>
    </row>
    <row r="43" customFormat="false" ht="21" hidden="false" customHeight="true" outlineLevel="0" collapsed="false">
      <c r="B43" s="7"/>
      <c r="C43" s="7"/>
      <c r="D43" s="37"/>
      <c r="E43" s="34" t="str">
        <f aca="false">IF(C43="","",IFERROR(INDEX(Ingredientes!$D$5:$D$204,MATCH(C43,Ingredientes!$B$5:$B$204,0)),"?"))</f>
        <v/>
      </c>
      <c r="F43" s="24" t="str">
        <f aca="false">IF(OR(C43="",D43=""),"",IFERROR(D43*INDEX(Ingredientes!$F$5:$F$204,MATCH(C43,Ingredientes!$B$5:$B$204,0))/INDEX(Ingredientes!$E$5:$E$204,MATCH(C43,Ingredientes!$B$5:$B$204,0)),"Cadastre em Ingredientes"))</f>
        <v/>
      </c>
      <c r="G43" s="7"/>
    </row>
    <row r="44" customFormat="false" ht="21" hidden="false" customHeight="true" outlineLevel="0" collapsed="false">
      <c r="B44" s="7"/>
      <c r="C44" s="7"/>
      <c r="D44" s="37"/>
      <c r="E44" s="34" t="str">
        <f aca="false">IF(C44="","",IFERROR(INDEX(Ingredientes!$D$5:$D$204,MATCH(C44,Ingredientes!$B$5:$B$204,0)),"?"))</f>
        <v/>
      </c>
      <c r="F44" s="24" t="str">
        <f aca="false">IF(OR(C44="",D44=""),"",IFERROR(D44*INDEX(Ingredientes!$F$5:$F$204,MATCH(C44,Ingredientes!$B$5:$B$204,0))/INDEX(Ingredientes!$E$5:$E$204,MATCH(C44,Ingredientes!$B$5:$B$204,0)),"Cadastre em Ingredientes"))</f>
        <v/>
      </c>
      <c r="G44" s="7"/>
    </row>
    <row r="45" customFormat="false" ht="21" hidden="false" customHeight="true" outlineLevel="0" collapsed="false">
      <c r="B45" s="7"/>
      <c r="C45" s="7"/>
      <c r="D45" s="37"/>
      <c r="E45" s="34" t="str">
        <f aca="false">IF(C45="","",IFERROR(INDEX(Ingredientes!$D$5:$D$204,MATCH(C45,Ingredientes!$B$5:$B$204,0)),"?"))</f>
        <v/>
      </c>
      <c r="F45" s="24" t="str">
        <f aca="false">IF(OR(C45="",D45=""),"",IFERROR(D45*INDEX(Ingredientes!$F$5:$F$204,MATCH(C45,Ingredientes!$B$5:$B$204,0))/INDEX(Ingredientes!$E$5:$E$204,MATCH(C45,Ingredientes!$B$5:$B$204,0)),"Cadastre em Ingredientes"))</f>
        <v/>
      </c>
      <c r="G45" s="7"/>
    </row>
    <row r="46" customFormat="false" ht="21" hidden="false" customHeight="true" outlineLevel="0" collapsed="false">
      <c r="B46" s="7"/>
      <c r="C46" s="7"/>
      <c r="D46" s="37"/>
      <c r="E46" s="34" t="str">
        <f aca="false">IF(C46="","",IFERROR(INDEX(Ingredientes!$D$5:$D$204,MATCH(C46,Ingredientes!$B$5:$B$204,0)),"?"))</f>
        <v/>
      </c>
      <c r="F46" s="24" t="str">
        <f aca="false">IF(OR(C46="",D46=""),"",IFERROR(D46*INDEX(Ingredientes!$F$5:$F$204,MATCH(C46,Ingredientes!$B$5:$B$204,0))/INDEX(Ingredientes!$E$5:$E$204,MATCH(C46,Ingredientes!$B$5:$B$204,0)),"Cadastre em Ingredientes"))</f>
        <v/>
      </c>
      <c r="G46" s="7"/>
    </row>
    <row r="47" customFormat="false" ht="21" hidden="false" customHeight="true" outlineLevel="0" collapsed="false">
      <c r="B47" s="7"/>
      <c r="C47" s="7"/>
      <c r="D47" s="37"/>
      <c r="E47" s="34" t="str">
        <f aca="false">IF(C47="","",IFERROR(INDEX(Ingredientes!$D$5:$D$204,MATCH(C47,Ingredientes!$B$5:$B$204,0)),"?"))</f>
        <v/>
      </c>
      <c r="F47" s="24" t="str">
        <f aca="false">IF(OR(C47="",D47=""),"",IFERROR(D47*INDEX(Ingredientes!$F$5:$F$204,MATCH(C47,Ingredientes!$B$5:$B$204,0))/INDEX(Ingredientes!$E$5:$E$204,MATCH(C47,Ingredientes!$B$5:$B$204,0)),"Cadastre em Ingredientes"))</f>
        <v/>
      </c>
      <c r="G47" s="7"/>
    </row>
    <row r="48" customFormat="false" ht="21" hidden="false" customHeight="true" outlineLevel="0" collapsed="false">
      <c r="B48" s="7"/>
      <c r="C48" s="7"/>
      <c r="D48" s="37"/>
      <c r="E48" s="34" t="str">
        <f aca="false">IF(C48="","",IFERROR(INDEX(Ingredientes!$D$5:$D$204,MATCH(C48,Ingredientes!$B$5:$B$204,0)),"?"))</f>
        <v/>
      </c>
      <c r="F48" s="24" t="str">
        <f aca="false">IF(OR(C48="",D48=""),"",IFERROR(D48*INDEX(Ingredientes!$F$5:$F$204,MATCH(C48,Ingredientes!$B$5:$B$204,0))/INDEX(Ingredientes!$E$5:$E$204,MATCH(C48,Ingredientes!$B$5:$B$204,0)),"Cadastre em Ingredientes"))</f>
        <v/>
      </c>
      <c r="G48" s="7"/>
    </row>
    <row r="49" customFormat="false" ht="21" hidden="false" customHeight="true" outlineLevel="0" collapsed="false">
      <c r="B49" s="7"/>
      <c r="C49" s="7"/>
      <c r="D49" s="37"/>
      <c r="E49" s="34" t="str">
        <f aca="false">IF(C49="","",IFERROR(INDEX(Ingredientes!$D$5:$D$204,MATCH(C49,Ingredientes!$B$5:$B$204,0)),"?"))</f>
        <v/>
      </c>
      <c r="F49" s="24" t="str">
        <f aca="false">IF(OR(C49="",D49=""),"",IFERROR(D49*INDEX(Ingredientes!$F$5:$F$204,MATCH(C49,Ingredientes!$B$5:$B$204,0))/INDEX(Ingredientes!$E$5:$E$204,MATCH(C49,Ingredientes!$B$5:$B$204,0)),"Cadastre em Ingredientes"))</f>
        <v/>
      </c>
      <c r="G49" s="7"/>
    </row>
    <row r="50" customFormat="false" ht="21" hidden="false" customHeight="true" outlineLevel="0" collapsed="false">
      <c r="B50" s="7"/>
      <c r="C50" s="7"/>
      <c r="D50" s="37"/>
      <c r="E50" s="34" t="str">
        <f aca="false">IF(C50="","",IFERROR(INDEX(Ingredientes!$D$5:$D$204,MATCH(C50,Ingredientes!$B$5:$B$204,0)),"?"))</f>
        <v/>
      </c>
      <c r="F50" s="24" t="str">
        <f aca="false">IF(OR(C50="",D50=""),"",IFERROR(D50*INDEX(Ingredientes!$F$5:$F$204,MATCH(C50,Ingredientes!$B$5:$B$204,0))/INDEX(Ingredientes!$E$5:$E$204,MATCH(C50,Ingredientes!$B$5:$B$204,0)),"Cadastre em Ingredientes"))</f>
        <v/>
      </c>
      <c r="G50" s="7"/>
    </row>
    <row r="51" customFormat="false" ht="21" hidden="false" customHeight="true" outlineLevel="0" collapsed="false">
      <c r="B51" s="7"/>
      <c r="C51" s="7"/>
      <c r="D51" s="37"/>
      <c r="E51" s="34" t="str">
        <f aca="false">IF(C51="","",IFERROR(INDEX(Ingredientes!$D$5:$D$204,MATCH(C51,Ingredientes!$B$5:$B$204,0)),"?"))</f>
        <v/>
      </c>
      <c r="F51" s="24" t="str">
        <f aca="false">IF(OR(C51="",D51=""),"",IFERROR(D51*INDEX(Ingredientes!$F$5:$F$204,MATCH(C51,Ingredientes!$B$5:$B$204,0))/INDEX(Ingredientes!$E$5:$E$204,MATCH(C51,Ingredientes!$B$5:$B$204,0)),"Cadastre em Ingredientes"))</f>
        <v/>
      </c>
      <c r="G51" s="7"/>
    </row>
    <row r="52" customFormat="false" ht="21" hidden="false" customHeight="true" outlineLevel="0" collapsed="false">
      <c r="B52" s="7"/>
      <c r="C52" s="7"/>
      <c r="D52" s="37"/>
      <c r="E52" s="34" t="str">
        <f aca="false">IF(C52="","",IFERROR(INDEX(Ingredientes!$D$5:$D$204,MATCH(C52,Ingredientes!$B$5:$B$204,0)),"?"))</f>
        <v/>
      </c>
      <c r="F52" s="24" t="str">
        <f aca="false">IF(OR(C52="",D52=""),"",IFERROR(D52*INDEX(Ingredientes!$F$5:$F$204,MATCH(C52,Ingredientes!$B$5:$B$204,0))/INDEX(Ingredientes!$E$5:$E$204,MATCH(C52,Ingredientes!$B$5:$B$204,0)),"Cadastre em Ingredientes"))</f>
        <v/>
      </c>
      <c r="G52" s="7"/>
    </row>
    <row r="53" customFormat="false" ht="21" hidden="false" customHeight="true" outlineLevel="0" collapsed="false">
      <c r="B53" s="7"/>
      <c r="C53" s="7"/>
      <c r="D53" s="37"/>
      <c r="E53" s="34" t="str">
        <f aca="false">IF(C53="","",IFERROR(INDEX(Ingredientes!$D$5:$D$204,MATCH(C53,Ingredientes!$B$5:$B$204,0)),"?"))</f>
        <v/>
      </c>
      <c r="F53" s="24" t="str">
        <f aca="false">IF(OR(C53="",D53=""),"",IFERROR(D53*INDEX(Ingredientes!$F$5:$F$204,MATCH(C53,Ingredientes!$B$5:$B$204,0))/INDEX(Ingredientes!$E$5:$E$204,MATCH(C53,Ingredientes!$B$5:$B$204,0)),"Cadastre em Ingredientes"))</f>
        <v/>
      </c>
      <c r="G53" s="7"/>
    </row>
    <row r="54" customFormat="false" ht="21" hidden="false" customHeight="true" outlineLevel="0" collapsed="false">
      <c r="B54" s="7"/>
      <c r="C54" s="7"/>
      <c r="D54" s="37"/>
      <c r="E54" s="34" t="str">
        <f aca="false">IF(C54="","",IFERROR(INDEX(Ingredientes!$D$5:$D$204,MATCH(C54,Ingredientes!$B$5:$B$204,0)),"?"))</f>
        <v/>
      </c>
      <c r="F54" s="24" t="str">
        <f aca="false">IF(OR(C54="",D54=""),"",IFERROR(D54*INDEX(Ingredientes!$F$5:$F$204,MATCH(C54,Ingredientes!$B$5:$B$204,0))/INDEX(Ingredientes!$E$5:$E$204,MATCH(C54,Ingredientes!$B$5:$B$204,0)),"Cadastre em Ingredientes"))</f>
        <v/>
      </c>
      <c r="G54" s="7"/>
    </row>
    <row r="55" customFormat="false" ht="21" hidden="false" customHeight="true" outlineLevel="0" collapsed="false">
      <c r="B55" s="7"/>
      <c r="C55" s="7"/>
      <c r="D55" s="37"/>
      <c r="E55" s="34" t="str">
        <f aca="false">IF(C55="","",IFERROR(INDEX(Ingredientes!$D$5:$D$204,MATCH(C55,Ingredientes!$B$5:$B$204,0)),"?"))</f>
        <v/>
      </c>
      <c r="F55" s="24" t="str">
        <f aca="false">IF(OR(C55="",D55=""),"",IFERROR(D55*INDEX(Ingredientes!$F$5:$F$204,MATCH(C55,Ingredientes!$B$5:$B$204,0))/INDEX(Ingredientes!$E$5:$E$204,MATCH(C55,Ingredientes!$B$5:$B$204,0)),"Cadastre em Ingredientes"))</f>
        <v/>
      </c>
      <c r="G55" s="7"/>
    </row>
    <row r="56" customFormat="false" ht="21" hidden="false" customHeight="true" outlineLevel="0" collapsed="false">
      <c r="B56" s="7"/>
      <c r="C56" s="7"/>
      <c r="D56" s="37"/>
      <c r="E56" s="34" t="str">
        <f aca="false">IF(C56="","",IFERROR(INDEX(Ingredientes!$D$5:$D$204,MATCH(C56,Ingredientes!$B$5:$B$204,0)),"?"))</f>
        <v/>
      </c>
      <c r="F56" s="24" t="str">
        <f aca="false">IF(OR(C56="",D56=""),"",IFERROR(D56*INDEX(Ingredientes!$F$5:$F$204,MATCH(C56,Ingredientes!$B$5:$B$204,0))/INDEX(Ingredientes!$E$5:$E$204,MATCH(C56,Ingredientes!$B$5:$B$204,0)),"Cadastre em Ingredientes"))</f>
        <v/>
      </c>
      <c r="G56" s="7"/>
    </row>
    <row r="57" customFormat="false" ht="21" hidden="false" customHeight="true" outlineLevel="0" collapsed="false">
      <c r="B57" s="7"/>
      <c r="C57" s="7"/>
      <c r="D57" s="37"/>
      <c r="E57" s="34" t="str">
        <f aca="false">IF(C57="","",IFERROR(INDEX(Ingredientes!$D$5:$D$204,MATCH(C57,Ingredientes!$B$5:$B$204,0)),"?"))</f>
        <v/>
      </c>
      <c r="F57" s="24" t="str">
        <f aca="false">IF(OR(C57="",D57=""),"",IFERROR(D57*INDEX(Ingredientes!$F$5:$F$204,MATCH(C57,Ingredientes!$B$5:$B$204,0))/INDEX(Ingredientes!$E$5:$E$204,MATCH(C57,Ingredientes!$B$5:$B$204,0)),"Cadastre em Ingredientes"))</f>
        <v/>
      </c>
      <c r="G57" s="7"/>
    </row>
    <row r="58" customFormat="false" ht="21" hidden="false" customHeight="true" outlineLevel="0" collapsed="false">
      <c r="B58" s="7"/>
      <c r="C58" s="7"/>
      <c r="D58" s="37"/>
      <c r="E58" s="34" t="str">
        <f aca="false">IF(C58="","",IFERROR(INDEX(Ingredientes!$D$5:$D$204,MATCH(C58,Ingredientes!$B$5:$B$204,0)),"?"))</f>
        <v/>
      </c>
      <c r="F58" s="24" t="str">
        <f aca="false">IF(OR(C58="",D58=""),"",IFERROR(D58*INDEX(Ingredientes!$F$5:$F$204,MATCH(C58,Ingredientes!$B$5:$B$204,0))/INDEX(Ingredientes!$E$5:$E$204,MATCH(C58,Ingredientes!$B$5:$B$204,0)),"Cadastre em Ingredientes"))</f>
        <v/>
      </c>
      <c r="G58" s="7"/>
    </row>
    <row r="59" customFormat="false" ht="21" hidden="false" customHeight="true" outlineLevel="0" collapsed="false">
      <c r="B59" s="7"/>
      <c r="C59" s="7"/>
      <c r="D59" s="37"/>
      <c r="E59" s="34" t="str">
        <f aca="false">IF(C59="","",IFERROR(INDEX(Ingredientes!$D$5:$D$204,MATCH(C59,Ingredientes!$B$5:$B$204,0)),"?"))</f>
        <v/>
      </c>
      <c r="F59" s="24" t="str">
        <f aca="false">IF(OR(C59="",D59=""),"",IFERROR(D59*INDEX(Ingredientes!$F$5:$F$204,MATCH(C59,Ingredientes!$B$5:$B$204,0))/INDEX(Ingredientes!$E$5:$E$204,MATCH(C59,Ingredientes!$B$5:$B$204,0)),"Cadastre em Ingredientes"))</f>
        <v/>
      </c>
      <c r="G59" s="7"/>
    </row>
    <row r="60" customFormat="false" ht="21" hidden="false" customHeight="true" outlineLevel="0" collapsed="false">
      <c r="B60" s="7"/>
      <c r="C60" s="7"/>
      <c r="D60" s="37"/>
      <c r="E60" s="34" t="str">
        <f aca="false">IF(C60="","",IFERROR(INDEX(Ingredientes!$D$5:$D$204,MATCH(C60,Ingredientes!$B$5:$B$204,0)),"?"))</f>
        <v/>
      </c>
      <c r="F60" s="24" t="str">
        <f aca="false">IF(OR(C60="",D60=""),"",IFERROR(D60*INDEX(Ingredientes!$F$5:$F$204,MATCH(C60,Ingredientes!$B$5:$B$204,0))/INDEX(Ingredientes!$E$5:$E$204,MATCH(C60,Ingredientes!$B$5:$B$204,0)),"Cadastre em Ingredientes"))</f>
        <v/>
      </c>
      <c r="G60" s="7"/>
    </row>
    <row r="61" customFormat="false" ht="21" hidden="false" customHeight="true" outlineLevel="0" collapsed="false">
      <c r="B61" s="7"/>
      <c r="C61" s="7"/>
      <c r="D61" s="37"/>
      <c r="E61" s="34" t="str">
        <f aca="false">IF(C61="","",IFERROR(INDEX(Ingredientes!$D$5:$D$204,MATCH(C61,Ingredientes!$B$5:$B$204,0)),"?"))</f>
        <v/>
      </c>
      <c r="F61" s="24" t="str">
        <f aca="false">IF(OR(C61="",D61=""),"",IFERROR(D61*INDEX(Ingredientes!$F$5:$F$204,MATCH(C61,Ingredientes!$B$5:$B$204,0))/INDEX(Ingredientes!$E$5:$E$204,MATCH(C61,Ingredientes!$B$5:$B$204,0)),"Cadastre em Ingredientes"))</f>
        <v/>
      </c>
      <c r="G61" s="7"/>
    </row>
    <row r="62" customFormat="false" ht="21" hidden="false" customHeight="true" outlineLevel="0" collapsed="false">
      <c r="B62" s="7"/>
      <c r="C62" s="7"/>
      <c r="D62" s="37"/>
      <c r="E62" s="34" t="str">
        <f aca="false">IF(C62="","",IFERROR(INDEX(Ingredientes!$D$5:$D$204,MATCH(C62,Ingredientes!$B$5:$B$204,0)),"?"))</f>
        <v/>
      </c>
      <c r="F62" s="24" t="str">
        <f aca="false">IF(OR(C62="",D62=""),"",IFERROR(D62*INDEX(Ingredientes!$F$5:$F$204,MATCH(C62,Ingredientes!$B$5:$B$204,0))/INDEX(Ingredientes!$E$5:$E$204,MATCH(C62,Ingredientes!$B$5:$B$204,0)),"Cadastre em Ingredientes"))</f>
        <v/>
      </c>
      <c r="G62" s="7"/>
    </row>
    <row r="63" customFormat="false" ht="21" hidden="false" customHeight="true" outlineLevel="0" collapsed="false">
      <c r="B63" s="7"/>
      <c r="C63" s="7"/>
      <c r="D63" s="37"/>
      <c r="E63" s="34" t="str">
        <f aca="false">IF(C63="","",IFERROR(INDEX(Ingredientes!$D$5:$D$204,MATCH(C63,Ingredientes!$B$5:$B$204,0)),"?"))</f>
        <v/>
      </c>
      <c r="F63" s="24" t="str">
        <f aca="false">IF(OR(C63="",D63=""),"",IFERROR(D63*INDEX(Ingredientes!$F$5:$F$204,MATCH(C63,Ingredientes!$B$5:$B$204,0))/INDEX(Ingredientes!$E$5:$E$204,MATCH(C63,Ingredientes!$B$5:$B$204,0)),"Cadastre em Ingredientes"))</f>
        <v/>
      </c>
      <c r="G63" s="7"/>
    </row>
    <row r="64" customFormat="false" ht="21" hidden="false" customHeight="true" outlineLevel="0" collapsed="false">
      <c r="B64" s="7"/>
      <c r="C64" s="7"/>
      <c r="D64" s="37"/>
      <c r="E64" s="34" t="str">
        <f aca="false">IF(C64="","",IFERROR(INDEX(Ingredientes!$D$5:$D$204,MATCH(C64,Ingredientes!$B$5:$B$204,0)),"?"))</f>
        <v/>
      </c>
      <c r="F64" s="24" t="str">
        <f aca="false">IF(OR(C64="",D64=""),"",IFERROR(D64*INDEX(Ingredientes!$F$5:$F$204,MATCH(C64,Ingredientes!$B$5:$B$204,0))/INDEX(Ingredientes!$E$5:$E$204,MATCH(C64,Ingredientes!$B$5:$B$204,0)),"Cadastre em Ingredientes"))</f>
        <v/>
      </c>
      <c r="G64" s="7"/>
    </row>
    <row r="65" customFormat="false" ht="21" hidden="false" customHeight="true" outlineLevel="0" collapsed="false">
      <c r="B65" s="7"/>
      <c r="C65" s="7"/>
      <c r="D65" s="37"/>
      <c r="E65" s="34" t="str">
        <f aca="false">IF(C65="","",IFERROR(INDEX(Ingredientes!$D$5:$D$204,MATCH(C65,Ingredientes!$B$5:$B$204,0)),"?"))</f>
        <v/>
      </c>
      <c r="F65" s="24" t="str">
        <f aca="false">IF(OR(C65="",D65=""),"",IFERROR(D65*INDEX(Ingredientes!$F$5:$F$204,MATCH(C65,Ingredientes!$B$5:$B$204,0))/INDEX(Ingredientes!$E$5:$E$204,MATCH(C65,Ingredientes!$B$5:$B$204,0)),"Cadastre em Ingredientes"))</f>
        <v/>
      </c>
      <c r="G65" s="7"/>
    </row>
    <row r="66" customFormat="false" ht="21" hidden="false" customHeight="true" outlineLevel="0" collapsed="false">
      <c r="B66" s="7"/>
      <c r="C66" s="7"/>
      <c r="D66" s="37"/>
      <c r="E66" s="34" t="str">
        <f aca="false">IF(C66="","",IFERROR(INDEX(Ingredientes!$D$5:$D$204,MATCH(C66,Ingredientes!$B$5:$B$204,0)),"?"))</f>
        <v/>
      </c>
      <c r="F66" s="24" t="str">
        <f aca="false">IF(OR(C66="",D66=""),"",IFERROR(D66*INDEX(Ingredientes!$F$5:$F$204,MATCH(C66,Ingredientes!$B$5:$B$204,0))/INDEX(Ingredientes!$E$5:$E$204,MATCH(C66,Ingredientes!$B$5:$B$204,0)),"Cadastre em Ingredientes"))</f>
        <v/>
      </c>
      <c r="G66" s="7"/>
    </row>
    <row r="67" customFormat="false" ht="21" hidden="false" customHeight="true" outlineLevel="0" collapsed="false">
      <c r="B67" s="7"/>
      <c r="C67" s="7"/>
      <c r="D67" s="37"/>
      <c r="E67" s="34" t="str">
        <f aca="false">IF(C67="","",IFERROR(INDEX(Ingredientes!$D$5:$D$204,MATCH(C67,Ingredientes!$B$5:$B$204,0)),"?"))</f>
        <v/>
      </c>
      <c r="F67" s="24" t="str">
        <f aca="false">IF(OR(C67="",D67=""),"",IFERROR(D67*INDEX(Ingredientes!$F$5:$F$204,MATCH(C67,Ingredientes!$B$5:$B$204,0))/INDEX(Ingredientes!$E$5:$E$204,MATCH(C67,Ingredientes!$B$5:$B$204,0)),"Cadastre em Ingredientes"))</f>
        <v/>
      </c>
      <c r="G67" s="7"/>
    </row>
    <row r="68" customFormat="false" ht="21" hidden="false" customHeight="true" outlineLevel="0" collapsed="false">
      <c r="B68" s="7"/>
      <c r="C68" s="7"/>
      <c r="D68" s="37"/>
      <c r="E68" s="34" t="str">
        <f aca="false">IF(C68="","",IFERROR(INDEX(Ingredientes!$D$5:$D$204,MATCH(C68,Ingredientes!$B$5:$B$204,0)),"?"))</f>
        <v/>
      </c>
      <c r="F68" s="24" t="str">
        <f aca="false">IF(OR(C68="",D68=""),"",IFERROR(D68*INDEX(Ingredientes!$F$5:$F$204,MATCH(C68,Ingredientes!$B$5:$B$204,0))/INDEX(Ingredientes!$E$5:$E$204,MATCH(C68,Ingredientes!$B$5:$B$204,0)),"Cadastre em Ingredientes"))</f>
        <v/>
      </c>
      <c r="G68" s="7"/>
    </row>
    <row r="69" customFormat="false" ht="21" hidden="false" customHeight="true" outlineLevel="0" collapsed="false">
      <c r="B69" s="7"/>
      <c r="C69" s="7"/>
      <c r="D69" s="37"/>
      <c r="E69" s="34" t="str">
        <f aca="false">IF(C69="","",IFERROR(INDEX(Ingredientes!$D$5:$D$204,MATCH(C69,Ingredientes!$B$5:$B$204,0)),"?"))</f>
        <v/>
      </c>
      <c r="F69" s="24" t="str">
        <f aca="false">IF(OR(C69="",D69=""),"",IFERROR(D69*INDEX(Ingredientes!$F$5:$F$204,MATCH(C69,Ingredientes!$B$5:$B$204,0))/INDEX(Ingredientes!$E$5:$E$204,MATCH(C69,Ingredientes!$B$5:$B$204,0)),"Cadastre em Ingredientes"))</f>
        <v/>
      </c>
      <c r="G69" s="7"/>
    </row>
    <row r="70" customFormat="false" ht="21" hidden="false" customHeight="true" outlineLevel="0" collapsed="false">
      <c r="B70" s="7"/>
      <c r="C70" s="7"/>
      <c r="D70" s="37"/>
      <c r="E70" s="34" t="str">
        <f aca="false">IF(C70="","",IFERROR(INDEX(Ingredientes!$D$5:$D$204,MATCH(C70,Ingredientes!$B$5:$B$204,0)),"?"))</f>
        <v/>
      </c>
      <c r="F70" s="24" t="str">
        <f aca="false">IF(OR(C70="",D70=""),"",IFERROR(D70*INDEX(Ingredientes!$F$5:$F$204,MATCH(C70,Ingredientes!$B$5:$B$204,0))/INDEX(Ingredientes!$E$5:$E$204,MATCH(C70,Ingredientes!$B$5:$B$204,0)),"Cadastre em Ingredientes"))</f>
        <v/>
      </c>
      <c r="G70" s="7"/>
    </row>
    <row r="71" customFormat="false" ht="21" hidden="false" customHeight="true" outlineLevel="0" collapsed="false">
      <c r="B71" s="7"/>
      <c r="C71" s="7"/>
      <c r="D71" s="37"/>
      <c r="E71" s="34" t="str">
        <f aca="false">IF(C71="","",IFERROR(INDEX(Ingredientes!$D$5:$D$204,MATCH(C71,Ingredientes!$B$5:$B$204,0)),"?"))</f>
        <v/>
      </c>
      <c r="F71" s="24" t="str">
        <f aca="false">IF(OR(C71="",D71=""),"",IFERROR(D71*INDEX(Ingredientes!$F$5:$F$204,MATCH(C71,Ingredientes!$B$5:$B$204,0))/INDEX(Ingredientes!$E$5:$E$204,MATCH(C71,Ingredientes!$B$5:$B$204,0)),"Cadastre em Ingredientes"))</f>
        <v/>
      </c>
      <c r="G71" s="7"/>
    </row>
    <row r="72" customFormat="false" ht="21" hidden="false" customHeight="true" outlineLevel="0" collapsed="false">
      <c r="B72" s="7"/>
      <c r="C72" s="7"/>
      <c r="D72" s="37"/>
      <c r="E72" s="34" t="str">
        <f aca="false">IF(C72="","",IFERROR(INDEX(Ingredientes!$D$5:$D$204,MATCH(C72,Ingredientes!$B$5:$B$204,0)),"?"))</f>
        <v/>
      </c>
      <c r="F72" s="24" t="str">
        <f aca="false">IF(OR(C72="",D72=""),"",IFERROR(D72*INDEX(Ingredientes!$F$5:$F$204,MATCH(C72,Ingredientes!$B$5:$B$204,0))/INDEX(Ingredientes!$E$5:$E$204,MATCH(C72,Ingredientes!$B$5:$B$204,0)),"Cadastre em Ingredientes"))</f>
        <v/>
      </c>
      <c r="G72" s="7"/>
    </row>
    <row r="73" customFormat="false" ht="21" hidden="false" customHeight="true" outlineLevel="0" collapsed="false">
      <c r="B73" s="7"/>
      <c r="C73" s="7"/>
      <c r="D73" s="37"/>
      <c r="E73" s="34" t="str">
        <f aca="false">IF(C73="","",IFERROR(INDEX(Ingredientes!$D$5:$D$204,MATCH(C73,Ingredientes!$B$5:$B$204,0)),"?"))</f>
        <v/>
      </c>
      <c r="F73" s="24" t="str">
        <f aca="false">IF(OR(C73="",D73=""),"",IFERROR(D73*INDEX(Ingredientes!$F$5:$F$204,MATCH(C73,Ingredientes!$B$5:$B$204,0))/INDEX(Ingredientes!$E$5:$E$204,MATCH(C73,Ingredientes!$B$5:$B$204,0)),"Cadastre em Ingredientes"))</f>
        <v/>
      </c>
      <c r="G73" s="7"/>
    </row>
    <row r="74" customFormat="false" ht="21" hidden="false" customHeight="true" outlineLevel="0" collapsed="false">
      <c r="B74" s="7"/>
      <c r="C74" s="7"/>
      <c r="D74" s="37"/>
      <c r="E74" s="34" t="str">
        <f aca="false">IF(C74="","",IFERROR(INDEX(Ingredientes!$D$5:$D$204,MATCH(C74,Ingredientes!$B$5:$B$204,0)),"?"))</f>
        <v/>
      </c>
      <c r="F74" s="24" t="str">
        <f aca="false">IF(OR(C74="",D74=""),"",IFERROR(D74*INDEX(Ingredientes!$F$5:$F$204,MATCH(C74,Ingredientes!$B$5:$B$204,0))/INDEX(Ingredientes!$E$5:$E$204,MATCH(C74,Ingredientes!$B$5:$B$204,0)),"Cadastre em Ingredientes"))</f>
        <v/>
      </c>
      <c r="G74" s="7"/>
    </row>
    <row r="75" customFormat="false" ht="21" hidden="false" customHeight="true" outlineLevel="0" collapsed="false">
      <c r="B75" s="7"/>
      <c r="C75" s="7"/>
      <c r="D75" s="37"/>
      <c r="E75" s="34" t="str">
        <f aca="false">IF(C75="","",IFERROR(INDEX(Ingredientes!$D$5:$D$204,MATCH(C75,Ingredientes!$B$5:$B$204,0)),"?"))</f>
        <v/>
      </c>
      <c r="F75" s="24" t="str">
        <f aca="false">IF(OR(C75="",D75=""),"",IFERROR(D75*INDEX(Ingredientes!$F$5:$F$204,MATCH(C75,Ingredientes!$B$5:$B$204,0))/INDEX(Ingredientes!$E$5:$E$204,MATCH(C75,Ingredientes!$B$5:$B$204,0)),"Cadastre em Ingredientes"))</f>
        <v/>
      </c>
      <c r="G75" s="7"/>
    </row>
    <row r="76" customFormat="false" ht="21" hidden="false" customHeight="true" outlineLevel="0" collapsed="false">
      <c r="B76" s="7"/>
      <c r="C76" s="7"/>
      <c r="D76" s="37"/>
      <c r="E76" s="34" t="str">
        <f aca="false">IF(C76="","",IFERROR(INDEX(Ingredientes!$D$5:$D$204,MATCH(C76,Ingredientes!$B$5:$B$204,0)),"?"))</f>
        <v/>
      </c>
      <c r="F76" s="24" t="str">
        <f aca="false">IF(OR(C76="",D76=""),"",IFERROR(D76*INDEX(Ingredientes!$F$5:$F$204,MATCH(C76,Ingredientes!$B$5:$B$204,0))/INDEX(Ingredientes!$E$5:$E$204,MATCH(C76,Ingredientes!$B$5:$B$204,0)),"Cadastre em Ingredientes"))</f>
        <v/>
      </c>
      <c r="G76" s="7"/>
    </row>
    <row r="77" customFormat="false" ht="21" hidden="false" customHeight="true" outlineLevel="0" collapsed="false">
      <c r="B77" s="7"/>
      <c r="C77" s="7"/>
      <c r="D77" s="37"/>
      <c r="E77" s="34" t="str">
        <f aca="false">IF(C77="","",IFERROR(INDEX(Ingredientes!$D$5:$D$204,MATCH(C77,Ingredientes!$B$5:$B$204,0)),"?"))</f>
        <v/>
      </c>
      <c r="F77" s="24" t="str">
        <f aca="false">IF(OR(C77="",D77=""),"",IFERROR(D77*INDEX(Ingredientes!$F$5:$F$204,MATCH(C77,Ingredientes!$B$5:$B$204,0))/INDEX(Ingredientes!$E$5:$E$204,MATCH(C77,Ingredientes!$B$5:$B$204,0)),"Cadastre em Ingredientes"))</f>
        <v/>
      </c>
      <c r="G77" s="7"/>
    </row>
    <row r="78" customFormat="false" ht="21" hidden="false" customHeight="true" outlineLevel="0" collapsed="false">
      <c r="B78" s="7"/>
      <c r="C78" s="7"/>
      <c r="D78" s="37"/>
      <c r="E78" s="34" t="str">
        <f aca="false">IF(C78="","",IFERROR(INDEX(Ingredientes!$D$5:$D$204,MATCH(C78,Ingredientes!$B$5:$B$204,0)),"?"))</f>
        <v/>
      </c>
      <c r="F78" s="24" t="str">
        <f aca="false">IF(OR(C78="",D78=""),"",IFERROR(D78*INDEX(Ingredientes!$F$5:$F$204,MATCH(C78,Ingredientes!$B$5:$B$204,0))/INDEX(Ingredientes!$E$5:$E$204,MATCH(C78,Ingredientes!$B$5:$B$204,0)),"Cadastre em Ingredientes"))</f>
        <v/>
      </c>
      <c r="G78" s="7"/>
    </row>
    <row r="79" customFormat="false" ht="21" hidden="false" customHeight="true" outlineLevel="0" collapsed="false">
      <c r="B79" s="7"/>
      <c r="C79" s="7"/>
      <c r="D79" s="37"/>
      <c r="E79" s="34" t="str">
        <f aca="false">IF(C79="","",IFERROR(INDEX(Ingredientes!$D$5:$D$204,MATCH(C79,Ingredientes!$B$5:$B$204,0)),"?"))</f>
        <v/>
      </c>
      <c r="F79" s="24" t="str">
        <f aca="false">IF(OR(C79="",D79=""),"",IFERROR(D79*INDEX(Ingredientes!$F$5:$F$204,MATCH(C79,Ingredientes!$B$5:$B$204,0))/INDEX(Ingredientes!$E$5:$E$204,MATCH(C79,Ingredientes!$B$5:$B$204,0)),"Cadastre em Ingredientes"))</f>
        <v/>
      </c>
      <c r="G79" s="7"/>
    </row>
    <row r="80" customFormat="false" ht="21" hidden="false" customHeight="true" outlineLevel="0" collapsed="false">
      <c r="B80" s="7"/>
      <c r="C80" s="7"/>
      <c r="D80" s="37"/>
      <c r="E80" s="34" t="str">
        <f aca="false">IF(C80="","",IFERROR(INDEX(Ingredientes!$D$5:$D$204,MATCH(C80,Ingredientes!$B$5:$B$204,0)),"?"))</f>
        <v/>
      </c>
      <c r="F80" s="24" t="str">
        <f aca="false">IF(OR(C80="",D80=""),"",IFERROR(D80*INDEX(Ingredientes!$F$5:$F$204,MATCH(C80,Ingredientes!$B$5:$B$204,0))/INDEX(Ingredientes!$E$5:$E$204,MATCH(C80,Ingredientes!$B$5:$B$204,0)),"Cadastre em Ingredientes"))</f>
        <v/>
      </c>
      <c r="G80" s="7"/>
    </row>
    <row r="81" customFormat="false" ht="21" hidden="false" customHeight="true" outlineLevel="0" collapsed="false">
      <c r="B81" s="7"/>
      <c r="C81" s="7"/>
      <c r="D81" s="37"/>
      <c r="E81" s="34" t="str">
        <f aca="false">IF(C81="","",IFERROR(INDEX(Ingredientes!$D$5:$D$204,MATCH(C81,Ingredientes!$B$5:$B$204,0)),"?"))</f>
        <v/>
      </c>
      <c r="F81" s="24" t="str">
        <f aca="false">IF(OR(C81="",D81=""),"",IFERROR(D81*INDEX(Ingredientes!$F$5:$F$204,MATCH(C81,Ingredientes!$B$5:$B$204,0))/INDEX(Ingredientes!$E$5:$E$204,MATCH(C81,Ingredientes!$B$5:$B$204,0)),"Cadastre em Ingredientes"))</f>
        <v/>
      </c>
      <c r="G81" s="7"/>
    </row>
    <row r="82" customFormat="false" ht="21" hidden="false" customHeight="true" outlineLevel="0" collapsed="false">
      <c r="B82" s="7"/>
      <c r="C82" s="7"/>
      <c r="D82" s="37"/>
      <c r="E82" s="34" t="str">
        <f aca="false">IF(C82="","",IFERROR(INDEX(Ingredientes!$D$5:$D$204,MATCH(C82,Ingredientes!$B$5:$B$204,0)),"?"))</f>
        <v/>
      </c>
      <c r="F82" s="24" t="str">
        <f aca="false">IF(OR(C82="",D82=""),"",IFERROR(D82*INDEX(Ingredientes!$F$5:$F$204,MATCH(C82,Ingredientes!$B$5:$B$204,0))/INDEX(Ingredientes!$E$5:$E$204,MATCH(C82,Ingredientes!$B$5:$B$204,0)),"Cadastre em Ingredientes"))</f>
        <v/>
      </c>
      <c r="G82" s="7"/>
    </row>
    <row r="83" customFormat="false" ht="21" hidden="false" customHeight="true" outlineLevel="0" collapsed="false">
      <c r="B83" s="7"/>
      <c r="C83" s="7"/>
      <c r="D83" s="37"/>
      <c r="E83" s="34" t="str">
        <f aca="false">IF(C83="","",IFERROR(INDEX(Ingredientes!$D$5:$D$204,MATCH(C83,Ingredientes!$B$5:$B$204,0)),"?"))</f>
        <v/>
      </c>
      <c r="F83" s="24" t="str">
        <f aca="false">IF(OR(C83="",D83=""),"",IFERROR(D83*INDEX(Ingredientes!$F$5:$F$204,MATCH(C83,Ingredientes!$B$5:$B$204,0))/INDEX(Ingredientes!$E$5:$E$204,MATCH(C83,Ingredientes!$B$5:$B$204,0)),"Cadastre em Ingredientes"))</f>
        <v/>
      </c>
      <c r="G83" s="7"/>
    </row>
    <row r="84" customFormat="false" ht="21" hidden="false" customHeight="true" outlineLevel="0" collapsed="false">
      <c r="B84" s="7"/>
      <c r="C84" s="7"/>
      <c r="D84" s="37"/>
      <c r="E84" s="34" t="str">
        <f aca="false">IF(C84="","",IFERROR(INDEX(Ingredientes!$D$5:$D$204,MATCH(C84,Ingredientes!$B$5:$B$204,0)),"?"))</f>
        <v/>
      </c>
      <c r="F84" s="24" t="str">
        <f aca="false">IF(OR(C84="",D84=""),"",IFERROR(D84*INDEX(Ingredientes!$F$5:$F$204,MATCH(C84,Ingredientes!$B$5:$B$204,0))/INDEX(Ingredientes!$E$5:$E$204,MATCH(C84,Ingredientes!$B$5:$B$204,0)),"Cadastre em Ingredientes"))</f>
        <v/>
      </c>
      <c r="G84" s="7"/>
    </row>
    <row r="85" customFormat="false" ht="21" hidden="false" customHeight="true" outlineLevel="0" collapsed="false">
      <c r="B85" s="7"/>
      <c r="C85" s="7"/>
      <c r="D85" s="37"/>
      <c r="E85" s="34" t="str">
        <f aca="false">IF(C85="","",IFERROR(INDEX(Ingredientes!$D$5:$D$204,MATCH(C85,Ingredientes!$B$5:$B$204,0)),"?"))</f>
        <v/>
      </c>
      <c r="F85" s="24" t="str">
        <f aca="false">IF(OR(C85="",D85=""),"",IFERROR(D85*INDEX(Ingredientes!$F$5:$F$204,MATCH(C85,Ingredientes!$B$5:$B$204,0))/INDEX(Ingredientes!$E$5:$E$204,MATCH(C85,Ingredientes!$B$5:$B$204,0)),"Cadastre em Ingredientes"))</f>
        <v/>
      </c>
      <c r="G85" s="7"/>
    </row>
    <row r="86" customFormat="false" ht="21" hidden="false" customHeight="true" outlineLevel="0" collapsed="false">
      <c r="B86" s="7"/>
      <c r="C86" s="7"/>
      <c r="D86" s="37"/>
      <c r="E86" s="34" t="str">
        <f aca="false">IF(C86="","",IFERROR(INDEX(Ingredientes!$D$5:$D$204,MATCH(C86,Ingredientes!$B$5:$B$204,0)),"?"))</f>
        <v/>
      </c>
      <c r="F86" s="24" t="str">
        <f aca="false">IF(OR(C86="",D86=""),"",IFERROR(D86*INDEX(Ingredientes!$F$5:$F$204,MATCH(C86,Ingredientes!$B$5:$B$204,0))/INDEX(Ingredientes!$E$5:$E$204,MATCH(C86,Ingredientes!$B$5:$B$204,0)),"Cadastre em Ingredientes"))</f>
        <v/>
      </c>
      <c r="G86" s="7"/>
    </row>
    <row r="87" customFormat="false" ht="21" hidden="false" customHeight="true" outlineLevel="0" collapsed="false">
      <c r="B87" s="7"/>
      <c r="C87" s="7"/>
      <c r="D87" s="37"/>
      <c r="E87" s="34" t="str">
        <f aca="false">IF(C87="","",IFERROR(INDEX(Ingredientes!$D$5:$D$204,MATCH(C87,Ingredientes!$B$5:$B$204,0)),"?"))</f>
        <v/>
      </c>
      <c r="F87" s="24" t="str">
        <f aca="false">IF(OR(C87="",D87=""),"",IFERROR(D87*INDEX(Ingredientes!$F$5:$F$204,MATCH(C87,Ingredientes!$B$5:$B$204,0))/INDEX(Ingredientes!$E$5:$E$204,MATCH(C87,Ingredientes!$B$5:$B$204,0)),"Cadastre em Ingredientes"))</f>
        <v/>
      </c>
      <c r="G87" s="7"/>
    </row>
    <row r="88" customFormat="false" ht="21" hidden="false" customHeight="true" outlineLevel="0" collapsed="false">
      <c r="B88" s="7"/>
      <c r="C88" s="7"/>
      <c r="D88" s="37"/>
      <c r="E88" s="34" t="str">
        <f aca="false">IF(C88="","",IFERROR(INDEX(Ingredientes!$D$5:$D$204,MATCH(C88,Ingredientes!$B$5:$B$204,0)),"?"))</f>
        <v/>
      </c>
      <c r="F88" s="24" t="str">
        <f aca="false">IF(OR(C88="",D88=""),"",IFERROR(D88*INDEX(Ingredientes!$F$5:$F$204,MATCH(C88,Ingredientes!$B$5:$B$204,0))/INDEX(Ingredientes!$E$5:$E$204,MATCH(C88,Ingredientes!$B$5:$B$204,0)),"Cadastre em Ingredientes"))</f>
        <v/>
      </c>
      <c r="G88" s="7"/>
    </row>
    <row r="89" customFormat="false" ht="21" hidden="false" customHeight="true" outlineLevel="0" collapsed="false">
      <c r="B89" s="7"/>
      <c r="C89" s="7"/>
      <c r="D89" s="37"/>
      <c r="E89" s="34" t="str">
        <f aca="false">IF(C89="","",IFERROR(INDEX(Ingredientes!$D$5:$D$204,MATCH(C89,Ingredientes!$B$5:$B$204,0)),"?"))</f>
        <v/>
      </c>
      <c r="F89" s="24" t="str">
        <f aca="false">IF(OR(C89="",D89=""),"",IFERROR(D89*INDEX(Ingredientes!$F$5:$F$204,MATCH(C89,Ingredientes!$B$5:$B$204,0))/INDEX(Ingredientes!$E$5:$E$204,MATCH(C89,Ingredientes!$B$5:$B$204,0)),"Cadastre em Ingredientes"))</f>
        <v/>
      </c>
      <c r="G89" s="7"/>
    </row>
    <row r="90" customFormat="false" ht="21" hidden="false" customHeight="true" outlineLevel="0" collapsed="false">
      <c r="B90" s="7"/>
      <c r="C90" s="7"/>
      <c r="D90" s="37"/>
      <c r="E90" s="34" t="str">
        <f aca="false">IF(C90="","",IFERROR(INDEX(Ingredientes!$D$5:$D$204,MATCH(C90,Ingredientes!$B$5:$B$204,0)),"?"))</f>
        <v/>
      </c>
      <c r="F90" s="24" t="str">
        <f aca="false">IF(OR(C90="",D90=""),"",IFERROR(D90*INDEX(Ingredientes!$F$5:$F$204,MATCH(C90,Ingredientes!$B$5:$B$204,0))/INDEX(Ingredientes!$E$5:$E$204,MATCH(C90,Ingredientes!$B$5:$B$204,0)),"Cadastre em Ingredientes"))</f>
        <v/>
      </c>
      <c r="G90" s="7"/>
    </row>
    <row r="91" customFormat="false" ht="21" hidden="false" customHeight="true" outlineLevel="0" collapsed="false">
      <c r="B91" s="7"/>
      <c r="C91" s="7"/>
      <c r="D91" s="37"/>
      <c r="E91" s="34" t="str">
        <f aca="false">IF(C91="","",IFERROR(INDEX(Ingredientes!$D$5:$D$204,MATCH(C91,Ingredientes!$B$5:$B$204,0)),"?"))</f>
        <v/>
      </c>
      <c r="F91" s="24" t="str">
        <f aca="false">IF(OR(C91="",D91=""),"",IFERROR(D91*INDEX(Ingredientes!$F$5:$F$204,MATCH(C91,Ingredientes!$B$5:$B$204,0))/INDEX(Ingredientes!$E$5:$E$204,MATCH(C91,Ingredientes!$B$5:$B$204,0)),"Cadastre em Ingredientes"))</f>
        <v/>
      </c>
      <c r="G91" s="7"/>
    </row>
    <row r="92" customFormat="false" ht="21" hidden="false" customHeight="true" outlineLevel="0" collapsed="false">
      <c r="B92" s="7"/>
      <c r="C92" s="7"/>
      <c r="D92" s="37"/>
      <c r="E92" s="34" t="str">
        <f aca="false">IF(C92="","",IFERROR(INDEX(Ingredientes!$D$5:$D$204,MATCH(C92,Ingredientes!$B$5:$B$204,0)),"?"))</f>
        <v/>
      </c>
      <c r="F92" s="24" t="str">
        <f aca="false">IF(OR(C92="",D92=""),"",IFERROR(D92*INDEX(Ingredientes!$F$5:$F$204,MATCH(C92,Ingredientes!$B$5:$B$204,0))/INDEX(Ingredientes!$E$5:$E$204,MATCH(C92,Ingredientes!$B$5:$B$204,0)),"Cadastre em Ingredientes"))</f>
        <v/>
      </c>
      <c r="G92" s="7"/>
    </row>
    <row r="93" customFormat="false" ht="21" hidden="false" customHeight="true" outlineLevel="0" collapsed="false">
      <c r="B93" s="7"/>
      <c r="C93" s="7"/>
      <c r="D93" s="37"/>
      <c r="E93" s="34" t="str">
        <f aca="false">IF(C93="","",IFERROR(INDEX(Ingredientes!$D$5:$D$204,MATCH(C93,Ingredientes!$B$5:$B$204,0)),"?"))</f>
        <v/>
      </c>
      <c r="F93" s="24" t="str">
        <f aca="false">IF(OR(C93="",D93=""),"",IFERROR(D93*INDEX(Ingredientes!$F$5:$F$204,MATCH(C93,Ingredientes!$B$5:$B$204,0))/INDEX(Ingredientes!$E$5:$E$204,MATCH(C93,Ingredientes!$B$5:$B$204,0)),"Cadastre em Ingredientes"))</f>
        <v/>
      </c>
      <c r="G93" s="7"/>
    </row>
    <row r="94" customFormat="false" ht="21" hidden="false" customHeight="true" outlineLevel="0" collapsed="false">
      <c r="B94" s="7"/>
      <c r="C94" s="7"/>
      <c r="D94" s="37"/>
      <c r="E94" s="34" t="str">
        <f aca="false">IF(C94="","",IFERROR(INDEX(Ingredientes!$D$5:$D$204,MATCH(C94,Ingredientes!$B$5:$B$204,0)),"?"))</f>
        <v/>
      </c>
      <c r="F94" s="24" t="str">
        <f aca="false">IF(OR(C94="",D94=""),"",IFERROR(D94*INDEX(Ingredientes!$F$5:$F$204,MATCH(C94,Ingredientes!$B$5:$B$204,0))/INDEX(Ingredientes!$E$5:$E$204,MATCH(C94,Ingredientes!$B$5:$B$204,0)),"Cadastre em Ingredientes"))</f>
        <v/>
      </c>
      <c r="G94" s="7"/>
    </row>
    <row r="95" customFormat="false" ht="21" hidden="false" customHeight="true" outlineLevel="0" collapsed="false">
      <c r="B95" s="7"/>
      <c r="C95" s="7"/>
      <c r="D95" s="37"/>
      <c r="E95" s="34" t="str">
        <f aca="false">IF(C95="","",IFERROR(INDEX(Ingredientes!$D$5:$D$204,MATCH(C95,Ingredientes!$B$5:$B$204,0)),"?"))</f>
        <v/>
      </c>
      <c r="F95" s="24" t="str">
        <f aca="false">IF(OR(C95="",D95=""),"",IFERROR(D95*INDEX(Ingredientes!$F$5:$F$204,MATCH(C95,Ingredientes!$B$5:$B$204,0))/INDEX(Ingredientes!$E$5:$E$204,MATCH(C95,Ingredientes!$B$5:$B$204,0)),"Cadastre em Ingredientes"))</f>
        <v/>
      </c>
      <c r="G95" s="7"/>
    </row>
    <row r="96" customFormat="false" ht="21" hidden="false" customHeight="true" outlineLevel="0" collapsed="false">
      <c r="B96" s="7"/>
      <c r="C96" s="7"/>
      <c r="D96" s="37"/>
      <c r="E96" s="34" t="str">
        <f aca="false">IF(C96="","",IFERROR(INDEX(Ingredientes!$D$5:$D$204,MATCH(C96,Ingredientes!$B$5:$B$204,0)),"?"))</f>
        <v/>
      </c>
      <c r="F96" s="24" t="str">
        <f aca="false">IF(OR(C96="",D96=""),"",IFERROR(D96*INDEX(Ingredientes!$F$5:$F$204,MATCH(C96,Ingredientes!$B$5:$B$204,0))/INDEX(Ingredientes!$E$5:$E$204,MATCH(C96,Ingredientes!$B$5:$B$204,0)),"Cadastre em Ingredientes"))</f>
        <v/>
      </c>
      <c r="G96" s="7"/>
    </row>
    <row r="97" customFormat="false" ht="21" hidden="false" customHeight="true" outlineLevel="0" collapsed="false">
      <c r="B97" s="7"/>
      <c r="C97" s="7"/>
      <c r="D97" s="37"/>
      <c r="E97" s="34" t="str">
        <f aca="false">IF(C97="","",IFERROR(INDEX(Ingredientes!$D$5:$D$204,MATCH(C97,Ingredientes!$B$5:$B$204,0)),"?"))</f>
        <v/>
      </c>
      <c r="F97" s="24" t="str">
        <f aca="false">IF(OR(C97="",D97=""),"",IFERROR(D97*INDEX(Ingredientes!$F$5:$F$204,MATCH(C97,Ingredientes!$B$5:$B$204,0))/INDEX(Ingredientes!$E$5:$E$204,MATCH(C97,Ingredientes!$B$5:$B$204,0)),"Cadastre em Ingredientes"))</f>
        <v/>
      </c>
      <c r="G97" s="7"/>
    </row>
    <row r="98" customFormat="false" ht="21" hidden="false" customHeight="true" outlineLevel="0" collapsed="false">
      <c r="B98" s="7"/>
      <c r="C98" s="7"/>
      <c r="D98" s="37"/>
      <c r="E98" s="34" t="str">
        <f aca="false">IF(C98="","",IFERROR(INDEX(Ingredientes!$D$5:$D$204,MATCH(C98,Ingredientes!$B$5:$B$204,0)),"?"))</f>
        <v/>
      </c>
      <c r="F98" s="24" t="str">
        <f aca="false">IF(OR(C98="",D98=""),"",IFERROR(D98*INDEX(Ingredientes!$F$5:$F$204,MATCH(C98,Ingredientes!$B$5:$B$204,0))/INDEX(Ingredientes!$E$5:$E$204,MATCH(C98,Ingredientes!$B$5:$B$204,0)),"Cadastre em Ingredientes"))</f>
        <v/>
      </c>
      <c r="G98" s="7"/>
    </row>
    <row r="99" customFormat="false" ht="21" hidden="false" customHeight="true" outlineLevel="0" collapsed="false">
      <c r="B99" s="7"/>
      <c r="C99" s="7"/>
      <c r="D99" s="37"/>
      <c r="E99" s="34" t="str">
        <f aca="false">IF(C99="","",IFERROR(INDEX(Ingredientes!$D$5:$D$204,MATCH(C99,Ingredientes!$B$5:$B$204,0)),"?"))</f>
        <v/>
      </c>
      <c r="F99" s="24" t="str">
        <f aca="false">IF(OR(C99="",D99=""),"",IFERROR(D99*INDEX(Ingredientes!$F$5:$F$204,MATCH(C99,Ingredientes!$B$5:$B$204,0))/INDEX(Ingredientes!$E$5:$E$204,MATCH(C99,Ingredientes!$B$5:$B$204,0)),"Cadastre em Ingredientes"))</f>
        <v/>
      </c>
      <c r="G99" s="7"/>
    </row>
    <row r="100" customFormat="false" ht="21" hidden="false" customHeight="true" outlineLevel="0" collapsed="false">
      <c r="B100" s="7"/>
      <c r="C100" s="7"/>
      <c r="D100" s="37"/>
      <c r="E100" s="34" t="str">
        <f aca="false">IF(C100="","",IFERROR(INDEX(Ingredientes!$D$5:$D$204,MATCH(C100,Ingredientes!$B$5:$B$204,0)),"?"))</f>
        <v/>
      </c>
      <c r="F100" s="24" t="str">
        <f aca="false">IF(OR(C100="",D100=""),"",IFERROR(D100*INDEX(Ingredientes!$F$5:$F$204,MATCH(C100,Ingredientes!$B$5:$B$204,0))/INDEX(Ingredientes!$E$5:$E$204,MATCH(C100,Ingredientes!$B$5:$B$204,0)),"Cadastre em Ingredientes"))</f>
        <v/>
      </c>
      <c r="G100" s="7"/>
    </row>
    <row r="101" customFormat="false" ht="21" hidden="false" customHeight="true" outlineLevel="0" collapsed="false">
      <c r="B101" s="7"/>
      <c r="C101" s="7"/>
      <c r="D101" s="37"/>
      <c r="E101" s="34" t="str">
        <f aca="false">IF(C101="","",IFERROR(INDEX(Ingredientes!$D$5:$D$204,MATCH(C101,Ingredientes!$B$5:$B$204,0)),"?"))</f>
        <v/>
      </c>
      <c r="F101" s="24" t="str">
        <f aca="false">IF(OR(C101="",D101=""),"",IFERROR(D101*INDEX(Ingredientes!$F$5:$F$204,MATCH(C101,Ingredientes!$B$5:$B$204,0))/INDEX(Ingredientes!$E$5:$E$204,MATCH(C101,Ingredientes!$B$5:$B$204,0)),"Cadastre em Ingredientes"))</f>
        <v/>
      </c>
      <c r="G101" s="7"/>
    </row>
    <row r="102" customFormat="false" ht="21" hidden="false" customHeight="true" outlineLevel="0" collapsed="false">
      <c r="B102" s="7"/>
      <c r="C102" s="7"/>
      <c r="D102" s="37"/>
      <c r="E102" s="34" t="str">
        <f aca="false">IF(C102="","",IFERROR(INDEX(Ingredientes!$D$5:$D$204,MATCH(C102,Ingredientes!$B$5:$B$204,0)),"?"))</f>
        <v/>
      </c>
      <c r="F102" s="24" t="str">
        <f aca="false">IF(OR(C102="",D102=""),"",IFERROR(D102*INDEX(Ingredientes!$F$5:$F$204,MATCH(C102,Ingredientes!$B$5:$B$204,0))/INDEX(Ingredientes!$E$5:$E$204,MATCH(C102,Ingredientes!$B$5:$B$204,0)),"Cadastre em Ingredientes"))</f>
        <v/>
      </c>
      <c r="G102" s="7"/>
    </row>
    <row r="103" customFormat="false" ht="21" hidden="false" customHeight="true" outlineLevel="0" collapsed="false">
      <c r="B103" s="7"/>
      <c r="C103" s="7"/>
      <c r="D103" s="37"/>
      <c r="E103" s="34" t="str">
        <f aca="false">IF(C103="","",IFERROR(INDEX(Ingredientes!$D$5:$D$204,MATCH(C103,Ingredientes!$B$5:$B$204,0)),"?"))</f>
        <v/>
      </c>
      <c r="F103" s="24" t="str">
        <f aca="false">IF(OR(C103="",D103=""),"",IFERROR(D103*INDEX(Ingredientes!$F$5:$F$204,MATCH(C103,Ingredientes!$B$5:$B$204,0))/INDEX(Ingredientes!$E$5:$E$204,MATCH(C103,Ingredientes!$B$5:$B$204,0)),"Cadastre em Ingredientes"))</f>
        <v/>
      </c>
      <c r="G103" s="7"/>
    </row>
    <row r="104" customFormat="false" ht="21" hidden="false" customHeight="true" outlineLevel="0" collapsed="false">
      <c r="B104" s="7"/>
      <c r="C104" s="7"/>
      <c r="D104" s="37"/>
      <c r="E104" s="34" t="str">
        <f aca="false">IF(C104="","",IFERROR(INDEX(Ingredientes!$D$5:$D$204,MATCH(C104,Ingredientes!$B$5:$B$204,0)),"?"))</f>
        <v/>
      </c>
      <c r="F104" s="24" t="str">
        <f aca="false">IF(OR(C104="",D104=""),"",IFERROR(D104*INDEX(Ingredientes!$F$5:$F$204,MATCH(C104,Ingredientes!$B$5:$B$204,0))/INDEX(Ingredientes!$E$5:$E$204,MATCH(C104,Ingredientes!$B$5:$B$204,0)),"Cadastre em Ingredientes"))</f>
        <v/>
      </c>
      <c r="G104" s="7"/>
    </row>
    <row r="105" customFormat="false" ht="21" hidden="false" customHeight="true" outlineLevel="0" collapsed="false">
      <c r="B105" s="7"/>
      <c r="C105" s="7"/>
      <c r="D105" s="37"/>
      <c r="E105" s="34" t="str">
        <f aca="false">IF(C105="","",IFERROR(INDEX(Ingredientes!$D$5:$D$204,MATCH(C105,Ingredientes!$B$5:$B$204,0)),"?"))</f>
        <v/>
      </c>
      <c r="F105" s="24" t="str">
        <f aca="false">IF(OR(C105="",D105=""),"",IFERROR(D105*INDEX(Ingredientes!$F$5:$F$204,MATCH(C105,Ingredientes!$B$5:$B$204,0))/INDEX(Ingredientes!$E$5:$E$204,MATCH(C105,Ingredientes!$B$5:$B$204,0)),"Cadastre em Ingredientes"))</f>
        <v/>
      </c>
      <c r="G105" s="7"/>
    </row>
    <row r="106" customFormat="false" ht="21" hidden="false" customHeight="true" outlineLevel="0" collapsed="false">
      <c r="B106" s="7"/>
      <c r="C106" s="7"/>
      <c r="D106" s="37"/>
      <c r="E106" s="34" t="str">
        <f aca="false">IF(C106="","",IFERROR(INDEX(Ingredientes!$D$5:$D$204,MATCH(C106,Ingredientes!$B$5:$B$204,0)),"?"))</f>
        <v/>
      </c>
      <c r="F106" s="24" t="str">
        <f aca="false">IF(OR(C106="",D106=""),"",IFERROR(D106*INDEX(Ingredientes!$F$5:$F$204,MATCH(C106,Ingredientes!$B$5:$B$204,0))/INDEX(Ingredientes!$E$5:$E$204,MATCH(C106,Ingredientes!$B$5:$B$204,0)),"Cadastre em Ingredientes"))</f>
        <v/>
      </c>
      <c r="G106" s="7"/>
    </row>
    <row r="107" customFormat="false" ht="21" hidden="false" customHeight="true" outlineLevel="0" collapsed="false">
      <c r="B107" s="7"/>
      <c r="C107" s="7"/>
      <c r="D107" s="37"/>
      <c r="E107" s="34" t="str">
        <f aca="false">IF(C107="","",IFERROR(INDEX(Ingredientes!$D$5:$D$204,MATCH(C107,Ingredientes!$B$5:$B$204,0)),"?"))</f>
        <v/>
      </c>
      <c r="F107" s="24" t="str">
        <f aca="false">IF(OR(C107="",D107=""),"",IFERROR(D107*INDEX(Ingredientes!$F$5:$F$204,MATCH(C107,Ingredientes!$B$5:$B$204,0))/INDEX(Ingredientes!$E$5:$E$204,MATCH(C107,Ingredientes!$B$5:$B$204,0)),"Cadastre em Ingredientes"))</f>
        <v/>
      </c>
      <c r="G107" s="7"/>
    </row>
    <row r="108" customFormat="false" ht="21" hidden="false" customHeight="true" outlineLevel="0" collapsed="false">
      <c r="B108" s="7"/>
      <c r="C108" s="7"/>
      <c r="D108" s="37"/>
      <c r="E108" s="34" t="str">
        <f aca="false">IF(C108="","",IFERROR(INDEX(Ingredientes!$D$5:$D$204,MATCH(C108,Ingredientes!$B$5:$B$204,0)),"?"))</f>
        <v/>
      </c>
      <c r="F108" s="24" t="str">
        <f aca="false">IF(OR(C108="",D108=""),"",IFERROR(D108*INDEX(Ingredientes!$F$5:$F$204,MATCH(C108,Ingredientes!$B$5:$B$204,0))/INDEX(Ingredientes!$E$5:$E$204,MATCH(C108,Ingredientes!$B$5:$B$204,0)),"Cadastre em Ingredientes"))</f>
        <v/>
      </c>
      <c r="G108" s="7"/>
    </row>
    <row r="109" customFormat="false" ht="21" hidden="false" customHeight="true" outlineLevel="0" collapsed="false">
      <c r="B109" s="7"/>
      <c r="C109" s="7"/>
      <c r="D109" s="37"/>
      <c r="E109" s="34" t="str">
        <f aca="false">IF(C109="","",IFERROR(INDEX(Ingredientes!$D$5:$D$204,MATCH(C109,Ingredientes!$B$5:$B$204,0)),"?"))</f>
        <v/>
      </c>
      <c r="F109" s="24" t="str">
        <f aca="false">IF(OR(C109="",D109=""),"",IFERROR(D109*INDEX(Ingredientes!$F$5:$F$204,MATCH(C109,Ingredientes!$B$5:$B$204,0))/INDEX(Ingredientes!$E$5:$E$204,MATCH(C109,Ingredientes!$B$5:$B$204,0)),"Cadastre em Ingredientes"))</f>
        <v/>
      </c>
      <c r="G109" s="7"/>
    </row>
    <row r="110" customFormat="false" ht="21" hidden="false" customHeight="true" outlineLevel="0" collapsed="false">
      <c r="B110" s="7"/>
      <c r="C110" s="7"/>
      <c r="D110" s="37"/>
      <c r="E110" s="34" t="str">
        <f aca="false">IF(C110="","",IFERROR(INDEX(Ingredientes!$D$5:$D$204,MATCH(C110,Ingredientes!$B$5:$B$204,0)),"?"))</f>
        <v/>
      </c>
      <c r="F110" s="24" t="str">
        <f aca="false">IF(OR(C110="",D110=""),"",IFERROR(D110*INDEX(Ingredientes!$F$5:$F$204,MATCH(C110,Ingredientes!$B$5:$B$204,0))/INDEX(Ingredientes!$E$5:$E$204,MATCH(C110,Ingredientes!$B$5:$B$204,0)),"Cadastre em Ingredientes"))</f>
        <v/>
      </c>
      <c r="G110" s="7"/>
    </row>
    <row r="111" customFormat="false" ht="21" hidden="false" customHeight="true" outlineLevel="0" collapsed="false">
      <c r="B111" s="7"/>
      <c r="C111" s="7"/>
      <c r="D111" s="37"/>
      <c r="E111" s="34" t="str">
        <f aca="false">IF(C111="","",IFERROR(INDEX(Ingredientes!$D$5:$D$204,MATCH(C111,Ingredientes!$B$5:$B$204,0)),"?"))</f>
        <v/>
      </c>
      <c r="F111" s="24" t="str">
        <f aca="false">IF(OR(C111="",D111=""),"",IFERROR(D111*INDEX(Ingredientes!$F$5:$F$204,MATCH(C111,Ingredientes!$B$5:$B$204,0))/INDEX(Ingredientes!$E$5:$E$204,MATCH(C111,Ingredientes!$B$5:$B$204,0)),"Cadastre em Ingredientes"))</f>
        <v/>
      </c>
      <c r="G111" s="7"/>
    </row>
    <row r="112" customFormat="false" ht="21" hidden="false" customHeight="true" outlineLevel="0" collapsed="false">
      <c r="B112" s="7"/>
      <c r="C112" s="7"/>
      <c r="D112" s="37"/>
      <c r="E112" s="34" t="str">
        <f aca="false">IF(C112="","",IFERROR(INDEX(Ingredientes!$D$5:$D$204,MATCH(C112,Ingredientes!$B$5:$B$204,0)),"?"))</f>
        <v/>
      </c>
      <c r="F112" s="24" t="str">
        <f aca="false">IF(OR(C112="",D112=""),"",IFERROR(D112*INDEX(Ingredientes!$F$5:$F$204,MATCH(C112,Ingredientes!$B$5:$B$204,0))/INDEX(Ingredientes!$E$5:$E$204,MATCH(C112,Ingredientes!$B$5:$B$204,0)),"Cadastre em Ingredientes"))</f>
        <v/>
      </c>
      <c r="G112" s="7"/>
    </row>
    <row r="113" customFormat="false" ht="21" hidden="false" customHeight="true" outlineLevel="0" collapsed="false">
      <c r="B113" s="7"/>
      <c r="C113" s="7"/>
      <c r="D113" s="37"/>
      <c r="E113" s="34" t="str">
        <f aca="false">IF(C113="","",IFERROR(INDEX(Ingredientes!$D$5:$D$204,MATCH(C113,Ingredientes!$B$5:$B$204,0)),"?"))</f>
        <v/>
      </c>
      <c r="F113" s="24" t="str">
        <f aca="false">IF(OR(C113="",D113=""),"",IFERROR(D113*INDEX(Ingredientes!$F$5:$F$204,MATCH(C113,Ingredientes!$B$5:$B$204,0))/INDEX(Ingredientes!$E$5:$E$204,MATCH(C113,Ingredientes!$B$5:$B$204,0)),"Cadastre em Ingredientes"))</f>
        <v/>
      </c>
      <c r="G113" s="7"/>
    </row>
    <row r="114" customFormat="false" ht="21" hidden="false" customHeight="true" outlineLevel="0" collapsed="false">
      <c r="B114" s="7"/>
      <c r="C114" s="7"/>
      <c r="D114" s="37"/>
      <c r="E114" s="34" t="str">
        <f aca="false">IF(C114="","",IFERROR(INDEX(Ingredientes!$D$5:$D$204,MATCH(C114,Ingredientes!$B$5:$B$204,0)),"?"))</f>
        <v/>
      </c>
      <c r="F114" s="24" t="str">
        <f aca="false">IF(OR(C114="",D114=""),"",IFERROR(D114*INDEX(Ingredientes!$F$5:$F$204,MATCH(C114,Ingredientes!$B$5:$B$204,0))/INDEX(Ingredientes!$E$5:$E$204,MATCH(C114,Ingredientes!$B$5:$B$204,0)),"Cadastre em Ingredientes"))</f>
        <v/>
      </c>
      <c r="G114" s="7"/>
    </row>
    <row r="115" customFormat="false" ht="21" hidden="false" customHeight="true" outlineLevel="0" collapsed="false">
      <c r="B115" s="7"/>
      <c r="C115" s="7"/>
      <c r="D115" s="37"/>
      <c r="E115" s="34" t="str">
        <f aca="false">IF(C115="","",IFERROR(INDEX(Ingredientes!$D$5:$D$204,MATCH(C115,Ingredientes!$B$5:$B$204,0)),"?"))</f>
        <v/>
      </c>
      <c r="F115" s="24" t="str">
        <f aca="false">IF(OR(C115="",D115=""),"",IFERROR(D115*INDEX(Ingredientes!$F$5:$F$204,MATCH(C115,Ingredientes!$B$5:$B$204,0))/INDEX(Ingredientes!$E$5:$E$204,MATCH(C115,Ingredientes!$B$5:$B$204,0)),"Cadastre em Ingredientes"))</f>
        <v/>
      </c>
      <c r="G115" s="7"/>
    </row>
    <row r="116" customFormat="false" ht="21" hidden="false" customHeight="true" outlineLevel="0" collapsed="false">
      <c r="B116" s="7"/>
      <c r="C116" s="7"/>
      <c r="D116" s="37"/>
      <c r="E116" s="34" t="str">
        <f aca="false">IF(C116="","",IFERROR(INDEX(Ingredientes!$D$5:$D$204,MATCH(C116,Ingredientes!$B$5:$B$204,0)),"?"))</f>
        <v/>
      </c>
      <c r="F116" s="24" t="str">
        <f aca="false">IF(OR(C116="",D116=""),"",IFERROR(D116*INDEX(Ingredientes!$F$5:$F$204,MATCH(C116,Ingredientes!$B$5:$B$204,0))/INDEX(Ingredientes!$E$5:$E$204,MATCH(C116,Ingredientes!$B$5:$B$204,0)),"Cadastre em Ingredientes"))</f>
        <v/>
      </c>
      <c r="G116" s="7"/>
    </row>
    <row r="117" customFormat="false" ht="21" hidden="false" customHeight="true" outlineLevel="0" collapsed="false">
      <c r="B117" s="7"/>
      <c r="C117" s="7"/>
      <c r="D117" s="37"/>
      <c r="E117" s="34" t="str">
        <f aca="false">IF(C117="","",IFERROR(INDEX(Ingredientes!$D$5:$D$204,MATCH(C117,Ingredientes!$B$5:$B$204,0)),"?"))</f>
        <v/>
      </c>
      <c r="F117" s="24" t="str">
        <f aca="false">IF(OR(C117="",D117=""),"",IFERROR(D117*INDEX(Ingredientes!$F$5:$F$204,MATCH(C117,Ingredientes!$B$5:$B$204,0))/INDEX(Ingredientes!$E$5:$E$204,MATCH(C117,Ingredientes!$B$5:$B$204,0)),"Cadastre em Ingredientes"))</f>
        <v/>
      </c>
      <c r="G117" s="7"/>
    </row>
    <row r="118" customFormat="false" ht="21" hidden="false" customHeight="true" outlineLevel="0" collapsed="false">
      <c r="B118" s="7"/>
      <c r="C118" s="7"/>
      <c r="D118" s="37"/>
      <c r="E118" s="34" t="str">
        <f aca="false">IF(C118="","",IFERROR(INDEX(Ingredientes!$D$5:$D$204,MATCH(C118,Ingredientes!$B$5:$B$204,0)),"?"))</f>
        <v/>
      </c>
      <c r="F118" s="24" t="str">
        <f aca="false">IF(OR(C118="",D118=""),"",IFERROR(D118*INDEX(Ingredientes!$F$5:$F$204,MATCH(C118,Ingredientes!$B$5:$B$204,0))/INDEX(Ingredientes!$E$5:$E$204,MATCH(C118,Ingredientes!$B$5:$B$204,0)),"Cadastre em Ingredientes"))</f>
        <v/>
      </c>
      <c r="G118" s="7"/>
    </row>
    <row r="119" customFormat="false" ht="21" hidden="false" customHeight="true" outlineLevel="0" collapsed="false">
      <c r="B119" s="7"/>
      <c r="C119" s="7"/>
      <c r="D119" s="37"/>
      <c r="E119" s="34" t="str">
        <f aca="false">IF(C119="","",IFERROR(INDEX(Ingredientes!$D$5:$D$204,MATCH(C119,Ingredientes!$B$5:$B$204,0)),"?"))</f>
        <v/>
      </c>
      <c r="F119" s="24" t="str">
        <f aca="false">IF(OR(C119="",D119=""),"",IFERROR(D119*INDEX(Ingredientes!$F$5:$F$204,MATCH(C119,Ingredientes!$B$5:$B$204,0))/INDEX(Ingredientes!$E$5:$E$204,MATCH(C119,Ingredientes!$B$5:$B$204,0)),"Cadastre em Ingredientes"))</f>
        <v/>
      </c>
      <c r="G119" s="7"/>
    </row>
    <row r="120" customFormat="false" ht="21" hidden="false" customHeight="true" outlineLevel="0" collapsed="false">
      <c r="B120" s="7"/>
      <c r="C120" s="7"/>
      <c r="D120" s="37"/>
      <c r="E120" s="34" t="str">
        <f aca="false">IF(C120="","",IFERROR(INDEX(Ingredientes!$D$5:$D$204,MATCH(C120,Ingredientes!$B$5:$B$204,0)),"?"))</f>
        <v/>
      </c>
      <c r="F120" s="24" t="str">
        <f aca="false">IF(OR(C120="",D120=""),"",IFERROR(D120*INDEX(Ingredientes!$F$5:$F$204,MATCH(C120,Ingredientes!$B$5:$B$204,0))/INDEX(Ingredientes!$E$5:$E$204,MATCH(C120,Ingredientes!$B$5:$B$204,0)),"Cadastre em Ingredientes"))</f>
        <v/>
      </c>
      <c r="G120" s="7"/>
    </row>
    <row r="121" customFormat="false" ht="21" hidden="false" customHeight="true" outlineLevel="0" collapsed="false">
      <c r="B121" s="7"/>
      <c r="C121" s="7"/>
      <c r="D121" s="37"/>
      <c r="E121" s="34" t="str">
        <f aca="false">IF(C121="","",IFERROR(INDEX(Ingredientes!$D$5:$D$204,MATCH(C121,Ingredientes!$B$5:$B$204,0)),"?"))</f>
        <v/>
      </c>
      <c r="F121" s="24" t="str">
        <f aca="false">IF(OR(C121="",D121=""),"",IFERROR(D121*INDEX(Ingredientes!$F$5:$F$204,MATCH(C121,Ingredientes!$B$5:$B$204,0))/INDEX(Ingredientes!$E$5:$E$204,MATCH(C121,Ingredientes!$B$5:$B$204,0)),"Cadastre em Ingredientes"))</f>
        <v/>
      </c>
      <c r="G121" s="7"/>
    </row>
    <row r="122" customFormat="false" ht="21" hidden="false" customHeight="true" outlineLevel="0" collapsed="false">
      <c r="B122" s="7"/>
      <c r="C122" s="7"/>
      <c r="D122" s="37"/>
      <c r="E122" s="34" t="str">
        <f aca="false">IF(C122="","",IFERROR(INDEX(Ingredientes!$D$5:$D$204,MATCH(C122,Ingredientes!$B$5:$B$204,0)),"?"))</f>
        <v/>
      </c>
      <c r="F122" s="24" t="str">
        <f aca="false">IF(OR(C122="",D122=""),"",IFERROR(D122*INDEX(Ingredientes!$F$5:$F$204,MATCH(C122,Ingredientes!$B$5:$B$204,0))/INDEX(Ingredientes!$E$5:$E$204,MATCH(C122,Ingredientes!$B$5:$B$204,0)),"Cadastre em Ingredientes"))</f>
        <v/>
      </c>
      <c r="G122" s="7"/>
    </row>
    <row r="123" customFormat="false" ht="21" hidden="false" customHeight="true" outlineLevel="0" collapsed="false">
      <c r="B123" s="7"/>
      <c r="C123" s="7"/>
      <c r="D123" s="37"/>
      <c r="E123" s="34" t="str">
        <f aca="false">IF(C123="","",IFERROR(INDEX(Ingredientes!$D$5:$D$204,MATCH(C123,Ingredientes!$B$5:$B$204,0)),"?"))</f>
        <v/>
      </c>
      <c r="F123" s="24" t="str">
        <f aca="false">IF(OR(C123="",D123=""),"",IFERROR(D123*INDEX(Ingredientes!$F$5:$F$204,MATCH(C123,Ingredientes!$B$5:$B$204,0))/INDEX(Ingredientes!$E$5:$E$204,MATCH(C123,Ingredientes!$B$5:$B$204,0)),"Cadastre em Ingredientes"))</f>
        <v/>
      </c>
      <c r="G123" s="7"/>
    </row>
    <row r="124" customFormat="false" ht="21" hidden="false" customHeight="true" outlineLevel="0" collapsed="false">
      <c r="B124" s="7"/>
      <c r="C124" s="7"/>
      <c r="D124" s="37"/>
      <c r="E124" s="34" t="str">
        <f aca="false">IF(C124="","",IFERROR(INDEX(Ingredientes!$D$5:$D$204,MATCH(C124,Ingredientes!$B$5:$B$204,0)),"?"))</f>
        <v/>
      </c>
      <c r="F124" s="24" t="str">
        <f aca="false">IF(OR(C124="",D124=""),"",IFERROR(D124*INDEX(Ingredientes!$F$5:$F$204,MATCH(C124,Ingredientes!$B$5:$B$204,0))/INDEX(Ingredientes!$E$5:$E$204,MATCH(C124,Ingredientes!$B$5:$B$204,0)),"Cadastre em Ingredientes"))</f>
        <v/>
      </c>
      <c r="G124" s="7"/>
    </row>
    <row r="125" customFormat="false" ht="21" hidden="false" customHeight="true" outlineLevel="0" collapsed="false">
      <c r="B125" s="7"/>
      <c r="C125" s="7"/>
      <c r="D125" s="37"/>
      <c r="E125" s="34" t="str">
        <f aca="false">IF(C125="","",IFERROR(INDEX(Ingredientes!$D$5:$D$204,MATCH(C125,Ingredientes!$B$5:$B$204,0)),"?"))</f>
        <v/>
      </c>
      <c r="F125" s="24" t="str">
        <f aca="false">IF(OR(C125="",D125=""),"",IFERROR(D125*INDEX(Ingredientes!$F$5:$F$204,MATCH(C125,Ingredientes!$B$5:$B$204,0))/INDEX(Ingredientes!$E$5:$E$204,MATCH(C125,Ingredientes!$B$5:$B$204,0)),"Cadastre em Ingredientes"))</f>
        <v/>
      </c>
      <c r="G125" s="7"/>
    </row>
    <row r="126" customFormat="false" ht="21" hidden="false" customHeight="true" outlineLevel="0" collapsed="false">
      <c r="B126" s="7"/>
      <c r="C126" s="7"/>
      <c r="D126" s="37"/>
      <c r="E126" s="34" t="str">
        <f aca="false">IF(C126="","",IFERROR(INDEX(Ingredientes!$D$5:$D$204,MATCH(C126,Ingredientes!$B$5:$B$204,0)),"?"))</f>
        <v/>
      </c>
      <c r="F126" s="24" t="str">
        <f aca="false">IF(OR(C126="",D126=""),"",IFERROR(D126*INDEX(Ingredientes!$F$5:$F$204,MATCH(C126,Ingredientes!$B$5:$B$204,0))/INDEX(Ingredientes!$E$5:$E$204,MATCH(C126,Ingredientes!$B$5:$B$204,0)),"Cadastre em Ingredientes"))</f>
        <v/>
      </c>
      <c r="G126" s="7"/>
    </row>
    <row r="127" customFormat="false" ht="21" hidden="false" customHeight="true" outlineLevel="0" collapsed="false">
      <c r="B127" s="7"/>
      <c r="C127" s="7"/>
      <c r="D127" s="37"/>
      <c r="E127" s="34" t="str">
        <f aca="false">IF(C127="","",IFERROR(INDEX(Ingredientes!$D$5:$D$204,MATCH(C127,Ingredientes!$B$5:$B$204,0)),"?"))</f>
        <v/>
      </c>
      <c r="F127" s="24" t="str">
        <f aca="false">IF(OR(C127="",D127=""),"",IFERROR(D127*INDEX(Ingredientes!$F$5:$F$204,MATCH(C127,Ingredientes!$B$5:$B$204,0))/INDEX(Ingredientes!$E$5:$E$204,MATCH(C127,Ingredientes!$B$5:$B$204,0)),"Cadastre em Ingredientes"))</f>
        <v/>
      </c>
      <c r="G127" s="7"/>
    </row>
    <row r="128" customFormat="false" ht="21" hidden="false" customHeight="true" outlineLevel="0" collapsed="false">
      <c r="B128" s="7"/>
      <c r="C128" s="7"/>
      <c r="D128" s="37"/>
      <c r="E128" s="34" t="str">
        <f aca="false">IF(C128="","",IFERROR(INDEX(Ingredientes!$D$5:$D$204,MATCH(C128,Ingredientes!$B$5:$B$204,0)),"?"))</f>
        <v/>
      </c>
      <c r="F128" s="24" t="str">
        <f aca="false">IF(OR(C128="",D128=""),"",IFERROR(D128*INDEX(Ingredientes!$F$5:$F$204,MATCH(C128,Ingredientes!$B$5:$B$204,0))/INDEX(Ingredientes!$E$5:$E$204,MATCH(C128,Ingredientes!$B$5:$B$204,0)),"Cadastre em Ingredientes"))</f>
        <v/>
      </c>
      <c r="G128" s="7"/>
    </row>
    <row r="129" customFormat="false" ht="21" hidden="false" customHeight="true" outlineLevel="0" collapsed="false">
      <c r="B129" s="7"/>
      <c r="C129" s="7"/>
      <c r="D129" s="37"/>
      <c r="E129" s="34" t="str">
        <f aca="false">IF(C129="","",IFERROR(INDEX(Ingredientes!$D$5:$D$204,MATCH(C129,Ingredientes!$B$5:$B$204,0)),"?"))</f>
        <v/>
      </c>
      <c r="F129" s="24" t="str">
        <f aca="false">IF(OR(C129="",D129=""),"",IFERROR(D129*INDEX(Ingredientes!$F$5:$F$204,MATCH(C129,Ingredientes!$B$5:$B$204,0))/INDEX(Ingredientes!$E$5:$E$204,MATCH(C129,Ingredientes!$B$5:$B$204,0)),"Cadastre em Ingredientes"))</f>
        <v/>
      </c>
      <c r="G129" s="7"/>
    </row>
    <row r="130" customFormat="false" ht="21" hidden="false" customHeight="true" outlineLevel="0" collapsed="false">
      <c r="B130" s="7"/>
      <c r="C130" s="7"/>
      <c r="D130" s="37"/>
      <c r="E130" s="34" t="str">
        <f aca="false">IF(C130="","",IFERROR(INDEX(Ingredientes!$D$5:$D$204,MATCH(C130,Ingredientes!$B$5:$B$204,0)),"?"))</f>
        <v/>
      </c>
      <c r="F130" s="24" t="str">
        <f aca="false">IF(OR(C130="",D130=""),"",IFERROR(D130*INDEX(Ingredientes!$F$5:$F$204,MATCH(C130,Ingredientes!$B$5:$B$204,0))/INDEX(Ingredientes!$E$5:$E$204,MATCH(C130,Ingredientes!$B$5:$B$204,0)),"Cadastre em Ingredientes"))</f>
        <v/>
      </c>
      <c r="G130" s="7"/>
    </row>
    <row r="131" customFormat="false" ht="21" hidden="false" customHeight="true" outlineLevel="0" collapsed="false">
      <c r="B131" s="7"/>
      <c r="C131" s="7"/>
      <c r="D131" s="37"/>
      <c r="E131" s="34" t="str">
        <f aca="false">IF(C131="","",IFERROR(INDEX(Ingredientes!$D$5:$D$204,MATCH(C131,Ingredientes!$B$5:$B$204,0)),"?"))</f>
        <v/>
      </c>
      <c r="F131" s="24" t="str">
        <f aca="false">IF(OR(C131="",D131=""),"",IFERROR(D131*INDEX(Ingredientes!$F$5:$F$204,MATCH(C131,Ingredientes!$B$5:$B$204,0))/INDEX(Ingredientes!$E$5:$E$204,MATCH(C131,Ingredientes!$B$5:$B$204,0)),"Cadastre em Ingredientes"))</f>
        <v/>
      </c>
      <c r="G131" s="7"/>
    </row>
    <row r="132" customFormat="false" ht="21" hidden="false" customHeight="true" outlineLevel="0" collapsed="false">
      <c r="B132" s="7"/>
      <c r="C132" s="7"/>
      <c r="D132" s="37"/>
      <c r="E132" s="34" t="str">
        <f aca="false">IF(C132="","",IFERROR(INDEX(Ingredientes!$D$5:$D$204,MATCH(C132,Ingredientes!$B$5:$B$204,0)),"?"))</f>
        <v/>
      </c>
      <c r="F132" s="24" t="str">
        <f aca="false">IF(OR(C132="",D132=""),"",IFERROR(D132*INDEX(Ingredientes!$F$5:$F$204,MATCH(C132,Ingredientes!$B$5:$B$204,0))/INDEX(Ingredientes!$E$5:$E$204,MATCH(C132,Ingredientes!$B$5:$B$204,0)),"Cadastre em Ingredientes"))</f>
        <v/>
      </c>
      <c r="G132" s="7"/>
    </row>
    <row r="133" customFormat="false" ht="21" hidden="false" customHeight="true" outlineLevel="0" collapsed="false">
      <c r="B133" s="7"/>
      <c r="C133" s="7"/>
      <c r="D133" s="37"/>
      <c r="E133" s="34" t="str">
        <f aca="false">IF(C133="","",IFERROR(INDEX(Ingredientes!$D$5:$D$204,MATCH(C133,Ingredientes!$B$5:$B$204,0)),"?"))</f>
        <v/>
      </c>
      <c r="F133" s="24" t="str">
        <f aca="false">IF(OR(C133="",D133=""),"",IFERROR(D133*INDEX(Ingredientes!$F$5:$F$204,MATCH(C133,Ingredientes!$B$5:$B$204,0))/INDEX(Ingredientes!$E$5:$E$204,MATCH(C133,Ingredientes!$B$5:$B$204,0)),"Cadastre em Ingredientes"))</f>
        <v/>
      </c>
      <c r="G133" s="7"/>
    </row>
    <row r="134" customFormat="false" ht="21" hidden="false" customHeight="true" outlineLevel="0" collapsed="false">
      <c r="B134" s="7"/>
      <c r="C134" s="7"/>
      <c r="D134" s="37"/>
      <c r="E134" s="34" t="str">
        <f aca="false">IF(C134="","",IFERROR(INDEX(Ingredientes!$D$5:$D$204,MATCH(C134,Ingredientes!$B$5:$B$204,0)),"?"))</f>
        <v/>
      </c>
      <c r="F134" s="24" t="str">
        <f aca="false">IF(OR(C134="",D134=""),"",IFERROR(D134*INDEX(Ingredientes!$F$5:$F$204,MATCH(C134,Ingredientes!$B$5:$B$204,0))/INDEX(Ingredientes!$E$5:$E$204,MATCH(C134,Ingredientes!$B$5:$B$204,0)),"Cadastre em Ingredientes"))</f>
        <v/>
      </c>
      <c r="G134" s="7"/>
    </row>
    <row r="135" customFormat="false" ht="21" hidden="false" customHeight="true" outlineLevel="0" collapsed="false">
      <c r="B135" s="7"/>
      <c r="C135" s="7"/>
      <c r="D135" s="37"/>
      <c r="E135" s="34" t="str">
        <f aca="false">IF(C135="","",IFERROR(INDEX(Ingredientes!$D$5:$D$204,MATCH(C135,Ingredientes!$B$5:$B$204,0)),"?"))</f>
        <v/>
      </c>
      <c r="F135" s="24" t="str">
        <f aca="false">IF(OR(C135="",D135=""),"",IFERROR(D135*INDEX(Ingredientes!$F$5:$F$204,MATCH(C135,Ingredientes!$B$5:$B$204,0))/INDEX(Ingredientes!$E$5:$E$204,MATCH(C135,Ingredientes!$B$5:$B$204,0)),"Cadastre em Ingredientes"))</f>
        <v/>
      </c>
      <c r="G135" s="7"/>
    </row>
    <row r="136" customFormat="false" ht="21" hidden="false" customHeight="true" outlineLevel="0" collapsed="false">
      <c r="B136" s="7"/>
      <c r="C136" s="7"/>
      <c r="D136" s="37"/>
      <c r="E136" s="34" t="str">
        <f aca="false">IF(C136="","",IFERROR(INDEX(Ingredientes!$D$5:$D$204,MATCH(C136,Ingredientes!$B$5:$B$204,0)),"?"))</f>
        <v/>
      </c>
      <c r="F136" s="24" t="str">
        <f aca="false">IF(OR(C136="",D136=""),"",IFERROR(D136*INDEX(Ingredientes!$F$5:$F$204,MATCH(C136,Ingredientes!$B$5:$B$204,0))/INDEX(Ingredientes!$E$5:$E$204,MATCH(C136,Ingredientes!$B$5:$B$204,0)),"Cadastre em Ingredientes"))</f>
        <v/>
      </c>
      <c r="G136" s="7"/>
    </row>
    <row r="137" customFormat="false" ht="21" hidden="false" customHeight="true" outlineLevel="0" collapsed="false">
      <c r="B137" s="7"/>
      <c r="C137" s="7"/>
      <c r="D137" s="37"/>
      <c r="E137" s="34" t="str">
        <f aca="false">IF(C137="","",IFERROR(INDEX(Ingredientes!$D$5:$D$204,MATCH(C137,Ingredientes!$B$5:$B$204,0)),"?"))</f>
        <v/>
      </c>
      <c r="F137" s="24" t="str">
        <f aca="false">IF(OR(C137="",D137=""),"",IFERROR(D137*INDEX(Ingredientes!$F$5:$F$204,MATCH(C137,Ingredientes!$B$5:$B$204,0))/INDEX(Ingredientes!$E$5:$E$204,MATCH(C137,Ingredientes!$B$5:$B$204,0)),"Cadastre em Ingredientes"))</f>
        <v/>
      </c>
      <c r="G137" s="7"/>
    </row>
    <row r="138" customFormat="false" ht="21" hidden="false" customHeight="true" outlineLevel="0" collapsed="false">
      <c r="B138" s="7"/>
      <c r="C138" s="7"/>
      <c r="D138" s="37"/>
      <c r="E138" s="34" t="str">
        <f aca="false">IF(C138="","",IFERROR(INDEX(Ingredientes!$D$5:$D$204,MATCH(C138,Ingredientes!$B$5:$B$204,0)),"?"))</f>
        <v/>
      </c>
      <c r="F138" s="24" t="str">
        <f aca="false">IF(OR(C138="",D138=""),"",IFERROR(D138*INDEX(Ingredientes!$F$5:$F$204,MATCH(C138,Ingredientes!$B$5:$B$204,0))/INDEX(Ingredientes!$E$5:$E$204,MATCH(C138,Ingredientes!$B$5:$B$204,0)),"Cadastre em Ingredientes"))</f>
        <v/>
      </c>
      <c r="G138" s="7"/>
    </row>
    <row r="139" customFormat="false" ht="21" hidden="false" customHeight="true" outlineLevel="0" collapsed="false">
      <c r="B139" s="7"/>
      <c r="C139" s="7"/>
      <c r="D139" s="37"/>
      <c r="E139" s="34" t="str">
        <f aca="false">IF(C139="","",IFERROR(INDEX(Ingredientes!$D$5:$D$204,MATCH(C139,Ingredientes!$B$5:$B$204,0)),"?"))</f>
        <v/>
      </c>
      <c r="F139" s="24" t="str">
        <f aca="false">IF(OR(C139="",D139=""),"",IFERROR(D139*INDEX(Ingredientes!$F$5:$F$204,MATCH(C139,Ingredientes!$B$5:$B$204,0))/INDEX(Ingredientes!$E$5:$E$204,MATCH(C139,Ingredientes!$B$5:$B$204,0)),"Cadastre em Ingredientes"))</f>
        <v/>
      </c>
      <c r="G139" s="7"/>
    </row>
    <row r="140" customFormat="false" ht="21" hidden="false" customHeight="true" outlineLevel="0" collapsed="false">
      <c r="B140" s="7"/>
      <c r="C140" s="7"/>
      <c r="D140" s="37"/>
      <c r="E140" s="34" t="str">
        <f aca="false">IF(C140="","",IFERROR(INDEX(Ingredientes!$D$5:$D$204,MATCH(C140,Ingredientes!$B$5:$B$204,0)),"?"))</f>
        <v/>
      </c>
      <c r="F140" s="24" t="str">
        <f aca="false">IF(OR(C140="",D140=""),"",IFERROR(D140*INDEX(Ingredientes!$F$5:$F$204,MATCH(C140,Ingredientes!$B$5:$B$204,0))/INDEX(Ingredientes!$E$5:$E$204,MATCH(C140,Ingredientes!$B$5:$B$204,0)),"Cadastre em Ingredientes"))</f>
        <v/>
      </c>
      <c r="G140" s="7"/>
    </row>
    <row r="141" customFormat="false" ht="21" hidden="false" customHeight="true" outlineLevel="0" collapsed="false">
      <c r="B141" s="7"/>
      <c r="C141" s="7"/>
      <c r="D141" s="37"/>
      <c r="E141" s="34" t="str">
        <f aca="false">IF(C141="","",IFERROR(INDEX(Ingredientes!$D$5:$D$204,MATCH(C141,Ingredientes!$B$5:$B$204,0)),"?"))</f>
        <v/>
      </c>
      <c r="F141" s="24" t="str">
        <f aca="false">IF(OR(C141="",D141=""),"",IFERROR(D141*INDEX(Ingredientes!$F$5:$F$204,MATCH(C141,Ingredientes!$B$5:$B$204,0))/INDEX(Ingredientes!$E$5:$E$204,MATCH(C141,Ingredientes!$B$5:$B$204,0)),"Cadastre em Ingredientes"))</f>
        <v/>
      </c>
      <c r="G141" s="7"/>
    </row>
    <row r="142" customFormat="false" ht="21" hidden="false" customHeight="true" outlineLevel="0" collapsed="false">
      <c r="B142" s="7"/>
      <c r="C142" s="7"/>
      <c r="D142" s="37"/>
      <c r="E142" s="34" t="str">
        <f aca="false">IF(C142="","",IFERROR(INDEX(Ingredientes!$D$5:$D$204,MATCH(C142,Ingredientes!$B$5:$B$204,0)),"?"))</f>
        <v/>
      </c>
      <c r="F142" s="24" t="str">
        <f aca="false">IF(OR(C142="",D142=""),"",IFERROR(D142*INDEX(Ingredientes!$F$5:$F$204,MATCH(C142,Ingredientes!$B$5:$B$204,0))/INDEX(Ingredientes!$E$5:$E$204,MATCH(C142,Ingredientes!$B$5:$B$204,0)),"Cadastre em Ingredientes"))</f>
        <v/>
      </c>
      <c r="G142" s="7"/>
    </row>
    <row r="143" customFormat="false" ht="21" hidden="false" customHeight="true" outlineLevel="0" collapsed="false">
      <c r="B143" s="7"/>
      <c r="C143" s="7"/>
      <c r="D143" s="37"/>
      <c r="E143" s="34" t="str">
        <f aca="false">IF(C143="","",IFERROR(INDEX(Ingredientes!$D$5:$D$204,MATCH(C143,Ingredientes!$B$5:$B$204,0)),"?"))</f>
        <v/>
      </c>
      <c r="F143" s="24" t="str">
        <f aca="false">IF(OR(C143="",D143=""),"",IFERROR(D143*INDEX(Ingredientes!$F$5:$F$204,MATCH(C143,Ingredientes!$B$5:$B$204,0))/INDEX(Ingredientes!$E$5:$E$204,MATCH(C143,Ingredientes!$B$5:$B$204,0)),"Cadastre em Ingredientes"))</f>
        <v/>
      </c>
      <c r="G143" s="7"/>
    </row>
    <row r="144" customFormat="false" ht="21" hidden="false" customHeight="true" outlineLevel="0" collapsed="false">
      <c r="B144" s="7"/>
      <c r="C144" s="7"/>
      <c r="D144" s="37"/>
      <c r="E144" s="34" t="str">
        <f aca="false">IF(C144="","",IFERROR(INDEX(Ingredientes!$D$5:$D$204,MATCH(C144,Ingredientes!$B$5:$B$204,0)),"?"))</f>
        <v/>
      </c>
      <c r="F144" s="24" t="str">
        <f aca="false">IF(OR(C144="",D144=""),"",IFERROR(D144*INDEX(Ingredientes!$F$5:$F$204,MATCH(C144,Ingredientes!$B$5:$B$204,0))/INDEX(Ingredientes!$E$5:$E$204,MATCH(C144,Ingredientes!$B$5:$B$204,0)),"Cadastre em Ingredientes"))</f>
        <v/>
      </c>
      <c r="G144" s="7"/>
    </row>
    <row r="145" customFormat="false" ht="21" hidden="false" customHeight="true" outlineLevel="0" collapsed="false">
      <c r="B145" s="7"/>
      <c r="C145" s="7"/>
      <c r="D145" s="37"/>
      <c r="E145" s="34" t="str">
        <f aca="false">IF(C145="","",IFERROR(INDEX(Ingredientes!$D$5:$D$204,MATCH(C145,Ingredientes!$B$5:$B$204,0)),"?"))</f>
        <v/>
      </c>
      <c r="F145" s="24" t="str">
        <f aca="false">IF(OR(C145="",D145=""),"",IFERROR(D145*INDEX(Ingredientes!$F$5:$F$204,MATCH(C145,Ingredientes!$B$5:$B$204,0))/INDEX(Ingredientes!$E$5:$E$204,MATCH(C145,Ingredientes!$B$5:$B$204,0)),"Cadastre em Ingredientes"))</f>
        <v/>
      </c>
      <c r="G145" s="7"/>
    </row>
    <row r="146" customFormat="false" ht="21" hidden="false" customHeight="true" outlineLevel="0" collapsed="false">
      <c r="B146" s="7"/>
      <c r="C146" s="7"/>
      <c r="D146" s="37"/>
      <c r="E146" s="34" t="str">
        <f aca="false">IF(C146="","",IFERROR(INDEX(Ingredientes!$D$5:$D$204,MATCH(C146,Ingredientes!$B$5:$B$204,0)),"?"))</f>
        <v/>
      </c>
      <c r="F146" s="24" t="str">
        <f aca="false">IF(OR(C146="",D146=""),"",IFERROR(D146*INDEX(Ingredientes!$F$5:$F$204,MATCH(C146,Ingredientes!$B$5:$B$204,0))/INDEX(Ingredientes!$E$5:$E$204,MATCH(C146,Ingredientes!$B$5:$B$204,0)),"Cadastre em Ingredientes"))</f>
        <v/>
      </c>
      <c r="G146" s="7"/>
    </row>
    <row r="147" customFormat="false" ht="21" hidden="false" customHeight="true" outlineLevel="0" collapsed="false">
      <c r="B147" s="7"/>
      <c r="C147" s="7"/>
      <c r="D147" s="37"/>
      <c r="E147" s="34" t="str">
        <f aca="false">IF(C147="","",IFERROR(INDEX(Ingredientes!$D$5:$D$204,MATCH(C147,Ingredientes!$B$5:$B$204,0)),"?"))</f>
        <v/>
      </c>
      <c r="F147" s="24" t="str">
        <f aca="false">IF(OR(C147="",D147=""),"",IFERROR(D147*INDEX(Ingredientes!$F$5:$F$204,MATCH(C147,Ingredientes!$B$5:$B$204,0))/INDEX(Ingredientes!$E$5:$E$204,MATCH(C147,Ingredientes!$B$5:$B$204,0)),"Cadastre em Ingredientes"))</f>
        <v/>
      </c>
      <c r="G147" s="7"/>
    </row>
    <row r="148" customFormat="false" ht="21" hidden="false" customHeight="true" outlineLevel="0" collapsed="false">
      <c r="B148" s="7"/>
      <c r="C148" s="7"/>
      <c r="D148" s="37"/>
      <c r="E148" s="34" t="str">
        <f aca="false">IF(C148="","",IFERROR(INDEX(Ingredientes!$D$5:$D$204,MATCH(C148,Ingredientes!$B$5:$B$204,0)),"?"))</f>
        <v/>
      </c>
      <c r="F148" s="24" t="str">
        <f aca="false">IF(OR(C148="",D148=""),"",IFERROR(D148*INDEX(Ingredientes!$F$5:$F$204,MATCH(C148,Ingredientes!$B$5:$B$204,0))/INDEX(Ingredientes!$E$5:$E$204,MATCH(C148,Ingredientes!$B$5:$B$204,0)),"Cadastre em Ingredientes"))</f>
        <v/>
      </c>
      <c r="G148" s="7"/>
    </row>
    <row r="149" customFormat="false" ht="21" hidden="false" customHeight="true" outlineLevel="0" collapsed="false">
      <c r="B149" s="7"/>
      <c r="C149" s="7"/>
      <c r="D149" s="37"/>
      <c r="E149" s="34" t="str">
        <f aca="false">IF(C149="","",IFERROR(INDEX(Ingredientes!$D$5:$D$204,MATCH(C149,Ingredientes!$B$5:$B$204,0)),"?"))</f>
        <v/>
      </c>
      <c r="F149" s="24" t="str">
        <f aca="false">IF(OR(C149="",D149=""),"",IFERROR(D149*INDEX(Ingredientes!$F$5:$F$204,MATCH(C149,Ingredientes!$B$5:$B$204,0))/INDEX(Ingredientes!$E$5:$E$204,MATCH(C149,Ingredientes!$B$5:$B$204,0)),"Cadastre em Ingredientes"))</f>
        <v/>
      </c>
      <c r="G149" s="7"/>
    </row>
    <row r="150" customFormat="false" ht="21" hidden="false" customHeight="true" outlineLevel="0" collapsed="false">
      <c r="B150" s="7"/>
      <c r="C150" s="7"/>
      <c r="D150" s="37"/>
      <c r="E150" s="34" t="str">
        <f aca="false">IF(C150="","",IFERROR(INDEX(Ingredientes!$D$5:$D$204,MATCH(C150,Ingredientes!$B$5:$B$204,0)),"?"))</f>
        <v/>
      </c>
      <c r="F150" s="24" t="str">
        <f aca="false">IF(OR(C150="",D150=""),"",IFERROR(D150*INDEX(Ingredientes!$F$5:$F$204,MATCH(C150,Ingredientes!$B$5:$B$204,0))/INDEX(Ingredientes!$E$5:$E$204,MATCH(C150,Ingredientes!$B$5:$B$204,0)),"Cadastre em Ingredientes"))</f>
        <v/>
      </c>
      <c r="G150" s="7"/>
    </row>
    <row r="151" customFormat="false" ht="21" hidden="false" customHeight="true" outlineLevel="0" collapsed="false">
      <c r="B151" s="7"/>
      <c r="C151" s="7"/>
      <c r="D151" s="37"/>
      <c r="E151" s="34" t="str">
        <f aca="false">IF(C151="","",IFERROR(INDEX(Ingredientes!$D$5:$D$204,MATCH(C151,Ingredientes!$B$5:$B$204,0)),"?"))</f>
        <v/>
      </c>
      <c r="F151" s="24" t="str">
        <f aca="false">IF(OR(C151="",D151=""),"",IFERROR(D151*INDEX(Ingredientes!$F$5:$F$204,MATCH(C151,Ingredientes!$B$5:$B$204,0))/INDEX(Ingredientes!$E$5:$E$204,MATCH(C151,Ingredientes!$B$5:$B$204,0)),"Cadastre em Ingredientes"))</f>
        <v/>
      </c>
      <c r="G151" s="7"/>
    </row>
    <row r="152" customFormat="false" ht="21" hidden="false" customHeight="true" outlineLevel="0" collapsed="false">
      <c r="B152" s="7"/>
      <c r="C152" s="7"/>
      <c r="D152" s="37"/>
      <c r="E152" s="34" t="str">
        <f aca="false">IF(C152="","",IFERROR(INDEX(Ingredientes!$D$5:$D$204,MATCH(C152,Ingredientes!$B$5:$B$204,0)),"?"))</f>
        <v/>
      </c>
      <c r="F152" s="24" t="str">
        <f aca="false">IF(OR(C152="",D152=""),"",IFERROR(D152*INDEX(Ingredientes!$F$5:$F$204,MATCH(C152,Ingredientes!$B$5:$B$204,0))/INDEX(Ingredientes!$E$5:$E$204,MATCH(C152,Ingredientes!$B$5:$B$204,0)),"Cadastre em Ingredientes"))</f>
        <v/>
      </c>
      <c r="G152" s="7"/>
    </row>
    <row r="153" customFormat="false" ht="21" hidden="false" customHeight="true" outlineLevel="0" collapsed="false">
      <c r="B153" s="7"/>
      <c r="C153" s="7"/>
      <c r="D153" s="37"/>
      <c r="E153" s="34" t="str">
        <f aca="false">IF(C153="","",IFERROR(INDEX(Ingredientes!$D$5:$D$204,MATCH(C153,Ingredientes!$B$5:$B$204,0)),"?"))</f>
        <v/>
      </c>
      <c r="F153" s="24" t="str">
        <f aca="false">IF(OR(C153="",D153=""),"",IFERROR(D153*INDEX(Ingredientes!$F$5:$F$204,MATCH(C153,Ingredientes!$B$5:$B$204,0))/INDEX(Ingredientes!$E$5:$E$204,MATCH(C153,Ingredientes!$B$5:$B$204,0)),"Cadastre em Ingredientes"))</f>
        <v/>
      </c>
      <c r="G153" s="7"/>
    </row>
    <row r="154" customFormat="false" ht="21" hidden="false" customHeight="true" outlineLevel="0" collapsed="false">
      <c r="B154" s="7"/>
      <c r="C154" s="7"/>
      <c r="D154" s="37"/>
      <c r="E154" s="34" t="str">
        <f aca="false">IF(C154="","",IFERROR(INDEX(Ingredientes!$D$5:$D$204,MATCH(C154,Ingredientes!$B$5:$B$204,0)),"?"))</f>
        <v/>
      </c>
      <c r="F154" s="24" t="str">
        <f aca="false">IF(OR(C154="",D154=""),"",IFERROR(D154*INDEX(Ingredientes!$F$5:$F$204,MATCH(C154,Ingredientes!$B$5:$B$204,0))/INDEX(Ingredientes!$E$5:$E$204,MATCH(C154,Ingredientes!$B$5:$B$204,0)),"Cadastre em Ingredientes"))</f>
        <v/>
      </c>
      <c r="G154" s="7"/>
    </row>
    <row r="155" customFormat="false" ht="21" hidden="false" customHeight="true" outlineLevel="0" collapsed="false">
      <c r="B155" s="7"/>
      <c r="C155" s="7"/>
      <c r="D155" s="37"/>
      <c r="E155" s="34" t="str">
        <f aca="false">IF(C155="","",IFERROR(INDEX(Ingredientes!$D$5:$D$204,MATCH(C155,Ingredientes!$B$5:$B$204,0)),"?"))</f>
        <v/>
      </c>
      <c r="F155" s="24" t="str">
        <f aca="false">IF(OR(C155="",D155=""),"",IFERROR(D155*INDEX(Ingredientes!$F$5:$F$204,MATCH(C155,Ingredientes!$B$5:$B$204,0))/INDEX(Ingredientes!$E$5:$E$204,MATCH(C155,Ingredientes!$B$5:$B$204,0)),"Cadastre em Ingredientes"))</f>
        <v/>
      </c>
      <c r="G155" s="7"/>
    </row>
    <row r="156" customFormat="false" ht="21" hidden="false" customHeight="true" outlineLevel="0" collapsed="false">
      <c r="B156" s="7"/>
      <c r="C156" s="7"/>
      <c r="D156" s="37"/>
      <c r="E156" s="34" t="str">
        <f aca="false">IF(C156="","",IFERROR(INDEX(Ingredientes!$D$5:$D$204,MATCH(C156,Ingredientes!$B$5:$B$204,0)),"?"))</f>
        <v/>
      </c>
      <c r="F156" s="24" t="str">
        <f aca="false">IF(OR(C156="",D156=""),"",IFERROR(D156*INDEX(Ingredientes!$F$5:$F$204,MATCH(C156,Ingredientes!$B$5:$B$204,0))/INDEX(Ingredientes!$E$5:$E$204,MATCH(C156,Ingredientes!$B$5:$B$204,0)),"Cadastre em Ingredientes"))</f>
        <v/>
      </c>
      <c r="G156" s="7"/>
    </row>
    <row r="157" customFormat="false" ht="21" hidden="false" customHeight="true" outlineLevel="0" collapsed="false">
      <c r="B157" s="7"/>
      <c r="C157" s="7"/>
      <c r="D157" s="37"/>
      <c r="E157" s="34" t="str">
        <f aca="false">IF(C157="","",IFERROR(INDEX(Ingredientes!$D$5:$D$204,MATCH(C157,Ingredientes!$B$5:$B$204,0)),"?"))</f>
        <v/>
      </c>
      <c r="F157" s="24" t="str">
        <f aca="false">IF(OR(C157="",D157=""),"",IFERROR(D157*INDEX(Ingredientes!$F$5:$F$204,MATCH(C157,Ingredientes!$B$5:$B$204,0))/INDEX(Ingredientes!$E$5:$E$204,MATCH(C157,Ingredientes!$B$5:$B$204,0)),"Cadastre em Ingredientes"))</f>
        <v/>
      </c>
      <c r="G157" s="7"/>
    </row>
    <row r="158" customFormat="false" ht="21" hidden="false" customHeight="true" outlineLevel="0" collapsed="false">
      <c r="B158" s="7"/>
      <c r="C158" s="7"/>
      <c r="D158" s="37"/>
      <c r="E158" s="34" t="str">
        <f aca="false">IF(C158="","",IFERROR(INDEX(Ingredientes!$D$5:$D$204,MATCH(C158,Ingredientes!$B$5:$B$204,0)),"?"))</f>
        <v/>
      </c>
      <c r="F158" s="24" t="str">
        <f aca="false">IF(OR(C158="",D158=""),"",IFERROR(D158*INDEX(Ingredientes!$F$5:$F$204,MATCH(C158,Ingredientes!$B$5:$B$204,0))/INDEX(Ingredientes!$E$5:$E$204,MATCH(C158,Ingredientes!$B$5:$B$204,0)),"Cadastre em Ingredientes"))</f>
        <v/>
      </c>
      <c r="G158" s="7"/>
    </row>
    <row r="159" customFormat="false" ht="21" hidden="false" customHeight="true" outlineLevel="0" collapsed="false">
      <c r="B159" s="7"/>
      <c r="C159" s="7"/>
      <c r="D159" s="37"/>
      <c r="E159" s="34" t="str">
        <f aca="false">IF(C159="","",IFERROR(INDEX(Ingredientes!$D$5:$D$204,MATCH(C159,Ingredientes!$B$5:$B$204,0)),"?"))</f>
        <v/>
      </c>
      <c r="F159" s="24" t="str">
        <f aca="false">IF(OR(C159="",D159=""),"",IFERROR(D159*INDEX(Ingredientes!$F$5:$F$204,MATCH(C159,Ingredientes!$B$5:$B$204,0))/INDEX(Ingredientes!$E$5:$E$204,MATCH(C159,Ingredientes!$B$5:$B$204,0)),"Cadastre em Ingredientes"))</f>
        <v/>
      </c>
      <c r="G159" s="7"/>
    </row>
    <row r="160" customFormat="false" ht="21" hidden="false" customHeight="true" outlineLevel="0" collapsed="false">
      <c r="B160" s="7"/>
      <c r="C160" s="7"/>
      <c r="D160" s="37"/>
      <c r="E160" s="34" t="str">
        <f aca="false">IF(C160="","",IFERROR(INDEX(Ingredientes!$D$5:$D$204,MATCH(C160,Ingredientes!$B$5:$B$204,0)),"?"))</f>
        <v/>
      </c>
      <c r="F160" s="24" t="str">
        <f aca="false">IF(OR(C160="",D160=""),"",IFERROR(D160*INDEX(Ingredientes!$F$5:$F$204,MATCH(C160,Ingredientes!$B$5:$B$204,0))/INDEX(Ingredientes!$E$5:$E$204,MATCH(C160,Ingredientes!$B$5:$B$204,0)),"Cadastre em Ingredientes"))</f>
        <v/>
      </c>
      <c r="G160" s="7"/>
    </row>
    <row r="161" customFormat="false" ht="21" hidden="false" customHeight="true" outlineLevel="0" collapsed="false">
      <c r="B161" s="7"/>
      <c r="C161" s="7"/>
      <c r="D161" s="37"/>
      <c r="E161" s="34" t="str">
        <f aca="false">IF(C161="","",IFERROR(INDEX(Ingredientes!$D$5:$D$204,MATCH(C161,Ingredientes!$B$5:$B$204,0)),"?"))</f>
        <v/>
      </c>
      <c r="F161" s="24" t="str">
        <f aca="false">IF(OR(C161="",D161=""),"",IFERROR(D161*INDEX(Ingredientes!$F$5:$F$204,MATCH(C161,Ingredientes!$B$5:$B$204,0))/INDEX(Ingredientes!$E$5:$E$204,MATCH(C161,Ingredientes!$B$5:$B$204,0)),"Cadastre em Ingredientes"))</f>
        <v/>
      </c>
      <c r="G161" s="7"/>
    </row>
    <row r="162" customFormat="false" ht="21" hidden="false" customHeight="true" outlineLevel="0" collapsed="false">
      <c r="B162" s="7"/>
      <c r="C162" s="7"/>
      <c r="D162" s="37"/>
      <c r="E162" s="34" t="str">
        <f aca="false">IF(C162="","",IFERROR(INDEX(Ingredientes!$D$5:$D$204,MATCH(C162,Ingredientes!$B$5:$B$204,0)),"?"))</f>
        <v/>
      </c>
      <c r="F162" s="24" t="str">
        <f aca="false">IF(OR(C162="",D162=""),"",IFERROR(D162*INDEX(Ingredientes!$F$5:$F$204,MATCH(C162,Ingredientes!$B$5:$B$204,0))/INDEX(Ingredientes!$E$5:$E$204,MATCH(C162,Ingredientes!$B$5:$B$204,0)),"Cadastre em Ingredientes"))</f>
        <v/>
      </c>
      <c r="G162" s="7"/>
    </row>
    <row r="163" customFormat="false" ht="21" hidden="false" customHeight="true" outlineLevel="0" collapsed="false">
      <c r="B163" s="7"/>
      <c r="C163" s="7"/>
      <c r="D163" s="37"/>
      <c r="E163" s="34" t="str">
        <f aca="false">IF(C163="","",IFERROR(INDEX(Ingredientes!$D$5:$D$204,MATCH(C163,Ingredientes!$B$5:$B$204,0)),"?"))</f>
        <v/>
      </c>
      <c r="F163" s="24" t="str">
        <f aca="false">IF(OR(C163="",D163=""),"",IFERROR(D163*INDEX(Ingredientes!$F$5:$F$204,MATCH(C163,Ingredientes!$B$5:$B$204,0))/INDEX(Ingredientes!$E$5:$E$204,MATCH(C163,Ingredientes!$B$5:$B$204,0)),"Cadastre em Ingredientes"))</f>
        <v/>
      </c>
      <c r="G163" s="7"/>
    </row>
    <row r="164" customFormat="false" ht="21" hidden="false" customHeight="true" outlineLevel="0" collapsed="false">
      <c r="B164" s="7"/>
      <c r="C164" s="7"/>
      <c r="D164" s="37"/>
      <c r="E164" s="34" t="str">
        <f aca="false">IF(C164="","",IFERROR(INDEX(Ingredientes!$D$5:$D$204,MATCH(C164,Ingredientes!$B$5:$B$204,0)),"?"))</f>
        <v/>
      </c>
      <c r="F164" s="24" t="str">
        <f aca="false">IF(OR(C164="",D164=""),"",IFERROR(D164*INDEX(Ingredientes!$F$5:$F$204,MATCH(C164,Ingredientes!$B$5:$B$204,0))/INDEX(Ingredientes!$E$5:$E$204,MATCH(C164,Ingredientes!$B$5:$B$204,0)),"Cadastre em Ingredientes"))</f>
        <v/>
      </c>
      <c r="G164" s="7"/>
    </row>
    <row r="165" customFormat="false" ht="21" hidden="false" customHeight="true" outlineLevel="0" collapsed="false">
      <c r="B165" s="7"/>
      <c r="C165" s="7"/>
      <c r="D165" s="37"/>
      <c r="E165" s="34" t="str">
        <f aca="false">IF(C165="","",IFERROR(INDEX(Ingredientes!$D$5:$D$204,MATCH(C165,Ingredientes!$B$5:$B$204,0)),"?"))</f>
        <v/>
      </c>
      <c r="F165" s="24" t="str">
        <f aca="false">IF(OR(C165="",D165=""),"",IFERROR(D165*INDEX(Ingredientes!$F$5:$F$204,MATCH(C165,Ingredientes!$B$5:$B$204,0))/INDEX(Ingredientes!$E$5:$E$204,MATCH(C165,Ingredientes!$B$5:$B$204,0)),"Cadastre em Ingredientes"))</f>
        <v/>
      </c>
      <c r="G165" s="7"/>
    </row>
    <row r="166" customFormat="false" ht="21" hidden="false" customHeight="true" outlineLevel="0" collapsed="false">
      <c r="B166" s="7"/>
      <c r="C166" s="7"/>
      <c r="D166" s="37"/>
      <c r="E166" s="34" t="str">
        <f aca="false">IF(C166="","",IFERROR(INDEX(Ingredientes!$D$5:$D$204,MATCH(C166,Ingredientes!$B$5:$B$204,0)),"?"))</f>
        <v/>
      </c>
      <c r="F166" s="24" t="str">
        <f aca="false">IF(OR(C166="",D166=""),"",IFERROR(D166*INDEX(Ingredientes!$F$5:$F$204,MATCH(C166,Ingredientes!$B$5:$B$204,0))/INDEX(Ingredientes!$E$5:$E$204,MATCH(C166,Ingredientes!$B$5:$B$204,0)),"Cadastre em Ingredientes"))</f>
        <v/>
      </c>
      <c r="G166" s="7"/>
    </row>
    <row r="167" customFormat="false" ht="21" hidden="false" customHeight="true" outlineLevel="0" collapsed="false">
      <c r="B167" s="7"/>
      <c r="C167" s="7"/>
      <c r="D167" s="37"/>
      <c r="E167" s="34" t="str">
        <f aca="false">IF(C167="","",IFERROR(INDEX(Ingredientes!$D$5:$D$204,MATCH(C167,Ingredientes!$B$5:$B$204,0)),"?"))</f>
        <v/>
      </c>
      <c r="F167" s="24" t="str">
        <f aca="false">IF(OR(C167="",D167=""),"",IFERROR(D167*INDEX(Ingredientes!$F$5:$F$204,MATCH(C167,Ingredientes!$B$5:$B$204,0))/INDEX(Ingredientes!$E$5:$E$204,MATCH(C167,Ingredientes!$B$5:$B$204,0)),"Cadastre em Ingredientes"))</f>
        <v/>
      </c>
      <c r="G167" s="7"/>
    </row>
    <row r="168" customFormat="false" ht="21" hidden="false" customHeight="true" outlineLevel="0" collapsed="false">
      <c r="B168" s="7"/>
      <c r="C168" s="7"/>
      <c r="D168" s="37"/>
      <c r="E168" s="34" t="str">
        <f aca="false">IF(C168="","",IFERROR(INDEX(Ingredientes!$D$5:$D$204,MATCH(C168,Ingredientes!$B$5:$B$204,0)),"?"))</f>
        <v/>
      </c>
      <c r="F168" s="24" t="str">
        <f aca="false">IF(OR(C168="",D168=""),"",IFERROR(D168*INDEX(Ingredientes!$F$5:$F$204,MATCH(C168,Ingredientes!$B$5:$B$204,0))/INDEX(Ingredientes!$E$5:$E$204,MATCH(C168,Ingredientes!$B$5:$B$204,0)),"Cadastre em Ingredientes"))</f>
        <v/>
      </c>
      <c r="G168" s="7"/>
    </row>
    <row r="169" customFormat="false" ht="21" hidden="false" customHeight="true" outlineLevel="0" collapsed="false">
      <c r="B169" s="7"/>
      <c r="C169" s="7"/>
      <c r="D169" s="37"/>
      <c r="E169" s="34" t="str">
        <f aca="false">IF(C169="","",IFERROR(INDEX(Ingredientes!$D$5:$D$204,MATCH(C169,Ingredientes!$B$5:$B$204,0)),"?"))</f>
        <v/>
      </c>
      <c r="F169" s="24" t="str">
        <f aca="false">IF(OR(C169="",D169=""),"",IFERROR(D169*INDEX(Ingredientes!$F$5:$F$204,MATCH(C169,Ingredientes!$B$5:$B$204,0))/INDEX(Ingredientes!$E$5:$E$204,MATCH(C169,Ingredientes!$B$5:$B$204,0)),"Cadastre em Ingredientes"))</f>
        <v/>
      </c>
      <c r="G169" s="7"/>
    </row>
    <row r="170" customFormat="false" ht="21" hidden="false" customHeight="true" outlineLevel="0" collapsed="false">
      <c r="B170" s="7"/>
      <c r="C170" s="7"/>
      <c r="D170" s="37"/>
      <c r="E170" s="34" t="str">
        <f aca="false">IF(C170="","",IFERROR(INDEX(Ingredientes!$D$5:$D$204,MATCH(C170,Ingredientes!$B$5:$B$204,0)),"?"))</f>
        <v/>
      </c>
      <c r="F170" s="24" t="str">
        <f aca="false">IF(OR(C170="",D170=""),"",IFERROR(D170*INDEX(Ingredientes!$F$5:$F$204,MATCH(C170,Ingredientes!$B$5:$B$204,0))/INDEX(Ingredientes!$E$5:$E$204,MATCH(C170,Ingredientes!$B$5:$B$204,0)),"Cadastre em Ingredientes"))</f>
        <v/>
      </c>
      <c r="G170" s="7"/>
    </row>
    <row r="171" customFormat="false" ht="21" hidden="false" customHeight="true" outlineLevel="0" collapsed="false">
      <c r="B171" s="7"/>
      <c r="C171" s="7"/>
      <c r="D171" s="37"/>
      <c r="E171" s="34" t="str">
        <f aca="false">IF(C171="","",IFERROR(INDEX(Ingredientes!$D$5:$D$204,MATCH(C171,Ingredientes!$B$5:$B$204,0)),"?"))</f>
        <v/>
      </c>
      <c r="F171" s="24" t="str">
        <f aca="false">IF(OR(C171="",D171=""),"",IFERROR(D171*INDEX(Ingredientes!$F$5:$F$204,MATCH(C171,Ingredientes!$B$5:$B$204,0))/INDEX(Ingredientes!$E$5:$E$204,MATCH(C171,Ingredientes!$B$5:$B$204,0)),"Cadastre em Ingredientes"))</f>
        <v/>
      </c>
      <c r="G171" s="7"/>
    </row>
    <row r="172" customFormat="false" ht="21" hidden="false" customHeight="true" outlineLevel="0" collapsed="false">
      <c r="B172" s="7"/>
      <c r="C172" s="7"/>
      <c r="D172" s="37"/>
      <c r="E172" s="34" t="str">
        <f aca="false">IF(C172="","",IFERROR(INDEX(Ingredientes!$D$5:$D$204,MATCH(C172,Ingredientes!$B$5:$B$204,0)),"?"))</f>
        <v/>
      </c>
      <c r="F172" s="24" t="str">
        <f aca="false">IF(OR(C172="",D172=""),"",IFERROR(D172*INDEX(Ingredientes!$F$5:$F$204,MATCH(C172,Ingredientes!$B$5:$B$204,0))/INDEX(Ingredientes!$E$5:$E$204,MATCH(C172,Ingredientes!$B$5:$B$204,0)),"Cadastre em Ingredientes"))</f>
        <v/>
      </c>
      <c r="G172" s="7"/>
    </row>
    <row r="173" customFormat="false" ht="21" hidden="false" customHeight="true" outlineLevel="0" collapsed="false">
      <c r="B173" s="7"/>
      <c r="C173" s="7"/>
      <c r="D173" s="37"/>
      <c r="E173" s="34" t="str">
        <f aca="false">IF(C173="","",IFERROR(INDEX(Ingredientes!$D$5:$D$204,MATCH(C173,Ingredientes!$B$5:$B$204,0)),"?"))</f>
        <v/>
      </c>
      <c r="F173" s="24" t="str">
        <f aca="false">IF(OR(C173="",D173=""),"",IFERROR(D173*INDEX(Ingredientes!$F$5:$F$204,MATCH(C173,Ingredientes!$B$5:$B$204,0))/INDEX(Ingredientes!$E$5:$E$204,MATCH(C173,Ingredientes!$B$5:$B$204,0)),"Cadastre em Ingredientes"))</f>
        <v/>
      </c>
      <c r="G173" s="7"/>
    </row>
    <row r="174" customFormat="false" ht="21" hidden="false" customHeight="true" outlineLevel="0" collapsed="false">
      <c r="B174" s="7"/>
      <c r="C174" s="7"/>
      <c r="D174" s="37"/>
      <c r="E174" s="34" t="str">
        <f aca="false">IF(C174="","",IFERROR(INDEX(Ingredientes!$D$5:$D$204,MATCH(C174,Ingredientes!$B$5:$B$204,0)),"?"))</f>
        <v/>
      </c>
      <c r="F174" s="24" t="str">
        <f aca="false">IF(OR(C174="",D174=""),"",IFERROR(D174*INDEX(Ingredientes!$F$5:$F$204,MATCH(C174,Ingredientes!$B$5:$B$204,0))/INDEX(Ingredientes!$E$5:$E$204,MATCH(C174,Ingredientes!$B$5:$B$204,0)),"Cadastre em Ingredientes"))</f>
        <v/>
      </c>
      <c r="G174" s="7"/>
    </row>
    <row r="175" customFormat="false" ht="21" hidden="false" customHeight="true" outlineLevel="0" collapsed="false">
      <c r="B175" s="7"/>
      <c r="C175" s="7"/>
      <c r="D175" s="37"/>
      <c r="E175" s="34" t="str">
        <f aca="false">IF(C175="","",IFERROR(INDEX(Ingredientes!$D$5:$D$204,MATCH(C175,Ingredientes!$B$5:$B$204,0)),"?"))</f>
        <v/>
      </c>
      <c r="F175" s="24" t="str">
        <f aca="false">IF(OR(C175="",D175=""),"",IFERROR(D175*INDEX(Ingredientes!$F$5:$F$204,MATCH(C175,Ingredientes!$B$5:$B$204,0))/INDEX(Ingredientes!$E$5:$E$204,MATCH(C175,Ingredientes!$B$5:$B$204,0)),"Cadastre em Ingredientes"))</f>
        <v/>
      </c>
      <c r="G175" s="7"/>
    </row>
    <row r="176" customFormat="false" ht="21" hidden="false" customHeight="true" outlineLevel="0" collapsed="false">
      <c r="B176" s="7"/>
      <c r="C176" s="7"/>
      <c r="D176" s="37"/>
      <c r="E176" s="34" t="str">
        <f aca="false">IF(C176="","",IFERROR(INDEX(Ingredientes!$D$5:$D$204,MATCH(C176,Ingredientes!$B$5:$B$204,0)),"?"))</f>
        <v/>
      </c>
      <c r="F176" s="24" t="str">
        <f aca="false">IF(OR(C176="",D176=""),"",IFERROR(D176*INDEX(Ingredientes!$F$5:$F$204,MATCH(C176,Ingredientes!$B$5:$B$204,0))/INDEX(Ingredientes!$E$5:$E$204,MATCH(C176,Ingredientes!$B$5:$B$204,0)),"Cadastre em Ingredientes"))</f>
        <v/>
      </c>
      <c r="G176" s="7"/>
    </row>
    <row r="177" customFormat="false" ht="21" hidden="false" customHeight="true" outlineLevel="0" collapsed="false">
      <c r="B177" s="7"/>
      <c r="C177" s="7"/>
      <c r="D177" s="37"/>
      <c r="E177" s="34" t="str">
        <f aca="false">IF(C177="","",IFERROR(INDEX(Ingredientes!$D$5:$D$204,MATCH(C177,Ingredientes!$B$5:$B$204,0)),"?"))</f>
        <v/>
      </c>
      <c r="F177" s="24" t="str">
        <f aca="false">IF(OR(C177="",D177=""),"",IFERROR(D177*INDEX(Ingredientes!$F$5:$F$204,MATCH(C177,Ingredientes!$B$5:$B$204,0))/INDEX(Ingredientes!$E$5:$E$204,MATCH(C177,Ingredientes!$B$5:$B$204,0)),"Cadastre em Ingredientes"))</f>
        <v/>
      </c>
      <c r="G177" s="7"/>
    </row>
    <row r="178" customFormat="false" ht="21" hidden="false" customHeight="true" outlineLevel="0" collapsed="false">
      <c r="B178" s="7"/>
      <c r="C178" s="7"/>
      <c r="D178" s="37"/>
      <c r="E178" s="34" t="str">
        <f aca="false">IF(C178="","",IFERROR(INDEX(Ingredientes!$D$5:$D$204,MATCH(C178,Ingredientes!$B$5:$B$204,0)),"?"))</f>
        <v/>
      </c>
      <c r="F178" s="24" t="str">
        <f aca="false">IF(OR(C178="",D178=""),"",IFERROR(D178*INDEX(Ingredientes!$F$5:$F$204,MATCH(C178,Ingredientes!$B$5:$B$204,0))/INDEX(Ingredientes!$E$5:$E$204,MATCH(C178,Ingredientes!$B$5:$B$204,0)),"Cadastre em Ingredientes"))</f>
        <v/>
      </c>
      <c r="G178" s="7"/>
    </row>
    <row r="179" customFormat="false" ht="21" hidden="false" customHeight="true" outlineLevel="0" collapsed="false">
      <c r="B179" s="7"/>
      <c r="C179" s="7"/>
      <c r="D179" s="37"/>
      <c r="E179" s="34" t="str">
        <f aca="false">IF(C179="","",IFERROR(INDEX(Ingredientes!$D$5:$D$204,MATCH(C179,Ingredientes!$B$5:$B$204,0)),"?"))</f>
        <v/>
      </c>
      <c r="F179" s="24" t="str">
        <f aca="false">IF(OR(C179="",D179=""),"",IFERROR(D179*INDEX(Ingredientes!$F$5:$F$204,MATCH(C179,Ingredientes!$B$5:$B$204,0))/INDEX(Ingredientes!$E$5:$E$204,MATCH(C179,Ingredientes!$B$5:$B$204,0)),"Cadastre em Ingredientes"))</f>
        <v/>
      </c>
      <c r="G179" s="7"/>
    </row>
    <row r="180" customFormat="false" ht="21" hidden="false" customHeight="true" outlineLevel="0" collapsed="false">
      <c r="B180" s="7"/>
      <c r="C180" s="7"/>
      <c r="D180" s="37"/>
      <c r="E180" s="34" t="str">
        <f aca="false">IF(C180="","",IFERROR(INDEX(Ingredientes!$D$5:$D$204,MATCH(C180,Ingredientes!$B$5:$B$204,0)),"?"))</f>
        <v/>
      </c>
      <c r="F180" s="24" t="str">
        <f aca="false">IF(OR(C180="",D180=""),"",IFERROR(D180*INDEX(Ingredientes!$F$5:$F$204,MATCH(C180,Ingredientes!$B$5:$B$204,0))/INDEX(Ingredientes!$E$5:$E$204,MATCH(C180,Ingredientes!$B$5:$B$204,0)),"Cadastre em Ingredientes"))</f>
        <v/>
      </c>
      <c r="G180" s="7"/>
    </row>
    <row r="181" customFormat="false" ht="21" hidden="false" customHeight="true" outlineLevel="0" collapsed="false">
      <c r="B181" s="7"/>
      <c r="C181" s="7"/>
      <c r="D181" s="37"/>
      <c r="E181" s="34" t="str">
        <f aca="false">IF(C181="","",IFERROR(INDEX(Ingredientes!$D$5:$D$204,MATCH(C181,Ingredientes!$B$5:$B$204,0)),"?"))</f>
        <v/>
      </c>
      <c r="F181" s="24" t="str">
        <f aca="false">IF(OR(C181="",D181=""),"",IFERROR(D181*INDEX(Ingredientes!$F$5:$F$204,MATCH(C181,Ingredientes!$B$5:$B$204,0))/INDEX(Ingredientes!$E$5:$E$204,MATCH(C181,Ingredientes!$B$5:$B$204,0)),"Cadastre em Ingredientes"))</f>
        <v/>
      </c>
      <c r="G181" s="7"/>
    </row>
    <row r="182" customFormat="false" ht="21" hidden="false" customHeight="true" outlineLevel="0" collapsed="false">
      <c r="B182" s="7"/>
      <c r="C182" s="7"/>
      <c r="D182" s="37"/>
      <c r="E182" s="34" t="str">
        <f aca="false">IF(C182="","",IFERROR(INDEX(Ingredientes!$D$5:$D$204,MATCH(C182,Ingredientes!$B$5:$B$204,0)),"?"))</f>
        <v/>
      </c>
      <c r="F182" s="24" t="str">
        <f aca="false">IF(OR(C182="",D182=""),"",IFERROR(D182*INDEX(Ingredientes!$F$5:$F$204,MATCH(C182,Ingredientes!$B$5:$B$204,0))/INDEX(Ingredientes!$E$5:$E$204,MATCH(C182,Ingredientes!$B$5:$B$204,0)),"Cadastre em Ingredientes"))</f>
        <v/>
      </c>
      <c r="G182" s="7"/>
    </row>
    <row r="183" customFormat="false" ht="21" hidden="false" customHeight="true" outlineLevel="0" collapsed="false">
      <c r="B183" s="7"/>
      <c r="C183" s="7"/>
      <c r="D183" s="37"/>
      <c r="E183" s="34" t="str">
        <f aca="false">IF(C183="","",IFERROR(INDEX(Ingredientes!$D$5:$D$204,MATCH(C183,Ingredientes!$B$5:$B$204,0)),"?"))</f>
        <v/>
      </c>
      <c r="F183" s="24" t="str">
        <f aca="false">IF(OR(C183="",D183=""),"",IFERROR(D183*INDEX(Ingredientes!$F$5:$F$204,MATCH(C183,Ingredientes!$B$5:$B$204,0))/INDEX(Ingredientes!$E$5:$E$204,MATCH(C183,Ingredientes!$B$5:$B$204,0)),"Cadastre em Ingredientes"))</f>
        <v/>
      </c>
      <c r="G183" s="7"/>
    </row>
    <row r="184" customFormat="false" ht="21" hidden="false" customHeight="true" outlineLevel="0" collapsed="false">
      <c r="B184" s="7"/>
      <c r="C184" s="7"/>
      <c r="D184" s="37"/>
      <c r="E184" s="34" t="str">
        <f aca="false">IF(C184="","",IFERROR(INDEX(Ingredientes!$D$5:$D$204,MATCH(C184,Ingredientes!$B$5:$B$204,0)),"?"))</f>
        <v/>
      </c>
      <c r="F184" s="24" t="str">
        <f aca="false">IF(OR(C184="",D184=""),"",IFERROR(D184*INDEX(Ingredientes!$F$5:$F$204,MATCH(C184,Ingredientes!$B$5:$B$204,0))/INDEX(Ingredientes!$E$5:$E$204,MATCH(C184,Ingredientes!$B$5:$B$204,0)),"Cadastre em Ingredientes"))</f>
        <v/>
      </c>
      <c r="G184" s="7"/>
    </row>
    <row r="185" customFormat="false" ht="21" hidden="false" customHeight="true" outlineLevel="0" collapsed="false">
      <c r="B185" s="7"/>
      <c r="C185" s="7"/>
      <c r="D185" s="37"/>
      <c r="E185" s="34" t="str">
        <f aca="false">IF(C185="","",IFERROR(INDEX(Ingredientes!$D$5:$D$204,MATCH(C185,Ingredientes!$B$5:$B$204,0)),"?"))</f>
        <v/>
      </c>
      <c r="F185" s="24" t="str">
        <f aca="false">IF(OR(C185="",D185=""),"",IFERROR(D185*INDEX(Ingredientes!$F$5:$F$204,MATCH(C185,Ingredientes!$B$5:$B$204,0))/INDEX(Ingredientes!$E$5:$E$204,MATCH(C185,Ingredientes!$B$5:$B$204,0)),"Cadastre em Ingredientes"))</f>
        <v/>
      </c>
      <c r="G185" s="7"/>
    </row>
    <row r="186" customFormat="false" ht="21" hidden="false" customHeight="true" outlineLevel="0" collapsed="false">
      <c r="B186" s="7"/>
      <c r="C186" s="7"/>
      <c r="D186" s="37"/>
      <c r="E186" s="34" t="str">
        <f aca="false">IF(C186="","",IFERROR(INDEX(Ingredientes!$D$5:$D$204,MATCH(C186,Ingredientes!$B$5:$B$204,0)),"?"))</f>
        <v/>
      </c>
      <c r="F186" s="24" t="str">
        <f aca="false">IF(OR(C186="",D186=""),"",IFERROR(D186*INDEX(Ingredientes!$F$5:$F$204,MATCH(C186,Ingredientes!$B$5:$B$204,0))/INDEX(Ingredientes!$E$5:$E$204,MATCH(C186,Ingredientes!$B$5:$B$204,0)),"Cadastre em Ingredientes"))</f>
        <v/>
      </c>
      <c r="G186" s="7"/>
    </row>
    <row r="187" customFormat="false" ht="21" hidden="false" customHeight="true" outlineLevel="0" collapsed="false">
      <c r="B187" s="7"/>
      <c r="C187" s="7"/>
      <c r="D187" s="37"/>
      <c r="E187" s="34" t="str">
        <f aca="false">IF(C187="","",IFERROR(INDEX(Ingredientes!$D$5:$D$204,MATCH(C187,Ingredientes!$B$5:$B$204,0)),"?"))</f>
        <v/>
      </c>
      <c r="F187" s="24" t="str">
        <f aca="false">IF(OR(C187="",D187=""),"",IFERROR(D187*INDEX(Ingredientes!$F$5:$F$204,MATCH(C187,Ingredientes!$B$5:$B$204,0))/INDEX(Ingredientes!$E$5:$E$204,MATCH(C187,Ingredientes!$B$5:$B$204,0)),"Cadastre em Ingredientes"))</f>
        <v/>
      </c>
      <c r="G187" s="7"/>
    </row>
    <row r="188" customFormat="false" ht="21" hidden="false" customHeight="true" outlineLevel="0" collapsed="false">
      <c r="B188" s="7"/>
      <c r="C188" s="7"/>
      <c r="D188" s="37"/>
      <c r="E188" s="34" t="str">
        <f aca="false">IF(C188="","",IFERROR(INDEX(Ingredientes!$D$5:$D$204,MATCH(C188,Ingredientes!$B$5:$B$204,0)),"?"))</f>
        <v/>
      </c>
      <c r="F188" s="24" t="str">
        <f aca="false">IF(OR(C188="",D188=""),"",IFERROR(D188*INDEX(Ingredientes!$F$5:$F$204,MATCH(C188,Ingredientes!$B$5:$B$204,0))/INDEX(Ingredientes!$E$5:$E$204,MATCH(C188,Ingredientes!$B$5:$B$204,0)),"Cadastre em Ingredientes"))</f>
        <v/>
      </c>
      <c r="G188" s="7"/>
    </row>
    <row r="189" customFormat="false" ht="21" hidden="false" customHeight="true" outlineLevel="0" collapsed="false">
      <c r="B189" s="7"/>
      <c r="C189" s="7"/>
      <c r="D189" s="37"/>
      <c r="E189" s="34" t="str">
        <f aca="false">IF(C189="","",IFERROR(INDEX(Ingredientes!$D$5:$D$204,MATCH(C189,Ingredientes!$B$5:$B$204,0)),"?"))</f>
        <v/>
      </c>
      <c r="F189" s="24" t="str">
        <f aca="false">IF(OR(C189="",D189=""),"",IFERROR(D189*INDEX(Ingredientes!$F$5:$F$204,MATCH(C189,Ingredientes!$B$5:$B$204,0))/INDEX(Ingredientes!$E$5:$E$204,MATCH(C189,Ingredientes!$B$5:$B$204,0)),"Cadastre em Ingredientes"))</f>
        <v/>
      </c>
      <c r="G189" s="7"/>
    </row>
    <row r="190" customFormat="false" ht="21" hidden="false" customHeight="true" outlineLevel="0" collapsed="false">
      <c r="B190" s="7"/>
      <c r="C190" s="7"/>
      <c r="D190" s="37"/>
      <c r="E190" s="34" t="str">
        <f aca="false">IF(C190="","",IFERROR(INDEX(Ingredientes!$D$5:$D$204,MATCH(C190,Ingredientes!$B$5:$B$204,0)),"?"))</f>
        <v/>
      </c>
      <c r="F190" s="24" t="str">
        <f aca="false">IF(OR(C190="",D190=""),"",IFERROR(D190*INDEX(Ingredientes!$F$5:$F$204,MATCH(C190,Ingredientes!$B$5:$B$204,0))/INDEX(Ingredientes!$E$5:$E$204,MATCH(C190,Ingredientes!$B$5:$B$204,0)),"Cadastre em Ingredientes"))</f>
        <v/>
      </c>
      <c r="G190" s="7"/>
    </row>
    <row r="191" customFormat="false" ht="21" hidden="false" customHeight="true" outlineLevel="0" collapsed="false">
      <c r="B191" s="7"/>
      <c r="C191" s="7"/>
      <c r="D191" s="37"/>
      <c r="E191" s="34" t="str">
        <f aca="false">IF(C191="","",IFERROR(INDEX(Ingredientes!$D$5:$D$204,MATCH(C191,Ingredientes!$B$5:$B$204,0)),"?"))</f>
        <v/>
      </c>
      <c r="F191" s="24" t="str">
        <f aca="false">IF(OR(C191="",D191=""),"",IFERROR(D191*INDEX(Ingredientes!$F$5:$F$204,MATCH(C191,Ingredientes!$B$5:$B$204,0))/INDEX(Ingredientes!$E$5:$E$204,MATCH(C191,Ingredientes!$B$5:$B$204,0)),"Cadastre em Ingredientes"))</f>
        <v/>
      </c>
      <c r="G191" s="7"/>
    </row>
    <row r="192" customFormat="false" ht="21" hidden="false" customHeight="true" outlineLevel="0" collapsed="false">
      <c r="B192" s="7"/>
      <c r="C192" s="7"/>
      <c r="D192" s="37"/>
      <c r="E192" s="34" t="str">
        <f aca="false">IF(C192="","",IFERROR(INDEX(Ingredientes!$D$5:$D$204,MATCH(C192,Ingredientes!$B$5:$B$204,0)),"?"))</f>
        <v/>
      </c>
      <c r="F192" s="24" t="str">
        <f aca="false">IF(OR(C192="",D192=""),"",IFERROR(D192*INDEX(Ingredientes!$F$5:$F$204,MATCH(C192,Ingredientes!$B$5:$B$204,0))/INDEX(Ingredientes!$E$5:$E$204,MATCH(C192,Ingredientes!$B$5:$B$204,0)),"Cadastre em Ingredientes"))</f>
        <v/>
      </c>
      <c r="G192" s="7"/>
    </row>
    <row r="193" customFormat="false" ht="21" hidden="false" customHeight="true" outlineLevel="0" collapsed="false">
      <c r="B193" s="7"/>
      <c r="C193" s="7"/>
      <c r="D193" s="37"/>
      <c r="E193" s="34" t="str">
        <f aca="false">IF(C193="","",IFERROR(INDEX(Ingredientes!$D$5:$D$204,MATCH(C193,Ingredientes!$B$5:$B$204,0)),"?"))</f>
        <v/>
      </c>
      <c r="F193" s="24" t="str">
        <f aca="false">IF(OR(C193="",D193=""),"",IFERROR(D193*INDEX(Ingredientes!$F$5:$F$204,MATCH(C193,Ingredientes!$B$5:$B$204,0))/INDEX(Ingredientes!$E$5:$E$204,MATCH(C193,Ingredientes!$B$5:$B$204,0)),"Cadastre em Ingredientes"))</f>
        <v/>
      </c>
      <c r="G193" s="7"/>
    </row>
    <row r="194" customFormat="false" ht="21" hidden="false" customHeight="true" outlineLevel="0" collapsed="false">
      <c r="B194" s="7"/>
      <c r="C194" s="7"/>
      <c r="D194" s="37"/>
      <c r="E194" s="34" t="str">
        <f aca="false">IF(C194="","",IFERROR(INDEX(Ingredientes!$D$5:$D$204,MATCH(C194,Ingredientes!$B$5:$B$204,0)),"?"))</f>
        <v/>
      </c>
      <c r="F194" s="24" t="str">
        <f aca="false">IF(OR(C194="",D194=""),"",IFERROR(D194*INDEX(Ingredientes!$F$5:$F$204,MATCH(C194,Ingredientes!$B$5:$B$204,0))/INDEX(Ingredientes!$E$5:$E$204,MATCH(C194,Ingredientes!$B$5:$B$204,0)),"Cadastre em Ingredientes"))</f>
        <v/>
      </c>
      <c r="G194" s="7"/>
    </row>
    <row r="195" customFormat="false" ht="21" hidden="false" customHeight="true" outlineLevel="0" collapsed="false">
      <c r="B195" s="7"/>
      <c r="C195" s="7"/>
      <c r="D195" s="37"/>
      <c r="E195" s="34" t="str">
        <f aca="false">IF(C195="","",IFERROR(INDEX(Ingredientes!$D$5:$D$204,MATCH(C195,Ingredientes!$B$5:$B$204,0)),"?"))</f>
        <v/>
      </c>
      <c r="F195" s="24" t="str">
        <f aca="false">IF(OR(C195="",D195=""),"",IFERROR(D195*INDEX(Ingredientes!$F$5:$F$204,MATCH(C195,Ingredientes!$B$5:$B$204,0))/INDEX(Ingredientes!$E$5:$E$204,MATCH(C195,Ingredientes!$B$5:$B$204,0)),"Cadastre em Ingredientes"))</f>
        <v/>
      </c>
      <c r="G195" s="7"/>
    </row>
    <row r="196" customFormat="false" ht="21" hidden="false" customHeight="true" outlineLevel="0" collapsed="false">
      <c r="B196" s="7"/>
      <c r="C196" s="7"/>
      <c r="D196" s="37"/>
      <c r="E196" s="34" t="str">
        <f aca="false">IF(C196="","",IFERROR(INDEX(Ingredientes!$D$5:$D$204,MATCH(C196,Ingredientes!$B$5:$B$204,0)),"?"))</f>
        <v/>
      </c>
      <c r="F196" s="24" t="str">
        <f aca="false">IF(OR(C196="",D196=""),"",IFERROR(D196*INDEX(Ingredientes!$F$5:$F$204,MATCH(C196,Ingredientes!$B$5:$B$204,0))/INDEX(Ingredientes!$E$5:$E$204,MATCH(C196,Ingredientes!$B$5:$B$204,0)),"Cadastre em Ingredientes"))</f>
        <v/>
      </c>
      <c r="G196" s="7"/>
    </row>
    <row r="197" customFormat="false" ht="21" hidden="false" customHeight="true" outlineLevel="0" collapsed="false">
      <c r="B197" s="7"/>
      <c r="C197" s="7"/>
      <c r="D197" s="37"/>
      <c r="E197" s="34" t="str">
        <f aca="false">IF(C197="","",IFERROR(INDEX(Ingredientes!$D$5:$D$204,MATCH(C197,Ingredientes!$B$5:$B$204,0)),"?"))</f>
        <v/>
      </c>
      <c r="F197" s="24" t="str">
        <f aca="false">IF(OR(C197="",D197=""),"",IFERROR(D197*INDEX(Ingredientes!$F$5:$F$204,MATCH(C197,Ingredientes!$B$5:$B$204,0))/INDEX(Ingredientes!$E$5:$E$204,MATCH(C197,Ingredientes!$B$5:$B$204,0)),"Cadastre em Ingredientes"))</f>
        <v/>
      </c>
      <c r="G197" s="7"/>
    </row>
    <row r="198" customFormat="false" ht="21" hidden="false" customHeight="true" outlineLevel="0" collapsed="false">
      <c r="B198" s="7"/>
      <c r="C198" s="7"/>
      <c r="D198" s="37"/>
      <c r="E198" s="34" t="str">
        <f aca="false">IF(C198="","",IFERROR(INDEX(Ingredientes!$D$5:$D$204,MATCH(C198,Ingredientes!$B$5:$B$204,0)),"?"))</f>
        <v/>
      </c>
      <c r="F198" s="24" t="str">
        <f aca="false">IF(OR(C198="",D198=""),"",IFERROR(D198*INDEX(Ingredientes!$F$5:$F$204,MATCH(C198,Ingredientes!$B$5:$B$204,0))/INDEX(Ingredientes!$E$5:$E$204,MATCH(C198,Ingredientes!$B$5:$B$204,0)),"Cadastre em Ingredientes"))</f>
        <v/>
      </c>
      <c r="G198" s="7"/>
    </row>
    <row r="199" customFormat="false" ht="21" hidden="false" customHeight="true" outlineLevel="0" collapsed="false">
      <c r="B199" s="7"/>
      <c r="C199" s="7"/>
      <c r="D199" s="37"/>
      <c r="E199" s="34" t="str">
        <f aca="false">IF(C199="","",IFERROR(INDEX(Ingredientes!$D$5:$D$204,MATCH(C199,Ingredientes!$B$5:$B$204,0)),"?"))</f>
        <v/>
      </c>
      <c r="F199" s="24" t="str">
        <f aca="false">IF(OR(C199="",D199=""),"",IFERROR(D199*INDEX(Ingredientes!$F$5:$F$204,MATCH(C199,Ingredientes!$B$5:$B$204,0))/INDEX(Ingredientes!$E$5:$E$204,MATCH(C199,Ingredientes!$B$5:$B$204,0)),"Cadastre em Ingredientes"))</f>
        <v/>
      </c>
      <c r="G199" s="7"/>
    </row>
    <row r="200" customFormat="false" ht="21" hidden="false" customHeight="true" outlineLevel="0" collapsed="false">
      <c r="B200" s="7"/>
      <c r="C200" s="7"/>
      <c r="D200" s="37"/>
      <c r="E200" s="34" t="str">
        <f aca="false">IF(C200="","",IFERROR(INDEX(Ingredientes!$D$5:$D$204,MATCH(C200,Ingredientes!$B$5:$B$204,0)),"?"))</f>
        <v/>
      </c>
      <c r="F200" s="24" t="str">
        <f aca="false">IF(OR(C200="",D200=""),"",IFERROR(D200*INDEX(Ingredientes!$F$5:$F$204,MATCH(C200,Ingredientes!$B$5:$B$204,0))/INDEX(Ingredientes!$E$5:$E$204,MATCH(C200,Ingredientes!$B$5:$B$204,0)),"Cadastre em Ingredientes"))</f>
        <v/>
      </c>
      <c r="G200" s="7"/>
    </row>
    <row r="201" customFormat="false" ht="21" hidden="false" customHeight="true" outlineLevel="0" collapsed="false">
      <c r="B201" s="7"/>
      <c r="C201" s="7"/>
      <c r="D201" s="37"/>
      <c r="E201" s="34" t="str">
        <f aca="false">IF(C201="","",IFERROR(INDEX(Ingredientes!$D$5:$D$204,MATCH(C201,Ingredientes!$B$5:$B$204,0)),"?"))</f>
        <v/>
      </c>
      <c r="F201" s="24" t="str">
        <f aca="false">IF(OR(C201="",D201=""),"",IFERROR(D201*INDEX(Ingredientes!$F$5:$F$204,MATCH(C201,Ingredientes!$B$5:$B$204,0))/INDEX(Ingredientes!$E$5:$E$204,MATCH(C201,Ingredientes!$B$5:$B$204,0)),"Cadastre em Ingredientes"))</f>
        <v/>
      </c>
      <c r="G201" s="7"/>
    </row>
    <row r="202" customFormat="false" ht="21" hidden="false" customHeight="true" outlineLevel="0" collapsed="false">
      <c r="B202" s="7"/>
      <c r="C202" s="7"/>
      <c r="D202" s="37"/>
      <c r="E202" s="34" t="str">
        <f aca="false">IF(C202="","",IFERROR(INDEX(Ingredientes!$D$5:$D$204,MATCH(C202,Ingredientes!$B$5:$B$204,0)),"?"))</f>
        <v/>
      </c>
      <c r="F202" s="24" t="str">
        <f aca="false">IF(OR(C202="",D202=""),"",IFERROR(D202*INDEX(Ingredientes!$F$5:$F$204,MATCH(C202,Ingredientes!$B$5:$B$204,0))/INDEX(Ingredientes!$E$5:$E$204,MATCH(C202,Ingredientes!$B$5:$B$204,0)),"Cadastre em Ingredientes"))</f>
        <v/>
      </c>
      <c r="G202" s="7"/>
    </row>
    <row r="203" customFormat="false" ht="21" hidden="false" customHeight="true" outlineLevel="0" collapsed="false">
      <c r="B203" s="7"/>
      <c r="C203" s="7"/>
      <c r="D203" s="37"/>
      <c r="E203" s="34" t="str">
        <f aca="false">IF(C203="","",IFERROR(INDEX(Ingredientes!$D$5:$D$204,MATCH(C203,Ingredientes!$B$5:$B$204,0)),"?"))</f>
        <v/>
      </c>
      <c r="F203" s="24" t="str">
        <f aca="false">IF(OR(C203="",D203=""),"",IFERROR(D203*INDEX(Ingredientes!$F$5:$F$204,MATCH(C203,Ingredientes!$B$5:$B$204,0))/INDEX(Ingredientes!$E$5:$E$204,MATCH(C203,Ingredientes!$B$5:$B$204,0)),"Cadastre em Ingredientes"))</f>
        <v/>
      </c>
      <c r="G203" s="7"/>
    </row>
    <row r="204" customFormat="false" ht="21" hidden="false" customHeight="true" outlineLevel="0" collapsed="false">
      <c r="B204" s="7"/>
      <c r="C204" s="7"/>
      <c r="D204" s="37"/>
      <c r="E204" s="34" t="str">
        <f aca="false">IF(C204="","",IFERROR(INDEX(Ingredientes!$D$5:$D$204,MATCH(C204,Ingredientes!$B$5:$B$204,0)),"?"))</f>
        <v/>
      </c>
      <c r="F204" s="24" t="str">
        <f aca="false">IF(OR(C204="",D204=""),"",IFERROR(D204*INDEX(Ingredientes!$F$5:$F$204,MATCH(C204,Ingredientes!$B$5:$B$204,0))/INDEX(Ingredientes!$E$5:$E$204,MATCH(C204,Ingredientes!$B$5:$B$204,0)),"Cadastre em Ingredientes"))</f>
        <v/>
      </c>
      <c r="G204" s="7"/>
    </row>
    <row r="205" customFormat="false" ht="21" hidden="false" customHeight="true" outlineLevel="0" collapsed="false">
      <c r="B205" s="7"/>
      <c r="C205" s="7"/>
      <c r="D205" s="37"/>
      <c r="E205" s="34" t="str">
        <f aca="false">IF(C205="","",IFERROR(INDEX(Ingredientes!$D$5:$D$204,MATCH(C205,Ingredientes!$B$5:$B$204,0)),"?"))</f>
        <v/>
      </c>
      <c r="F205" s="24" t="str">
        <f aca="false">IF(OR(C205="",D205=""),"",IFERROR(D205*INDEX(Ingredientes!$F$5:$F$204,MATCH(C205,Ingredientes!$B$5:$B$204,0))/INDEX(Ingredientes!$E$5:$E$204,MATCH(C205,Ingredientes!$B$5:$B$204,0)),"Cadastre em Ingredientes"))</f>
        <v/>
      </c>
      <c r="G205" s="7"/>
    </row>
    <row r="206" customFormat="false" ht="21" hidden="false" customHeight="true" outlineLevel="0" collapsed="false">
      <c r="B206" s="7"/>
      <c r="C206" s="7"/>
      <c r="D206" s="37"/>
      <c r="E206" s="34" t="str">
        <f aca="false">IF(C206="","",IFERROR(INDEX(Ingredientes!$D$5:$D$204,MATCH(C206,Ingredientes!$B$5:$B$204,0)),"?"))</f>
        <v/>
      </c>
      <c r="F206" s="24" t="str">
        <f aca="false">IF(OR(C206="",D206=""),"",IFERROR(D206*INDEX(Ingredientes!$F$5:$F$204,MATCH(C206,Ingredientes!$B$5:$B$204,0))/INDEX(Ingredientes!$E$5:$E$204,MATCH(C206,Ingredientes!$B$5:$B$204,0)),"Cadastre em Ingredientes"))</f>
        <v/>
      </c>
      <c r="G206" s="7"/>
    </row>
    <row r="207" customFormat="false" ht="21" hidden="false" customHeight="true" outlineLevel="0" collapsed="false">
      <c r="B207" s="7"/>
      <c r="C207" s="7"/>
      <c r="D207" s="37"/>
      <c r="E207" s="34" t="str">
        <f aca="false">IF(C207="","",IFERROR(INDEX(Ingredientes!$D$5:$D$204,MATCH(C207,Ingredientes!$B$5:$B$204,0)),"?"))</f>
        <v/>
      </c>
      <c r="F207" s="24" t="str">
        <f aca="false">IF(OR(C207="",D207=""),"",IFERROR(D207*INDEX(Ingredientes!$F$5:$F$204,MATCH(C207,Ingredientes!$B$5:$B$204,0))/INDEX(Ingredientes!$E$5:$E$204,MATCH(C207,Ingredientes!$B$5:$B$204,0)),"Cadastre em Ingredientes"))</f>
        <v/>
      </c>
      <c r="G207" s="7"/>
    </row>
    <row r="208" customFormat="false" ht="21" hidden="false" customHeight="true" outlineLevel="0" collapsed="false">
      <c r="B208" s="7"/>
      <c r="C208" s="7"/>
      <c r="D208" s="37"/>
      <c r="E208" s="34" t="str">
        <f aca="false">IF(C208="","",IFERROR(INDEX(Ingredientes!$D$5:$D$204,MATCH(C208,Ingredientes!$B$5:$B$204,0)),"?"))</f>
        <v/>
      </c>
      <c r="F208" s="24" t="str">
        <f aca="false">IF(OR(C208="",D208=""),"",IFERROR(D208*INDEX(Ingredientes!$F$5:$F$204,MATCH(C208,Ingredientes!$B$5:$B$204,0))/INDEX(Ingredientes!$E$5:$E$204,MATCH(C208,Ingredientes!$B$5:$B$204,0)),"Cadastre em Ingredientes"))</f>
        <v/>
      </c>
      <c r="G208" s="7"/>
    </row>
    <row r="209" customFormat="false" ht="21" hidden="false" customHeight="true" outlineLevel="0" collapsed="false">
      <c r="B209" s="7"/>
      <c r="C209" s="7"/>
      <c r="D209" s="37"/>
      <c r="E209" s="34" t="str">
        <f aca="false">IF(C209="","",IFERROR(INDEX(Ingredientes!$D$5:$D$204,MATCH(C209,Ingredientes!$B$5:$B$204,0)),"?"))</f>
        <v/>
      </c>
      <c r="F209" s="24" t="str">
        <f aca="false">IF(OR(C209="",D209=""),"",IFERROR(D209*INDEX(Ingredientes!$F$5:$F$204,MATCH(C209,Ingredientes!$B$5:$B$204,0))/INDEX(Ingredientes!$E$5:$E$204,MATCH(C209,Ingredientes!$B$5:$B$204,0)),"Cadastre em Ingredientes"))</f>
        <v/>
      </c>
      <c r="G209" s="7"/>
    </row>
    <row r="210" customFormat="false" ht="21" hidden="false" customHeight="true" outlineLevel="0" collapsed="false">
      <c r="B210" s="7"/>
      <c r="C210" s="7"/>
      <c r="D210" s="37"/>
      <c r="E210" s="34" t="str">
        <f aca="false">IF(C210="","",IFERROR(INDEX(Ingredientes!$D$5:$D$204,MATCH(C210,Ingredientes!$B$5:$B$204,0)),"?"))</f>
        <v/>
      </c>
      <c r="F210" s="24" t="str">
        <f aca="false">IF(OR(C210="",D210=""),"",IFERROR(D210*INDEX(Ingredientes!$F$5:$F$204,MATCH(C210,Ingredientes!$B$5:$B$204,0))/INDEX(Ingredientes!$E$5:$E$204,MATCH(C210,Ingredientes!$B$5:$B$204,0)),"Cadastre em Ingredientes"))</f>
        <v/>
      </c>
      <c r="G210" s="7"/>
    </row>
    <row r="211" customFormat="false" ht="21" hidden="false" customHeight="true" outlineLevel="0" collapsed="false">
      <c r="B211" s="7"/>
      <c r="C211" s="7"/>
      <c r="D211" s="37"/>
      <c r="E211" s="34" t="str">
        <f aca="false">IF(C211="","",IFERROR(INDEX(Ingredientes!$D$5:$D$204,MATCH(C211,Ingredientes!$B$5:$B$204,0)),"?"))</f>
        <v/>
      </c>
      <c r="F211" s="24" t="str">
        <f aca="false">IF(OR(C211="",D211=""),"",IFERROR(D211*INDEX(Ingredientes!$F$5:$F$204,MATCH(C211,Ingredientes!$B$5:$B$204,0))/INDEX(Ingredientes!$E$5:$E$204,MATCH(C211,Ingredientes!$B$5:$B$204,0)),"Cadastre em Ingredientes"))</f>
        <v/>
      </c>
      <c r="G211" s="7"/>
    </row>
    <row r="212" customFormat="false" ht="21" hidden="false" customHeight="true" outlineLevel="0" collapsed="false">
      <c r="B212" s="7"/>
      <c r="C212" s="7"/>
      <c r="D212" s="37"/>
      <c r="E212" s="34" t="str">
        <f aca="false">IF(C212="","",IFERROR(INDEX(Ingredientes!$D$5:$D$204,MATCH(C212,Ingredientes!$B$5:$B$204,0)),"?"))</f>
        <v/>
      </c>
      <c r="F212" s="24" t="str">
        <f aca="false">IF(OR(C212="",D212=""),"",IFERROR(D212*INDEX(Ingredientes!$F$5:$F$204,MATCH(C212,Ingredientes!$B$5:$B$204,0))/INDEX(Ingredientes!$E$5:$E$204,MATCH(C212,Ingredientes!$B$5:$B$204,0)),"Cadastre em Ingredientes"))</f>
        <v/>
      </c>
      <c r="G212" s="7"/>
    </row>
    <row r="213" customFormat="false" ht="21" hidden="false" customHeight="true" outlineLevel="0" collapsed="false">
      <c r="B213" s="7"/>
      <c r="C213" s="7"/>
      <c r="D213" s="37"/>
      <c r="E213" s="34" t="str">
        <f aca="false">IF(C213="","",IFERROR(INDEX(Ingredientes!$D$5:$D$204,MATCH(C213,Ingredientes!$B$5:$B$204,0)),"?"))</f>
        <v/>
      </c>
      <c r="F213" s="24" t="str">
        <f aca="false">IF(OR(C213="",D213=""),"",IFERROR(D213*INDEX(Ingredientes!$F$5:$F$204,MATCH(C213,Ingredientes!$B$5:$B$204,0))/INDEX(Ingredientes!$E$5:$E$204,MATCH(C213,Ingredientes!$B$5:$B$204,0)),"Cadastre em Ingredientes"))</f>
        <v/>
      </c>
      <c r="G213" s="7"/>
    </row>
    <row r="214" customFormat="false" ht="21" hidden="false" customHeight="true" outlineLevel="0" collapsed="false">
      <c r="B214" s="7"/>
      <c r="C214" s="7"/>
      <c r="D214" s="37"/>
      <c r="E214" s="34" t="str">
        <f aca="false">IF(C214="","",IFERROR(INDEX(Ingredientes!$D$5:$D$204,MATCH(C214,Ingredientes!$B$5:$B$204,0)),"?"))</f>
        <v/>
      </c>
      <c r="F214" s="24" t="str">
        <f aca="false">IF(OR(C214="",D214=""),"",IFERROR(D214*INDEX(Ingredientes!$F$5:$F$204,MATCH(C214,Ingredientes!$B$5:$B$204,0))/INDEX(Ingredientes!$E$5:$E$204,MATCH(C214,Ingredientes!$B$5:$B$204,0)),"Cadastre em Ingredientes"))</f>
        <v/>
      </c>
      <c r="G214" s="7"/>
    </row>
    <row r="215" customFormat="false" ht="21" hidden="false" customHeight="true" outlineLevel="0" collapsed="false">
      <c r="B215" s="7"/>
      <c r="C215" s="7"/>
      <c r="D215" s="37"/>
      <c r="E215" s="34" t="str">
        <f aca="false">IF(C215="","",IFERROR(INDEX(Ingredientes!$D$5:$D$204,MATCH(C215,Ingredientes!$B$5:$B$204,0)),"?"))</f>
        <v/>
      </c>
      <c r="F215" s="24" t="str">
        <f aca="false">IF(OR(C215="",D215=""),"",IFERROR(D215*INDEX(Ingredientes!$F$5:$F$204,MATCH(C215,Ingredientes!$B$5:$B$204,0))/INDEX(Ingredientes!$E$5:$E$204,MATCH(C215,Ingredientes!$B$5:$B$204,0)),"Cadastre em Ingredientes"))</f>
        <v/>
      </c>
      <c r="G215" s="7"/>
    </row>
    <row r="216" customFormat="false" ht="21" hidden="false" customHeight="true" outlineLevel="0" collapsed="false">
      <c r="B216" s="7"/>
      <c r="C216" s="7"/>
      <c r="D216" s="37"/>
      <c r="E216" s="34" t="str">
        <f aca="false">IF(C216="","",IFERROR(INDEX(Ingredientes!$D$5:$D$204,MATCH(C216,Ingredientes!$B$5:$B$204,0)),"?"))</f>
        <v/>
      </c>
      <c r="F216" s="24" t="str">
        <f aca="false">IF(OR(C216="",D216=""),"",IFERROR(D216*INDEX(Ingredientes!$F$5:$F$204,MATCH(C216,Ingredientes!$B$5:$B$204,0))/INDEX(Ingredientes!$E$5:$E$204,MATCH(C216,Ingredientes!$B$5:$B$204,0)),"Cadastre em Ingredientes"))</f>
        <v/>
      </c>
      <c r="G216" s="7"/>
    </row>
    <row r="217" customFormat="false" ht="21" hidden="false" customHeight="true" outlineLevel="0" collapsed="false">
      <c r="B217" s="7"/>
      <c r="C217" s="7"/>
      <c r="D217" s="37"/>
      <c r="E217" s="34" t="str">
        <f aca="false">IF(C217="","",IFERROR(INDEX(Ingredientes!$D$5:$D$204,MATCH(C217,Ingredientes!$B$5:$B$204,0)),"?"))</f>
        <v/>
      </c>
      <c r="F217" s="24" t="str">
        <f aca="false">IF(OR(C217="",D217=""),"",IFERROR(D217*INDEX(Ingredientes!$F$5:$F$204,MATCH(C217,Ingredientes!$B$5:$B$204,0))/INDEX(Ingredientes!$E$5:$E$204,MATCH(C217,Ingredientes!$B$5:$B$204,0)),"Cadastre em Ingredientes"))</f>
        <v/>
      </c>
      <c r="G217" s="7"/>
    </row>
    <row r="218" customFormat="false" ht="21" hidden="false" customHeight="true" outlineLevel="0" collapsed="false">
      <c r="B218" s="7"/>
      <c r="C218" s="7"/>
      <c r="D218" s="37"/>
      <c r="E218" s="34" t="str">
        <f aca="false">IF(C218="","",IFERROR(INDEX(Ingredientes!$D$5:$D$204,MATCH(C218,Ingredientes!$B$5:$B$204,0)),"?"))</f>
        <v/>
      </c>
      <c r="F218" s="24" t="str">
        <f aca="false">IF(OR(C218="",D218=""),"",IFERROR(D218*INDEX(Ingredientes!$F$5:$F$204,MATCH(C218,Ingredientes!$B$5:$B$204,0))/INDEX(Ingredientes!$E$5:$E$204,MATCH(C218,Ingredientes!$B$5:$B$204,0)),"Cadastre em Ingredientes"))</f>
        <v/>
      </c>
      <c r="G218" s="7"/>
    </row>
    <row r="219" customFormat="false" ht="21" hidden="false" customHeight="true" outlineLevel="0" collapsed="false">
      <c r="B219" s="7"/>
      <c r="C219" s="7"/>
      <c r="D219" s="37"/>
      <c r="E219" s="34" t="str">
        <f aca="false">IF(C219="","",IFERROR(INDEX(Ingredientes!$D$5:$D$204,MATCH(C219,Ingredientes!$B$5:$B$204,0)),"?"))</f>
        <v/>
      </c>
      <c r="F219" s="24" t="str">
        <f aca="false">IF(OR(C219="",D219=""),"",IFERROR(D219*INDEX(Ingredientes!$F$5:$F$204,MATCH(C219,Ingredientes!$B$5:$B$204,0))/INDEX(Ingredientes!$E$5:$E$204,MATCH(C219,Ingredientes!$B$5:$B$204,0)),"Cadastre em Ingredientes"))</f>
        <v/>
      </c>
      <c r="G219" s="7"/>
    </row>
    <row r="220" customFormat="false" ht="21" hidden="false" customHeight="true" outlineLevel="0" collapsed="false">
      <c r="B220" s="7"/>
      <c r="C220" s="7"/>
      <c r="D220" s="37"/>
      <c r="E220" s="34" t="str">
        <f aca="false">IF(C220="","",IFERROR(INDEX(Ingredientes!$D$5:$D$204,MATCH(C220,Ingredientes!$B$5:$B$204,0)),"?"))</f>
        <v/>
      </c>
      <c r="F220" s="24" t="str">
        <f aca="false">IF(OR(C220="",D220=""),"",IFERROR(D220*INDEX(Ingredientes!$F$5:$F$204,MATCH(C220,Ingredientes!$B$5:$B$204,0))/INDEX(Ingredientes!$E$5:$E$204,MATCH(C220,Ingredientes!$B$5:$B$204,0)),"Cadastre em Ingredientes"))</f>
        <v/>
      </c>
      <c r="G220" s="7"/>
    </row>
    <row r="221" customFormat="false" ht="21" hidden="false" customHeight="true" outlineLevel="0" collapsed="false">
      <c r="B221" s="7"/>
      <c r="C221" s="7"/>
      <c r="D221" s="37"/>
      <c r="E221" s="34" t="str">
        <f aca="false">IF(C221="","",IFERROR(INDEX(Ingredientes!$D$5:$D$204,MATCH(C221,Ingredientes!$B$5:$B$204,0)),"?"))</f>
        <v/>
      </c>
      <c r="F221" s="24" t="str">
        <f aca="false">IF(OR(C221="",D221=""),"",IFERROR(D221*INDEX(Ingredientes!$F$5:$F$204,MATCH(C221,Ingredientes!$B$5:$B$204,0))/INDEX(Ingredientes!$E$5:$E$204,MATCH(C221,Ingredientes!$B$5:$B$204,0)),"Cadastre em Ingredientes"))</f>
        <v/>
      </c>
      <c r="G221" s="7"/>
    </row>
    <row r="222" customFormat="false" ht="21" hidden="false" customHeight="true" outlineLevel="0" collapsed="false">
      <c r="B222" s="7"/>
      <c r="C222" s="7"/>
      <c r="D222" s="37"/>
      <c r="E222" s="34" t="str">
        <f aca="false">IF(C222="","",IFERROR(INDEX(Ingredientes!$D$5:$D$204,MATCH(C222,Ingredientes!$B$5:$B$204,0)),"?"))</f>
        <v/>
      </c>
      <c r="F222" s="24" t="str">
        <f aca="false">IF(OR(C222="",D222=""),"",IFERROR(D222*INDEX(Ingredientes!$F$5:$F$204,MATCH(C222,Ingredientes!$B$5:$B$204,0))/INDEX(Ingredientes!$E$5:$E$204,MATCH(C222,Ingredientes!$B$5:$B$204,0)),"Cadastre em Ingredientes"))</f>
        <v/>
      </c>
      <c r="G222" s="7"/>
    </row>
    <row r="223" customFormat="false" ht="21" hidden="false" customHeight="true" outlineLevel="0" collapsed="false">
      <c r="B223" s="7"/>
      <c r="C223" s="7"/>
      <c r="D223" s="37"/>
      <c r="E223" s="34" t="str">
        <f aca="false">IF(C223="","",IFERROR(INDEX(Ingredientes!$D$5:$D$204,MATCH(C223,Ingredientes!$B$5:$B$204,0)),"?"))</f>
        <v/>
      </c>
      <c r="F223" s="24" t="str">
        <f aca="false">IF(OR(C223="",D223=""),"",IFERROR(D223*INDEX(Ingredientes!$F$5:$F$204,MATCH(C223,Ingredientes!$B$5:$B$204,0))/INDEX(Ingredientes!$E$5:$E$204,MATCH(C223,Ingredientes!$B$5:$B$204,0)),"Cadastre em Ingredientes"))</f>
        <v/>
      </c>
      <c r="G223" s="7"/>
    </row>
    <row r="224" customFormat="false" ht="21" hidden="false" customHeight="true" outlineLevel="0" collapsed="false">
      <c r="B224" s="7"/>
      <c r="C224" s="7"/>
      <c r="D224" s="37"/>
      <c r="E224" s="34" t="str">
        <f aca="false">IF(C224="","",IFERROR(INDEX(Ingredientes!$D$5:$D$204,MATCH(C224,Ingredientes!$B$5:$B$204,0)),"?"))</f>
        <v/>
      </c>
      <c r="F224" s="24" t="str">
        <f aca="false">IF(OR(C224="",D224=""),"",IFERROR(D224*INDEX(Ingredientes!$F$5:$F$204,MATCH(C224,Ingredientes!$B$5:$B$204,0))/INDEX(Ingredientes!$E$5:$E$204,MATCH(C224,Ingredientes!$B$5:$B$204,0)),"Cadastre em Ingredientes"))</f>
        <v/>
      </c>
      <c r="G224" s="7"/>
    </row>
    <row r="225" customFormat="false" ht="21" hidden="false" customHeight="true" outlineLevel="0" collapsed="false">
      <c r="B225" s="7"/>
      <c r="C225" s="7"/>
      <c r="D225" s="37"/>
      <c r="E225" s="34" t="str">
        <f aca="false">IF(C225="","",IFERROR(INDEX(Ingredientes!$D$5:$D$204,MATCH(C225,Ingredientes!$B$5:$B$204,0)),"?"))</f>
        <v/>
      </c>
      <c r="F225" s="24" t="str">
        <f aca="false">IF(OR(C225="",D225=""),"",IFERROR(D225*INDEX(Ingredientes!$F$5:$F$204,MATCH(C225,Ingredientes!$B$5:$B$204,0))/INDEX(Ingredientes!$E$5:$E$204,MATCH(C225,Ingredientes!$B$5:$B$204,0)),"Cadastre em Ingredientes"))</f>
        <v/>
      </c>
      <c r="G225" s="7"/>
    </row>
    <row r="226" customFormat="false" ht="21" hidden="false" customHeight="true" outlineLevel="0" collapsed="false">
      <c r="B226" s="7"/>
      <c r="C226" s="7"/>
      <c r="D226" s="37"/>
      <c r="E226" s="34" t="str">
        <f aca="false">IF(C226="","",IFERROR(INDEX(Ingredientes!$D$5:$D$204,MATCH(C226,Ingredientes!$B$5:$B$204,0)),"?"))</f>
        <v/>
      </c>
      <c r="F226" s="24" t="str">
        <f aca="false">IF(OR(C226="",D226=""),"",IFERROR(D226*INDEX(Ingredientes!$F$5:$F$204,MATCH(C226,Ingredientes!$B$5:$B$204,0))/INDEX(Ingredientes!$E$5:$E$204,MATCH(C226,Ingredientes!$B$5:$B$204,0)),"Cadastre em Ingredientes"))</f>
        <v/>
      </c>
      <c r="G226" s="7"/>
    </row>
    <row r="227" customFormat="false" ht="21" hidden="false" customHeight="true" outlineLevel="0" collapsed="false">
      <c r="B227" s="7"/>
      <c r="C227" s="7"/>
      <c r="D227" s="37"/>
      <c r="E227" s="34" t="str">
        <f aca="false">IF(C227="","",IFERROR(INDEX(Ingredientes!$D$5:$D$204,MATCH(C227,Ingredientes!$B$5:$B$204,0)),"?"))</f>
        <v/>
      </c>
      <c r="F227" s="24" t="str">
        <f aca="false">IF(OR(C227="",D227=""),"",IFERROR(D227*INDEX(Ingredientes!$F$5:$F$204,MATCH(C227,Ingredientes!$B$5:$B$204,0))/INDEX(Ingredientes!$E$5:$E$204,MATCH(C227,Ingredientes!$B$5:$B$204,0)),"Cadastre em Ingredientes"))</f>
        <v/>
      </c>
      <c r="G227" s="7"/>
    </row>
    <row r="228" customFormat="false" ht="21" hidden="false" customHeight="true" outlineLevel="0" collapsed="false">
      <c r="B228" s="7"/>
      <c r="C228" s="7"/>
      <c r="D228" s="37"/>
      <c r="E228" s="34" t="str">
        <f aca="false">IF(C228="","",IFERROR(INDEX(Ingredientes!$D$5:$D$204,MATCH(C228,Ingredientes!$B$5:$B$204,0)),"?"))</f>
        <v/>
      </c>
      <c r="F228" s="24" t="str">
        <f aca="false">IF(OR(C228="",D228=""),"",IFERROR(D228*INDEX(Ingredientes!$F$5:$F$204,MATCH(C228,Ingredientes!$B$5:$B$204,0))/INDEX(Ingredientes!$E$5:$E$204,MATCH(C228,Ingredientes!$B$5:$B$204,0)),"Cadastre em Ingredientes"))</f>
        <v/>
      </c>
      <c r="G228" s="7"/>
    </row>
    <row r="229" customFormat="false" ht="21" hidden="false" customHeight="true" outlineLevel="0" collapsed="false">
      <c r="B229" s="7"/>
      <c r="C229" s="7"/>
      <c r="D229" s="37"/>
      <c r="E229" s="34" t="str">
        <f aca="false">IF(C229="","",IFERROR(INDEX(Ingredientes!$D$5:$D$204,MATCH(C229,Ingredientes!$B$5:$B$204,0)),"?"))</f>
        <v/>
      </c>
      <c r="F229" s="24" t="str">
        <f aca="false">IF(OR(C229="",D229=""),"",IFERROR(D229*INDEX(Ingredientes!$F$5:$F$204,MATCH(C229,Ingredientes!$B$5:$B$204,0))/INDEX(Ingredientes!$E$5:$E$204,MATCH(C229,Ingredientes!$B$5:$B$204,0)),"Cadastre em Ingredientes"))</f>
        <v/>
      </c>
      <c r="G229" s="7"/>
    </row>
    <row r="230" customFormat="false" ht="21" hidden="false" customHeight="true" outlineLevel="0" collapsed="false">
      <c r="B230" s="7"/>
      <c r="C230" s="7"/>
      <c r="D230" s="37"/>
      <c r="E230" s="34" t="str">
        <f aca="false">IF(C230="","",IFERROR(INDEX(Ingredientes!$D$5:$D$204,MATCH(C230,Ingredientes!$B$5:$B$204,0)),"?"))</f>
        <v/>
      </c>
      <c r="F230" s="24" t="str">
        <f aca="false">IF(OR(C230="",D230=""),"",IFERROR(D230*INDEX(Ingredientes!$F$5:$F$204,MATCH(C230,Ingredientes!$B$5:$B$204,0))/INDEX(Ingredientes!$E$5:$E$204,MATCH(C230,Ingredientes!$B$5:$B$204,0)),"Cadastre em Ingredientes"))</f>
        <v/>
      </c>
      <c r="G230" s="7"/>
    </row>
    <row r="231" customFormat="false" ht="21" hidden="false" customHeight="true" outlineLevel="0" collapsed="false">
      <c r="B231" s="7"/>
      <c r="C231" s="7"/>
      <c r="D231" s="37"/>
      <c r="E231" s="34" t="str">
        <f aca="false">IF(C231="","",IFERROR(INDEX(Ingredientes!$D$5:$D$204,MATCH(C231,Ingredientes!$B$5:$B$204,0)),"?"))</f>
        <v/>
      </c>
      <c r="F231" s="24" t="str">
        <f aca="false">IF(OR(C231="",D231=""),"",IFERROR(D231*INDEX(Ingredientes!$F$5:$F$204,MATCH(C231,Ingredientes!$B$5:$B$204,0))/INDEX(Ingredientes!$E$5:$E$204,MATCH(C231,Ingredientes!$B$5:$B$204,0)),"Cadastre em Ingredientes"))</f>
        <v/>
      </c>
      <c r="G231" s="7"/>
    </row>
    <row r="232" customFormat="false" ht="21" hidden="false" customHeight="true" outlineLevel="0" collapsed="false">
      <c r="B232" s="7"/>
      <c r="C232" s="7"/>
      <c r="D232" s="37"/>
      <c r="E232" s="34" t="str">
        <f aca="false">IF(C232="","",IFERROR(INDEX(Ingredientes!$D$5:$D$204,MATCH(C232,Ingredientes!$B$5:$B$204,0)),"?"))</f>
        <v/>
      </c>
      <c r="F232" s="24" t="str">
        <f aca="false">IF(OR(C232="",D232=""),"",IFERROR(D232*INDEX(Ingredientes!$F$5:$F$204,MATCH(C232,Ingredientes!$B$5:$B$204,0))/INDEX(Ingredientes!$E$5:$E$204,MATCH(C232,Ingredientes!$B$5:$B$204,0)),"Cadastre em Ingredientes"))</f>
        <v/>
      </c>
      <c r="G232" s="7"/>
    </row>
    <row r="233" customFormat="false" ht="21" hidden="false" customHeight="true" outlineLevel="0" collapsed="false">
      <c r="B233" s="7"/>
      <c r="C233" s="7"/>
      <c r="D233" s="37"/>
      <c r="E233" s="34" t="str">
        <f aca="false">IF(C233="","",IFERROR(INDEX(Ingredientes!$D$5:$D$204,MATCH(C233,Ingredientes!$B$5:$B$204,0)),"?"))</f>
        <v/>
      </c>
      <c r="F233" s="24" t="str">
        <f aca="false">IF(OR(C233="",D233=""),"",IFERROR(D233*INDEX(Ingredientes!$F$5:$F$204,MATCH(C233,Ingredientes!$B$5:$B$204,0))/INDEX(Ingredientes!$E$5:$E$204,MATCH(C233,Ingredientes!$B$5:$B$204,0)),"Cadastre em Ingredientes"))</f>
        <v/>
      </c>
      <c r="G233" s="7"/>
    </row>
    <row r="234" customFormat="false" ht="21" hidden="false" customHeight="true" outlineLevel="0" collapsed="false">
      <c r="B234" s="7"/>
      <c r="C234" s="7"/>
      <c r="D234" s="37"/>
      <c r="E234" s="34" t="str">
        <f aca="false">IF(C234="","",IFERROR(INDEX(Ingredientes!$D$5:$D$204,MATCH(C234,Ingredientes!$B$5:$B$204,0)),"?"))</f>
        <v/>
      </c>
      <c r="F234" s="24" t="str">
        <f aca="false">IF(OR(C234="",D234=""),"",IFERROR(D234*INDEX(Ingredientes!$F$5:$F$204,MATCH(C234,Ingredientes!$B$5:$B$204,0))/INDEX(Ingredientes!$E$5:$E$204,MATCH(C234,Ingredientes!$B$5:$B$204,0)),"Cadastre em Ingredientes"))</f>
        <v/>
      </c>
      <c r="G234" s="7"/>
    </row>
    <row r="235" customFormat="false" ht="21" hidden="false" customHeight="true" outlineLevel="0" collapsed="false">
      <c r="B235" s="7"/>
      <c r="C235" s="7"/>
      <c r="D235" s="37"/>
      <c r="E235" s="34" t="str">
        <f aca="false">IF(C235="","",IFERROR(INDEX(Ingredientes!$D$5:$D$204,MATCH(C235,Ingredientes!$B$5:$B$204,0)),"?"))</f>
        <v/>
      </c>
      <c r="F235" s="24" t="str">
        <f aca="false">IF(OR(C235="",D235=""),"",IFERROR(D235*INDEX(Ingredientes!$F$5:$F$204,MATCH(C235,Ingredientes!$B$5:$B$204,0))/INDEX(Ingredientes!$E$5:$E$204,MATCH(C235,Ingredientes!$B$5:$B$204,0)),"Cadastre em Ingredientes"))</f>
        <v/>
      </c>
      <c r="G235" s="7"/>
    </row>
    <row r="236" customFormat="false" ht="21" hidden="false" customHeight="true" outlineLevel="0" collapsed="false">
      <c r="B236" s="7"/>
      <c r="C236" s="7"/>
      <c r="D236" s="37"/>
      <c r="E236" s="34" t="str">
        <f aca="false">IF(C236="","",IFERROR(INDEX(Ingredientes!$D$5:$D$204,MATCH(C236,Ingredientes!$B$5:$B$204,0)),"?"))</f>
        <v/>
      </c>
      <c r="F236" s="24" t="str">
        <f aca="false">IF(OR(C236="",D236=""),"",IFERROR(D236*INDEX(Ingredientes!$F$5:$F$204,MATCH(C236,Ingredientes!$B$5:$B$204,0))/INDEX(Ingredientes!$E$5:$E$204,MATCH(C236,Ingredientes!$B$5:$B$204,0)),"Cadastre em Ingredientes"))</f>
        <v/>
      </c>
      <c r="G236" s="7"/>
    </row>
    <row r="237" customFormat="false" ht="21" hidden="false" customHeight="true" outlineLevel="0" collapsed="false">
      <c r="B237" s="7"/>
      <c r="C237" s="7"/>
      <c r="D237" s="37"/>
      <c r="E237" s="34" t="str">
        <f aca="false">IF(C237="","",IFERROR(INDEX(Ingredientes!$D$5:$D$204,MATCH(C237,Ingredientes!$B$5:$B$204,0)),"?"))</f>
        <v/>
      </c>
      <c r="F237" s="24" t="str">
        <f aca="false">IF(OR(C237="",D237=""),"",IFERROR(D237*INDEX(Ingredientes!$F$5:$F$204,MATCH(C237,Ingredientes!$B$5:$B$204,0))/INDEX(Ingredientes!$E$5:$E$204,MATCH(C237,Ingredientes!$B$5:$B$204,0)),"Cadastre em Ingredientes"))</f>
        <v/>
      </c>
      <c r="G237" s="7"/>
    </row>
    <row r="238" customFormat="false" ht="21" hidden="false" customHeight="true" outlineLevel="0" collapsed="false">
      <c r="B238" s="7"/>
      <c r="C238" s="7"/>
      <c r="D238" s="37"/>
      <c r="E238" s="34" t="str">
        <f aca="false">IF(C238="","",IFERROR(INDEX(Ingredientes!$D$5:$D$204,MATCH(C238,Ingredientes!$B$5:$B$204,0)),"?"))</f>
        <v/>
      </c>
      <c r="F238" s="24" t="str">
        <f aca="false">IF(OR(C238="",D238=""),"",IFERROR(D238*INDEX(Ingredientes!$F$5:$F$204,MATCH(C238,Ingredientes!$B$5:$B$204,0))/INDEX(Ingredientes!$E$5:$E$204,MATCH(C238,Ingredientes!$B$5:$B$204,0)),"Cadastre em Ingredientes"))</f>
        <v/>
      </c>
      <c r="G238" s="7"/>
    </row>
    <row r="239" customFormat="false" ht="21" hidden="false" customHeight="true" outlineLevel="0" collapsed="false">
      <c r="B239" s="7"/>
      <c r="C239" s="7"/>
      <c r="D239" s="37"/>
      <c r="E239" s="34" t="str">
        <f aca="false">IF(C239="","",IFERROR(INDEX(Ingredientes!$D$5:$D$204,MATCH(C239,Ingredientes!$B$5:$B$204,0)),"?"))</f>
        <v/>
      </c>
      <c r="F239" s="24" t="str">
        <f aca="false">IF(OR(C239="",D239=""),"",IFERROR(D239*INDEX(Ingredientes!$F$5:$F$204,MATCH(C239,Ingredientes!$B$5:$B$204,0))/INDEX(Ingredientes!$E$5:$E$204,MATCH(C239,Ingredientes!$B$5:$B$204,0)),"Cadastre em Ingredientes"))</f>
        <v/>
      </c>
      <c r="G239" s="7"/>
    </row>
    <row r="240" customFormat="false" ht="21" hidden="false" customHeight="true" outlineLevel="0" collapsed="false">
      <c r="B240" s="7"/>
      <c r="C240" s="7"/>
      <c r="D240" s="37"/>
      <c r="E240" s="34" t="str">
        <f aca="false">IF(C240="","",IFERROR(INDEX(Ingredientes!$D$5:$D$204,MATCH(C240,Ingredientes!$B$5:$B$204,0)),"?"))</f>
        <v/>
      </c>
      <c r="F240" s="24" t="str">
        <f aca="false">IF(OR(C240="",D240=""),"",IFERROR(D240*INDEX(Ingredientes!$F$5:$F$204,MATCH(C240,Ingredientes!$B$5:$B$204,0))/INDEX(Ingredientes!$E$5:$E$204,MATCH(C240,Ingredientes!$B$5:$B$204,0)),"Cadastre em Ingredientes"))</f>
        <v/>
      </c>
      <c r="G240" s="7"/>
    </row>
    <row r="241" customFormat="false" ht="21" hidden="false" customHeight="true" outlineLevel="0" collapsed="false">
      <c r="B241" s="7"/>
      <c r="C241" s="7"/>
      <c r="D241" s="37"/>
      <c r="E241" s="34" t="str">
        <f aca="false">IF(C241="","",IFERROR(INDEX(Ingredientes!$D$5:$D$204,MATCH(C241,Ingredientes!$B$5:$B$204,0)),"?"))</f>
        <v/>
      </c>
      <c r="F241" s="24" t="str">
        <f aca="false">IF(OR(C241="",D241=""),"",IFERROR(D241*INDEX(Ingredientes!$F$5:$F$204,MATCH(C241,Ingredientes!$B$5:$B$204,0))/INDEX(Ingredientes!$E$5:$E$204,MATCH(C241,Ingredientes!$B$5:$B$204,0)),"Cadastre em Ingredientes"))</f>
        <v/>
      </c>
      <c r="G241" s="7"/>
    </row>
    <row r="242" customFormat="false" ht="21" hidden="false" customHeight="true" outlineLevel="0" collapsed="false">
      <c r="B242" s="7"/>
      <c r="C242" s="7"/>
      <c r="D242" s="37"/>
      <c r="E242" s="34" t="str">
        <f aca="false">IF(C242="","",IFERROR(INDEX(Ingredientes!$D$5:$D$204,MATCH(C242,Ingredientes!$B$5:$B$204,0)),"?"))</f>
        <v/>
      </c>
      <c r="F242" s="24" t="str">
        <f aca="false">IF(OR(C242="",D242=""),"",IFERROR(D242*INDEX(Ingredientes!$F$5:$F$204,MATCH(C242,Ingredientes!$B$5:$B$204,0))/INDEX(Ingredientes!$E$5:$E$204,MATCH(C242,Ingredientes!$B$5:$B$204,0)),"Cadastre em Ingredientes"))</f>
        <v/>
      </c>
      <c r="G242" s="7"/>
    </row>
    <row r="243" customFormat="false" ht="21" hidden="false" customHeight="true" outlineLevel="0" collapsed="false">
      <c r="B243" s="7"/>
      <c r="C243" s="7"/>
      <c r="D243" s="37"/>
      <c r="E243" s="34" t="str">
        <f aca="false">IF(C243="","",IFERROR(INDEX(Ingredientes!$D$5:$D$204,MATCH(C243,Ingredientes!$B$5:$B$204,0)),"?"))</f>
        <v/>
      </c>
      <c r="F243" s="24" t="str">
        <f aca="false">IF(OR(C243="",D243=""),"",IFERROR(D243*INDEX(Ingredientes!$F$5:$F$204,MATCH(C243,Ingredientes!$B$5:$B$204,0))/INDEX(Ingredientes!$E$5:$E$204,MATCH(C243,Ingredientes!$B$5:$B$204,0)),"Cadastre em Ingredientes"))</f>
        <v/>
      </c>
      <c r="G243" s="7"/>
    </row>
    <row r="244" customFormat="false" ht="21" hidden="false" customHeight="true" outlineLevel="0" collapsed="false">
      <c r="B244" s="7"/>
      <c r="C244" s="7"/>
      <c r="D244" s="37"/>
      <c r="E244" s="34" t="str">
        <f aca="false">IF(C244="","",IFERROR(INDEX(Ingredientes!$D$5:$D$204,MATCH(C244,Ingredientes!$B$5:$B$204,0)),"?"))</f>
        <v/>
      </c>
      <c r="F244" s="24" t="str">
        <f aca="false">IF(OR(C244="",D244=""),"",IFERROR(D244*INDEX(Ingredientes!$F$5:$F$204,MATCH(C244,Ingredientes!$B$5:$B$204,0))/INDEX(Ingredientes!$E$5:$E$204,MATCH(C244,Ingredientes!$B$5:$B$204,0)),"Cadastre em Ingredientes"))</f>
        <v/>
      </c>
      <c r="G244" s="7"/>
    </row>
    <row r="245" customFormat="false" ht="21" hidden="false" customHeight="true" outlineLevel="0" collapsed="false">
      <c r="B245" s="7"/>
      <c r="C245" s="7"/>
      <c r="D245" s="37"/>
      <c r="E245" s="34" t="str">
        <f aca="false">IF(C245="","",IFERROR(INDEX(Ingredientes!$D$5:$D$204,MATCH(C245,Ingredientes!$B$5:$B$204,0)),"?"))</f>
        <v/>
      </c>
      <c r="F245" s="24" t="str">
        <f aca="false">IF(OR(C245="",D245=""),"",IFERROR(D245*INDEX(Ingredientes!$F$5:$F$204,MATCH(C245,Ingredientes!$B$5:$B$204,0))/INDEX(Ingredientes!$E$5:$E$204,MATCH(C245,Ingredientes!$B$5:$B$204,0)),"Cadastre em Ingredientes"))</f>
        <v/>
      </c>
      <c r="G245" s="7"/>
    </row>
    <row r="246" customFormat="false" ht="21" hidden="false" customHeight="true" outlineLevel="0" collapsed="false">
      <c r="B246" s="7"/>
      <c r="C246" s="7"/>
      <c r="D246" s="37"/>
      <c r="E246" s="34" t="str">
        <f aca="false">IF(C246="","",IFERROR(INDEX(Ingredientes!$D$5:$D$204,MATCH(C246,Ingredientes!$B$5:$B$204,0)),"?"))</f>
        <v/>
      </c>
      <c r="F246" s="24" t="str">
        <f aca="false">IF(OR(C246="",D246=""),"",IFERROR(D246*INDEX(Ingredientes!$F$5:$F$204,MATCH(C246,Ingredientes!$B$5:$B$204,0))/INDEX(Ingredientes!$E$5:$E$204,MATCH(C246,Ingredientes!$B$5:$B$204,0)),"Cadastre em Ingredientes"))</f>
        <v/>
      </c>
      <c r="G246" s="7"/>
    </row>
    <row r="247" customFormat="false" ht="21" hidden="false" customHeight="true" outlineLevel="0" collapsed="false">
      <c r="B247" s="7"/>
      <c r="C247" s="7"/>
      <c r="D247" s="37"/>
      <c r="E247" s="34" t="str">
        <f aca="false">IF(C247="","",IFERROR(INDEX(Ingredientes!$D$5:$D$204,MATCH(C247,Ingredientes!$B$5:$B$204,0)),"?"))</f>
        <v/>
      </c>
      <c r="F247" s="24" t="str">
        <f aca="false">IF(OR(C247="",D247=""),"",IFERROR(D247*INDEX(Ingredientes!$F$5:$F$204,MATCH(C247,Ingredientes!$B$5:$B$204,0))/INDEX(Ingredientes!$E$5:$E$204,MATCH(C247,Ingredientes!$B$5:$B$204,0)),"Cadastre em Ingredientes"))</f>
        <v/>
      </c>
      <c r="G247" s="7"/>
    </row>
    <row r="248" customFormat="false" ht="21" hidden="false" customHeight="true" outlineLevel="0" collapsed="false">
      <c r="B248" s="7"/>
      <c r="C248" s="7"/>
      <c r="D248" s="37"/>
      <c r="E248" s="34" t="str">
        <f aca="false">IF(C248="","",IFERROR(INDEX(Ingredientes!$D$5:$D$204,MATCH(C248,Ingredientes!$B$5:$B$204,0)),"?"))</f>
        <v/>
      </c>
      <c r="F248" s="24" t="str">
        <f aca="false">IF(OR(C248="",D248=""),"",IFERROR(D248*INDEX(Ingredientes!$F$5:$F$204,MATCH(C248,Ingredientes!$B$5:$B$204,0))/INDEX(Ingredientes!$E$5:$E$204,MATCH(C248,Ingredientes!$B$5:$B$204,0)),"Cadastre em Ingredientes"))</f>
        <v/>
      </c>
      <c r="G248" s="7"/>
    </row>
    <row r="249" customFormat="false" ht="21" hidden="false" customHeight="true" outlineLevel="0" collapsed="false">
      <c r="B249" s="7"/>
      <c r="C249" s="7"/>
      <c r="D249" s="37"/>
      <c r="E249" s="34" t="str">
        <f aca="false">IF(C249="","",IFERROR(INDEX(Ingredientes!$D$5:$D$204,MATCH(C249,Ingredientes!$B$5:$B$204,0)),"?"))</f>
        <v/>
      </c>
      <c r="F249" s="24" t="str">
        <f aca="false">IF(OR(C249="",D249=""),"",IFERROR(D249*INDEX(Ingredientes!$F$5:$F$204,MATCH(C249,Ingredientes!$B$5:$B$204,0))/INDEX(Ingredientes!$E$5:$E$204,MATCH(C249,Ingredientes!$B$5:$B$204,0)),"Cadastre em Ingredientes"))</f>
        <v/>
      </c>
      <c r="G249" s="7"/>
    </row>
    <row r="250" customFormat="false" ht="21" hidden="false" customHeight="true" outlineLevel="0" collapsed="false">
      <c r="B250" s="7"/>
      <c r="C250" s="7"/>
      <c r="D250" s="37"/>
      <c r="E250" s="34" t="str">
        <f aca="false">IF(C250="","",IFERROR(INDEX(Ingredientes!$D$5:$D$204,MATCH(C250,Ingredientes!$B$5:$B$204,0)),"?"))</f>
        <v/>
      </c>
      <c r="F250" s="24" t="str">
        <f aca="false">IF(OR(C250="",D250=""),"",IFERROR(D250*INDEX(Ingredientes!$F$5:$F$204,MATCH(C250,Ingredientes!$B$5:$B$204,0))/INDEX(Ingredientes!$E$5:$E$204,MATCH(C250,Ingredientes!$B$5:$B$204,0)),"Cadastre em Ingredientes"))</f>
        <v/>
      </c>
      <c r="G250" s="7"/>
    </row>
    <row r="251" customFormat="false" ht="21" hidden="false" customHeight="true" outlineLevel="0" collapsed="false">
      <c r="B251" s="7"/>
      <c r="C251" s="7"/>
      <c r="D251" s="37"/>
      <c r="E251" s="34" t="str">
        <f aca="false">IF(C251="","",IFERROR(INDEX(Ingredientes!$D$5:$D$204,MATCH(C251,Ingredientes!$B$5:$B$204,0)),"?"))</f>
        <v/>
      </c>
      <c r="F251" s="24" t="str">
        <f aca="false">IF(OR(C251="",D251=""),"",IFERROR(D251*INDEX(Ingredientes!$F$5:$F$204,MATCH(C251,Ingredientes!$B$5:$B$204,0))/INDEX(Ingredientes!$E$5:$E$204,MATCH(C251,Ingredientes!$B$5:$B$204,0)),"Cadastre em Ingredientes"))</f>
        <v/>
      </c>
      <c r="G251" s="7"/>
    </row>
    <row r="252" customFormat="false" ht="21" hidden="false" customHeight="true" outlineLevel="0" collapsed="false">
      <c r="B252" s="7"/>
      <c r="C252" s="7"/>
      <c r="D252" s="37"/>
      <c r="E252" s="34" t="str">
        <f aca="false">IF(C252="","",IFERROR(INDEX(Ingredientes!$D$5:$D$204,MATCH(C252,Ingredientes!$B$5:$B$204,0)),"?"))</f>
        <v/>
      </c>
      <c r="F252" s="24" t="str">
        <f aca="false">IF(OR(C252="",D252=""),"",IFERROR(D252*INDEX(Ingredientes!$F$5:$F$204,MATCH(C252,Ingredientes!$B$5:$B$204,0))/INDEX(Ingredientes!$E$5:$E$204,MATCH(C252,Ingredientes!$B$5:$B$204,0)),"Cadastre em Ingredientes"))</f>
        <v/>
      </c>
      <c r="G252" s="7"/>
    </row>
    <row r="253" customFormat="false" ht="21" hidden="false" customHeight="true" outlineLevel="0" collapsed="false">
      <c r="B253" s="7"/>
      <c r="C253" s="7"/>
      <c r="D253" s="37"/>
      <c r="E253" s="34" t="str">
        <f aca="false">IF(C253="","",IFERROR(INDEX(Ingredientes!$D$5:$D$204,MATCH(C253,Ingredientes!$B$5:$B$204,0)),"?"))</f>
        <v/>
      </c>
      <c r="F253" s="24" t="str">
        <f aca="false">IF(OR(C253="",D253=""),"",IFERROR(D253*INDEX(Ingredientes!$F$5:$F$204,MATCH(C253,Ingredientes!$B$5:$B$204,0))/INDEX(Ingredientes!$E$5:$E$204,MATCH(C253,Ingredientes!$B$5:$B$204,0)),"Cadastre em Ingredientes"))</f>
        <v/>
      </c>
      <c r="G253" s="7"/>
    </row>
    <row r="254" customFormat="false" ht="21" hidden="false" customHeight="true" outlineLevel="0" collapsed="false">
      <c r="B254" s="7"/>
      <c r="C254" s="7"/>
      <c r="D254" s="37"/>
      <c r="E254" s="34" t="str">
        <f aca="false">IF(C254="","",IFERROR(INDEX(Ingredientes!$D$5:$D$204,MATCH(C254,Ingredientes!$B$5:$B$204,0)),"?"))</f>
        <v/>
      </c>
      <c r="F254" s="24" t="str">
        <f aca="false">IF(OR(C254="",D254=""),"",IFERROR(D254*INDEX(Ingredientes!$F$5:$F$204,MATCH(C254,Ingredientes!$B$5:$B$204,0))/INDEX(Ingredientes!$E$5:$E$204,MATCH(C254,Ingredientes!$B$5:$B$204,0)),"Cadastre em Ingredientes"))</f>
        <v/>
      </c>
      <c r="G254" s="7"/>
    </row>
    <row r="255" customFormat="false" ht="21" hidden="false" customHeight="true" outlineLevel="0" collapsed="false">
      <c r="B255" s="7"/>
      <c r="C255" s="7"/>
      <c r="D255" s="37"/>
      <c r="E255" s="34" t="str">
        <f aca="false">IF(C255="","",IFERROR(INDEX(Ingredientes!$D$5:$D$204,MATCH(C255,Ingredientes!$B$5:$B$204,0)),"?"))</f>
        <v/>
      </c>
      <c r="F255" s="24" t="str">
        <f aca="false">IF(OR(C255="",D255=""),"",IFERROR(D255*INDEX(Ingredientes!$F$5:$F$204,MATCH(C255,Ingredientes!$B$5:$B$204,0))/INDEX(Ingredientes!$E$5:$E$204,MATCH(C255,Ingredientes!$B$5:$B$204,0)),"Cadastre em Ingredientes"))</f>
        <v/>
      </c>
      <c r="G255" s="7"/>
    </row>
    <row r="256" customFormat="false" ht="21" hidden="false" customHeight="true" outlineLevel="0" collapsed="false">
      <c r="B256" s="7"/>
      <c r="C256" s="7"/>
      <c r="D256" s="37"/>
      <c r="E256" s="34" t="str">
        <f aca="false">IF(C256="","",IFERROR(INDEX(Ingredientes!$D$5:$D$204,MATCH(C256,Ingredientes!$B$5:$B$204,0)),"?"))</f>
        <v/>
      </c>
      <c r="F256" s="24" t="str">
        <f aca="false">IF(OR(C256="",D256=""),"",IFERROR(D256*INDEX(Ingredientes!$F$5:$F$204,MATCH(C256,Ingredientes!$B$5:$B$204,0))/INDEX(Ingredientes!$E$5:$E$204,MATCH(C256,Ingredientes!$B$5:$B$204,0)),"Cadastre em Ingredientes"))</f>
        <v/>
      </c>
      <c r="G256" s="7"/>
    </row>
    <row r="257" customFormat="false" ht="21" hidden="false" customHeight="true" outlineLevel="0" collapsed="false">
      <c r="B257" s="7"/>
      <c r="C257" s="7"/>
      <c r="D257" s="37"/>
      <c r="E257" s="34" t="str">
        <f aca="false">IF(C257="","",IFERROR(INDEX(Ingredientes!$D$5:$D$204,MATCH(C257,Ingredientes!$B$5:$B$204,0)),"?"))</f>
        <v/>
      </c>
      <c r="F257" s="24" t="str">
        <f aca="false">IF(OR(C257="",D257=""),"",IFERROR(D257*INDEX(Ingredientes!$F$5:$F$204,MATCH(C257,Ingredientes!$B$5:$B$204,0))/INDEX(Ingredientes!$E$5:$E$204,MATCH(C257,Ingredientes!$B$5:$B$204,0)),"Cadastre em Ingredientes"))</f>
        <v/>
      </c>
      <c r="G257" s="7"/>
    </row>
    <row r="258" customFormat="false" ht="21" hidden="false" customHeight="true" outlineLevel="0" collapsed="false">
      <c r="B258" s="7"/>
      <c r="C258" s="7"/>
      <c r="D258" s="37"/>
      <c r="E258" s="34" t="str">
        <f aca="false">IF(C258="","",IFERROR(INDEX(Ingredientes!$D$5:$D$204,MATCH(C258,Ingredientes!$B$5:$B$204,0)),"?"))</f>
        <v/>
      </c>
      <c r="F258" s="24" t="str">
        <f aca="false">IF(OR(C258="",D258=""),"",IFERROR(D258*INDEX(Ingredientes!$F$5:$F$204,MATCH(C258,Ingredientes!$B$5:$B$204,0))/INDEX(Ingredientes!$E$5:$E$204,MATCH(C258,Ingredientes!$B$5:$B$204,0)),"Cadastre em Ingredientes"))</f>
        <v/>
      </c>
      <c r="G258" s="7"/>
    </row>
    <row r="259" customFormat="false" ht="21" hidden="false" customHeight="true" outlineLevel="0" collapsed="false">
      <c r="B259" s="7"/>
      <c r="C259" s="7"/>
      <c r="D259" s="37"/>
      <c r="E259" s="34" t="str">
        <f aca="false">IF(C259="","",IFERROR(INDEX(Ingredientes!$D$5:$D$204,MATCH(C259,Ingredientes!$B$5:$B$204,0)),"?"))</f>
        <v/>
      </c>
      <c r="F259" s="24" t="str">
        <f aca="false">IF(OR(C259="",D259=""),"",IFERROR(D259*INDEX(Ingredientes!$F$5:$F$204,MATCH(C259,Ingredientes!$B$5:$B$204,0))/INDEX(Ingredientes!$E$5:$E$204,MATCH(C259,Ingredientes!$B$5:$B$204,0)),"Cadastre em Ingredientes"))</f>
        <v/>
      </c>
      <c r="G259" s="7"/>
    </row>
    <row r="260" customFormat="false" ht="21" hidden="false" customHeight="true" outlineLevel="0" collapsed="false">
      <c r="B260" s="7"/>
      <c r="C260" s="7"/>
      <c r="D260" s="37"/>
      <c r="E260" s="34" t="str">
        <f aca="false">IF(C260="","",IFERROR(INDEX(Ingredientes!$D$5:$D$204,MATCH(C260,Ingredientes!$B$5:$B$204,0)),"?"))</f>
        <v/>
      </c>
      <c r="F260" s="24" t="str">
        <f aca="false">IF(OR(C260="",D260=""),"",IFERROR(D260*INDEX(Ingredientes!$F$5:$F$204,MATCH(C260,Ingredientes!$B$5:$B$204,0))/INDEX(Ingredientes!$E$5:$E$204,MATCH(C260,Ingredientes!$B$5:$B$204,0)),"Cadastre em Ingredientes"))</f>
        <v/>
      </c>
      <c r="G260" s="7"/>
    </row>
    <row r="261" customFormat="false" ht="21" hidden="false" customHeight="true" outlineLevel="0" collapsed="false">
      <c r="B261" s="7"/>
      <c r="C261" s="7"/>
      <c r="D261" s="37"/>
      <c r="E261" s="34" t="str">
        <f aca="false">IF(C261="","",IFERROR(INDEX(Ingredientes!$D$5:$D$204,MATCH(C261,Ingredientes!$B$5:$B$204,0)),"?"))</f>
        <v/>
      </c>
      <c r="F261" s="24" t="str">
        <f aca="false">IF(OR(C261="",D261=""),"",IFERROR(D261*INDEX(Ingredientes!$F$5:$F$204,MATCH(C261,Ingredientes!$B$5:$B$204,0))/INDEX(Ingredientes!$E$5:$E$204,MATCH(C261,Ingredientes!$B$5:$B$204,0)),"Cadastre em Ingredientes"))</f>
        <v/>
      </c>
      <c r="G261" s="7"/>
    </row>
    <row r="262" customFormat="false" ht="21" hidden="false" customHeight="true" outlineLevel="0" collapsed="false">
      <c r="B262" s="7"/>
      <c r="C262" s="7"/>
      <c r="D262" s="37"/>
      <c r="E262" s="34" t="str">
        <f aca="false">IF(C262="","",IFERROR(INDEX(Ingredientes!$D$5:$D$204,MATCH(C262,Ingredientes!$B$5:$B$204,0)),"?"))</f>
        <v/>
      </c>
      <c r="F262" s="24" t="str">
        <f aca="false">IF(OR(C262="",D262=""),"",IFERROR(D262*INDEX(Ingredientes!$F$5:$F$204,MATCH(C262,Ingredientes!$B$5:$B$204,0))/INDEX(Ingredientes!$E$5:$E$204,MATCH(C262,Ingredientes!$B$5:$B$204,0)),"Cadastre em Ingredientes"))</f>
        <v/>
      </c>
      <c r="G262" s="7"/>
    </row>
    <row r="263" customFormat="false" ht="21" hidden="false" customHeight="true" outlineLevel="0" collapsed="false">
      <c r="B263" s="7"/>
      <c r="C263" s="7"/>
      <c r="D263" s="37"/>
      <c r="E263" s="34" t="str">
        <f aca="false">IF(C263="","",IFERROR(INDEX(Ingredientes!$D$5:$D$204,MATCH(C263,Ingredientes!$B$5:$B$204,0)),"?"))</f>
        <v/>
      </c>
      <c r="F263" s="24" t="str">
        <f aca="false">IF(OR(C263="",D263=""),"",IFERROR(D263*INDEX(Ingredientes!$F$5:$F$204,MATCH(C263,Ingredientes!$B$5:$B$204,0))/INDEX(Ingredientes!$E$5:$E$204,MATCH(C263,Ingredientes!$B$5:$B$204,0)),"Cadastre em Ingredientes"))</f>
        <v/>
      </c>
      <c r="G263" s="7"/>
    </row>
    <row r="264" customFormat="false" ht="21" hidden="false" customHeight="true" outlineLevel="0" collapsed="false">
      <c r="B264" s="7"/>
      <c r="C264" s="7"/>
      <c r="D264" s="37"/>
      <c r="E264" s="34" t="str">
        <f aca="false">IF(C264="","",IFERROR(INDEX(Ingredientes!$D$5:$D$204,MATCH(C264,Ingredientes!$B$5:$B$204,0)),"?"))</f>
        <v/>
      </c>
      <c r="F264" s="24" t="str">
        <f aca="false">IF(OR(C264="",D264=""),"",IFERROR(D264*INDEX(Ingredientes!$F$5:$F$204,MATCH(C264,Ingredientes!$B$5:$B$204,0))/INDEX(Ingredientes!$E$5:$E$204,MATCH(C264,Ingredientes!$B$5:$B$204,0)),"Cadastre em Ingredientes"))</f>
        <v/>
      </c>
      <c r="G264" s="7"/>
    </row>
    <row r="265" customFormat="false" ht="21" hidden="false" customHeight="true" outlineLevel="0" collapsed="false">
      <c r="B265" s="7"/>
      <c r="C265" s="7"/>
      <c r="D265" s="37"/>
      <c r="E265" s="34" t="str">
        <f aca="false">IF(C265="","",IFERROR(INDEX(Ingredientes!$D$5:$D$204,MATCH(C265,Ingredientes!$B$5:$B$204,0)),"?"))</f>
        <v/>
      </c>
      <c r="F265" s="24" t="str">
        <f aca="false">IF(OR(C265="",D265=""),"",IFERROR(D265*INDEX(Ingredientes!$F$5:$F$204,MATCH(C265,Ingredientes!$B$5:$B$204,0))/INDEX(Ingredientes!$E$5:$E$204,MATCH(C265,Ingredientes!$B$5:$B$204,0)),"Cadastre em Ingredientes"))</f>
        <v/>
      </c>
      <c r="G265" s="7"/>
    </row>
    <row r="266" customFormat="false" ht="21" hidden="false" customHeight="true" outlineLevel="0" collapsed="false">
      <c r="B266" s="7"/>
      <c r="C266" s="7"/>
      <c r="D266" s="37"/>
      <c r="E266" s="34" t="str">
        <f aca="false">IF(C266="","",IFERROR(INDEX(Ingredientes!$D$5:$D$204,MATCH(C266,Ingredientes!$B$5:$B$204,0)),"?"))</f>
        <v/>
      </c>
      <c r="F266" s="24" t="str">
        <f aca="false">IF(OR(C266="",D266=""),"",IFERROR(D266*INDEX(Ingredientes!$F$5:$F$204,MATCH(C266,Ingredientes!$B$5:$B$204,0))/INDEX(Ingredientes!$E$5:$E$204,MATCH(C266,Ingredientes!$B$5:$B$204,0)),"Cadastre em Ingredientes"))</f>
        <v/>
      </c>
      <c r="G266" s="7"/>
    </row>
    <row r="267" customFormat="false" ht="21" hidden="false" customHeight="true" outlineLevel="0" collapsed="false">
      <c r="B267" s="7"/>
      <c r="C267" s="7"/>
      <c r="D267" s="37"/>
      <c r="E267" s="34" t="str">
        <f aca="false">IF(C267="","",IFERROR(INDEX(Ingredientes!$D$5:$D$204,MATCH(C267,Ingredientes!$B$5:$B$204,0)),"?"))</f>
        <v/>
      </c>
      <c r="F267" s="24" t="str">
        <f aca="false">IF(OR(C267="",D267=""),"",IFERROR(D267*INDEX(Ingredientes!$F$5:$F$204,MATCH(C267,Ingredientes!$B$5:$B$204,0))/INDEX(Ingredientes!$E$5:$E$204,MATCH(C267,Ingredientes!$B$5:$B$204,0)),"Cadastre em Ingredientes"))</f>
        <v/>
      </c>
      <c r="G267" s="7"/>
    </row>
    <row r="268" customFormat="false" ht="21" hidden="false" customHeight="true" outlineLevel="0" collapsed="false">
      <c r="B268" s="7"/>
      <c r="C268" s="7"/>
      <c r="D268" s="37"/>
      <c r="E268" s="34" t="str">
        <f aca="false">IF(C268="","",IFERROR(INDEX(Ingredientes!$D$5:$D$204,MATCH(C268,Ingredientes!$B$5:$B$204,0)),"?"))</f>
        <v/>
      </c>
      <c r="F268" s="24" t="str">
        <f aca="false">IF(OR(C268="",D268=""),"",IFERROR(D268*INDEX(Ingredientes!$F$5:$F$204,MATCH(C268,Ingredientes!$B$5:$B$204,0))/INDEX(Ingredientes!$E$5:$E$204,MATCH(C268,Ingredientes!$B$5:$B$204,0)),"Cadastre em Ingredientes"))</f>
        <v/>
      </c>
      <c r="G268" s="7"/>
    </row>
    <row r="269" customFormat="false" ht="21" hidden="false" customHeight="true" outlineLevel="0" collapsed="false">
      <c r="B269" s="7"/>
      <c r="C269" s="7"/>
      <c r="D269" s="37"/>
      <c r="E269" s="34" t="str">
        <f aca="false">IF(C269="","",IFERROR(INDEX(Ingredientes!$D$5:$D$204,MATCH(C269,Ingredientes!$B$5:$B$204,0)),"?"))</f>
        <v/>
      </c>
      <c r="F269" s="24" t="str">
        <f aca="false">IF(OR(C269="",D269=""),"",IFERROR(D269*INDEX(Ingredientes!$F$5:$F$204,MATCH(C269,Ingredientes!$B$5:$B$204,0))/INDEX(Ingredientes!$E$5:$E$204,MATCH(C269,Ingredientes!$B$5:$B$204,0)),"Cadastre em Ingredientes"))</f>
        <v/>
      </c>
      <c r="G269" s="7"/>
    </row>
    <row r="270" customFormat="false" ht="21" hidden="false" customHeight="true" outlineLevel="0" collapsed="false">
      <c r="B270" s="7"/>
      <c r="C270" s="7"/>
      <c r="D270" s="37"/>
      <c r="E270" s="34" t="str">
        <f aca="false">IF(C270="","",IFERROR(INDEX(Ingredientes!$D$5:$D$204,MATCH(C270,Ingredientes!$B$5:$B$204,0)),"?"))</f>
        <v/>
      </c>
      <c r="F270" s="24" t="str">
        <f aca="false">IF(OR(C270="",D270=""),"",IFERROR(D270*INDEX(Ingredientes!$F$5:$F$204,MATCH(C270,Ingredientes!$B$5:$B$204,0))/INDEX(Ingredientes!$E$5:$E$204,MATCH(C270,Ingredientes!$B$5:$B$204,0)),"Cadastre em Ingredientes"))</f>
        <v/>
      </c>
      <c r="G270" s="7"/>
    </row>
    <row r="271" customFormat="false" ht="21" hidden="false" customHeight="true" outlineLevel="0" collapsed="false">
      <c r="B271" s="7"/>
      <c r="C271" s="7"/>
      <c r="D271" s="37"/>
      <c r="E271" s="34" t="str">
        <f aca="false">IF(C271="","",IFERROR(INDEX(Ingredientes!$D$5:$D$204,MATCH(C271,Ingredientes!$B$5:$B$204,0)),"?"))</f>
        <v/>
      </c>
      <c r="F271" s="24" t="str">
        <f aca="false">IF(OR(C271="",D271=""),"",IFERROR(D271*INDEX(Ingredientes!$F$5:$F$204,MATCH(C271,Ingredientes!$B$5:$B$204,0))/INDEX(Ingredientes!$E$5:$E$204,MATCH(C271,Ingredientes!$B$5:$B$204,0)),"Cadastre em Ingredientes"))</f>
        <v/>
      </c>
      <c r="G271" s="7"/>
    </row>
    <row r="272" customFormat="false" ht="21" hidden="false" customHeight="true" outlineLevel="0" collapsed="false">
      <c r="B272" s="7"/>
      <c r="C272" s="7"/>
      <c r="D272" s="37"/>
      <c r="E272" s="34" t="str">
        <f aca="false">IF(C272="","",IFERROR(INDEX(Ingredientes!$D$5:$D$204,MATCH(C272,Ingredientes!$B$5:$B$204,0)),"?"))</f>
        <v/>
      </c>
      <c r="F272" s="24" t="str">
        <f aca="false">IF(OR(C272="",D272=""),"",IFERROR(D272*INDEX(Ingredientes!$F$5:$F$204,MATCH(C272,Ingredientes!$B$5:$B$204,0))/INDEX(Ingredientes!$E$5:$E$204,MATCH(C272,Ingredientes!$B$5:$B$204,0)),"Cadastre em Ingredientes"))</f>
        <v/>
      </c>
      <c r="G272" s="7"/>
    </row>
    <row r="273" customFormat="false" ht="21" hidden="false" customHeight="true" outlineLevel="0" collapsed="false">
      <c r="B273" s="7"/>
      <c r="C273" s="7"/>
      <c r="D273" s="37"/>
      <c r="E273" s="34" t="str">
        <f aca="false">IF(C273="","",IFERROR(INDEX(Ingredientes!$D$5:$D$204,MATCH(C273,Ingredientes!$B$5:$B$204,0)),"?"))</f>
        <v/>
      </c>
      <c r="F273" s="24" t="str">
        <f aca="false">IF(OR(C273="",D273=""),"",IFERROR(D273*INDEX(Ingredientes!$F$5:$F$204,MATCH(C273,Ingredientes!$B$5:$B$204,0))/INDEX(Ingredientes!$E$5:$E$204,MATCH(C273,Ingredientes!$B$5:$B$204,0)),"Cadastre em Ingredientes"))</f>
        <v/>
      </c>
      <c r="G273" s="7"/>
    </row>
    <row r="274" customFormat="false" ht="21" hidden="false" customHeight="true" outlineLevel="0" collapsed="false">
      <c r="B274" s="7"/>
      <c r="C274" s="7"/>
      <c r="D274" s="37"/>
      <c r="E274" s="34" t="str">
        <f aca="false">IF(C274="","",IFERROR(INDEX(Ingredientes!$D$5:$D$204,MATCH(C274,Ingredientes!$B$5:$B$204,0)),"?"))</f>
        <v/>
      </c>
      <c r="F274" s="24" t="str">
        <f aca="false">IF(OR(C274="",D274=""),"",IFERROR(D274*INDEX(Ingredientes!$F$5:$F$204,MATCH(C274,Ingredientes!$B$5:$B$204,0))/INDEX(Ingredientes!$E$5:$E$204,MATCH(C274,Ingredientes!$B$5:$B$204,0)),"Cadastre em Ingredientes"))</f>
        <v/>
      </c>
      <c r="G274" s="7"/>
    </row>
    <row r="275" customFormat="false" ht="21" hidden="false" customHeight="true" outlineLevel="0" collapsed="false">
      <c r="B275" s="7"/>
      <c r="C275" s="7"/>
      <c r="D275" s="37"/>
      <c r="E275" s="34" t="str">
        <f aca="false">IF(C275="","",IFERROR(INDEX(Ingredientes!$D$5:$D$204,MATCH(C275,Ingredientes!$B$5:$B$204,0)),"?"))</f>
        <v/>
      </c>
      <c r="F275" s="24" t="str">
        <f aca="false">IF(OR(C275="",D275=""),"",IFERROR(D275*INDEX(Ingredientes!$F$5:$F$204,MATCH(C275,Ingredientes!$B$5:$B$204,0))/INDEX(Ingredientes!$E$5:$E$204,MATCH(C275,Ingredientes!$B$5:$B$204,0)),"Cadastre em Ingredientes"))</f>
        <v/>
      </c>
      <c r="G275" s="7"/>
    </row>
    <row r="276" customFormat="false" ht="21" hidden="false" customHeight="true" outlineLevel="0" collapsed="false">
      <c r="B276" s="7"/>
      <c r="C276" s="7"/>
      <c r="D276" s="37"/>
      <c r="E276" s="34" t="str">
        <f aca="false">IF(C276="","",IFERROR(INDEX(Ingredientes!$D$5:$D$204,MATCH(C276,Ingredientes!$B$5:$B$204,0)),"?"))</f>
        <v/>
      </c>
      <c r="F276" s="24" t="str">
        <f aca="false">IF(OR(C276="",D276=""),"",IFERROR(D276*INDEX(Ingredientes!$F$5:$F$204,MATCH(C276,Ingredientes!$B$5:$B$204,0))/INDEX(Ingredientes!$E$5:$E$204,MATCH(C276,Ingredientes!$B$5:$B$204,0)),"Cadastre em Ingredientes"))</f>
        <v/>
      </c>
      <c r="G276" s="7"/>
    </row>
    <row r="277" customFormat="false" ht="21" hidden="false" customHeight="true" outlineLevel="0" collapsed="false">
      <c r="B277" s="7"/>
      <c r="C277" s="7"/>
      <c r="D277" s="37"/>
      <c r="E277" s="34" t="str">
        <f aca="false">IF(C277="","",IFERROR(INDEX(Ingredientes!$D$5:$D$204,MATCH(C277,Ingredientes!$B$5:$B$204,0)),"?"))</f>
        <v/>
      </c>
      <c r="F277" s="24" t="str">
        <f aca="false">IF(OR(C277="",D277=""),"",IFERROR(D277*INDEX(Ingredientes!$F$5:$F$204,MATCH(C277,Ingredientes!$B$5:$B$204,0))/INDEX(Ingredientes!$E$5:$E$204,MATCH(C277,Ingredientes!$B$5:$B$204,0)),"Cadastre em Ingredientes"))</f>
        <v/>
      </c>
      <c r="G277" s="7"/>
    </row>
    <row r="278" customFormat="false" ht="21" hidden="false" customHeight="true" outlineLevel="0" collapsed="false">
      <c r="B278" s="7"/>
      <c r="C278" s="7"/>
      <c r="D278" s="37"/>
      <c r="E278" s="34" t="str">
        <f aca="false">IF(C278="","",IFERROR(INDEX(Ingredientes!$D$5:$D$204,MATCH(C278,Ingredientes!$B$5:$B$204,0)),"?"))</f>
        <v/>
      </c>
      <c r="F278" s="24" t="str">
        <f aca="false">IF(OR(C278="",D278=""),"",IFERROR(D278*INDEX(Ingredientes!$F$5:$F$204,MATCH(C278,Ingredientes!$B$5:$B$204,0))/INDEX(Ingredientes!$E$5:$E$204,MATCH(C278,Ingredientes!$B$5:$B$204,0)),"Cadastre em Ingredientes"))</f>
        <v/>
      </c>
      <c r="G278" s="7"/>
    </row>
    <row r="279" customFormat="false" ht="21" hidden="false" customHeight="true" outlineLevel="0" collapsed="false">
      <c r="B279" s="7"/>
      <c r="C279" s="7"/>
      <c r="D279" s="37"/>
      <c r="E279" s="34" t="str">
        <f aca="false">IF(C279="","",IFERROR(INDEX(Ingredientes!$D$5:$D$204,MATCH(C279,Ingredientes!$B$5:$B$204,0)),"?"))</f>
        <v/>
      </c>
      <c r="F279" s="24" t="str">
        <f aca="false">IF(OR(C279="",D279=""),"",IFERROR(D279*INDEX(Ingredientes!$F$5:$F$204,MATCH(C279,Ingredientes!$B$5:$B$204,0))/INDEX(Ingredientes!$E$5:$E$204,MATCH(C279,Ingredientes!$B$5:$B$204,0)),"Cadastre em Ingredientes"))</f>
        <v/>
      </c>
      <c r="G279" s="7"/>
    </row>
    <row r="280" customFormat="false" ht="21" hidden="false" customHeight="true" outlineLevel="0" collapsed="false">
      <c r="B280" s="7"/>
      <c r="C280" s="7"/>
      <c r="D280" s="37"/>
      <c r="E280" s="34" t="str">
        <f aca="false">IF(C280="","",IFERROR(INDEX(Ingredientes!$D$5:$D$204,MATCH(C280,Ingredientes!$B$5:$B$204,0)),"?"))</f>
        <v/>
      </c>
      <c r="F280" s="24" t="str">
        <f aca="false">IF(OR(C280="",D280=""),"",IFERROR(D280*INDEX(Ingredientes!$F$5:$F$204,MATCH(C280,Ingredientes!$B$5:$B$204,0))/INDEX(Ingredientes!$E$5:$E$204,MATCH(C280,Ingredientes!$B$5:$B$204,0)),"Cadastre em Ingredientes"))</f>
        <v/>
      </c>
      <c r="G280" s="7"/>
    </row>
    <row r="281" customFormat="false" ht="21" hidden="false" customHeight="true" outlineLevel="0" collapsed="false">
      <c r="B281" s="7"/>
      <c r="C281" s="7"/>
      <c r="D281" s="37"/>
      <c r="E281" s="34" t="str">
        <f aca="false">IF(C281="","",IFERROR(INDEX(Ingredientes!$D$5:$D$204,MATCH(C281,Ingredientes!$B$5:$B$204,0)),"?"))</f>
        <v/>
      </c>
      <c r="F281" s="24" t="str">
        <f aca="false">IF(OR(C281="",D281=""),"",IFERROR(D281*INDEX(Ingredientes!$F$5:$F$204,MATCH(C281,Ingredientes!$B$5:$B$204,0))/INDEX(Ingredientes!$E$5:$E$204,MATCH(C281,Ingredientes!$B$5:$B$204,0)),"Cadastre em Ingredientes"))</f>
        <v/>
      </c>
      <c r="G281" s="7"/>
    </row>
    <row r="282" customFormat="false" ht="21" hidden="false" customHeight="true" outlineLevel="0" collapsed="false">
      <c r="B282" s="7"/>
      <c r="C282" s="7"/>
      <c r="D282" s="37"/>
      <c r="E282" s="34" t="str">
        <f aca="false">IF(C282="","",IFERROR(INDEX(Ingredientes!$D$5:$D$204,MATCH(C282,Ingredientes!$B$5:$B$204,0)),"?"))</f>
        <v/>
      </c>
      <c r="F282" s="24" t="str">
        <f aca="false">IF(OR(C282="",D282=""),"",IFERROR(D282*INDEX(Ingredientes!$F$5:$F$204,MATCH(C282,Ingredientes!$B$5:$B$204,0))/INDEX(Ingredientes!$E$5:$E$204,MATCH(C282,Ingredientes!$B$5:$B$204,0)),"Cadastre em Ingredientes"))</f>
        <v/>
      </c>
      <c r="G282" s="7"/>
    </row>
    <row r="283" customFormat="false" ht="21" hidden="false" customHeight="true" outlineLevel="0" collapsed="false">
      <c r="B283" s="7"/>
      <c r="C283" s="7"/>
      <c r="D283" s="37"/>
      <c r="E283" s="34" t="str">
        <f aca="false">IF(C283="","",IFERROR(INDEX(Ingredientes!$D$5:$D$204,MATCH(C283,Ingredientes!$B$5:$B$204,0)),"?"))</f>
        <v/>
      </c>
      <c r="F283" s="24" t="str">
        <f aca="false">IF(OR(C283="",D283=""),"",IFERROR(D283*INDEX(Ingredientes!$F$5:$F$204,MATCH(C283,Ingredientes!$B$5:$B$204,0))/INDEX(Ingredientes!$E$5:$E$204,MATCH(C283,Ingredientes!$B$5:$B$204,0)),"Cadastre em Ingredientes"))</f>
        <v/>
      </c>
      <c r="G283" s="7"/>
    </row>
    <row r="284" customFormat="false" ht="21" hidden="false" customHeight="true" outlineLevel="0" collapsed="false">
      <c r="B284" s="7"/>
      <c r="C284" s="7"/>
      <c r="D284" s="37"/>
      <c r="E284" s="34" t="str">
        <f aca="false">IF(C284="","",IFERROR(INDEX(Ingredientes!$D$5:$D$204,MATCH(C284,Ingredientes!$B$5:$B$204,0)),"?"))</f>
        <v/>
      </c>
      <c r="F284" s="24" t="str">
        <f aca="false">IF(OR(C284="",D284=""),"",IFERROR(D284*INDEX(Ingredientes!$F$5:$F$204,MATCH(C284,Ingredientes!$B$5:$B$204,0))/INDEX(Ingredientes!$E$5:$E$204,MATCH(C284,Ingredientes!$B$5:$B$204,0)),"Cadastre em Ingredientes"))</f>
        <v/>
      </c>
      <c r="G284" s="7"/>
    </row>
    <row r="285" customFormat="false" ht="21" hidden="false" customHeight="true" outlineLevel="0" collapsed="false">
      <c r="B285" s="7"/>
      <c r="C285" s="7"/>
      <c r="D285" s="37"/>
      <c r="E285" s="34" t="str">
        <f aca="false">IF(C285="","",IFERROR(INDEX(Ingredientes!$D$5:$D$204,MATCH(C285,Ingredientes!$B$5:$B$204,0)),"?"))</f>
        <v/>
      </c>
      <c r="F285" s="24" t="str">
        <f aca="false">IF(OR(C285="",D285=""),"",IFERROR(D285*INDEX(Ingredientes!$F$5:$F$204,MATCH(C285,Ingredientes!$B$5:$B$204,0))/INDEX(Ingredientes!$E$5:$E$204,MATCH(C285,Ingredientes!$B$5:$B$204,0)),"Cadastre em Ingredientes"))</f>
        <v/>
      </c>
      <c r="G285" s="7"/>
    </row>
    <row r="286" customFormat="false" ht="21" hidden="false" customHeight="true" outlineLevel="0" collapsed="false">
      <c r="B286" s="7"/>
      <c r="C286" s="7"/>
      <c r="D286" s="37"/>
      <c r="E286" s="34" t="str">
        <f aca="false">IF(C286="","",IFERROR(INDEX(Ingredientes!$D$5:$D$204,MATCH(C286,Ingredientes!$B$5:$B$204,0)),"?"))</f>
        <v/>
      </c>
      <c r="F286" s="24" t="str">
        <f aca="false">IF(OR(C286="",D286=""),"",IFERROR(D286*INDEX(Ingredientes!$F$5:$F$204,MATCH(C286,Ingredientes!$B$5:$B$204,0))/INDEX(Ingredientes!$E$5:$E$204,MATCH(C286,Ingredientes!$B$5:$B$204,0)),"Cadastre em Ingredientes"))</f>
        <v/>
      </c>
      <c r="G286" s="7"/>
    </row>
    <row r="287" customFormat="false" ht="21" hidden="false" customHeight="true" outlineLevel="0" collapsed="false">
      <c r="B287" s="7"/>
      <c r="C287" s="7"/>
      <c r="D287" s="37"/>
      <c r="E287" s="34" t="str">
        <f aca="false">IF(C287="","",IFERROR(INDEX(Ingredientes!$D$5:$D$204,MATCH(C287,Ingredientes!$B$5:$B$204,0)),"?"))</f>
        <v/>
      </c>
      <c r="F287" s="24" t="str">
        <f aca="false">IF(OR(C287="",D287=""),"",IFERROR(D287*INDEX(Ingredientes!$F$5:$F$204,MATCH(C287,Ingredientes!$B$5:$B$204,0))/INDEX(Ingredientes!$E$5:$E$204,MATCH(C287,Ingredientes!$B$5:$B$204,0)),"Cadastre em Ingredientes"))</f>
        <v/>
      </c>
      <c r="G287" s="7"/>
    </row>
    <row r="288" customFormat="false" ht="21" hidden="false" customHeight="true" outlineLevel="0" collapsed="false">
      <c r="B288" s="7"/>
      <c r="C288" s="7"/>
      <c r="D288" s="37"/>
      <c r="E288" s="34" t="str">
        <f aca="false">IF(C288="","",IFERROR(INDEX(Ingredientes!$D$5:$D$204,MATCH(C288,Ingredientes!$B$5:$B$204,0)),"?"))</f>
        <v/>
      </c>
      <c r="F288" s="24" t="str">
        <f aca="false">IF(OR(C288="",D288=""),"",IFERROR(D288*INDEX(Ingredientes!$F$5:$F$204,MATCH(C288,Ingredientes!$B$5:$B$204,0))/INDEX(Ingredientes!$E$5:$E$204,MATCH(C288,Ingredientes!$B$5:$B$204,0)),"Cadastre em Ingredientes"))</f>
        <v/>
      </c>
      <c r="G288" s="7"/>
    </row>
    <row r="289" customFormat="false" ht="21" hidden="false" customHeight="true" outlineLevel="0" collapsed="false">
      <c r="B289" s="7"/>
      <c r="C289" s="7"/>
      <c r="D289" s="37"/>
      <c r="E289" s="34" t="str">
        <f aca="false">IF(C289="","",IFERROR(INDEX(Ingredientes!$D$5:$D$204,MATCH(C289,Ingredientes!$B$5:$B$204,0)),"?"))</f>
        <v/>
      </c>
      <c r="F289" s="24" t="str">
        <f aca="false">IF(OR(C289="",D289=""),"",IFERROR(D289*INDEX(Ingredientes!$F$5:$F$204,MATCH(C289,Ingredientes!$B$5:$B$204,0))/INDEX(Ingredientes!$E$5:$E$204,MATCH(C289,Ingredientes!$B$5:$B$204,0)),"Cadastre em Ingredientes"))</f>
        <v/>
      </c>
      <c r="G289" s="7"/>
    </row>
    <row r="290" customFormat="false" ht="21" hidden="false" customHeight="true" outlineLevel="0" collapsed="false">
      <c r="B290" s="7"/>
      <c r="C290" s="7"/>
      <c r="D290" s="37"/>
      <c r="E290" s="34" t="str">
        <f aca="false">IF(C290="","",IFERROR(INDEX(Ingredientes!$D$5:$D$204,MATCH(C290,Ingredientes!$B$5:$B$204,0)),"?"))</f>
        <v/>
      </c>
      <c r="F290" s="24" t="str">
        <f aca="false">IF(OR(C290="",D290=""),"",IFERROR(D290*INDEX(Ingredientes!$F$5:$F$204,MATCH(C290,Ingredientes!$B$5:$B$204,0))/INDEX(Ingredientes!$E$5:$E$204,MATCH(C290,Ingredientes!$B$5:$B$204,0)),"Cadastre em Ingredientes"))</f>
        <v/>
      </c>
      <c r="G290" s="7"/>
    </row>
    <row r="291" customFormat="false" ht="21" hidden="false" customHeight="true" outlineLevel="0" collapsed="false">
      <c r="B291" s="7"/>
      <c r="C291" s="7"/>
      <c r="D291" s="37"/>
      <c r="E291" s="34" t="str">
        <f aca="false">IF(C291="","",IFERROR(INDEX(Ingredientes!$D$5:$D$204,MATCH(C291,Ingredientes!$B$5:$B$204,0)),"?"))</f>
        <v/>
      </c>
      <c r="F291" s="24" t="str">
        <f aca="false">IF(OR(C291="",D291=""),"",IFERROR(D291*INDEX(Ingredientes!$F$5:$F$204,MATCH(C291,Ingredientes!$B$5:$B$204,0))/INDEX(Ingredientes!$E$5:$E$204,MATCH(C291,Ingredientes!$B$5:$B$204,0)),"Cadastre em Ingredientes"))</f>
        <v/>
      </c>
      <c r="G291" s="7"/>
    </row>
    <row r="292" customFormat="false" ht="21" hidden="false" customHeight="true" outlineLevel="0" collapsed="false">
      <c r="B292" s="7"/>
      <c r="C292" s="7"/>
      <c r="D292" s="37"/>
      <c r="E292" s="34" t="str">
        <f aca="false">IF(C292="","",IFERROR(INDEX(Ingredientes!$D$5:$D$204,MATCH(C292,Ingredientes!$B$5:$B$204,0)),"?"))</f>
        <v/>
      </c>
      <c r="F292" s="24" t="str">
        <f aca="false">IF(OR(C292="",D292=""),"",IFERROR(D292*INDEX(Ingredientes!$F$5:$F$204,MATCH(C292,Ingredientes!$B$5:$B$204,0))/INDEX(Ingredientes!$E$5:$E$204,MATCH(C292,Ingredientes!$B$5:$B$204,0)),"Cadastre em Ingredientes"))</f>
        <v/>
      </c>
      <c r="G292" s="7"/>
    </row>
    <row r="293" customFormat="false" ht="21" hidden="false" customHeight="true" outlineLevel="0" collapsed="false">
      <c r="B293" s="7"/>
      <c r="C293" s="7"/>
      <c r="D293" s="37"/>
      <c r="E293" s="34" t="str">
        <f aca="false">IF(C293="","",IFERROR(INDEX(Ingredientes!$D$5:$D$204,MATCH(C293,Ingredientes!$B$5:$B$204,0)),"?"))</f>
        <v/>
      </c>
      <c r="F293" s="24" t="str">
        <f aca="false">IF(OR(C293="",D293=""),"",IFERROR(D293*INDEX(Ingredientes!$F$5:$F$204,MATCH(C293,Ingredientes!$B$5:$B$204,0))/INDEX(Ingredientes!$E$5:$E$204,MATCH(C293,Ingredientes!$B$5:$B$204,0)),"Cadastre em Ingredientes"))</f>
        <v/>
      </c>
      <c r="G293" s="7"/>
    </row>
    <row r="294" customFormat="false" ht="21" hidden="false" customHeight="true" outlineLevel="0" collapsed="false">
      <c r="B294" s="7"/>
      <c r="C294" s="7"/>
      <c r="D294" s="37"/>
      <c r="E294" s="34" t="str">
        <f aca="false">IF(C294="","",IFERROR(INDEX(Ingredientes!$D$5:$D$204,MATCH(C294,Ingredientes!$B$5:$B$204,0)),"?"))</f>
        <v/>
      </c>
      <c r="F294" s="24" t="str">
        <f aca="false">IF(OR(C294="",D294=""),"",IFERROR(D294*INDEX(Ingredientes!$F$5:$F$204,MATCH(C294,Ingredientes!$B$5:$B$204,0))/INDEX(Ingredientes!$E$5:$E$204,MATCH(C294,Ingredientes!$B$5:$B$204,0)),"Cadastre em Ingredientes"))</f>
        <v/>
      </c>
      <c r="G294" s="7"/>
    </row>
    <row r="295" customFormat="false" ht="21" hidden="false" customHeight="true" outlineLevel="0" collapsed="false">
      <c r="B295" s="7"/>
      <c r="C295" s="7"/>
      <c r="D295" s="37"/>
      <c r="E295" s="34" t="str">
        <f aca="false">IF(C295="","",IFERROR(INDEX(Ingredientes!$D$5:$D$204,MATCH(C295,Ingredientes!$B$5:$B$204,0)),"?"))</f>
        <v/>
      </c>
      <c r="F295" s="24" t="str">
        <f aca="false">IF(OR(C295="",D295=""),"",IFERROR(D295*INDEX(Ingredientes!$F$5:$F$204,MATCH(C295,Ingredientes!$B$5:$B$204,0))/INDEX(Ingredientes!$E$5:$E$204,MATCH(C295,Ingredientes!$B$5:$B$204,0)),"Cadastre em Ingredientes"))</f>
        <v/>
      </c>
      <c r="G295" s="7"/>
    </row>
    <row r="296" customFormat="false" ht="21" hidden="false" customHeight="true" outlineLevel="0" collapsed="false">
      <c r="B296" s="7"/>
      <c r="C296" s="7"/>
      <c r="D296" s="37"/>
      <c r="E296" s="34" t="str">
        <f aca="false">IF(C296="","",IFERROR(INDEX(Ingredientes!$D$5:$D$204,MATCH(C296,Ingredientes!$B$5:$B$204,0)),"?"))</f>
        <v/>
      </c>
      <c r="F296" s="24" t="str">
        <f aca="false">IF(OR(C296="",D296=""),"",IFERROR(D296*INDEX(Ingredientes!$F$5:$F$204,MATCH(C296,Ingredientes!$B$5:$B$204,0))/INDEX(Ingredientes!$E$5:$E$204,MATCH(C296,Ingredientes!$B$5:$B$204,0)),"Cadastre em Ingredientes"))</f>
        <v/>
      </c>
      <c r="G296" s="7"/>
    </row>
    <row r="297" customFormat="false" ht="21" hidden="false" customHeight="true" outlineLevel="0" collapsed="false">
      <c r="B297" s="7"/>
      <c r="C297" s="7"/>
      <c r="D297" s="37"/>
      <c r="E297" s="34" t="str">
        <f aca="false">IF(C297="","",IFERROR(INDEX(Ingredientes!$D$5:$D$204,MATCH(C297,Ingredientes!$B$5:$B$204,0)),"?"))</f>
        <v/>
      </c>
      <c r="F297" s="24" t="str">
        <f aca="false">IF(OR(C297="",D297=""),"",IFERROR(D297*INDEX(Ingredientes!$F$5:$F$204,MATCH(C297,Ingredientes!$B$5:$B$204,0))/INDEX(Ingredientes!$E$5:$E$204,MATCH(C297,Ingredientes!$B$5:$B$204,0)),"Cadastre em Ingredientes"))</f>
        <v/>
      </c>
      <c r="G297" s="7"/>
    </row>
    <row r="298" customFormat="false" ht="21" hidden="false" customHeight="true" outlineLevel="0" collapsed="false">
      <c r="B298" s="7"/>
      <c r="C298" s="7"/>
      <c r="D298" s="37"/>
      <c r="E298" s="34" t="str">
        <f aca="false">IF(C298="","",IFERROR(INDEX(Ingredientes!$D$5:$D$204,MATCH(C298,Ingredientes!$B$5:$B$204,0)),"?"))</f>
        <v/>
      </c>
      <c r="F298" s="24" t="str">
        <f aca="false">IF(OR(C298="",D298=""),"",IFERROR(D298*INDEX(Ingredientes!$F$5:$F$204,MATCH(C298,Ingredientes!$B$5:$B$204,0))/INDEX(Ingredientes!$E$5:$E$204,MATCH(C298,Ingredientes!$B$5:$B$204,0)),"Cadastre em Ingredientes"))</f>
        <v/>
      </c>
      <c r="G298" s="7"/>
    </row>
    <row r="299" customFormat="false" ht="21" hidden="false" customHeight="true" outlineLevel="0" collapsed="false">
      <c r="B299" s="7"/>
      <c r="C299" s="7"/>
      <c r="D299" s="37"/>
      <c r="E299" s="34" t="str">
        <f aca="false">IF(C299="","",IFERROR(INDEX(Ingredientes!$D$5:$D$204,MATCH(C299,Ingredientes!$B$5:$B$204,0)),"?"))</f>
        <v/>
      </c>
      <c r="F299" s="24" t="str">
        <f aca="false">IF(OR(C299="",D299=""),"",IFERROR(D299*INDEX(Ingredientes!$F$5:$F$204,MATCH(C299,Ingredientes!$B$5:$B$204,0))/INDEX(Ingredientes!$E$5:$E$204,MATCH(C299,Ingredientes!$B$5:$B$204,0)),"Cadastre em Ingredientes"))</f>
        <v/>
      </c>
      <c r="G299" s="7"/>
    </row>
    <row r="300" customFormat="false" ht="21" hidden="false" customHeight="true" outlineLevel="0" collapsed="false">
      <c r="B300" s="7"/>
      <c r="C300" s="7"/>
      <c r="D300" s="37"/>
      <c r="E300" s="34" t="str">
        <f aca="false">IF(C300="","",IFERROR(INDEX(Ingredientes!$D$5:$D$204,MATCH(C300,Ingredientes!$B$5:$B$204,0)),"?"))</f>
        <v/>
      </c>
      <c r="F300" s="24" t="str">
        <f aca="false">IF(OR(C300="",D300=""),"",IFERROR(D300*INDEX(Ingredientes!$F$5:$F$204,MATCH(C300,Ingredientes!$B$5:$B$204,0))/INDEX(Ingredientes!$E$5:$E$204,MATCH(C300,Ingredientes!$B$5:$B$204,0)),"Cadastre em Ingredientes"))</f>
        <v/>
      </c>
      <c r="G300" s="7"/>
    </row>
    <row r="301" customFormat="false" ht="21" hidden="false" customHeight="true" outlineLevel="0" collapsed="false">
      <c r="B301" s="7"/>
      <c r="C301" s="7"/>
      <c r="D301" s="37"/>
      <c r="E301" s="34" t="str">
        <f aca="false">IF(C301="","",IFERROR(INDEX(Ingredientes!$D$5:$D$204,MATCH(C301,Ingredientes!$B$5:$B$204,0)),"?"))</f>
        <v/>
      </c>
      <c r="F301" s="24" t="str">
        <f aca="false">IF(OR(C301="",D301=""),"",IFERROR(D301*INDEX(Ingredientes!$F$5:$F$204,MATCH(C301,Ingredientes!$B$5:$B$204,0))/INDEX(Ingredientes!$E$5:$E$204,MATCH(C301,Ingredientes!$B$5:$B$204,0)),"Cadastre em Ingredientes"))</f>
        <v/>
      </c>
      <c r="G301" s="7"/>
    </row>
    <row r="302" customFormat="false" ht="21" hidden="false" customHeight="true" outlineLevel="0" collapsed="false">
      <c r="B302" s="7"/>
      <c r="C302" s="7"/>
      <c r="D302" s="37"/>
      <c r="E302" s="34" t="str">
        <f aca="false">IF(C302="","",IFERROR(INDEX(Ingredientes!$D$5:$D$204,MATCH(C302,Ingredientes!$B$5:$B$204,0)),"?"))</f>
        <v/>
      </c>
      <c r="F302" s="24" t="str">
        <f aca="false">IF(OR(C302="",D302=""),"",IFERROR(D302*INDEX(Ingredientes!$F$5:$F$204,MATCH(C302,Ingredientes!$B$5:$B$204,0))/INDEX(Ingredientes!$E$5:$E$204,MATCH(C302,Ingredientes!$B$5:$B$204,0)),"Cadastre em Ingredientes"))</f>
        <v/>
      </c>
      <c r="G302" s="7"/>
    </row>
    <row r="303" customFormat="false" ht="21" hidden="false" customHeight="true" outlineLevel="0" collapsed="false">
      <c r="B303" s="7"/>
      <c r="C303" s="7"/>
      <c r="D303" s="37"/>
      <c r="E303" s="34" t="str">
        <f aca="false">IF(C303="","",IFERROR(INDEX(Ingredientes!$D$5:$D$204,MATCH(C303,Ingredientes!$B$5:$B$204,0)),"?"))</f>
        <v/>
      </c>
      <c r="F303" s="24" t="str">
        <f aca="false">IF(OR(C303="",D303=""),"",IFERROR(D303*INDEX(Ingredientes!$F$5:$F$204,MATCH(C303,Ingredientes!$B$5:$B$204,0))/INDEX(Ingredientes!$E$5:$E$204,MATCH(C303,Ingredientes!$B$5:$B$204,0)),"Cadastre em Ingredientes"))</f>
        <v/>
      </c>
      <c r="G303" s="7"/>
    </row>
    <row r="304" customFormat="false" ht="21" hidden="false" customHeight="true" outlineLevel="0" collapsed="false">
      <c r="B304" s="7"/>
      <c r="C304" s="7"/>
      <c r="D304" s="37"/>
      <c r="E304" s="34" t="str">
        <f aca="false">IF(C304="","",IFERROR(INDEX(Ingredientes!$D$5:$D$204,MATCH(C304,Ingredientes!$B$5:$B$204,0)),"?"))</f>
        <v/>
      </c>
      <c r="F304" s="24" t="str">
        <f aca="false">IF(OR(C304="",D304=""),"",IFERROR(D304*INDEX(Ingredientes!$F$5:$F$204,MATCH(C304,Ingredientes!$B$5:$B$204,0))/INDEX(Ingredientes!$E$5:$E$204,MATCH(C304,Ingredientes!$B$5:$B$204,0)),"Cadastre em Ingredientes"))</f>
        <v/>
      </c>
      <c r="G304" s="7"/>
    </row>
    <row r="305" customFormat="false" ht="21" hidden="false" customHeight="true" outlineLevel="0" collapsed="false">
      <c r="B305" s="7"/>
      <c r="C305" s="7"/>
      <c r="D305" s="37"/>
      <c r="E305" s="34" t="str">
        <f aca="false">IF(C305="","",IFERROR(INDEX(Ingredientes!$D$5:$D$204,MATCH(C305,Ingredientes!$B$5:$B$204,0)),"?"))</f>
        <v/>
      </c>
      <c r="F305" s="24" t="str">
        <f aca="false">IF(OR(C305="",D305=""),"",IFERROR(D305*INDEX(Ingredientes!$F$5:$F$204,MATCH(C305,Ingredientes!$B$5:$B$204,0))/INDEX(Ingredientes!$E$5:$E$204,MATCH(C305,Ingredientes!$B$5:$B$204,0)),"Cadastre em Ingredientes"))</f>
        <v/>
      </c>
      <c r="G305" s="7"/>
    </row>
    <row r="306" customFormat="false" ht="21" hidden="false" customHeight="true" outlineLevel="0" collapsed="false">
      <c r="B306" s="7"/>
      <c r="C306" s="7"/>
      <c r="D306" s="37"/>
      <c r="E306" s="34" t="str">
        <f aca="false">IF(C306="","",IFERROR(INDEX(Ingredientes!$D$5:$D$204,MATCH(C306,Ingredientes!$B$5:$B$204,0)),"?"))</f>
        <v/>
      </c>
      <c r="F306" s="24" t="str">
        <f aca="false">IF(OR(C306="",D306=""),"",IFERROR(D306*INDEX(Ingredientes!$F$5:$F$204,MATCH(C306,Ingredientes!$B$5:$B$204,0))/INDEX(Ingredientes!$E$5:$E$204,MATCH(C306,Ingredientes!$B$5:$B$204,0)),"Cadastre em Ingredientes"))</f>
        <v/>
      </c>
      <c r="G306" s="7"/>
    </row>
    <row r="307" customFormat="false" ht="21" hidden="false" customHeight="true" outlineLevel="0" collapsed="false">
      <c r="B307" s="7"/>
      <c r="C307" s="7"/>
      <c r="D307" s="37"/>
      <c r="E307" s="34" t="str">
        <f aca="false">IF(C307="","",IFERROR(INDEX(Ingredientes!$D$5:$D$204,MATCH(C307,Ingredientes!$B$5:$B$204,0)),"?"))</f>
        <v/>
      </c>
      <c r="F307" s="24" t="str">
        <f aca="false">IF(OR(C307="",D307=""),"",IFERROR(D307*INDEX(Ingredientes!$F$5:$F$204,MATCH(C307,Ingredientes!$B$5:$B$204,0))/INDEX(Ingredientes!$E$5:$E$204,MATCH(C307,Ingredientes!$B$5:$B$204,0)),"Cadastre em Ingredientes"))</f>
        <v/>
      </c>
      <c r="G307" s="7"/>
    </row>
    <row r="308" customFormat="false" ht="21" hidden="false" customHeight="true" outlineLevel="0" collapsed="false">
      <c r="B308" s="7"/>
      <c r="C308" s="7"/>
      <c r="D308" s="37"/>
      <c r="E308" s="34" t="str">
        <f aca="false">IF(C308="","",IFERROR(INDEX(Ingredientes!$D$5:$D$204,MATCH(C308,Ingredientes!$B$5:$B$204,0)),"?"))</f>
        <v/>
      </c>
      <c r="F308" s="24" t="str">
        <f aca="false">IF(OR(C308="",D308=""),"",IFERROR(D308*INDEX(Ingredientes!$F$5:$F$204,MATCH(C308,Ingredientes!$B$5:$B$204,0))/INDEX(Ingredientes!$E$5:$E$204,MATCH(C308,Ingredientes!$B$5:$B$204,0)),"Cadastre em Ingredientes"))</f>
        <v/>
      </c>
      <c r="G308" s="7"/>
    </row>
    <row r="309" customFormat="false" ht="21" hidden="false" customHeight="true" outlineLevel="0" collapsed="false">
      <c r="B309" s="7"/>
      <c r="C309" s="7"/>
      <c r="D309" s="37"/>
      <c r="E309" s="34" t="str">
        <f aca="false">IF(C309="","",IFERROR(INDEX(Ingredientes!$D$5:$D$204,MATCH(C309,Ingredientes!$B$5:$B$204,0)),"?"))</f>
        <v/>
      </c>
      <c r="F309" s="24" t="str">
        <f aca="false">IF(OR(C309="",D309=""),"",IFERROR(D309*INDEX(Ingredientes!$F$5:$F$204,MATCH(C309,Ingredientes!$B$5:$B$204,0))/INDEX(Ingredientes!$E$5:$E$204,MATCH(C309,Ingredientes!$B$5:$B$204,0)),"Cadastre em Ingredientes"))</f>
        <v/>
      </c>
      <c r="G309" s="7"/>
    </row>
    <row r="310" customFormat="false" ht="21" hidden="false" customHeight="true" outlineLevel="0" collapsed="false">
      <c r="B310" s="7"/>
      <c r="C310" s="7"/>
      <c r="D310" s="37"/>
      <c r="E310" s="34" t="str">
        <f aca="false">IF(C310="","",IFERROR(INDEX(Ingredientes!$D$5:$D$204,MATCH(C310,Ingredientes!$B$5:$B$204,0)),"?"))</f>
        <v/>
      </c>
      <c r="F310" s="24" t="str">
        <f aca="false">IF(OR(C310="",D310=""),"",IFERROR(D310*INDEX(Ingredientes!$F$5:$F$204,MATCH(C310,Ingredientes!$B$5:$B$204,0))/INDEX(Ingredientes!$E$5:$E$204,MATCH(C310,Ingredientes!$B$5:$B$204,0)),"Cadastre em Ingredientes"))</f>
        <v/>
      </c>
      <c r="G310" s="7"/>
    </row>
    <row r="311" customFormat="false" ht="21" hidden="false" customHeight="true" outlineLevel="0" collapsed="false">
      <c r="B311" s="7"/>
      <c r="C311" s="7"/>
      <c r="D311" s="37"/>
      <c r="E311" s="34" t="str">
        <f aca="false">IF(C311="","",IFERROR(INDEX(Ingredientes!$D$5:$D$204,MATCH(C311,Ingredientes!$B$5:$B$204,0)),"?"))</f>
        <v/>
      </c>
      <c r="F311" s="24" t="str">
        <f aca="false">IF(OR(C311="",D311=""),"",IFERROR(D311*INDEX(Ingredientes!$F$5:$F$204,MATCH(C311,Ingredientes!$B$5:$B$204,0))/INDEX(Ingredientes!$E$5:$E$204,MATCH(C311,Ingredientes!$B$5:$B$204,0)),"Cadastre em Ingredientes"))</f>
        <v/>
      </c>
      <c r="G311" s="7"/>
    </row>
    <row r="312" customFormat="false" ht="21" hidden="false" customHeight="true" outlineLevel="0" collapsed="false">
      <c r="B312" s="7"/>
      <c r="C312" s="7"/>
      <c r="D312" s="37"/>
      <c r="E312" s="34" t="str">
        <f aca="false">IF(C312="","",IFERROR(INDEX(Ingredientes!$D$5:$D$204,MATCH(C312,Ingredientes!$B$5:$B$204,0)),"?"))</f>
        <v/>
      </c>
      <c r="F312" s="24" t="str">
        <f aca="false">IF(OR(C312="",D312=""),"",IFERROR(D312*INDEX(Ingredientes!$F$5:$F$204,MATCH(C312,Ingredientes!$B$5:$B$204,0))/INDEX(Ingredientes!$E$5:$E$204,MATCH(C312,Ingredientes!$B$5:$B$204,0)),"Cadastre em Ingredientes"))</f>
        <v/>
      </c>
      <c r="G312" s="7"/>
    </row>
    <row r="313" customFormat="false" ht="21" hidden="false" customHeight="true" outlineLevel="0" collapsed="false">
      <c r="B313" s="7"/>
      <c r="C313" s="7"/>
      <c r="D313" s="37"/>
      <c r="E313" s="34" t="str">
        <f aca="false">IF(C313="","",IFERROR(INDEX(Ingredientes!$D$5:$D$204,MATCH(C313,Ingredientes!$B$5:$B$204,0)),"?"))</f>
        <v/>
      </c>
      <c r="F313" s="24" t="str">
        <f aca="false">IF(OR(C313="",D313=""),"",IFERROR(D313*INDEX(Ingredientes!$F$5:$F$204,MATCH(C313,Ingredientes!$B$5:$B$204,0))/INDEX(Ingredientes!$E$5:$E$204,MATCH(C313,Ingredientes!$B$5:$B$204,0)),"Cadastre em Ingredientes"))</f>
        <v/>
      </c>
      <c r="G313" s="7"/>
    </row>
    <row r="314" customFormat="false" ht="21" hidden="false" customHeight="true" outlineLevel="0" collapsed="false">
      <c r="B314" s="7"/>
      <c r="C314" s="7"/>
      <c r="D314" s="37"/>
      <c r="E314" s="34" t="str">
        <f aca="false">IF(C314="","",IFERROR(INDEX(Ingredientes!$D$5:$D$204,MATCH(C314,Ingredientes!$B$5:$B$204,0)),"?"))</f>
        <v/>
      </c>
      <c r="F314" s="24" t="str">
        <f aca="false">IF(OR(C314="",D314=""),"",IFERROR(D314*INDEX(Ingredientes!$F$5:$F$204,MATCH(C314,Ingredientes!$B$5:$B$204,0))/INDEX(Ingredientes!$E$5:$E$204,MATCH(C314,Ingredientes!$B$5:$B$204,0)),"Cadastre em Ingredientes"))</f>
        <v/>
      </c>
      <c r="G314" s="7"/>
    </row>
    <row r="315" customFormat="false" ht="21" hidden="false" customHeight="true" outlineLevel="0" collapsed="false">
      <c r="B315" s="7"/>
      <c r="C315" s="7"/>
      <c r="D315" s="37"/>
      <c r="E315" s="34" t="str">
        <f aca="false">IF(C315="","",IFERROR(INDEX(Ingredientes!$D$5:$D$204,MATCH(C315,Ingredientes!$B$5:$B$204,0)),"?"))</f>
        <v/>
      </c>
      <c r="F315" s="24" t="str">
        <f aca="false">IF(OR(C315="",D315=""),"",IFERROR(D315*INDEX(Ingredientes!$F$5:$F$204,MATCH(C315,Ingredientes!$B$5:$B$204,0))/INDEX(Ingredientes!$E$5:$E$204,MATCH(C315,Ingredientes!$B$5:$B$204,0)),"Cadastre em Ingredientes"))</f>
        <v/>
      </c>
      <c r="G315" s="7"/>
    </row>
    <row r="316" customFormat="false" ht="21" hidden="false" customHeight="true" outlineLevel="0" collapsed="false">
      <c r="B316" s="7"/>
      <c r="C316" s="7"/>
      <c r="D316" s="37"/>
      <c r="E316" s="34" t="str">
        <f aca="false">IF(C316="","",IFERROR(INDEX(Ingredientes!$D$5:$D$204,MATCH(C316,Ingredientes!$B$5:$B$204,0)),"?"))</f>
        <v/>
      </c>
      <c r="F316" s="24" t="str">
        <f aca="false">IF(OR(C316="",D316=""),"",IFERROR(D316*INDEX(Ingredientes!$F$5:$F$204,MATCH(C316,Ingredientes!$B$5:$B$204,0))/INDEX(Ingredientes!$E$5:$E$204,MATCH(C316,Ingredientes!$B$5:$B$204,0)),"Cadastre em Ingredientes"))</f>
        <v/>
      </c>
      <c r="G316" s="7"/>
    </row>
    <row r="317" customFormat="false" ht="21" hidden="false" customHeight="true" outlineLevel="0" collapsed="false">
      <c r="B317" s="7"/>
      <c r="C317" s="7"/>
      <c r="D317" s="37"/>
      <c r="E317" s="34" t="str">
        <f aca="false">IF(C317="","",IFERROR(INDEX(Ingredientes!$D$5:$D$204,MATCH(C317,Ingredientes!$B$5:$B$204,0)),"?"))</f>
        <v/>
      </c>
      <c r="F317" s="24" t="str">
        <f aca="false">IF(OR(C317="",D317=""),"",IFERROR(D317*INDEX(Ingredientes!$F$5:$F$204,MATCH(C317,Ingredientes!$B$5:$B$204,0))/INDEX(Ingredientes!$E$5:$E$204,MATCH(C317,Ingredientes!$B$5:$B$204,0)),"Cadastre em Ingredientes"))</f>
        <v/>
      </c>
      <c r="G317" s="7"/>
    </row>
    <row r="318" customFormat="false" ht="21" hidden="false" customHeight="true" outlineLevel="0" collapsed="false">
      <c r="B318" s="7"/>
      <c r="C318" s="7"/>
      <c r="D318" s="37"/>
      <c r="E318" s="34" t="str">
        <f aca="false">IF(C318="","",IFERROR(INDEX(Ingredientes!$D$5:$D$204,MATCH(C318,Ingredientes!$B$5:$B$204,0)),"?"))</f>
        <v/>
      </c>
      <c r="F318" s="24" t="str">
        <f aca="false">IF(OR(C318="",D318=""),"",IFERROR(D318*INDEX(Ingredientes!$F$5:$F$204,MATCH(C318,Ingredientes!$B$5:$B$204,0))/INDEX(Ingredientes!$E$5:$E$204,MATCH(C318,Ingredientes!$B$5:$B$204,0)),"Cadastre em Ingredientes"))</f>
        <v/>
      </c>
      <c r="G318" s="7"/>
    </row>
    <row r="319" customFormat="false" ht="21" hidden="false" customHeight="true" outlineLevel="0" collapsed="false">
      <c r="B319" s="7"/>
      <c r="C319" s="7"/>
      <c r="D319" s="37"/>
      <c r="E319" s="34" t="str">
        <f aca="false">IF(C319="","",IFERROR(INDEX(Ingredientes!$D$5:$D$204,MATCH(C319,Ingredientes!$B$5:$B$204,0)),"?"))</f>
        <v/>
      </c>
      <c r="F319" s="24" t="str">
        <f aca="false">IF(OR(C319="",D319=""),"",IFERROR(D319*INDEX(Ingredientes!$F$5:$F$204,MATCH(C319,Ingredientes!$B$5:$B$204,0))/INDEX(Ingredientes!$E$5:$E$204,MATCH(C319,Ingredientes!$B$5:$B$204,0)),"Cadastre em Ingredientes"))</f>
        <v/>
      </c>
      <c r="G319" s="7"/>
    </row>
    <row r="320" customFormat="false" ht="21" hidden="false" customHeight="true" outlineLevel="0" collapsed="false">
      <c r="B320" s="7"/>
      <c r="C320" s="7"/>
      <c r="D320" s="37"/>
      <c r="E320" s="34" t="str">
        <f aca="false">IF(C320="","",IFERROR(INDEX(Ingredientes!$D$5:$D$204,MATCH(C320,Ingredientes!$B$5:$B$204,0)),"?"))</f>
        <v/>
      </c>
      <c r="F320" s="24" t="str">
        <f aca="false">IF(OR(C320="",D320=""),"",IFERROR(D320*INDEX(Ingredientes!$F$5:$F$204,MATCH(C320,Ingredientes!$B$5:$B$204,0))/INDEX(Ingredientes!$E$5:$E$204,MATCH(C320,Ingredientes!$B$5:$B$204,0)),"Cadastre em Ingredientes"))</f>
        <v/>
      </c>
      <c r="G320" s="7"/>
    </row>
    <row r="321" customFormat="false" ht="21" hidden="false" customHeight="true" outlineLevel="0" collapsed="false">
      <c r="B321" s="7"/>
      <c r="C321" s="7"/>
      <c r="D321" s="37"/>
      <c r="E321" s="34" t="str">
        <f aca="false">IF(C321="","",IFERROR(INDEX(Ingredientes!$D$5:$D$204,MATCH(C321,Ingredientes!$B$5:$B$204,0)),"?"))</f>
        <v/>
      </c>
      <c r="F321" s="24" t="str">
        <f aca="false">IF(OR(C321="",D321=""),"",IFERROR(D321*INDEX(Ingredientes!$F$5:$F$204,MATCH(C321,Ingredientes!$B$5:$B$204,0))/INDEX(Ingredientes!$E$5:$E$204,MATCH(C321,Ingredientes!$B$5:$B$204,0)),"Cadastre em Ingredientes"))</f>
        <v/>
      </c>
      <c r="G321" s="7"/>
    </row>
    <row r="322" customFormat="false" ht="21" hidden="false" customHeight="true" outlineLevel="0" collapsed="false">
      <c r="B322" s="7"/>
      <c r="C322" s="7"/>
      <c r="D322" s="37"/>
      <c r="E322" s="34" t="str">
        <f aca="false">IF(C322="","",IFERROR(INDEX(Ingredientes!$D$5:$D$204,MATCH(C322,Ingredientes!$B$5:$B$204,0)),"?"))</f>
        <v/>
      </c>
      <c r="F322" s="24" t="str">
        <f aca="false">IF(OR(C322="",D322=""),"",IFERROR(D322*INDEX(Ingredientes!$F$5:$F$204,MATCH(C322,Ingredientes!$B$5:$B$204,0))/INDEX(Ingredientes!$E$5:$E$204,MATCH(C322,Ingredientes!$B$5:$B$204,0)),"Cadastre em Ingredientes"))</f>
        <v/>
      </c>
      <c r="G322" s="7"/>
    </row>
    <row r="323" customFormat="false" ht="21" hidden="false" customHeight="true" outlineLevel="0" collapsed="false">
      <c r="B323" s="7"/>
      <c r="C323" s="7"/>
      <c r="D323" s="37"/>
      <c r="E323" s="34" t="str">
        <f aca="false">IF(C323="","",IFERROR(INDEX(Ingredientes!$D$5:$D$204,MATCH(C323,Ingredientes!$B$5:$B$204,0)),"?"))</f>
        <v/>
      </c>
      <c r="F323" s="24" t="str">
        <f aca="false">IF(OR(C323="",D323=""),"",IFERROR(D323*INDEX(Ingredientes!$F$5:$F$204,MATCH(C323,Ingredientes!$B$5:$B$204,0))/INDEX(Ingredientes!$E$5:$E$204,MATCH(C323,Ingredientes!$B$5:$B$204,0)),"Cadastre em Ingredientes"))</f>
        <v/>
      </c>
      <c r="G323" s="7"/>
    </row>
    <row r="324" customFormat="false" ht="21" hidden="false" customHeight="true" outlineLevel="0" collapsed="false">
      <c r="B324" s="7"/>
      <c r="C324" s="7"/>
      <c r="D324" s="37"/>
      <c r="E324" s="34" t="str">
        <f aca="false">IF(C324="","",IFERROR(INDEX(Ingredientes!$D$5:$D$204,MATCH(C324,Ingredientes!$B$5:$B$204,0)),"?"))</f>
        <v/>
      </c>
      <c r="F324" s="24" t="str">
        <f aca="false">IF(OR(C324="",D324=""),"",IFERROR(D324*INDEX(Ingredientes!$F$5:$F$204,MATCH(C324,Ingredientes!$B$5:$B$204,0))/INDEX(Ingredientes!$E$5:$E$204,MATCH(C324,Ingredientes!$B$5:$B$204,0)),"Cadastre em Ingredientes"))</f>
        <v/>
      </c>
      <c r="G324" s="7"/>
    </row>
    <row r="325" customFormat="false" ht="21" hidden="false" customHeight="true" outlineLevel="0" collapsed="false">
      <c r="B325" s="7"/>
      <c r="C325" s="7"/>
      <c r="D325" s="37"/>
      <c r="E325" s="34" t="str">
        <f aca="false">IF(C325="","",IFERROR(INDEX(Ingredientes!$D$5:$D$204,MATCH(C325,Ingredientes!$B$5:$B$204,0)),"?"))</f>
        <v/>
      </c>
      <c r="F325" s="24" t="str">
        <f aca="false">IF(OR(C325="",D325=""),"",IFERROR(D325*INDEX(Ingredientes!$F$5:$F$204,MATCH(C325,Ingredientes!$B$5:$B$204,0))/INDEX(Ingredientes!$E$5:$E$204,MATCH(C325,Ingredientes!$B$5:$B$204,0)),"Cadastre em Ingredientes"))</f>
        <v/>
      </c>
      <c r="G325" s="7"/>
    </row>
    <row r="326" customFormat="false" ht="21" hidden="false" customHeight="true" outlineLevel="0" collapsed="false">
      <c r="B326" s="7"/>
      <c r="C326" s="7"/>
      <c r="D326" s="37"/>
      <c r="E326" s="34" t="str">
        <f aca="false">IF(C326="","",IFERROR(INDEX(Ingredientes!$D$5:$D$204,MATCH(C326,Ingredientes!$B$5:$B$204,0)),"?"))</f>
        <v/>
      </c>
      <c r="F326" s="24" t="str">
        <f aca="false">IF(OR(C326="",D326=""),"",IFERROR(D326*INDEX(Ingredientes!$F$5:$F$204,MATCH(C326,Ingredientes!$B$5:$B$204,0))/INDEX(Ingredientes!$E$5:$E$204,MATCH(C326,Ingredientes!$B$5:$B$204,0)),"Cadastre em Ingredientes"))</f>
        <v/>
      </c>
      <c r="G326" s="7"/>
    </row>
    <row r="327" customFormat="false" ht="21" hidden="false" customHeight="true" outlineLevel="0" collapsed="false">
      <c r="B327" s="7"/>
      <c r="C327" s="7"/>
      <c r="D327" s="37"/>
      <c r="E327" s="34" t="str">
        <f aca="false">IF(C327="","",IFERROR(INDEX(Ingredientes!$D$5:$D$204,MATCH(C327,Ingredientes!$B$5:$B$204,0)),"?"))</f>
        <v/>
      </c>
      <c r="F327" s="24" t="str">
        <f aca="false">IF(OR(C327="",D327=""),"",IFERROR(D327*INDEX(Ingredientes!$F$5:$F$204,MATCH(C327,Ingredientes!$B$5:$B$204,0))/INDEX(Ingredientes!$E$5:$E$204,MATCH(C327,Ingredientes!$B$5:$B$204,0)),"Cadastre em Ingredientes"))</f>
        <v/>
      </c>
      <c r="G327" s="7"/>
    </row>
    <row r="328" customFormat="false" ht="21" hidden="false" customHeight="true" outlineLevel="0" collapsed="false">
      <c r="B328" s="7"/>
      <c r="C328" s="7"/>
      <c r="D328" s="37"/>
      <c r="E328" s="34" t="str">
        <f aca="false">IF(C328="","",IFERROR(INDEX(Ingredientes!$D$5:$D$204,MATCH(C328,Ingredientes!$B$5:$B$204,0)),"?"))</f>
        <v/>
      </c>
      <c r="F328" s="24" t="str">
        <f aca="false">IF(OR(C328="",D328=""),"",IFERROR(D328*INDEX(Ingredientes!$F$5:$F$204,MATCH(C328,Ingredientes!$B$5:$B$204,0))/INDEX(Ingredientes!$E$5:$E$204,MATCH(C328,Ingredientes!$B$5:$B$204,0)),"Cadastre em Ingredientes"))</f>
        <v/>
      </c>
      <c r="G328" s="7"/>
    </row>
    <row r="329" customFormat="false" ht="21" hidden="false" customHeight="true" outlineLevel="0" collapsed="false">
      <c r="B329" s="7"/>
      <c r="C329" s="7"/>
      <c r="D329" s="37"/>
      <c r="E329" s="34" t="str">
        <f aca="false">IF(C329="","",IFERROR(INDEX(Ingredientes!$D$5:$D$204,MATCH(C329,Ingredientes!$B$5:$B$204,0)),"?"))</f>
        <v/>
      </c>
      <c r="F329" s="24" t="str">
        <f aca="false">IF(OR(C329="",D329=""),"",IFERROR(D329*INDEX(Ingredientes!$F$5:$F$204,MATCH(C329,Ingredientes!$B$5:$B$204,0))/INDEX(Ingredientes!$E$5:$E$204,MATCH(C329,Ingredientes!$B$5:$B$204,0)),"Cadastre em Ingredientes"))</f>
        <v/>
      </c>
      <c r="G329" s="7"/>
    </row>
    <row r="330" customFormat="false" ht="21" hidden="false" customHeight="true" outlineLevel="0" collapsed="false">
      <c r="B330" s="7"/>
      <c r="C330" s="7"/>
      <c r="D330" s="37"/>
      <c r="E330" s="34" t="str">
        <f aca="false">IF(C330="","",IFERROR(INDEX(Ingredientes!$D$5:$D$204,MATCH(C330,Ingredientes!$B$5:$B$204,0)),"?"))</f>
        <v/>
      </c>
      <c r="F330" s="24" t="str">
        <f aca="false">IF(OR(C330="",D330=""),"",IFERROR(D330*INDEX(Ingredientes!$F$5:$F$204,MATCH(C330,Ingredientes!$B$5:$B$204,0))/INDEX(Ingredientes!$E$5:$E$204,MATCH(C330,Ingredientes!$B$5:$B$204,0)),"Cadastre em Ingredientes"))</f>
        <v/>
      </c>
      <c r="G330" s="7"/>
    </row>
    <row r="331" customFormat="false" ht="21" hidden="false" customHeight="true" outlineLevel="0" collapsed="false">
      <c r="B331" s="7"/>
      <c r="C331" s="7"/>
      <c r="D331" s="37"/>
      <c r="E331" s="34" t="str">
        <f aca="false">IF(C331="","",IFERROR(INDEX(Ingredientes!$D$5:$D$204,MATCH(C331,Ingredientes!$B$5:$B$204,0)),"?"))</f>
        <v/>
      </c>
      <c r="F331" s="24" t="str">
        <f aca="false">IF(OR(C331="",D331=""),"",IFERROR(D331*INDEX(Ingredientes!$F$5:$F$204,MATCH(C331,Ingredientes!$B$5:$B$204,0))/INDEX(Ingredientes!$E$5:$E$204,MATCH(C331,Ingredientes!$B$5:$B$204,0)),"Cadastre em Ingredientes"))</f>
        <v/>
      </c>
      <c r="G331" s="7"/>
    </row>
    <row r="332" customFormat="false" ht="21" hidden="false" customHeight="true" outlineLevel="0" collapsed="false">
      <c r="B332" s="7"/>
      <c r="C332" s="7"/>
      <c r="D332" s="37"/>
      <c r="E332" s="34" t="str">
        <f aca="false">IF(C332="","",IFERROR(INDEX(Ingredientes!$D$5:$D$204,MATCH(C332,Ingredientes!$B$5:$B$204,0)),"?"))</f>
        <v/>
      </c>
      <c r="F332" s="24" t="str">
        <f aca="false">IF(OR(C332="",D332=""),"",IFERROR(D332*INDEX(Ingredientes!$F$5:$F$204,MATCH(C332,Ingredientes!$B$5:$B$204,0))/INDEX(Ingredientes!$E$5:$E$204,MATCH(C332,Ingredientes!$B$5:$B$204,0)),"Cadastre em Ingredientes"))</f>
        <v/>
      </c>
      <c r="G332" s="7"/>
    </row>
    <row r="333" customFormat="false" ht="21" hidden="false" customHeight="true" outlineLevel="0" collapsed="false">
      <c r="B333" s="7"/>
      <c r="C333" s="7"/>
      <c r="D333" s="37"/>
      <c r="E333" s="34" t="str">
        <f aca="false">IF(C333="","",IFERROR(INDEX(Ingredientes!$D$5:$D$204,MATCH(C333,Ingredientes!$B$5:$B$204,0)),"?"))</f>
        <v/>
      </c>
      <c r="F333" s="24" t="str">
        <f aca="false">IF(OR(C333="",D333=""),"",IFERROR(D333*INDEX(Ingredientes!$F$5:$F$204,MATCH(C333,Ingredientes!$B$5:$B$204,0))/INDEX(Ingredientes!$E$5:$E$204,MATCH(C333,Ingredientes!$B$5:$B$204,0)),"Cadastre em Ingredientes"))</f>
        <v/>
      </c>
      <c r="G333" s="7"/>
    </row>
    <row r="334" customFormat="false" ht="21" hidden="false" customHeight="true" outlineLevel="0" collapsed="false">
      <c r="B334" s="7"/>
      <c r="C334" s="7"/>
      <c r="D334" s="37"/>
      <c r="E334" s="34" t="str">
        <f aca="false">IF(C334="","",IFERROR(INDEX(Ingredientes!$D$5:$D$204,MATCH(C334,Ingredientes!$B$5:$B$204,0)),"?"))</f>
        <v/>
      </c>
      <c r="F334" s="24" t="str">
        <f aca="false">IF(OR(C334="",D334=""),"",IFERROR(D334*INDEX(Ingredientes!$F$5:$F$204,MATCH(C334,Ingredientes!$B$5:$B$204,0))/INDEX(Ingredientes!$E$5:$E$204,MATCH(C334,Ingredientes!$B$5:$B$204,0)),"Cadastre em Ingredientes"))</f>
        <v/>
      </c>
      <c r="G334" s="7"/>
    </row>
    <row r="335" customFormat="false" ht="21" hidden="false" customHeight="true" outlineLevel="0" collapsed="false">
      <c r="B335" s="7"/>
      <c r="C335" s="7"/>
      <c r="D335" s="37"/>
      <c r="E335" s="34" t="str">
        <f aca="false">IF(C335="","",IFERROR(INDEX(Ingredientes!$D$5:$D$204,MATCH(C335,Ingredientes!$B$5:$B$204,0)),"?"))</f>
        <v/>
      </c>
      <c r="F335" s="24" t="str">
        <f aca="false">IF(OR(C335="",D335=""),"",IFERROR(D335*INDEX(Ingredientes!$F$5:$F$204,MATCH(C335,Ingredientes!$B$5:$B$204,0))/INDEX(Ingredientes!$E$5:$E$204,MATCH(C335,Ingredientes!$B$5:$B$204,0)),"Cadastre em Ingredientes"))</f>
        <v/>
      </c>
      <c r="G335" s="7"/>
    </row>
    <row r="336" customFormat="false" ht="21" hidden="false" customHeight="true" outlineLevel="0" collapsed="false">
      <c r="B336" s="7"/>
      <c r="C336" s="7"/>
      <c r="D336" s="37"/>
      <c r="E336" s="34" t="str">
        <f aca="false">IF(C336="","",IFERROR(INDEX(Ingredientes!$D$5:$D$204,MATCH(C336,Ingredientes!$B$5:$B$204,0)),"?"))</f>
        <v/>
      </c>
      <c r="F336" s="24" t="str">
        <f aca="false">IF(OR(C336="",D336=""),"",IFERROR(D336*INDEX(Ingredientes!$F$5:$F$204,MATCH(C336,Ingredientes!$B$5:$B$204,0))/INDEX(Ingredientes!$E$5:$E$204,MATCH(C336,Ingredientes!$B$5:$B$204,0)),"Cadastre em Ingredientes"))</f>
        <v/>
      </c>
      <c r="G336" s="7"/>
    </row>
    <row r="337" customFormat="false" ht="21" hidden="false" customHeight="true" outlineLevel="0" collapsed="false">
      <c r="B337" s="7"/>
      <c r="C337" s="7"/>
      <c r="D337" s="37"/>
      <c r="E337" s="34" t="str">
        <f aca="false">IF(C337="","",IFERROR(INDEX(Ingredientes!$D$5:$D$204,MATCH(C337,Ingredientes!$B$5:$B$204,0)),"?"))</f>
        <v/>
      </c>
      <c r="F337" s="24" t="str">
        <f aca="false">IF(OR(C337="",D337=""),"",IFERROR(D337*INDEX(Ingredientes!$F$5:$F$204,MATCH(C337,Ingredientes!$B$5:$B$204,0))/INDEX(Ingredientes!$E$5:$E$204,MATCH(C337,Ingredientes!$B$5:$B$204,0)),"Cadastre em Ingredientes"))</f>
        <v/>
      </c>
      <c r="G337" s="7"/>
    </row>
    <row r="338" customFormat="false" ht="21" hidden="false" customHeight="true" outlineLevel="0" collapsed="false">
      <c r="B338" s="7"/>
      <c r="C338" s="7"/>
      <c r="D338" s="37"/>
      <c r="E338" s="34" t="str">
        <f aca="false">IF(C338="","",IFERROR(INDEX(Ingredientes!$D$5:$D$204,MATCH(C338,Ingredientes!$B$5:$B$204,0)),"?"))</f>
        <v/>
      </c>
      <c r="F338" s="24" t="str">
        <f aca="false">IF(OR(C338="",D338=""),"",IFERROR(D338*INDEX(Ingredientes!$F$5:$F$204,MATCH(C338,Ingredientes!$B$5:$B$204,0))/INDEX(Ingredientes!$E$5:$E$204,MATCH(C338,Ingredientes!$B$5:$B$204,0)),"Cadastre em Ingredientes"))</f>
        <v/>
      </c>
      <c r="G338" s="7"/>
    </row>
    <row r="339" customFormat="false" ht="21" hidden="false" customHeight="true" outlineLevel="0" collapsed="false">
      <c r="B339" s="7"/>
      <c r="C339" s="7"/>
      <c r="D339" s="37"/>
      <c r="E339" s="34" t="str">
        <f aca="false">IF(C339="","",IFERROR(INDEX(Ingredientes!$D$5:$D$204,MATCH(C339,Ingredientes!$B$5:$B$204,0)),"?"))</f>
        <v/>
      </c>
      <c r="F339" s="24" t="str">
        <f aca="false">IF(OR(C339="",D339=""),"",IFERROR(D339*INDEX(Ingredientes!$F$5:$F$204,MATCH(C339,Ingredientes!$B$5:$B$204,0))/INDEX(Ingredientes!$E$5:$E$204,MATCH(C339,Ingredientes!$B$5:$B$204,0)),"Cadastre em Ingredientes"))</f>
        <v/>
      </c>
      <c r="G339" s="7"/>
    </row>
    <row r="340" customFormat="false" ht="21" hidden="false" customHeight="true" outlineLevel="0" collapsed="false">
      <c r="B340" s="7"/>
      <c r="C340" s="7"/>
      <c r="D340" s="37"/>
      <c r="E340" s="34" t="str">
        <f aca="false">IF(C340="","",IFERROR(INDEX(Ingredientes!$D$5:$D$204,MATCH(C340,Ingredientes!$B$5:$B$204,0)),"?"))</f>
        <v/>
      </c>
      <c r="F340" s="24" t="str">
        <f aca="false">IF(OR(C340="",D340=""),"",IFERROR(D340*INDEX(Ingredientes!$F$5:$F$204,MATCH(C340,Ingredientes!$B$5:$B$204,0))/INDEX(Ingredientes!$E$5:$E$204,MATCH(C340,Ingredientes!$B$5:$B$204,0)),"Cadastre em Ingredientes"))</f>
        <v/>
      </c>
      <c r="G340" s="7"/>
    </row>
    <row r="341" customFormat="false" ht="21" hidden="false" customHeight="true" outlineLevel="0" collapsed="false">
      <c r="B341" s="7"/>
      <c r="C341" s="7"/>
      <c r="D341" s="37"/>
      <c r="E341" s="34" t="str">
        <f aca="false">IF(C341="","",IFERROR(INDEX(Ingredientes!$D$5:$D$204,MATCH(C341,Ingredientes!$B$5:$B$204,0)),"?"))</f>
        <v/>
      </c>
      <c r="F341" s="24" t="str">
        <f aca="false">IF(OR(C341="",D341=""),"",IFERROR(D341*INDEX(Ingredientes!$F$5:$F$204,MATCH(C341,Ingredientes!$B$5:$B$204,0))/INDEX(Ingredientes!$E$5:$E$204,MATCH(C341,Ingredientes!$B$5:$B$204,0)),"Cadastre em Ingredientes"))</f>
        <v/>
      </c>
      <c r="G341" s="7"/>
    </row>
    <row r="342" customFormat="false" ht="21" hidden="false" customHeight="true" outlineLevel="0" collapsed="false">
      <c r="B342" s="7"/>
      <c r="C342" s="7"/>
      <c r="D342" s="37"/>
      <c r="E342" s="34" t="str">
        <f aca="false">IF(C342="","",IFERROR(INDEX(Ingredientes!$D$5:$D$204,MATCH(C342,Ingredientes!$B$5:$B$204,0)),"?"))</f>
        <v/>
      </c>
      <c r="F342" s="24" t="str">
        <f aca="false">IF(OR(C342="",D342=""),"",IFERROR(D342*INDEX(Ingredientes!$F$5:$F$204,MATCH(C342,Ingredientes!$B$5:$B$204,0))/INDEX(Ingredientes!$E$5:$E$204,MATCH(C342,Ingredientes!$B$5:$B$204,0)),"Cadastre em Ingredientes"))</f>
        <v/>
      </c>
      <c r="G342" s="7"/>
    </row>
    <row r="343" customFormat="false" ht="21" hidden="false" customHeight="true" outlineLevel="0" collapsed="false">
      <c r="B343" s="7"/>
      <c r="C343" s="7"/>
      <c r="D343" s="37"/>
      <c r="E343" s="34" t="str">
        <f aca="false">IF(C343="","",IFERROR(INDEX(Ingredientes!$D$5:$D$204,MATCH(C343,Ingredientes!$B$5:$B$204,0)),"?"))</f>
        <v/>
      </c>
      <c r="F343" s="24" t="str">
        <f aca="false">IF(OR(C343="",D343=""),"",IFERROR(D343*INDEX(Ingredientes!$F$5:$F$204,MATCH(C343,Ingredientes!$B$5:$B$204,0))/INDEX(Ingredientes!$E$5:$E$204,MATCH(C343,Ingredientes!$B$5:$B$204,0)),"Cadastre em Ingredientes"))</f>
        <v/>
      </c>
      <c r="G343" s="7"/>
    </row>
    <row r="344" customFormat="false" ht="21" hidden="false" customHeight="true" outlineLevel="0" collapsed="false">
      <c r="B344" s="7"/>
      <c r="C344" s="7"/>
      <c r="D344" s="37"/>
      <c r="E344" s="34" t="str">
        <f aca="false">IF(C344="","",IFERROR(INDEX(Ingredientes!$D$5:$D$204,MATCH(C344,Ingredientes!$B$5:$B$204,0)),"?"))</f>
        <v/>
      </c>
      <c r="F344" s="24" t="str">
        <f aca="false">IF(OR(C344="",D344=""),"",IFERROR(D344*INDEX(Ingredientes!$F$5:$F$204,MATCH(C344,Ingredientes!$B$5:$B$204,0))/INDEX(Ingredientes!$E$5:$E$204,MATCH(C344,Ingredientes!$B$5:$B$204,0)),"Cadastre em Ingredientes"))</f>
        <v/>
      </c>
      <c r="G344" s="7"/>
    </row>
    <row r="345" customFormat="false" ht="21" hidden="false" customHeight="true" outlineLevel="0" collapsed="false">
      <c r="B345" s="7"/>
      <c r="C345" s="7"/>
      <c r="D345" s="37"/>
      <c r="E345" s="34" t="str">
        <f aca="false">IF(C345="","",IFERROR(INDEX(Ingredientes!$D$5:$D$204,MATCH(C345,Ingredientes!$B$5:$B$204,0)),"?"))</f>
        <v/>
      </c>
      <c r="F345" s="24" t="str">
        <f aca="false">IF(OR(C345="",D345=""),"",IFERROR(D345*INDEX(Ingredientes!$F$5:$F$204,MATCH(C345,Ingredientes!$B$5:$B$204,0))/INDEX(Ingredientes!$E$5:$E$204,MATCH(C345,Ingredientes!$B$5:$B$204,0)),"Cadastre em Ingredientes"))</f>
        <v/>
      </c>
      <c r="G345" s="7"/>
    </row>
    <row r="346" customFormat="false" ht="21" hidden="false" customHeight="true" outlineLevel="0" collapsed="false">
      <c r="B346" s="7"/>
      <c r="C346" s="7"/>
      <c r="D346" s="37"/>
      <c r="E346" s="34" t="str">
        <f aca="false">IF(C346="","",IFERROR(INDEX(Ingredientes!$D$5:$D$204,MATCH(C346,Ingredientes!$B$5:$B$204,0)),"?"))</f>
        <v/>
      </c>
      <c r="F346" s="24" t="str">
        <f aca="false">IF(OR(C346="",D346=""),"",IFERROR(D346*INDEX(Ingredientes!$F$5:$F$204,MATCH(C346,Ingredientes!$B$5:$B$204,0))/INDEX(Ingredientes!$E$5:$E$204,MATCH(C346,Ingredientes!$B$5:$B$204,0)),"Cadastre em Ingredientes"))</f>
        <v/>
      </c>
      <c r="G346" s="7"/>
    </row>
    <row r="347" customFormat="false" ht="21" hidden="false" customHeight="true" outlineLevel="0" collapsed="false">
      <c r="B347" s="7"/>
      <c r="C347" s="7"/>
      <c r="D347" s="37"/>
      <c r="E347" s="34" t="str">
        <f aca="false">IF(C347="","",IFERROR(INDEX(Ingredientes!$D$5:$D$204,MATCH(C347,Ingredientes!$B$5:$B$204,0)),"?"))</f>
        <v/>
      </c>
      <c r="F347" s="24" t="str">
        <f aca="false">IF(OR(C347="",D347=""),"",IFERROR(D347*INDEX(Ingredientes!$F$5:$F$204,MATCH(C347,Ingredientes!$B$5:$B$204,0))/INDEX(Ingredientes!$E$5:$E$204,MATCH(C347,Ingredientes!$B$5:$B$204,0)),"Cadastre em Ingredientes"))</f>
        <v/>
      </c>
      <c r="G347" s="7"/>
    </row>
    <row r="348" customFormat="false" ht="21" hidden="false" customHeight="true" outlineLevel="0" collapsed="false">
      <c r="B348" s="7"/>
      <c r="C348" s="7"/>
      <c r="D348" s="37"/>
      <c r="E348" s="34" t="str">
        <f aca="false">IF(C348="","",IFERROR(INDEX(Ingredientes!$D$5:$D$204,MATCH(C348,Ingredientes!$B$5:$B$204,0)),"?"))</f>
        <v/>
      </c>
      <c r="F348" s="24" t="str">
        <f aca="false">IF(OR(C348="",D348=""),"",IFERROR(D348*INDEX(Ingredientes!$F$5:$F$204,MATCH(C348,Ingredientes!$B$5:$B$204,0))/INDEX(Ingredientes!$E$5:$E$204,MATCH(C348,Ingredientes!$B$5:$B$204,0)),"Cadastre em Ingredientes"))</f>
        <v/>
      </c>
      <c r="G348" s="7"/>
    </row>
    <row r="349" customFormat="false" ht="21" hidden="false" customHeight="true" outlineLevel="0" collapsed="false">
      <c r="B349" s="7"/>
      <c r="C349" s="7"/>
      <c r="D349" s="37"/>
      <c r="E349" s="34" t="str">
        <f aca="false">IF(C349="","",IFERROR(INDEX(Ingredientes!$D$5:$D$204,MATCH(C349,Ingredientes!$B$5:$B$204,0)),"?"))</f>
        <v/>
      </c>
      <c r="F349" s="24" t="str">
        <f aca="false">IF(OR(C349="",D349=""),"",IFERROR(D349*INDEX(Ingredientes!$F$5:$F$204,MATCH(C349,Ingredientes!$B$5:$B$204,0))/INDEX(Ingredientes!$E$5:$E$204,MATCH(C349,Ingredientes!$B$5:$B$204,0)),"Cadastre em Ingredientes"))</f>
        <v/>
      </c>
      <c r="G349" s="7"/>
    </row>
    <row r="350" customFormat="false" ht="21" hidden="false" customHeight="true" outlineLevel="0" collapsed="false">
      <c r="B350" s="7"/>
      <c r="C350" s="7"/>
      <c r="D350" s="37"/>
      <c r="E350" s="34" t="str">
        <f aca="false">IF(C350="","",IFERROR(INDEX(Ingredientes!$D$5:$D$204,MATCH(C350,Ingredientes!$B$5:$B$204,0)),"?"))</f>
        <v/>
      </c>
      <c r="F350" s="24" t="str">
        <f aca="false">IF(OR(C350="",D350=""),"",IFERROR(D350*INDEX(Ingredientes!$F$5:$F$204,MATCH(C350,Ingredientes!$B$5:$B$204,0))/INDEX(Ingredientes!$E$5:$E$204,MATCH(C350,Ingredientes!$B$5:$B$204,0)),"Cadastre em Ingredientes"))</f>
        <v/>
      </c>
      <c r="G350" s="7"/>
    </row>
    <row r="351" customFormat="false" ht="21" hidden="false" customHeight="true" outlineLevel="0" collapsed="false">
      <c r="B351" s="7"/>
      <c r="C351" s="7"/>
      <c r="D351" s="37"/>
      <c r="E351" s="34" t="str">
        <f aca="false">IF(C351="","",IFERROR(INDEX(Ingredientes!$D$5:$D$204,MATCH(C351,Ingredientes!$B$5:$B$204,0)),"?"))</f>
        <v/>
      </c>
      <c r="F351" s="24" t="str">
        <f aca="false">IF(OR(C351="",D351=""),"",IFERROR(D351*INDEX(Ingredientes!$F$5:$F$204,MATCH(C351,Ingredientes!$B$5:$B$204,0))/INDEX(Ingredientes!$E$5:$E$204,MATCH(C351,Ingredientes!$B$5:$B$204,0)),"Cadastre em Ingredientes"))</f>
        <v/>
      </c>
      <c r="G351" s="7"/>
    </row>
    <row r="352" customFormat="false" ht="21" hidden="false" customHeight="true" outlineLevel="0" collapsed="false">
      <c r="B352" s="7"/>
      <c r="C352" s="7"/>
      <c r="D352" s="37"/>
      <c r="E352" s="34" t="str">
        <f aca="false">IF(C352="","",IFERROR(INDEX(Ingredientes!$D$5:$D$204,MATCH(C352,Ingredientes!$B$5:$B$204,0)),"?"))</f>
        <v/>
      </c>
      <c r="F352" s="24" t="str">
        <f aca="false">IF(OR(C352="",D352=""),"",IFERROR(D352*INDEX(Ingredientes!$F$5:$F$204,MATCH(C352,Ingredientes!$B$5:$B$204,0))/INDEX(Ingredientes!$E$5:$E$204,MATCH(C352,Ingredientes!$B$5:$B$204,0)),"Cadastre em Ingredientes"))</f>
        <v/>
      </c>
      <c r="G352" s="7"/>
    </row>
    <row r="353" customFormat="false" ht="21" hidden="false" customHeight="true" outlineLevel="0" collapsed="false">
      <c r="B353" s="7"/>
      <c r="C353" s="7"/>
      <c r="D353" s="37"/>
      <c r="E353" s="34" t="str">
        <f aca="false">IF(C353="","",IFERROR(INDEX(Ingredientes!$D$5:$D$204,MATCH(C353,Ingredientes!$B$5:$B$204,0)),"?"))</f>
        <v/>
      </c>
      <c r="F353" s="24" t="str">
        <f aca="false">IF(OR(C353="",D353=""),"",IFERROR(D353*INDEX(Ingredientes!$F$5:$F$204,MATCH(C353,Ingredientes!$B$5:$B$204,0))/INDEX(Ingredientes!$E$5:$E$204,MATCH(C353,Ingredientes!$B$5:$B$204,0)),"Cadastre em Ingredientes"))</f>
        <v/>
      </c>
      <c r="G353" s="7"/>
    </row>
    <row r="354" customFormat="false" ht="21" hidden="false" customHeight="true" outlineLevel="0" collapsed="false">
      <c r="B354" s="7"/>
      <c r="C354" s="7"/>
      <c r="D354" s="37"/>
      <c r="E354" s="34" t="str">
        <f aca="false">IF(C354="","",IFERROR(INDEX(Ingredientes!$D$5:$D$204,MATCH(C354,Ingredientes!$B$5:$B$204,0)),"?"))</f>
        <v/>
      </c>
      <c r="F354" s="24" t="str">
        <f aca="false">IF(OR(C354="",D354=""),"",IFERROR(D354*INDEX(Ingredientes!$F$5:$F$204,MATCH(C354,Ingredientes!$B$5:$B$204,0))/INDEX(Ingredientes!$E$5:$E$204,MATCH(C354,Ingredientes!$B$5:$B$204,0)),"Cadastre em Ingredientes"))</f>
        <v/>
      </c>
      <c r="G354" s="7"/>
    </row>
    <row r="355" customFormat="false" ht="21" hidden="false" customHeight="true" outlineLevel="0" collapsed="false">
      <c r="B355" s="7"/>
      <c r="C355" s="7"/>
      <c r="D355" s="37"/>
      <c r="E355" s="34" t="str">
        <f aca="false">IF(C355="","",IFERROR(INDEX(Ingredientes!$D$5:$D$204,MATCH(C355,Ingredientes!$B$5:$B$204,0)),"?"))</f>
        <v/>
      </c>
      <c r="F355" s="24" t="str">
        <f aca="false">IF(OR(C355="",D355=""),"",IFERROR(D355*INDEX(Ingredientes!$F$5:$F$204,MATCH(C355,Ingredientes!$B$5:$B$204,0))/INDEX(Ingredientes!$E$5:$E$204,MATCH(C355,Ingredientes!$B$5:$B$204,0)),"Cadastre em Ingredientes"))</f>
        <v/>
      </c>
      <c r="G355" s="7"/>
    </row>
    <row r="356" customFormat="false" ht="21" hidden="false" customHeight="true" outlineLevel="0" collapsed="false">
      <c r="B356" s="7"/>
      <c r="C356" s="7"/>
      <c r="D356" s="37"/>
      <c r="E356" s="34" t="str">
        <f aca="false">IF(C356="","",IFERROR(INDEX(Ingredientes!$D$5:$D$204,MATCH(C356,Ingredientes!$B$5:$B$204,0)),"?"))</f>
        <v/>
      </c>
      <c r="F356" s="24" t="str">
        <f aca="false">IF(OR(C356="",D356=""),"",IFERROR(D356*INDEX(Ingredientes!$F$5:$F$204,MATCH(C356,Ingredientes!$B$5:$B$204,0))/INDEX(Ingredientes!$E$5:$E$204,MATCH(C356,Ingredientes!$B$5:$B$204,0)),"Cadastre em Ingredientes"))</f>
        <v/>
      </c>
      <c r="G356" s="7"/>
    </row>
    <row r="357" customFormat="false" ht="21" hidden="false" customHeight="true" outlineLevel="0" collapsed="false">
      <c r="B357" s="7"/>
      <c r="C357" s="7"/>
      <c r="D357" s="37"/>
      <c r="E357" s="34" t="str">
        <f aca="false">IF(C357="","",IFERROR(INDEX(Ingredientes!$D$5:$D$204,MATCH(C357,Ingredientes!$B$5:$B$204,0)),"?"))</f>
        <v/>
      </c>
      <c r="F357" s="24" t="str">
        <f aca="false">IF(OR(C357="",D357=""),"",IFERROR(D357*INDEX(Ingredientes!$F$5:$F$204,MATCH(C357,Ingredientes!$B$5:$B$204,0))/INDEX(Ingredientes!$E$5:$E$204,MATCH(C357,Ingredientes!$B$5:$B$204,0)),"Cadastre em Ingredientes"))</f>
        <v/>
      </c>
      <c r="G357" s="7"/>
    </row>
    <row r="358" customFormat="false" ht="21" hidden="false" customHeight="true" outlineLevel="0" collapsed="false">
      <c r="B358" s="7"/>
      <c r="C358" s="7"/>
      <c r="D358" s="37"/>
      <c r="E358" s="34" t="str">
        <f aca="false">IF(C358="","",IFERROR(INDEX(Ingredientes!$D$5:$D$204,MATCH(C358,Ingredientes!$B$5:$B$204,0)),"?"))</f>
        <v/>
      </c>
      <c r="F358" s="24" t="str">
        <f aca="false">IF(OR(C358="",D358=""),"",IFERROR(D358*INDEX(Ingredientes!$F$5:$F$204,MATCH(C358,Ingredientes!$B$5:$B$204,0))/INDEX(Ingredientes!$E$5:$E$204,MATCH(C358,Ingredientes!$B$5:$B$204,0)),"Cadastre em Ingredientes"))</f>
        <v/>
      </c>
      <c r="G358" s="7"/>
    </row>
    <row r="359" customFormat="false" ht="21" hidden="false" customHeight="true" outlineLevel="0" collapsed="false">
      <c r="B359" s="7"/>
      <c r="C359" s="7"/>
      <c r="D359" s="37"/>
      <c r="E359" s="34" t="str">
        <f aca="false">IF(C359="","",IFERROR(INDEX(Ingredientes!$D$5:$D$204,MATCH(C359,Ingredientes!$B$5:$B$204,0)),"?"))</f>
        <v/>
      </c>
      <c r="F359" s="24" t="str">
        <f aca="false">IF(OR(C359="",D359=""),"",IFERROR(D359*INDEX(Ingredientes!$F$5:$F$204,MATCH(C359,Ingredientes!$B$5:$B$204,0))/INDEX(Ingredientes!$E$5:$E$204,MATCH(C359,Ingredientes!$B$5:$B$204,0)),"Cadastre em Ingredientes"))</f>
        <v/>
      </c>
      <c r="G359" s="7"/>
    </row>
    <row r="360" customFormat="false" ht="21" hidden="false" customHeight="true" outlineLevel="0" collapsed="false">
      <c r="B360" s="7"/>
      <c r="C360" s="7"/>
      <c r="D360" s="37"/>
      <c r="E360" s="34" t="str">
        <f aca="false">IF(C360="","",IFERROR(INDEX(Ingredientes!$D$5:$D$204,MATCH(C360,Ingredientes!$B$5:$B$204,0)),"?"))</f>
        <v/>
      </c>
      <c r="F360" s="24" t="str">
        <f aca="false">IF(OR(C360="",D360=""),"",IFERROR(D360*INDEX(Ingredientes!$F$5:$F$204,MATCH(C360,Ingredientes!$B$5:$B$204,0))/INDEX(Ingredientes!$E$5:$E$204,MATCH(C360,Ingredientes!$B$5:$B$204,0)),"Cadastre em Ingredientes"))</f>
        <v/>
      </c>
      <c r="G360" s="7"/>
    </row>
    <row r="361" customFormat="false" ht="21" hidden="false" customHeight="true" outlineLevel="0" collapsed="false">
      <c r="B361" s="7"/>
      <c r="C361" s="7"/>
      <c r="D361" s="37"/>
      <c r="E361" s="34" t="str">
        <f aca="false">IF(C361="","",IFERROR(INDEX(Ingredientes!$D$5:$D$204,MATCH(C361,Ingredientes!$B$5:$B$204,0)),"?"))</f>
        <v/>
      </c>
      <c r="F361" s="24" t="str">
        <f aca="false">IF(OR(C361="",D361=""),"",IFERROR(D361*INDEX(Ingredientes!$F$5:$F$204,MATCH(C361,Ingredientes!$B$5:$B$204,0))/INDEX(Ingredientes!$E$5:$E$204,MATCH(C361,Ingredientes!$B$5:$B$204,0)),"Cadastre em Ingredientes"))</f>
        <v/>
      </c>
      <c r="G361" s="7"/>
    </row>
    <row r="362" customFormat="false" ht="21" hidden="false" customHeight="true" outlineLevel="0" collapsed="false">
      <c r="B362" s="7"/>
      <c r="C362" s="7"/>
      <c r="D362" s="37"/>
      <c r="E362" s="34" t="str">
        <f aca="false">IF(C362="","",IFERROR(INDEX(Ingredientes!$D$5:$D$204,MATCH(C362,Ingredientes!$B$5:$B$204,0)),"?"))</f>
        <v/>
      </c>
      <c r="F362" s="24" t="str">
        <f aca="false">IF(OR(C362="",D362=""),"",IFERROR(D362*INDEX(Ingredientes!$F$5:$F$204,MATCH(C362,Ingredientes!$B$5:$B$204,0))/INDEX(Ingredientes!$E$5:$E$204,MATCH(C362,Ingredientes!$B$5:$B$204,0)),"Cadastre em Ingredientes"))</f>
        <v/>
      </c>
      <c r="G362" s="7"/>
    </row>
    <row r="363" customFormat="false" ht="21" hidden="false" customHeight="true" outlineLevel="0" collapsed="false">
      <c r="B363" s="7"/>
      <c r="C363" s="7"/>
      <c r="D363" s="37"/>
      <c r="E363" s="34" t="str">
        <f aca="false">IF(C363="","",IFERROR(INDEX(Ingredientes!$D$5:$D$204,MATCH(C363,Ingredientes!$B$5:$B$204,0)),"?"))</f>
        <v/>
      </c>
      <c r="F363" s="24" t="str">
        <f aca="false">IF(OR(C363="",D363=""),"",IFERROR(D363*INDEX(Ingredientes!$F$5:$F$204,MATCH(C363,Ingredientes!$B$5:$B$204,0))/INDEX(Ingredientes!$E$5:$E$204,MATCH(C363,Ingredientes!$B$5:$B$204,0)),"Cadastre em Ingredientes"))</f>
        <v/>
      </c>
      <c r="G363" s="7"/>
    </row>
    <row r="364" customFormat="false" ht="21" hidden="false" customHeight="true" outlineLevel="0" collapsed="false">
      <c r="B364" s="7"/>
      <c r="C364" s="7"/>
      <c r="D364" s="37"/>
      <c r="E364" s="34" t="str">
        <f aca="false">IF(C364="","",IFERROR(INDEX(Ingredientes!$D$5:$D$204,MATCH(C364,Ingredientes!$B$5:$B$204,0)),"?"))</f>
        <v/>
      </c>
      <c r="F364" s="24" t="str">
        <f aca="false">IF(OR(C364="",D364=""),"",IFERROR(D364*INDEX(Ingredientes!$F$5:$F$204,MATCH(C364,Ingredientes!$B$5:$B$204,0))/INDEX(Ingredientes!$E$5:$E$204,MATCH(C364,Ingredientes!$B$5:$B$204,0)),"Cadastre em Ingredientes"))</f>
        <v/>
      </c>
      <c r="G364" s="7"/>
    </row>
    <row r="365" customFormat="false" ht="21" hidden="false" customHeight="true" outlineLevel="0" collapsed="false">
      <c r="B365" s="7"/>
      <c r="C365" s="7"/>
      <c r="D365" s="37"/>
      <c r="E365" s="34" t="str">
        <f aca="false">IF(C365="","",IFERROR(INDEX(Ingredientes!$D$5:$D$204,MATCH(C365,Ingredientes!$B$5:$B$204,0)),"?"))</f>
        <v/>
      </c>
      <c r="F365" s="24" t="str">
        <f aca="false">IF(OR(C365="",D365=""),"",IFERROR(D365*INDEX(Ingredientes!$F$5:$F$204,MATCH(C365,Ingredientes!$B$5:$B$204,0))/INDEX(Ingredientes!$E$5:$E$204,MATCH(C365,Ingredientes!$B$5:$B$204,0)),"Cadastre em Ingredientes"))</f>
        <v/>
      </c>
      <c r="G365" s="7"/>
    </row>
    <row r="366" customFormat="false" ht="21" hidden="false" customHeight="true" outlineLevel="0" collapsed="false">
      <c r="B366" s="7"/>
      <c r="C366" s="7"/>
      <c r="D366" s="37"/>
      <c r="E366" s="34" t="str">
        <f aca="false">IF(C366="","",IFERROR(INDEX(Ingredientes!$D$5:$D$204,MATCH(C366,Ingredientes!$B$5:$B$204,0)),"?"))</f>
        <v/>
      </c>
      <c r="F366" s="24" t="str">
        <f aca="false">IF(OR(C366="",D366=""),"",IFERROR(D366*INDEX(Ingredientes!$F$5:$F$204,MATCH(C366,Ingredientes!$B$5:$B$204,0))/INDEX(Ingredientes!$E$5:$E$204,MATCH(C366,Ingredientes!$B$5:$B$204,0)),"Cadastre em Ingredientes"))</f>
        <v/>
      </c>
      <c r="G366" s="7"/>
    </row>
    <row r="367" customFormat="false" ht="21" hidden="false" customHeight="true" outlineLevel="0" collapsed="false">
      <c r="B367" s="7"/>
      <c r="C367" s="7"/>
      <c r="D367" s="37"/>
      <c r="E367" s="34" t="str">
        <f aca="false">IF(C367="","",IFERROR(INDEX(Ingredientes!$D$5:$D$204,MATCH(C367,Ingredientes!$B$5:$B$204,0)),"?"))</f>
        <v/>
      </c>
      <c r="F367" s="24" t="str">
        <f aca="false">IF(OR(C367="",D367=""),"",IFERROR(D367*INDEX(Ingredientes!$F$5:$F$204,MATCH(C367,Ingredientes!$B$5:$B$204,0))/INDEX(Ingredientes!$E$5:$E$204,MATCH(C367,Ingredientes!$B$5:$B$204,0)),"Cadastre em Ingredientes"))</f>
        <v/>
      </c>
      <c r="G367" s="7"/>
    </row>
    <row r="368" customFormat="false" ht="21" hidden="false" customHeight="true" outlineLevel="0" collapsed="false">
      <c r="B368" s="7"/>
      <c r="C368" s="7"/>
      <c r="D368" s="37"/>
      <c r="E368" s="34" t="str">
        <f aca="false">IF(C368="","",IFERROR(INDEX(Ingredientes!$D$5:$D$204,MATCH(C368,Ingredientes!$B$5:$B$204,0)),"?"))</f>
        <v/>
      </c>
      <c r="F368" s="24" t="str">
        <f aca="false">IF(OR(C368="",D368=""),"",IFERROR(D368*INDEX(Ingredientes!$F$5:$F$204,MATCH(C368,Ingredientes!$B$5:$B$204,0))/INDEX(Ingredientes!$E$5:$E$204,MATCH(C368,Ingredientes!$B$5:$B$204,0)),"Cadastre em Ingredientes"))</f>
        <v/>
      </c>
      <c r="G368" s="7"/>
    </row>
    <row r="369" customFormat="false" ht="21" hidden="false" customHeight="true" outlineLevel="0" collapsed="false">
      <c r="B369" s="7"/>
      <c r="C369" s="7"/>
      <c r="D369" s="37"/>
      <c r="E369" s="34" t="str">
        <f aca="false">IF(C369="","",IFERROR(INDEX(Ingredientes!$D$5:$D$204,MATCH(C369,Ingredientes!$B$5:$B$204,0)),"?"))</f>
        <v/>
      </c>
      <c r="F369" s="24" t="str">
        <f aca="false">IF(OR(C369="",D369=""),"",IFERROR(D369*INDEX(Ingredientes!$F$5:$F$204,MATCH(C369,Ingredientes!$B$5:$B$204,0))/INDEX(Ingredientes!$E$5:$E$204,MATCH(C369,Ingredientes!$B$5:$B$204,0)),"Cadastre em Ingredientes"))</f>
        <v/>
      </c>
      <c r="G369" s="7"/>
    </row>
    <row r="370" customFormat="false" ht="21" hidden="false" customHeight="true" outlineLevel="0" collapsed="false">
      <c r="B370" s="7"/>
      <c r="C370" s="7"/>
      <c r="D370" s="37"/>
      <c r="E370" s="34" t="str">
        <f aca="false">IF(C370="","",IFERROR(INDEX(Ingredientes!$D$5:$D$204,MATCH(C370,Ingredientes!$B$5:$B$204,0)),"?"))</f>
        <v/>
      </c>
      <c r="F370" s="24" t="str">
        <f aca="false">IF(OR(C370="",D370=""),"",IFERROR(D370*INDEX(Ingredientes!$F$5:$F$204,MATCH(C370,Ingredientes!$B$5:$B$204,0))/INDEX(Ingredientes!$E$5:$E$204,MATCH(C370,Ingredientes!$B$5:$B$204,0)),"Cadastre em Ingredientes"))</f>
        <v/>
      </c>
      <c r="G370" s="7"/>
    </row>
    <row r="371" customFormat="false" ht="21" hidden="false" customHeight="true" outlineLevel="0" collapsed="false">
      <c r="B371" s="7"/>
      <c r="C371" s="7"/>
      <c r="D371" s="37"/>
      <c r="E371" s="34" t="str">
        <f aca="false">IF(C371="","",IFERROR(INDEX(Ingredientes!$D$5:$D$204,MATCH(C371,Ingredientes!$B$5:$B$204,0)),"?"))</f>
        <v/>
      </c>
      <c r="F371" s="24" t="str">
        <f aca="false">IF(OR(C371="",D371=""),"",IFERROR(D371*INDEX(Ingredientes!$F$5:$F$204,MATCH(C371,Ingredientes!$B$5:$B$204,0))/INDEX(Ingredientes!$E$5:$E$204,MATCH(C371,Ingredientes!$B$5:$B$204,0)),"Cadastre em Ingredientes"))</f>
        <v/>
      </c>
      <c r="G371" s="7"/>
    </row>
    <row r="372" customFormat="false" ht="21" hidden="false" customHeight="true" outlineLevel="0" collapsed="false">
      <c r="B372" s="7"/>
      <c r="C372" s="7"/>
      <c r="D372" s="37"/>
      <c r="E372" s="34" t="str">
        <f aca="false">IF(C372="","",IFERROR(INDEX(Ingredientes!$D$5:$D$204,MATCH(C372,Ingredientes!$B$5:$B$204,0)),"?"))</f>
        <v/>
      </c>
      <c r="F372" s="24" t="str">
        <f aca="false">IF(OR(C372="",D372=""),"",IFERROR(D372*INDEX(Ingredientes!$F$5:$F$204,MATCH(C372,Ingredientes!$B$5:$B$204,0))/INDEX(Ingredientes!$E$5:$E$204,MATCH(C372,Ingredientes!$B$5:$B$204,0)),"Cadastre em Ingredientes"))</f>
        <v/>
      </c>
      <c r="G372" s="7"/>
    </row>
    <row r="373" customFormat="false" ht="21" hidden="false" customHeight="true" outlineLevel="0" collapsed="false">
      <c r="B373" s="7"/>
      <c r="C373" s="7"/>
      <c r="D373" s="37"/>
      <c r="E373" s="34" t="str">
        <f aca="false">IF(C373="","",IFERROR(INDEX(Ingredientes!$D$5:$D$204,MATCH(C373,Ingredientes!$B$5:$B$204,0)),"?"))</f>
        <v/>
      </c>
      <c r="F373" s="24" t="str">
        <f aca="false">IF(OR(C373="",D373=""),"",IFERROR(D373*INDEX(Ingredientes!$F$5:$F$204,MATCH(C373,Ingredientes!$B$5:$B$204,0))/INDEX(Ingredientes!$E$5:$E$204,MATCH(C373,Ingredientes!$B$5:$B$204,0)),"Cadastre em Ingredientes"))</f>
        <v/>
      </c>
      <c r="G373" s="7"/>
    </row>
    <row r="374" customFormat="false" ht="21" hidden="false" customHeight="true" outlineLevel="0" collapsed="false">
      <c r="B374" s="7"/>
      <c r="C374" s="7"/>
      <c r="D374" s="37"/>
      <c r="E374" s="34" t="str">
        <f aca="false">IF(C374="","",IFERROR(INDEX(Ingredientes!$D$5:$D$204,MATCH(C374,Ingredientes!$B$5:$B$204,0)),"?"))</f>
        <v/>
      </c>
      <c r="F374" s="24" t="str">
        <f aca="false">IF(OR(C374="",D374=""),"",IFERROR(D374*INDEX(Ingredientes!$F$5:$F$204,MATCH(C374,Ingredientes!$B$5:$B$204,0))/INDEX(Ingredientes!$E$5:$E$204,MATCH(C374,Ingredientes!$B$5:$B$204,0)),"Cadastre em Ingredientes"))</f>
        <v/>
      </c>
      <c r="G374" s="7"/>
    </row>
    <row r="375" customFormat="false" ht="21" hidden="false" customHeight="true" outlineLevel="0" collapsed="false">
      <c r="B375" s="7"/>
      <c r="C375" s="7"/>
      <c r="D375" s="37"/>
      <c r="E375" s="34" t="str">
        <f aca="false">IF(C375="","",IFERROR(INDEX(Ingredientes!$D$5:$D$204,MATCH(C375,Ingredientes!$B$5:$B$204,0)),"?"))</f>
        <v/>
      </c>
      <c r="F375" s="24" t="str">
        <f aca="false">IF(OR(C375="",D375=""),"",IFERROR(D375*INDEX(Ingredientes!$F$5:$F$204,MATCH(C375,Ingredientes!$B$5:$B$204,0))/INDEX(Ingredientes!$E$5:$E$204,MATCH(C375,Ingredientes!$B$5:$B$204,0)),"Cadastre em Ingredientes"))</f>
        <v/>
      </c>
      <c r="G375" s="7"/>
    </row>
    <row r="376" customFormat="false" ht="21" hidden="false" customHeight="true" outlineLevel="0" collapsed="false">
      <c r="B376" s="7"/>
      <c r="C376" s="7"/>
      <c r="D376" s="37"/>
      <c r="E376" s="34" t="str">
        <f aca="false">IF(C376="","",IFERROR(INDEX(Ingredientes!$D$5:$D$204,MATCH(C376,Ingredientes!$B$5:$B$204,0)),"?"))</f>
        <v/>
      </c>
      <c r="F376" s="24" t="str">
        <f aca="false">IF(OR(C376="",D376=""),"",IFERROR(D376*INDEX(Ingredientes!$F$5:$F$204,MATCH(C376,Ingredientes!$B$5:$B$204,0))/INDEX(Ingredientes!$E$5:$E$204,MATCH(C376,Ingredientes!$B$5:$B$204,0)),"Cadastre em Ingredientes"))</f>
        <v/>
      </c>
      <c r="G376" s="7"/>
    </row>
    <row r="377" customFormat="false" ht="21" hidden="false" customHeight="true" outlineLevel="0" collapsed="false">
      <c r="B377" s="7"/>
      <c r="C377" s="7"/>
      <c r="D377" s="37"/>
      <c r="E377" s="34" t="str">
        <f aca="false">IF(C377="","",IFERROR(INDEX(Ingredientes!$D$5:$D$204,MATCH(C377,Ingredientes!$B$5:$B$204,0)),"?"))</f>
        <v/>
      </c>
      <c r="F377" s="24" t="str">
        <f aca="false">IF(OR(C377="",D377=""),"",IFERROR(D377*INDEX(Ingredientes!$F$5:$F$204,MATCH(C377,Ingredientes!$B$5:$B$204,0))/INDEX(Ingredientes!$E$5:$E$204,MATCH(C377,Ingredientes!$B$5:$B$204,0)),"Cadastre em Ingredientes"))</f>
        <v/>
      </c>
      <c r="G377" s="7"/>
    </row>
    <row r="378" customFormat="false" ht="21" hidden="false" customHeight="true" outlineLevel="0" collapsed="false">
      <c r="B378" s="7"/>
      <c r="C378" s="7"/>
      <c r="D378" s="37"/>
      <c r="E378" s="34" t="str">
        <f aca="false">IF(C378="","",IFERROR(INDEX(Ingredientes!$D$5:$D$204,MATCH(C378,Ingredientes!$B$5:$B$204,0)),"?"))</f>
        <v/>
      </c>
      <c r="F378" s="24" t="str">
        <f aca="false">IF(OR(C378="",D378=""),"",IFERROR(D378*INDEX(Ingredientes!$F$5:$F$204,MATCH(C378,Ingredientes!$B$5:$B$204,0))/INDEX(Ingredientes!$E$5:$E$204,MATCH(C378,Ingredientes!$B$5:$B$204,0)),"Cadastre em Ingredientes"))</f>
        <v/>
      </c>
      <c r="G378" s="7"/>
    </row>
    <row r="379" customFormat="false" ht="21" hidden="false" customHeight="true" outlineLevel="0" collapsed="false">
      <c r="B379" s="7"/>
      <c r="C379" s="7"/>
      <c r="D379" s="37"/>
      <c r="E379" s="34" t="str">
        <f aca="false">IF(C379="","",IFERROR(INDEX(Ingredientes!$D$5:$D$204,MATCH(C379,Ingredientes!$B$5:$B$204,0)),"?"))</f>
        <v/>
      </c>
      <c r="F379" s="24" t="str">
        <f aca="false">IF(OR(C379="",D379=""),"",IFERROR(D379*INDEX(Ingredientes!$F$5:$F$204,MATCH(C379,Ingredientes!$B$5:$B$204,0))/INDEX(Ingredientes!$E$5:$E$204,MATCH(C379,Ingredientes!$B$5:$B$204,0)),"Cadastre em Ingredientes"))</f>
        <v/>
      </c>
      <c r="G379" s="7"/>
    </row>
    <row r="380" customFormat="false" ht="21" hidden="false" customHeight="true" outlineLevel="0" collapsed="false">
      <c r="B380" s="7"/>
      <c r="C380" s="7"/>
      <c r="D380" s="37"/>
      <c r="E380" s="34" t="str">
        <f aca="false">IF(C380="","",IFERROR(INDEX(Ingredientes!$D$5:$D$204,MATCH(C380,Ingredientes!$B$5:$B$204,0)),"?"))</f>
        <v/>
      </c>
      <c r="F380" s="24" t="str">
        <f aca="false">IF(OR(C380="",D380=""),"",IFERROR(D380*INDEX(Ingredientes!$F$5:$F$204,MATCH(C380,Ingredientes!$B$5:$B$204,0))/INDEX(Ingredientes!$E$5:$E$204,MATCH(C380,Ingredientes!$B$5:$B$204,0)),"Cadastre em Ingredientes"))</f>
        <v/>
      </c>
      <c r="G380" s="7"/>
    </row>
    <row r="381" customFormat="false" ht="21" hidden="false" customHeight="true" outlineLevel="0" collapsed="false">
      <c r="B381" s="7"/>
      <c r="C381" s="7"/>
      <c r="D381" s="37"/>
      <c r="E381" s="34" t="str">
        <f aca="false">IF(C381="","",IFERROR(INDEX(Ingredientes!$D$5:$D$204,MATCH(C381,Ingredientes!$B$5:$B$204,0)),"?"))</f>
        <v/>
      </c>
      <c r="F381" s="24" t="str">
        <f aca="false">IF(OR(C381="",D381=""),"",IFERROR(D381*INDEX(Ingredientes!$F$5:$F$204,MATCH(C381,Ingredientes!$B$5:$B$204,0))/INDEX(Ingredientes!$E$5:$E$204,MATCH(C381,Ingredientes!$B$5:$B$204,0)),"Cadastre em Ingredientes"))</f>
        <v/>
      </c>
      <c r="G381" s="7"/>
    </row>
    <row r="382" customFormat="false" ht="21" hidden="false" customHeight="true" outlineLevel="0" collapsed="false">
      <c r="B382" s="7"/>
      <c r="C382" s="7"/>
      <c r="D382" s="37"/>
      <c r="E382" s="34" t="str">
        <f aca="false">IF(C382="","",IFERROR(INDEX(Ingredientes!$D$5:$D$204,MATCH(C382,Ingredientes!$B$5:$B$204,0)),"?"))</f>
        <v/>
      </c>
      <c r="F382" s="24" t="str">
        <f aca="false">IF(OR(C382="",D382=""),"",IFERROR(D382*INDEX(Ingredientes!$F$5:$F$204,MATCH(C382,Ingredientes!$B$5:$B$204,0))/INDEX(Ingredientes!$E$5:$E$204,MATCH(C382,Ingredientes!$B$5:$B$204,0)),"Cadastre em Ingredientes"))</f>
        <v/>
      </c>
      <c r="G382" s="7"/>
    </row>
    <row r="383" customFormat="false" ht="21" hidden="false" customHeight="true" outlineLevel="0" collapsed="false">
      <c r="B383" s="7"/>
      <c r="C383" s="7"/>
      <c r="D383" s="37"/>
      <c r="E383" s="34" t="str">
        <f aca="false">IF(C383="","",IFERROR(INDEX(Ingredientes!$D$5:$D$204,MATCH(C383,Ingredientes!$B$5:$B$204,0)),"?"))</f>
        <v/>
      </c>
      <c r="F383" s="24" t="str">
        <f aca="false">IF(OR(C383="",D383=""),"",IFERROR(D383*INDEX(Ingredientes!$F$5:$F$204,MATCH(C383,Ingredientes!$B$5:$B$204,0))/INDEX(Ingredientes!$E$5:$E$204,MATCH(C383,Ingredientes!$B$5:$B$204,0)),"Cadastre em Ingredientes"))</f>
        <v/>
      </c>
      <c r="G383" s="7"/>
    </row>
    <row r="384" customFormat="false" ht="21" hidden="false" customHeight="true" outlineLevel="0" collapsed="false">
      <c r="B384" s="7"/>
      <c r="C384" s="7"/>
      <c r="D384" s="37"/>
      <c r="E384" s="34" t="str">
        <f aca="false">IF(C384="","",IFERROR(INDEX(Ingredientes!$D$5:$D$204,MATCH(C384,Ingredientes!$B$5:$B$204,0)),"?"))</f>
        <v/>
      </c>
      <c r="F384" s="24" t="str">
        <f aca="false">IF(OR(C384="",D384=""),"",IFERROR(D384*INDEX(Ingredientes!$F$5:$F$204,MATCH(C384,Ingredientes!$B$5:$B$204,0))/INDEX(Ingredientes!$E$5:$E$204,MATCH(C384,Ingredientes!$B$5:$B$204,0)),"Cadastre em Ingredientes"))</f>
        <v/>
      </c>
      <c r="G384" s="7"/>
    </row>
    <row r="385" customFormat="false" ht="21" hidden="false" customHeight="true" outlineLevel="0" collapsed="false">
      <c r="B385" s="7"/>
      <c r="C385" s="7"/>
      <c r="D385" s="37"/>
      <c r="E385" s="34" t="str">
        <f aca="false">IF(C385="","",IFERROR(INDEX(Ingredientes!$D$5:$D$204,MATCH(C385,Ingredientes!$B$5:$B$204,0)),"?"))</f>
        <v/>
      </c>
      <c r="F385" s="24" t="str">
        <f aca="false">IF(OR(C385="",D385=""),"",IFERROR(D385*INDEX(Ingredientes!$F$5:$F$204,MATCH(C385,Ingredientes!$B$5:$B$204,0))/INDEX(Ingredientes!$E$5:$E$204,MATCH(C385,Ingredientes!$B$5:$B$204,0)),"Cadastre em Ingredientes"))</f>
        <v/>
      </c>
      <c r="G385" s="7"/>
    </row>
    <row r="386" customFormat="false" ht="21" hidden="false" customHeight="true" outlineLevel="0" collapsed="false">
      <c r="B386" s="7"/>
      <c r="C386" s="7"/>
      <c r="D386" s="37"/>
      <c r="E386" s="34" t="str">
        <f aca="false">IF(C386="","",IFERROR(INDEX(Ingredientes!$D$5:$D$204,MATCH(C386,Ingredientes!$B$5:$B$204,0)),"?"))</f>
        <v/>
      </c>
      <c r="F386" s="24" t="str">
        <f aca="false">IF(OR(C386="",D386=""),"",IFERROR(D386*INDEX(Ingredientes!$F$5:$F$204,MATCH(C386,Ingredientes!$B$5:$B$204,0))/INDEX(Ingredientes!$E$5:$E$204,MATCH(C386,Ingredientes!$B$5:$B$204,0)),"Cadastre em Ingredientes"))</f>
        <v/>
      </c>
      <c r="G386" s="7"/>
    </row>
    <row r="387" customFormat="false" ht="21" hidden="false" customHeight="true" outlineLevel="0" collapsed="false">
      <c r="B387" s="7"/>
      <c r="C387" s="7"/>
      <c r="D387" s="37"/>
      <c r="E387" s="34" t="str">
        <f aca="false">IF(C387="","",IFERROR(INDEX(Ingredientes!$D$5:$D$204,MATCH(C387,Ingredientes!$B$5:$B$204,0)),"?"))</f>
        <v/>
      </c>
      <c r="F387" s="24" t="str">
        <f aca="false">IF(OR(C387="",D387=""),"",IFERROR(D387*INDEX(Ingredientes!$F$5:$F$204,MATCH(C387,Ingredientes!$B$5:$B$204,0))/INDEX(Ingredientes!$E$5:$E$204,MATCH(C387,Ingredientes!$B$5:$B$204,0)),"Cadastre em Ingredientes"))</f>
        <v/>
      </c>
      <c r="G387" s="7"/>
    </row>
    <row r="388" customFormat="false" ht="21" hidden="false" customHeight="true" outlineLevel="0" collapsed="false">
      <c r="B388" s="7"/>
      <c r="C388" s="7"/>
      <c r="D388" s="37"/>
      <c r="E388" s="34" t="str">
        <f aca="false">IF(C388="","",IFERROR(INDEX(Ingredientes!$D$5:$D$204,MATCH(C388,Ingredientes!$B$5:$B$204,0)),"?"))</f>
        <v/>
      </c>
      <c r="F388" s="24" t="str">
        <f aca="false">IF(OR(C388="",D388=""),"",IFERROR(D388*INDEX(Ingredientes!$F$5:$F$204,MATCH(C388,Ingredientes!$B$5:$B$204,0))/INDEX(Ingredientes!$E$5:$E$204,MATCH(C388,Ingredientes!$B$5:$B$204,0)),"Cadastre em Ingredientes"))</f>
        <v/>
      </c>
      <c r="G388" s="7"/>
    </row>
    <row r="389" customFormat="false" ht="21" hidden="false" customHeight="true" outlineLevel="0" collapsed="false">
      <c r="B389" s="7"/>
      <c r="C389" s="7"/>
      <c r="D389" s="37"/>
      <c r="E389" s="34" t="str">
        <f aca="false">IF(C389="","",IFERROR(INDEX(Ingredientes!$D$5:$D$204,MATCH(C389,Ingredientes!$B$5:$B$204,0)),"?"))</f>
        <v/>
      </c>
      <c r="F389" s="24" t="str">
        <f aca="false">IF(OR(C389="",D389=""),"",IFERROR(D389*INDEX(Ingredientes!$F$5:$F$204,MATCH(C389,Ingredientes!$B$5:$B$204,0))/INDEX(Ingredientes!$E$5:$E$204,MATCH(C389,Ingredientes!$B$5:$B$204,0)),"Cadastre em Ingredientes"))</f>
        <v/>
      </c>
      <c r="G389" s="7"/>
    </row>
    <row r="390" customFormat="false" ht="21" hidden="false" customHeight="true" outlineLevel="0" collapsed="false">
      <c r="B390" s="7"/>
      <c r="C390" s="7"/>
      <c r="D390" s="37"/>
      <c r="E390" s="34" t="str">
        <f aca="false">IF(C390="","",IFERROR(INDEX(Ingredientes!$D$5:$D$204,MATCH(C390,Ingredientes!$B$5:$B$204,0)),"?"))</f>
        <v/>
      </c>
      <c r="F390" s="24" t="str">
        <f aca="false">IF(OR(C390="",D390=""),"",IFERROR(D390*INDEX(Ingredientes!$F$5:$F$204,MATCH(C390,Ingredientes!$B$5:$B$204,0))/INDEX(Ingredientes!$E$5:$E$204,MATCH(C390,Ingredientes!$B$5:$B$204,0)),"Cadastre em Ingredientes"))</f>
        <v/>
      </c>
      <c r="G390" s="7"/>
    </row>
    <row r="391" customFormat="false" ht="21" hidden="false" customHeight="true" outlineLevel="0" collapsed="false">
      <c r="B391" s="7"/>
      <c r="C391" s="7"/>
      <c r="D391" s="37"/>
      <c r="E391" s="34" t="str">
        <f aca="false">IF(C391="","",IFERROR(INDEX(Ingredientes!$D$5:$D$204,MATCH(C391,Ingredientes!$B$5:$B$204,0)),"?"))</f>
        <v/>
      </c>
      <c r="F391" s="24" t="str">
        <f aca="false">IF(OR(C391="",D391=""),"",IFERROR(D391*INDEX(Ingredientes!$F$5:$F$204,MATCH(C391,Ingredientes!$B$5:$B$204,0))/INDEX(Ingredientes!$E$5:$E$204,MATCH(C391,Ingredientes!$B$5:$B$204,0)),"Cadastre em Ingredientes"))</f>
        <v/>
      </c>
      <c r="G391" s="7"/>
    </row>
    <row r="392" customFormat="false" ht="21" hidden="false" customHeight="true" outlineLevel="0" collapsed="false">
      <c r="B392" s="7"/>
      <c r="C392" s="7"/>
      <c r="D392" s="37"/>
      <c r="E392" s="34" t="str">
        <f aca="false">IF(C392="","",IFERROR(INDEX(Ingredientes!$D$5:$D$204,MATCH(C392,Ingredientes!$B$5:$B$204,0)),"?"))</f>
        <v/>
      </c>
      <c r="F392" s="24" t="str">
        <f aca="false">IF(OR(C392="",D392=""),"",IFERROR(D392*INDEX(Ingredientes!$F$5:$F$204,MATCH(C392,Ingredientes!$B$5:$B$204,0))/INDEX(Ingredientes!$E$5:$E$204,MATCH(C392,Ingredientes!$B$5:$B$204,0)),"Cadastre em Ingredientes"))</f>
        <v/>
      </c>
      <c r="G392" s="7"/>
    </row>
    <row r="393" customFormat="false" ht="21" hidden="false" customHeight="true" outlineLevel="0" collapsed="false">
      <c r="B393" s="7"/>
      <c r="C393" s="7"/>
      <c r="D393" s="37"/>
      <c r="E393" s="34" t="str">
        <f aca="false">IF(C393="","",IFERROR(INDEX(Ingredientes!$D$5:$D$204,MATCH(C393,Ingredientes!$B$5:$B$204,0)),"?"))</f>
        <v/>
      </c>
      <c r="F393" s="24" t="str">
        <f aca="false">IF(OR(C393="",D393=""),"",IFERROR(D393*INDEX(Ingredientes!$F$5:$F$204,MATCH(C393,Ingredientes!$B$5:$B$204,0))/INDEX(Ingredientes!$E$5:$E$204,MATCH(C393,Ingredientes!$B$5:$B$204,0)),"Cadastre em Ingredientes"))</f>
        <v/>
      </c>
      <c r="G393" s="7"/>
    </row>
    <row r="394" customFormat="false" ht="21" hidden="false" customHeight="true" outlineLevel="0" collapsed="false">
      <c r="B394" s="7"/>
      <c r="C394" s="7"/>
      <c r="D394" s="37"/>
      <c r="E394" s="34" t="str">
        <f aca="false">IF(C394="","",IFERROR(INDEX(Ingredientes!$D$5:$D$204,MATCH(C394,Ingredientes!$B$5:$B$204,0)),"?"))</f>
        <v/>
      </c>
      <c r="F394" s="24" t="str">
        <f aca="false">IF(OR(C394="",D394=""),"",IFERROR(D394*INDEX(Ingredientes!$F$5:$F$204,MATCH(C394,Ingredientes!$B$5:$B$204,0))/INDEX(Ingredientes!$E$5:$E$204,MATCH(C394,Ingredientes!$B$5:$B$204,0)),"Cadastre em Ingredientes"))</f>
        <v/>
      </c>
      <c r="G394" s="7"/>
    </row>
    <row r="395" customFormat="false" ht="21" hidden="false" customHeight="true" outlineLevel="0" collapsed="false">
      <c r="B395" s="7"/>
      <c r="C395" s="7"/>
      <c r="D395" s="37"/>
      <c r="E395" s="34" t="str">
        <f aca="false">IF(C395="","",IFERROR(INDEX(Ingredientes!$D$5:$D$204,MATCH(C395,Ingredientes!$B$5:$B$204,0)),"?"))</f>
        <v/>
      </c>
      <c r="F395" s="24" t="str">
        <f aca="false">IF(OR(C395="",D395=""),"",IFERROR(D395*INDEX(Ingredientes!$F$5:$F$204,MATCH(C395,Ingredientes!$B$5:$B$204,0))/INDEX(Ingredientes!$E$5:$E$204,MATCH(C395,Ingredientes!$B$5:$B$204,0)),"Cadastre em Ingredientes"))</f>
        <v/>
      </c>
      <c r="G395" s="7"/>
    </row>
    <row r="396" customFormat="false" ht="21" hidden="false" customHeight="true" outlineLevel="0" collapsed="false">
      <c r="B396" s="7"/>
      <c r="C396" s="7"/>
      <c r="D396" s="37"/>
      <c r="E396" s="34" t="str">
        <f aca="false">IF(C396="","",IFERROR(INDEX(Ingredientes!$D$5:$D$204,MATCH(C396,Ingredientes!$B$5:$B$204,0)),"?"))</f>
        <v/>
      </c>
      <c r="F396" s="24" t="str">
        <f aca="false">IF(OR(C396="",D396=""),"",IFERROR(D396*INDEX(Ingredientes!$F$5:$F$204,MATCH(C396,Ingredientes!$B$5:$B$204,0))/INDEX(Ingredientes!$E$5:$E$204,MATCH(C396,Ingredientes!$B$5:$B$204,0)),"Cadastre em Ingredientes"))</f>
        <v/>
      </c>
      <c r="G396" s="7"/>
    </row>
    <row r="397" customFormat="false" ht="21" hidden="false" customHeight="true" outlineLevel="0" collapsed="false">
      <c r="B397" s="7"/>
      <c r="C397" s="7"/>
      <c r="D397" s="37"/>
      <c r="E397" s="34" t="str">
        <f aca="false">IF(C397="","",IFERROR(INDEX(Ingredientes!$D$5:$D$204,MATCH(C397,Ingredientes!$B$5:$B$204,0)),"?"))</f>
        <v/>
      </c>
      <c r="F397" s="24" t="str">
        <f aca="false">IF(OR(C397="",D397=""),"",IFERROR(D397*INDEX(Ingredientes!$F$5:$F$204,MATCH(C397,Ingredientes!$B$5:$B$204,0))/INDEX(Ingredientes!$E$5:$E$204,MATCH(C397,Ingredientes!$B$5:$B$204,0)),"Cadastre em Ingredientes"))</f>
        <v/>
      </c>
      <c r="G397" s="7"/>
    </row>
    <row r="398" customFormat="false" ht="21" hidden="false" customHeight="true" outlineLevel="0" collapsed="false">
      <c r="B398" s="7"/>
      <c r="C398" s="7"/>
      <c r="D398" s="37"/>
      <c r="E398" s="34" t="str">
        <f aca="false">IF(C398="","",IFERROR(INDEX(Ingredientes!$D$5:$D$204,MATCH(C398,Ingredientes!$B$5:$B$204,0)),"?"))</f>
        <v/>
      </c>
      <c r="F398" s="24" t="str">
        <f aca="false">IF(OR(C398="",D398=""),"",IFERROR(D398*INDEX(Ingredientes!$F$5:$F$204,MATCH(C398,Ingredientes!$B$5:$B$204,0))/INDEX(Ingredientes!$E$5:$E$204,MATCH(C398,Ingredientes!$B$5:$B$204,0)),"Cadastre em Ingredientes"))</f>
        <v/>
      </c>
      <c r="G398" s="7"/>
    </row>
    <row r="399" customFormat="false" ht="21" hidden="false" customHeight="true" outlineLevel="0" collapsed="false">
      <c r="B399" s="7"/>
      <c r="C399" s="7"/>
      <c r="D399" s="37"/>
      <c r="E399" s="34" t="str">
        <f aca="false">IF(C399="","",IFERROR(INDEX(Ingredientes!$D$5:$D$204,MATCH(C399,Ingredientes!$B$5:$B$204,0)),"?"))</f>
        <v/>
      </c>
      <c r="F399" s="24" t="str">
        <f aca="false">IF(OR(C399="",D399=""),"",IFERROR(D399*INDEX(Ingredientes!$F$5:$F$204,MATCH(C399,Ingredientes!$B$5:$B$204,0))/INDEX(Ingredientes!$E$5:$E$204,MATCH(C399,Ingredientes!$B$5:$B$204,0)),"Cadastre em Ingredientes"))</f>
        <v/>
      </c>
      <c r="G399" s="7"/>
    </row>
    <row r="400" customFormat="false" ht="21" hidden="false" customHeight="true" outlineLevel="0" collapsed="false">
      <c r="B400" s="7"/>
      <c r="C400" s="7"/>
      <c r="D400" s="37"/>
      <c r="E400" s="34" t="str">
        <f aca="false">IF(C400="","",IFERROR(INDEX(Ingredientes!$D$5:$D$204,MATCH(C400,Ingredientes!$B$5:$B$204,0)),"?"))</f>
        <v/>
      </c>
      <c r="F400" s="24" t="str">
        <f aca="false">IF(OR(C400="",D400=""),"",IFERROR(D400*INDEX(Ingredientes!$F$5:$F$204,MATCH(C400,Ingredientes!$B$5:$B$204,0))/INDEX(Ingredientes!$E$5:$E$204,MATCH(C400,Ingredientes!$B$5:$B$204,0)),"Cadastre em Ingredientes"))</f>
        <v/>
      </c>
      <c r="G400" s="7"/>
    </row>
    <row r="401" customFormat="false" ht="21" hidden="false" customHeight="true" outlineLevel="0" collapsed="false">
      <c r="B401" s="7"/>
      <c r="C401" s="7"/>
      <c r="D401" s="37"/>
      <c r="E401" s="34" t="str">
        <f aca="false">IF(C401="","",IFERROR(INDEX(Ingredientes!$D$5:$D$204,MATCH(C401,Ingredientes!$B$5:$B$204,0)),"?"))</f>
        <v/>
      </c>
      <c r="F401" s="24" t="str">
        <f aca="false">IF(OR(C401="",D401=""),"",IFERROR(D401*INDEX(Ingredientes!$F$5:$F$204,MATCH(C401,Ingredientes!$B$5:$B$204,0))/INDEX(Ingredientes!$E$5:$E$204,MATCH(C401,Ingredientes!$B$5:$B$204,0)),"Cadastre em Ingredientes"))</f>
        <v/>
      </c>
      <c r="G401" s="7"/>
    </row>
    <row r="402" customFormat="false" ht="21" hidden="false" customHeight="true" outlineLevel="0" collapsed="false">
      <c r="B402" s="7"/>
      <c r="C402" s="7"/>
      <c r="D402" s="37"/>
      <c r="E402" s="34" t="str">
        <f aca="false">IF(C402="","",IFERROR(INDEX(Ingredientes!$D$5:$D$204,MATCH(C402,Ingredientes!$B$5:$B$204,0)),"?"))</f>
        <v/>
      </c>
      <c r="F402" s="24" t="str">
        <f aca="false">IF(OR(C402="",D402=""),"",IFERROR(D402*INDEX(Ingredientes!$F$5:$F$204,MATCH(C402,Ingredientes!$B$5:$B$204,0))/INDEX(Ingredientes!$E$5:$E$204,MATCH(C402,Ingredientes!$B$5:$B$204,0)),"Cadastre em Ingredientes"))</f>
        <v/>
      </c>
      <c r="G402" s="7"/>
    </row>
    <row r="403" customFormat="false" ht="21" hidden="false" customHeight="true" outlineLevel="0" collapsed="false">
      <c r="B403" s="7"/>
      <c r="C403" s="7"/>
      <c r="D403" s="37"/>
      <c r="E403" s="34" t="str">
        <f aca="false">IF(C403="","",IFERROR(INDEX(Ingredientes!$D$5:$D$204,MATCH(C403,Ingredientes!$B$5:$B$204,0)),"?"))</f>
        <v/>
      </c>
      <c r="F403" s="24" t="str">
        <f aca="false">IF(OR(C403="",D403=""),"",IFERROR(D403*INDEX(Ingredientes!$F$5:$F$204,MATCH(C403,Ingredientes!$B$5:$B$204,0))/INDEX(Ingredientes!$E$5:$E$204,MATCH(C403,Ingredientes!$B$5:$B$204,0)),"Cadastre em Ingredientes"))</f>
        <v/>
      </c>
      <c r="G403" s="7"/>
    </row>
    <row r="404" customFormat="false" ht="21" hidden="false" customHeight="true" outlineLevel="0" collapsed="false">
      <c r="B404" s="7"/>
      <c r="C404" s="7"/>
      <c r="D404" s="37"/>
      <c r="E404" s="34" t="str">
        <f aca="false">IF(C404="","",IFERROR(INDEX(Ingredientes!$D$5:$D$204,MATCH(C404,Ingredientes!$B$5:$B$204,0)),"?"))</f>
        <v/>
      </c>
      <c r="F404" s="24" t="str">
        <f aca="false">IF(OR(C404="",D404=""),"",IFERROR(D404*INDEX(Ingredientes!$F$5:$F$204,MATCH(C404,Ingredientes!$B$5:$B$204,0))/INDEX(Ingredientes!$E$5:$E$204,MATCH(C404,Ingredientes!$B$5:$B$204,0)),"Cadastre em Ingredientes"))</f>
        <v/>
      </c>
      <c r="G404" s="7"/>
    </row>
    <row r="405" customFormat="false" ht="21" hidden="false" customHeight="true" outlineLevel="0" collapsed="false">
      <c r="B405" s="7"/>
      <c r="C405" s="7"/>
      <c r="D405" s="37"/>
      <c r="E405" s="34" t="str">
        <f aca="false">IF(C405="","",IFERROR(INDEX(Ingredientes!$D$5:$D$204,MATCH(C405,Ingredientes!$B$5:$B$204,0)),"?"))</f>
        <v/>
      </c>
      <c r="F405" s="24" t="str">
        <f aca="false">IF(OR(C405="",D405=""),"",IFERROR(D405*INDEX(Ingredientes!$F$5:$F$204,MATCH(C405,Ingredientes!$B$5:$B$204,0))/INDEX(Ingredientes!$E$5:$E$204,MATCH(C405,Ingredientes!$B$5:$B$204,0)),"Cadastre em Ingredientes"))</f>
        <v/>
      </c>
      <c r="G405" s="7"/>
    </row>
    <row r="406" customFormat="false" ht="21" hidden="false" customHeight="true" outlineLevel="0" collapsed="false">
      <c r="B406" s="7"/>
      <c r="C406" s="7"/>
      <c r="D406" s="37"/>
      <c r="E406" s="34" t="str">
        <f aca="false">IF(C406="","",IFERROR(INDEX(Ingredientes!$D$5:$D$204,MATCH(C406,Ingredientes!$B$5:$B$204,0)),"?"))</f>
        <v/>
      </c>
      <c r="F406" s="24" t="str">
        <f aca="false">IF(OR(C406="",D406=""),"",IFERROR(D406*INDEX(Ingredientes!$F$5:$F$204,MATCH(C406,Ingredientes!$B$5:$B$204,0))/INDEX(Ingredientes!$E$5:$E$204,MATCH(C406,Ingredientes!$B$5:$B$204,0)),"Cadastre em Ingredientes"))</f>
        <v/>
      </c>
      <c r="G406" s="7"/>
    </row>
    <row r="407" customFormat="false" ht="21" hidden="false" customHeight="true" outlineLevel="0" collapsed="false">
      <c r="B407" s="7"/>
      <c r="C407" s="7"/>
      <c r="D407" s="37"/>
      <c r="E407" s="34" t="str">
        <f aca="false">IF(C407="","",IFERROR(INDEX(Ingredientes!$D$5:$D$204,MATCH(C407,Ingredientes!$B$5:$B$204,0)),"?"))</f>
        <v/>
      </c>
      <c r="F407" s="24" t="str">
        <f aca="false">IF(OR(C407="",D407=""),"",IFERROR(D407*INDEX(Ingredientes!$F$5:$F$204,MATCH(C407,Ingredientes!$B$5:$B$204,0))/INDEX(Ingredientes!$E$5:$E$204,MATCH(C407,Ingredientes!$B$5:$B$204,0)),"Cadastre em Ingredientes"))</f>
        <v/>
      </c>
      <c r="G407" s="7"/>
    </row>
    <row r="408" customFormat="false" ht="21" hidden="false" customHeight="true" outlineLevel="0" collapsed="false">
      <c r="B408" s="7"/>
      <c r="C408" s="7"/>
      <c r="D408" s="37"/>
      <c r="E408" s="34" t="str">
        <f aca="false">IF(C408="","",IFERROR(INDEX(Ingredientes!$D$5:$D$204,MATCH(C408,Ingredientes!$B$5:$B$204,0)),"?"))</f>
        <v/>
      </c>
      <c r="F408" s="24" t="str">
        <f aca="false">IF(OR(C408="",D408=""),"",IFERROR(D408*INDEX(Ingredientes!$F$5:$F$204,MATCH(C408,Ingredientes!$B$5:$B$204,0))/INDEX(Ingredientes!$E$5:$E$204,MATCH(C408,Ingredientes!$B$5:$B$204,0)),"Cadastre em Ingredientes"))</f>
        <v/>
      </c>
      <c r="G408" s="7"/>
    </row>
    <row r="409" customFormat="false" ht="21" hidden="false" customHeight="true" outlineLevel="0" collapsed="false">
      <c r="B409" s="7"/>
      <c r="C409" s="7"/>
      <c r="D409" s="37"/>
      <c r="E409" s="34" t="str">
        <f aca="false">IF(C409="","",IFERROR(INDEX(Ingredientes!$D$5:$D$204,MATCH(C409,Ingredientes!$B$5:$B$204,0)),"?"))</f>
        <v/>
      </c>
      <c r="F409" s="24" t="str">
        <f aca="false">IF(OR(C409="",D409=""),"",IFERROR(D409*INDEX(Ingredientes!$F$5:$F$204,MATCH(C409,Ingredientes!$B$5:$B$204,0))/INDEX(Ingredientes!$E$5:$E$204,MATCH(C409,Ingredientes!$B$5:$B$204,0)),"Cadastre em Ingredientes"))</f>
        <v/>
      </c>
      <c r="G409" s="7"/>
    </row>
    <row r="410" customFormat="false" ht="21" hidden="false" customHeight="true" outlineLevel="0" collapsed="false">
      <c r="B410" s="7"/>
      <c r="C410" s="7"/>
      <c r="D410" s="37"/>
      <c r="E410" s="34" t="str">
        <f aca="false">IF(C410="","",IFERROR(INDEX(Ingredientes!$D$5:$D$204,MATCH(C410,Ingredientes!$B$5:$B$204,0)),"?"))</f>
        <v/>
      </c>
      <c r="F410" s="24" t="str">
        <f aca="false">IF(OR(C410="",D410=""),"",IFERROR(D410*INDEX(Ingredientes!$F$5:$F$204,MATCH(C410,Ingredientes!$B$5:$B$204,0))/INDEX(Ingredientes!$E$5:$E$204,MATCH(C410,Ingredientes!$B$5:$B$204,0)),"Cadastre em Ingredientes"))</f>
        <v/>
      </c>
      <c r="G410" s="7"/>
    </row>
    <row r="411" customFormat="false" ht="21" hidden="false" customHeight="true" outlineLevel="0" collapsed="false">
      <c r="B411" s="7"/>
      <c r="C411" s="7"/>
      <c r="D411" s="37"/>
      <c r="E411" s="34" t="str">
        <f aca="false">IF(C411="","",IFERROR(INDEX(Ingredientes!$D$5:$D$204,MATCH(C411,Ingredientes!$B$5:$B$204,0)),"?"))</f>
        <v/>
      </c>
      <c r="F411" s="24" t="str">
        <f aca="false">IF(OR(C411="",D411=""),"",IFERROR(D411*INDEX(Ingredientes!$F$5:$F$204,MATCH(C411,Ingredientes!$B$5:$B$204,0))/INDEX(Ingredientes!$E$5:$E$204,MATCH(C411,Ingredientes!$B$5:$B$204,0)),"Cadastre em Ingredientes"))</f>
        <v/>
      </c>
      <c r="G411" s="7"/>
    </row>
    <row r="412" customFormat="false" ht="21" hidden="false" customHeight="true" outlineLevel="0" collapsed="false">
      <c r="B412" s="7"/>
      <c r="C412" s="7"/>
      <c r="D412" s="37"/>
      <c r="E412" s="34" t="str">
        <f aca="false">IF(C412="","",IFERROR(INDEX(Ingredientes!$D$5:$D$204,MATCH(C412,Ingredientes!$B$5:$B$204,0)),"?"))</f>
        <v/>
      </c>
      <c r="F412" s="24" t="str">
        <f aca="false">IF(OR(C412="",D412=""),"",IFERROR(D412*INDEX(Ingredientes!$F$5:$F$204,MATCH(C412,Ingredientes!$B$5:$B$204,0))/INDEX(Ingredientes!$E$5:$E$204,MATCH(C412,Ingredientes!$B$5:$B$204,0)),"Cadastre em Ingredientes"))</f>
        <v/>
      </c>
      <c r="G412" s="7"/>
    </row>
    <row r="413" customFormat="false" ht="21" hidden="false" customHeight="true" outlineLevel="0" collapsed="false">
      <c r="B413" s="7"/>
      <c r="C413" s="7"/>
      <c r="D413" s="37"/>
      <c r="E413" s="34" t="str">
        <f aca="false">IF(C413="","",IFERROR(INDEX(Ingredientes!$D$5:$D$204,MATCH(C413,Ingredientes!$B$5:$B$204,0)),"?"))</f>
        <v/>
      </c>
      <c r="F413" s="24" t="str">
        <f aca="false">IF(OR(C413="",D413=""),"",IFERROR(D413*INDEX(Ingredientes!$F$5:$F$204,MATCH(C413,Ingredientes!$B$5:$B$204,0))/INDEX(Ingredientes!$E$5:$E$204,MATCH(C413,Ingredientes!$B$5:$B$204,0)),"Cadastre em Ingredientes"))</f>
        <v/>
      </c>
      <c r="G413" s="7"/>
    </row>
    <row r="414" customFormat="false" ht="21" hidden="false" customHeight="true" outlineLevel="0" collapsed="false">
      <c r="B414" s="7"/>
      <c r="C414" s="7"/>
      <c r="D414" s="37"/>
      <c r="E414" s="34" t="str">
        <f aca="false">IF(C414="","",IFERROR(INDEX(Ingredientes!$D$5:$D$204,MATCH(C414,Ingredientes!$B$5:$B$204,0)),"?"))</f>
        <v/>
      </c>
      <c r="F414" s="24" t="str">
        <f aca="false">IF(OR(C414="",D414=""),"",IFERROR(D414*INDEX(Ingredientes!$F$5:$F$204,MATCH(C414,Ingredientes!$B$5:$B$204,0))/INDEX(Ingredientes!$E$5:$E$204,MATCH(C414,Ingredientes!$B$5:$B$204,0)),"Cadastre em Ingredientes"))</f>
        <v/>
      </c>
      <c r="G414" s="7"/>
    </row>
    <row r="415" customFormat="false" ht="21" hidden="false" customHeight="true" outlineLevel="0" collapsed="false">
      <c r="B415" s="7"/>
      <c r="C415" s="7"/>
      <c r="D415" s="37"/>
      <c r="E415" s="34" t="str">
        <f aca="false">IF(C415="","",IFERROR(INDEX(Ingredientes!$D$5:$D$204,MATCH(C415,Ingredientes!$B$5:$B$204,0)),"?"))</f>
        <v/>
      </c>
      <c r="F415" s="24" t="str">
        <f aca="false">IF(OR(C415="",D415=""),"",IFERROR(D415*INDEX(Ingredientes!$F$5:$F$204,MATCH(C415,Ingredientes!$B$5:$B$204,0))/INDEX(Ingredientes!$E$5:$E$204,MATCH(C415,Ingredientes!$B$5:$B$204,0)),"Cadastre em Ingredientes"))</f>
        <v/>
      </c>
      <c r="G415" s="7"/>
    </row>
    <row r="416" customFormat="false" ht="21" hidden="false" customHeight="true" outlineLevel="0" collapsed="false">
      <c r="B416" s="7"/>
      <c r="C416" s="7"/>
      <c r="D416" s="37"/>
      <c r="E416" s="34" t="str">
        <f aca="false">IF(C416="","",IFERROR(INDEX(Ingredientes!$D$5:$D$204,MATCH(C416,Ingredientes!$B$5:$B$204,0)),"?"))</f>
        <v/>
      </c>
      <c r="F416" s="24" t="str">
        <f aca="false">IF(OR(C416="",D416=""),"",IFERROR(D416*INDEX(Ingredientes!$F$5:$F$204,MATCH(C416,Ingredientes!$B$5:$B$204,0))/INDEX(Ingredientes!$E$5:$E$204,MATCH(C416,Ingredientes!$B$5:$B$204,0)),"Cadastre em Ingredientes"))</f>
        <v/>
      </c>
      <c r="G416" s="7"/>
    </row>
    <row r="417" customFormat="false" ht="21" hidden="false" customHeight="true" outlineLevel="0" collapsed="false">
      <c r="B417" s="7"/>
      <c r="C417" s="7"/>
      <c r="D417" s="37"/>
      <c r="E417" s="34" t="str">
        <f aca="false">IF(C417="","",IFERROR(INDEX(Ingredientes!$D$5:$D$204,MATCH(C417,Ingredientes!$B$5:$B$204,0)),"?"))</f>
        <v/>
      </c>
      <c r="F417" s="24" t="str">
        <f aca="false">IF(OR(C417="",D417=""),"",IFERROR(D417*INDEX(Ingredientes!$F$5:$F$204,MATCH(C417,Ingredientes!$B$5:$B$204,0))/INDEX(Ingredientes!$E$5:$E$204,MATCH(C417,Ingredientes!$B$5:$B$204,0)),"Cadastre em Ingredientes"))</f>
        <v/>
      </c>
      <c r="G417" s="7"/>
    </row>
    <row r="418" customFormat="false" ht="21" hidden="false" customHeight="true" outlineLevel="0" collapsed="false">
      <c r="B418" s="7"/>
      <c r="C418" s="7"/>
      <c r="D418" s="37"/>
      <c r="E418" s="34" t="str">
        <f aca="false">IF(C418="","",IFERROR(INDEX(Ingredientes!$D$5:$D$204,MATCH(C418,Ingredientes!$B$5:$B$204,0)),"?"))</f>
        <v/>
      </c>
      <c r="F418" s="24" t="str">
        <f aca="false">IF(OR(C418="",D418=""),"",IFERROR(D418*INDEX(Ingredientes!$F$5:$F$204,MATCH(C418,Ingredientes!$B$5:$B$204,0))/INDEX(Ingredientes!$E$5:$E$204,MATCH(C418,Ingredientes!$B$5:$B$204,0)),"Cadastre em Ingredientes"))</f>
        <v/>
      </c>
      <c r="G418" s="7"/>
    </row>
    <row r="419" customFormat="false" ht="21" hidden="false" customHeight="true" outlineLevel="0" collapsed="false">
      <c r="B419" s="7"/>
      <c r="C419" s="7"/>
      <c r="D419" s="37"/>
      <c r="E419" s="34" t="str">
        <f aca="false">IF(C419="","",IFERROR(INDEX(Ingredientes!$D$5:$D$204,MATCH(C419,Ingredientes!$B$5:$B$204,0)),"?"))</f>
        <v/>
      </c>
      <c r="F419" s="24" t="str">
        <f aca="false">IF(OR(C419="",D419=""),"",IFERROR(D419*INDEX(Ingredientes!$F$5:$F$204,MATCH(C419,Ingredientes!$B$5:$B$204,0))/INDEX(Ingredientes!$E$5:$E$204,MATCH(C419,Ingredientes!$B$5:$B$204,0)),"Cadastre em Ingredientes"))</f>
        <v/>
      </c>
      <c r="G419" s="7"/>
    </row>
    <row r="420" customFormat="false" ht="21" hidden="false" customHeight="true" outlineLevel="0" collapsed="false">
      <c r="B420" s="7"/>
      <c r="C420" s="7"/>
      <c r="D420" s="37"/>
      <c r="E420" s="34" t="str">
        <f aca="false">IF(C420="","",IFERROR(INDEX(Ingredientes!$D$5:$D$204,MATCH(C420,Ingredientes!$B$5:$B$204,0)),"?"))</f>
        <v/>
      </c>
      <c r="F420" s="24" t="str">
        <f aca="false">IF(OR(C420="",D420=""),"",IFERROR(D420*INDEX(Ingredientes!$F$5:$F$204,MATCH(C420,Ingredientes!$B$5:$B$204,0))/INDEX(Ingredientes!$E$5:$E$204,MATCH(C420,Ingredientes!$B$5:$B$204,0)),"Cadastre em Ingredientes"))</f>
        <v/>
      </c>
      <c r="G420" s="7"/>
    </row>
    <row r="421" customFormat="false" ht="21" hidden="false" customHeight="true" outlineLevel="0" collapsed="false">
      <c r="B421" s="7"/>
      <c r="C421" s="7"/>
      <c r="D421" s="37"/>
      <c r="E421" s="34" t="str">
        <f aca="false">IF(C421="","",IFERROR(INDEX(Ingredientes!$D$5:$D$204,MATCH(C421,Ingredientes!$B$5:$B$204,0)),"?"))</f>
        <v/>
      </c>
      <c r="F421" s="24" t="str">
        <f aca="false">IF(OR(C421="",D421=""),"",IFERROR(D421*INDEX(Ingredientes!$F$5:$F$204,MATCH(C421,Ingredientes!$B$5:$B$204,0))/INDEX(Ingredientes!$E$5:$E$204,MATCH(C421,Ingredientes!$B$5:$B$204,0)),"Cadastre em Ingredientes"))</f>
        <v/>
      </c>
      <c r="G421" s="7"/>
    </row>
    <row r="422" customFormat="false" ht="21" hidden="false" customHeight="true" outlineLevel="0" collapsed="false">
      <c r="B422" s="7"/>
      <c r="C422" s="7"/>
      <c r="D422" s="37"/>
      <c r="E422" s="34" t="str">
        <f aca="false">IF(C422="","",IFERROR(INDEX(Ingredientes!$D$5:$D$204,MATCH(C422,Ingredientes!$B$5:$B$204,0)),"?"))</f>
        <v/>
      </c>
      <c r="F422" s="24" t="str">
        <f aca="false">IF(OR(C422="",D422=""),"",IFERROR(D422*INDEX(Ingredientes!$F$5:$F$204,MATCH(C422,Ingredientes!$B$5:$B$204,0))/INDEX(Ingredientes!$E$5:$E$204,MATCH(C422,Ingredientes!$B$5:$B$204,0)),"Cadastre em Ingredientes"))</f>
        <v/>
      </c>
      <c r="G422" s="7"/>
    </row>
    <row r="423" customFormat="false" ht="21" hidden="false" customHeight="true" outlineLevel="0" collapsed="false">
      <c r="B423" s="7"/>
      <c r="C423" s="7"/>
      <c r="D423" s="37"/>
      <c r="E423" s="34" t="str">
        <f aca="false">IF(C423="","",IFERROR(INDEX(Ingredientes!$D$5:$D$204,MATCH(C423,Ingredientes!$B$5:$B$204,0)),"?"))</f>
        <v/>
      </c>
      <c r="F423" s="24" t="str">
        <f aca="false">IF(OR(C423="",D423=""),"",IFERROR(D423*INDEX(Ingredientes!$F$5:$F$204,MATCH(C423,Ingredientes!$B$5:$B$204,0))/INDEX(Ingredientes!$E$5:$E$204,MATCH(C423,Ingredientes!$B$5:$B$204,0)),"Cadastre em Ingredientes"))</f>
        <v/>
      </c>
      <c r="G423" s="7"/>
    </row>
    <row r="424" customFormat="false" ht="21" hidden="false" customHeight="true" outlineLevel="0" collapsed="false">
      <c r="B424" s="7"/>
      <c r="C424" s="7"/>
      <c r="D424" s="37"/>
      <c r="E424" s="34" t="str">
        <f aca="false">IF(C424="","",IFERROR(INDEX(Ingredientes!$D$5:$D$204,MATCH(C424,Ingredientes!$B$5:$B$204,0)),"?"))</f>
        <v/>
      </c>
      <c r="F424" s="24" t="str">
        <f aca="false">IF(OR(C424="",D424=""),"",IFERROR(D424*INDEX(Ingredientes!$F$5:$F$204,MATCH(C424,Ingredientes!$B$5:$B$204,0))/INDEX(Ingredientes!$E$5:$E$204,MATCH(C424,Ingredientes!$B$5:$B$204,0)),"Cadastre em Ingredientes"))</f>
        <v/>
      </c>
      <c r="G424" s="7"/>
    </row>
    <row r="425" customFormat="false" ht="21" hidden="false" customHeight="true" outlineLevel="0" collapsed="false">
      <c r="B425" s="7"/>
      <c r="C425" s="7"/>
      <c r="D425" s="37"/>
      <c r="E425" s="34" t="str">
        <f aca="false">IF(C425="","",IFERROR(INDEX(Ingredientes!$D$5:$D$204,MATCH(C425,Ingredientes!$B$5:$B$204,0)),"?"))</f>
        <v/>
      </c>
      <c r="F425" s="24" t="str">
        <f aca="false">IF(OR(C425="",D425=""),"",IFERROR(D425*INDEX(Ingredientes!$F$5:$F$204,MATCH(C425,Ingredientes!$B$5:$B$204,0))/INDEX(Ingredientes!$E$5:$E$204,MATCH(C425,Ingredientes!$B$5:$B$204,0)),"Cadastre em Ingredientes"))</f>
        <v/>
      </c>
      <c r="G425" s="7"/>
    </row>
    <row r="426" customFormat="false" ht="21" hidden="false" customHeight="true" outlineLevel="0" collapsed="false">
      <c r="B426" s="7"/>
      <c r="C426" s="7"/>
      <c r="D426" s="37"/>
      <c r="E426" s="34" t="str">
        <f aca="false">IF(C426="","",IFERROR(INDEX(Ingredientes!$D$5:$D$204,MATCH(C426,Ingredientes!$B$5:$B$204,0)),"?"))</f>
        <v/>
      </c>
      <c r="F426" s="24" t="str">
        <f aca="false">IF(OR(C426="",D426=""),"",IFERROR(D426*INDEX(Ingredientes!$F$5:$F$204,MATCH(C426,Ingredientes!$B$5:$B$204,0))/INDEX(Ingredientes!$E$5:$E$204,MATCH(C426,Ingredientes!$B$5:$B$204,0)),"Cadastre em Ingredientes"))</f>
        <v/>
      </c>
      <c r="G426" s="7"/>
    </row>
    <row r="427" customFormat="false" ht="21" hidden="false" customHeight="true" outlineLevel="0" collapsed="false">
      <c r="B427" s="7"/>
      <c r="C427" s="7"/>
      <c r="D427" s="37"/>
      <c r="E427" s="34" t="str">
        <f aca="false">IF(C427="","",IFERROR(INDEX(Ingredientes!$D$5:$D$204,MATCH(C427,Ingredientes!$B$5:$B$204,0)),"?"))</f>
        <v/>
      </c>
      <c r="F427" s="24" t="str">
        <f aca="false">IF(OR(C427="",D427=""),"",IFERROR(D427*INDEX(Ingredientes!$F$5:$F$204,MATCH(C427,Ingredientes!$B$5:$B$204,0))/INDEX(Ingredientes!$E$5:$E$204,MATCH(C427,Ingredientes!$B$5:$B$204,0)),"Cadastre em Ingredientes"))</f>
        <v/>
      </c>
      <c r="G427" s="7"/>
    </row>
    <row r="428" customFormat="false" ht="21" hidden="false" customHeight="true" outlineLevel="0" collapsed="false">
      <c r="B428" s="7"/>
      <c r="C428" s="7"/>
      <c r="D428" s="37"/>
      <c r="E428" s="34" t="str">
        <f aca="false">IF(C428="","",IFERROR(INDEX(Ingredientes!$D$5:$D$204,MATCH(C428,Ingredientes!$B$5:$B$204,0)),"?"))</f>
        <v/>
      </c>
      <c r="F428" s="24" t="str">
        <f aca="false">IF(OR(C428="",D428=""),"",IFERROR(D428*INDEX(Ingredientes!$F$5:$F$204,MATCH(C428,Ingredientes!$B$5:$B$204,0))/INDEX(Ingredientes!$E$5:$E$204,MATCH(C428,Ingredientes!$B$5:$B$204,0)),"Cadastre em Ingredientes"))</f>
        <v/>
      </c>
      <c r="G428" s="7"/>
    </row>
    <row r="429" customFormat="false" ht="21" hidden="false" customHeight="true" outlineLevel="0" collapsed="false">
      <c r="B429" s="7"/>
      <c r="C429" s="7"/>
      <c r="D429" s="37"/>
      <c r="E429" s="34" t="str">
        <f aca="false">IF(C429="","",IFERROR(INDEX(Ingredientes!$D$5:$D$204,MATCH(C429,Ingredientes!$B$5:$B$204,0)),"?"))</f>
        <v/>
      </c>
      <c r="F429" s="24" t="str">
        <f aca="false">IF(OR(C429="",D429=""),"",IFERROR(D429*INDEX(Ingredientes!$F$5:$F$204,MATCH(C429,Ingredientes!$B$5:$B$204,0))/INDEX(Ingredientes!$E$5:$E$204,MATCH(C429,Ingredientes!$B$5:$B$204,0)),"Cadastre em Ingredientes"))</f>
        <v/>
      </c>
      <c r="G429" s="7"/>
    </row>
    <row r="430" customFormat="false" ht="21" hidden="false" customHeight="true" outlineLevel="0" collapsed="false">
      <c r="B430" s="7"/>
      <c r="C430" s="7"/>
      <c r="D430" s="37"/>
      <c r="E430" s="34" t="str">
        <f aca="false">IF(C430="","",IFERROR(INDEX(Ingredientes!$D$5:$D$204,MATCH(C430,Ingredientes!$B$5:$B$204,0)),"?"))</f>
        <v/>
      </c>
      <c r="F430" s="24" t="str">
        <f aca="false">IF(OR(C430="",D430=""),"",IFERROR(D430*INDEX(Ingredientes!$F$5:$F$204,MATCH(C430,Ingredientes!$B$5:$B$204,0))/INDEX(Ingredientes!$E$5:$E$204,MATCH(C430,Ingredientes!$B$5:$B$204,0)),"Cadastre em Ingredientes"))</f>
        <v/>
      </c>
      <c r="G430" s="7"/>
    </row>
    <row r="431" customFormat="false" ht="21" hidden="false" customHeight="true" outlineLevel="0" collapsed="false">
      <c r="B431" s="7"/>
      <c r="C431" s="7"/>
      <c r="D431" s="37"/>
      <c r="E431" s="34" t="str">
        <f aca="false">IF(C431="","",IFERROR(INDEX(Ingredientes!$D$5:$D$204,MATCH(C431,Ingredientes!$B$5:$B$204,0)),"?"))</f>
        <v/>
      </c>
      <c r="F431" s="24" t="str">
        <f aca="false">IF(OR(C431="",D431=""),"",IFERROR(D431*INDEX(Ingredientes!$F$5:$F$204,MATCH(C431,Ingredientes!$B$5:$B$204,0))/INDEX(Ingredientes!$E$5:$E$204,MATCH(C431,Ingredientes!$B$5:$B$204,0)),"Cadastre em Ingredientes"))</f>
        <v/>
      </c>
      <c r="G431" s="7"/>
    </row>
    <row r="432" customFormat="false" ht="21" hidden="false" customHeight="true" outlineLevel="0" collapsed="false">
      <c r="B432" s="7"/>
      <c r="C432" s="7"/>
      <c r="D432" s="37"/>
      <c r="E432" s="34" t="str">
        <f aca="false">IF(C432="","",IFERROR(INDEX(Ingredientes!$D$5:$D$204,MATCH(C432,Ingredientes!$B$5:$B$204,0)),"?"))</f>
        <v/>
      </c>
      <c r="F432" s="24" t="str">
        <f aca="false">IF(OR(C432="",D432=""),"",IFERROR(D432*INDEX(Ingredientes!$F$5:$F$204,MATCH(C432,Ingredientes!$B$5:$B$204,0))/INDEX(Ingredientes!$E$5:$E$204,MATCH(C432,Ingredientes!$B$5:$B$204,0)),"Cadastre em Ingredientes"))</f>
        <v/>
      </c>
      <c r="G432" s="7"/>
    </row>
    <row r="433" customFormat="false" ht="21" hidden="false" customHeight="true" outlineLevel="0" collapsed="false">
      <c r="B433" s="7"/>
      <c r="C433" s="7"/>
      <c r="D433" s="37"/>
      <c r="E433" s="34" t="str">
        <f aca="false">IF(C433="","",IFERROR(INDEX(Ingredientes!$D$5:$D$204,MATCH(C433,Ingredientes!$B$5:$B$204,0)),"?"))</f>
        <v/>
      </c>
      <c r="F433" s="24" t="str">
        <f aca="false">IF(OR(C433="",D433=""),"",IFERROR(D433*INDEX(Ingredientes!$F$5:$F$204,MATCH(C433,Ingredientes!$B$5:$B$204,0))/INDEX(Ingredientes!$E$5:$E$204,MATCH(C433,Ingredientes!$B$5:$B$204,0)),"Cadastre em Ingredientes"))</f>
        <v/>
      </c>
      <c r="G433" s="7"/>
    </row>
    <row r="434" customFormat="false" ht="21" hidden="false" customHeight="true" outlineLevel="0" collapsed="false">
      <c r="B434" s="7"/>
      <c r="C434" s="7"/>
      <c r="D434" s="37"/>
      <c r="E434" s="34" t="str">
        <f aca="false">IF(C434="","",IFERROR(INDEX(Ingredientes!$D$5:$D$204,MATCH(C434,Ingredientes!$B$5:$B$204,0)),"?"))</f>
        <v/>
      </c>
      <c r="F434" s="24" t="str">
        <f aca="false">IF(OR(C434="",D434=""),"",IFERROR(D434*INDEX(Ingredientes!$F$5:$F$204,MATCH(C434,Ingredientes!$B$5:$B$204,0))/INDEX(Ingredientes!$E$5:$E$204,MATCH(C434,Ingredientes!$B$5:$B$204,0)),"Cadastre em Ingredientes"))</f>
        <v/>
      </c>
      <c r="G434" s="7"/>
    </row>
    <row r="435" customFormat="false" ht="21" hidden="false" customHeight="true" outlineLevel="0" collapsed="false">
      <c r="B435" s="7"/>
      <c r="C435" s="7"/>
      <c r="D435" s="37"/>
      <c r="E435" s="34" t="str">
        <f aca="false">IF(C435="","",IFERROR(INDEX(Ingredientes!$D$5:$D$204,MATCH(C435,Ingredientes!$B$5:$B$204,0)),"?"))</f>
        <v/>
      </c>
      <c r="F435" s="24" t="str">
        <f aca="false">IF(OR(C435="",D435=""),"",IFERROR(D435*INDEX(Ingredientes!$F$5:$F$204,MATCH(C435,Ingredientes!$B$5:$B$204,0))/INDEX(Ingredientes!$E$5:$E$204,MATCH(C435,Ingredientes!$B$5:$B$204,0)),"Cadastre em Ingredientes"))</f>
        <v/>
      </c>
      <c r="G435" s="7"/>
    </row>
    <row r="436" customFormat="false" ht="21" hidden="false" customHeight="true" outlineLevel="0" collapsed="false">
      <c r="B436" s="7"/>
      <c r="C436" s="7"/>
      <c r="D436" s="37"/>
      <c r="E436" s="34" t="str">
        <f aca="false">IF(C436="","",IFERROR(INDEX(Ingredientes!$D$5:$D$204,MATCH(C436,Ingredientes!$B$5:$B$204,0)),"?"))</f>
        <v/>
      </c>
      <c r="F436" s="24" t="str">
        <f aca="false">IF(OR(C436="",D436=""),"",IFERROR(D436*INDEX(Ingredientes!$F$5:$F$204,MATCH(C436,Ingredientes!$B$5:$B$204,0))/INDEX(Ingredientes!$E$5:$E$204,MATCH(C436,Ingredientes!$B$5:$B$204,0)),"Cadastre em Ingredientes"))</f>
        <v/>
      </c>
      <c r="G436" s="7"/>
    </row>
    <row r="437" customFormat="false" ht="21" hidden="false" customHeight="true" outlineLevel="0" collapsed="false">
      <c r="B437" s="7"/>
      <c r="C437" s="7"/>
      <c r="D437" s="37"/>
      <c r="E437" s="34" t="str">
        <f aca="false">IF(C437="","",IFERROR(INDEX(Ingredientes!$D$5:$D$204,MATCH(C437,Ingredientes!$B$5:$B$204,0)),"?"))</f>
        <v/>
      </c>
      <c r="F437" s="24" t="str">
        <f aca="false">IF(OR(C437="",D437=""),"",IFERROR(D437*INDEX(Ingredientes!$F$5:$F$204,MATCH(C437,Ingredientes!$B$5:$B$204,0))/INDEX(Ingredientes!$E$5:$E$204,MATCH(C437,Ingredientes!$B$5:$B$204,0)),"Cadastre em Ingredientes"))</f>
        <v/>
      </c>
      <c r="G437" s="7"/>
    </row>
    <row r="438" customFormat="false" ht="21" hidden="false" customHeight="true" outlineLevel="0" collapsed="false">
      <c r="B438" s="7"/>
      <c r="C438" s="7"/>
      <c r="D438" s="37"/>
      <c r="E438" s="34" t="str">
        <f aca="false">IF(C438="","",IFERROR(INDEX(Ingredientes!$D$5:$D$204,MATCH(C438,Ingredientes!$B$5:$B$204,0)),"?"))</f>
        <v/>
      </c>
      <c r="F438" s="24" t="str">
        <f aca="false">IF(OR(C438="",D438=""),"",IFERROR(D438*INDEX(Ingredientes!$F$5:$F$204,MATCH(C438,Ingredientes!$B$5:$B$204,0))/INDEX(Ingredientes!$E$5:$E$204,MATCH(C438,Ingredientes!$B$5:$B$204,0)),"Cadastre em Ingredientes"))</f>
        <v/>
      </c>
      <c r="G438" s="7"/>
    </row>
    <row r="439" customFormat="false" ht="21" hidden="false" customHeight="true" outlineLevel="0" collapsed="false">
      <c r="B439" s="7"/>
      <c r="C439" s="7"/>
      <c r="D439" s="37"/>
      <c r="E439" s="34" t="str">
        <f aca="false">IF(C439="","",IFERROR(INDEX(Ingredientes!$D$5:$D$204,MATCH(C439,Ingredientes!$B$5:$B$204,0)),"?"))</f>
        <v/>
      </c>
      <c r="F439" s="24" t="str">
        <f aca="false">IF(OR(C439="",D439=""),"",IFERROR(D439*INDEX(Ingredientes!$F$5:$F$204,MATCH(C439,Ingredientes!$B$5:$B$204,0))/INDEX(Ingredientes!$E$5:$E$204,MATCH(C439,Ingredientes!$B$5:$B$204,0)),"Cadastre em Ingredientes"))</f>
        <v/>
      </c>
      <c r="G439" s="7"/>
    </row>
    <row r="440" customFormat="false" ht="21" hidden="false" customHeight="true" outlineLevel="0" collapsed="false">
      <c r="B440" s="7"/>
      <c r="C440" s="7"/>
      <c r="D440" s="37"/>
      <c r="E440" s="34" t="str">
        <f aca="false">IF(C440="","",IFERROR(INDEX(Ingredientes!$D$5:$D$204,MATCH(C440,Ingredientes!$B$5:$B$204,0)),"?"))</f>
        <v/>
      </c>
      <c r="F440" s="24" t="str">
        <f aca="false">IF(OR(C440="",D440=""),"",IFERROR(D440*INDEX(Ingredientes!$F$5:$F$204,MATCH(C440,Ingredientes!$B$5:$B$204,0))/INDEX(Ingredientes!$E$5:$E$204,MATCH(C440,Ingredientes!$B$5:$B$204,0)),"Cadastre em Ingredientes"))</f>
        <v/>
      </c>
      <c r="G440" s="7"/>
    </row>
    <row r="441" customFormat="false" ht="21" hidden="false" customHeight="true" outlineLevel="0" collapsed="false">
      <c r="B441" s="7"/>
      <c r="C441" s="7"/>
      <c r="D441" s="37"/>
      <c r="E441" s="34" t="str">
        <f aca="false">IF(C441="","",IFERROR(INDEX(Ingredientes!$D$5:$D$204,MATCH(C441,Ingredientes!$B$5:$B$204,0)),"?"))</f>
        <v/>
      </c>
      <c r="F441" s="24" t="str">
        <f aca="false">IF(OR(C441="",D441=""),"",IFERROR(D441*INDEX(Ingredientes!$F$5:$F$204,MATCH(C441,Ingredientes!$B$5:$B$204,0))/INDEX(Ingredientes!$E$5:$E$204,MATCH(C441,Ingredientes!$B$5:$B$204,0)),"Cadastre em Ingredientes"))</f>
        <v/>
      </c>
      <c r="G441" s="7"/>
    </row>
    <row r="442" customFormat="false" ht="21" hidden="false" customHeight="true" outlineLevel="0" collapsed="false">
      <c r="B442" s="7"/>
      <c r="C442" s="7"/>
      <c r="D442" s="37"/>
      <c r="E442" s="34" t="str">
        <f aca="false">IF(C442="","",IFERROR(INDEX(Ingredientes!$D$5:$D$204,MATCH(C442,Ingredientes!$B$5:$B$204,0)),"?"))</f>
        <v/>
      </c>
      <c r="F442" s="24" t="str">
        <f aca="false">IF(OR(C442="",D442=""),"",IFERROR(D442*INDEX(Ingredientes!$F$5:$F$204,MATCH(C442,Ingredientes!$B$5:$B$204,0))/INDEX(Ingredientes!$E$5:$E$204,MATCH(C442,Ingredientes!$B$5:$B$204,0)),"Cadastre em Ingredientes"))</f>
        <v/>
      </c>
      <c r="G442" s="7"/>
    </row>
    <row r="443" customFormat="false" ht="21" hidden="false" customHeight="true" outlineLevel="0" collapsed="false">
      <c r="B443" s="7"/>
      <c r="C443" s="7"/>
      <c r="D443" s="37"/>
      <c r="E443" s="34" t="str">
        <f aca="false">IF(C443="","",IFERROR(INDEX(Ingredientes!$D$5:$D$204,MATCH(C443,Ingredientes!$B$5:$B$204,0)),"?"))</f>
        <v/>
      </c>
      <c r="F443" s="24" t="str">
        <f aca="false">IF(OR(C443="",D443=""),"",IFERROR(D443*INDEX(Ingredientes!$F$5:$F$204,MATCH(C443,Ingredientes!$B$5:$B$204,0))/INDEX(Ingredientes!$E$5:$E$204,MATCH(C443,Ingredientes!$B$5:$B$204,0)),"Cadastre em Ingredientes"))</f>
        <v/>
      </c>
      <c r="G443" s="7"/>
    </row>
    <row r="444" customFormat="false" ht="21" hidden="false" customHeight="true" outlineLevel="0" collapsed="false">
      <c r="B444" s="7"/>
      <c r="C444" s="7"/>
      <c r="D444" s="37"/>
      <c r="E444" s="34" t="str">
        <f aca="false">IF(C444="","",IFERROR(INDEX(Ingredientes!$D$5:$D$204,MATCH(C444,Ingredientes!$B$5:$B$204,0)),"?"))</f>
        <v/>
      </c>
      <c r="F444" s="24" t="str">
        <f aca="false">IF(OR(C444="",D444=""),"",IFERROR(D444*INDEX(Ingredientes!$F$5:$F$204,MATCH(C444,Ingredientes!$B$5:$B$204,0))/INDEX(Ingredientes!$E$5:$E$204,MATCH(C444,Ingredientes!$B$5:$B$204,0)),"Cadastre em Ingredientes"))</f>
        <v/>
      </c>
      <c r="G444" s="7"/>
    </row>
    <row r="445" customFormat="false" ht="21" hidden="false" customHeight="true" outlineLevel="0" collapsed="false">
      <c r="B445" s="7"/>
      <c r="C445" s="7"/>
      <c r="D445" s="37"/>
      <c r="E445" s="34" t="str">
        <f aca="false">IF(C445="","",IFERROR(INDEX(Ingredientes!$D$5:$D$204,MATCH(C445,Ingredientes!$B$5:$B$204,0)),"?"))</f>
        <v/>
      </c>
      <c r="F445" s="24" t="str">
        <f aca="false">IF(OR(C445="",D445=""),"",IFERROR(D445*INDEX(Ingredientes!$F$5:$F$204,MATCH(C445,Ingredientes!$B$5:$B$204,0))/INDEX(Ingredientes!$E$5:$E$204,MATCH(C445,Ingredientes!$B$5:$B$204,0)),"Cadastre em Ingredientes"))</f>
        <v/>
      </c>
      <c r="G445" s="7"/>
    </row>
    <row r="446" customFormat="false" ht="21" hidden="false" customHeight="true" outlineLevel="0" collapsed="false">
      <c r="B446" s="7"/>
      <c r="C446" s="7"/>
      <c r="D446" s="37"/>
      <c r="E446" s="34" t="str">
        <f aca="false">IF(C446="","",IFERROR(INDEX(Ingredientes!$D$5:$D$204,MATCH(C446,Ingredientes!$B$5:$B$204,0)),"?"))</f>
        <v/>
      </c>
      <c r="F446" s="24" t="str">
        <f aca="false">IF(OR(C446="",D446=""),"",IFERROR(D446*INDEX(Ingredientes!$F$5:$F$204,MATCH(C446,Ingredientes!$B$5:$B$204,0))/INDEX(Ingredientes!$E$5:$E$204,MATCH(C446,Ingredientes!$B$5:$B$204,0)),"Cadastre em Ingredientes"))</f>
        <v/>
      </c>
      <c r="G446" s="7"/>
    </row>
    <row r="447" customFormat="false" ht="21" hidden="false" customHeight="true" outlineLevel="0" collapsed="false">
      <c r="B447" s="7"/>
      <c r="C447" s="7"/>
      <c r="D447" s="37"/>
      <c r="E447" s="34" t="str">
        <f aca="false">IF(C447="","",IFERROR(INDEX(Ingredientes!$D$5:$D$204,MATCH(C447,Ingredientes!$B$5:$B$204,0)),"?"))</f>
        <v/>
      </c>
      <c r="F447" s="24" t="str">
        <f aca="false">IF(OR(C447="",D447=""),"",IFERROR(D447*INDEX(Ingredientes!$F$5:$F$204,MATCH(C447,Ingredientes!$B$5:$B$204,0))/INDEX(Ingredientes!$E$5:$E$204,MATCH(C447,Ingredientes!$B$5:$B$204,0)),"Cadastre em Ingredientes"))</f>
        <v/>
      </c>
      <c r="G447" s="7"/>
    </row>
    <row r="448" customFormat="false" ht="21" hidden="false" customHeight="true" outlineLevel="0" collapsed="false">
      <c r="B448" s="7"/>
      <c r="C448" s="7"/>
      <c r="D448" s="37"/>
      <c r="E448" s="34" t="str">
        <f aca="false">IF(C448="","",IFERROR(INDEX(Ingredientes!$D$5:$D$204,MATCH(C448,Ingredientes!$B$5:$B$204,0)),"?"))</f>
        <v/>
      </c>
      <c r="F448" s="24" t="str">
        <f aca="false">IF(OR(C448="",D448=""),"",IFERROR(D448*INDEX(Ingredientes!$F$5:$F$204,MATCH(C448,Ingredientes!$B$5:$B$204,0))/INDEX(Ingredientes!$E$5:$E$204,MATCH(C448,Ingredientes!$B$5:$B$204,0)),"Cadastre em Ingredientes"))</f>
        <v/>
      </c>
      <c r="G448" s="7"/>
    </row>
    <row r="449" customFormat="false" ht="21" hidden="false" customHeight="true" outlineLevel="0" collapsed="false">
      <c r="B449" s="7"/>
      <c r="C449" s="7"/>
      <c r="D449" s="37"/>
      <c r="E449" s="34" t="str">
        <f aca="false">IF(C449="","",IFERROR(INDEX(Ingredientes!$D$5:$D$204,MATCH(C449,Ingredientes!$B$5:$B$204,0)),"?"))</f>
        <v/>
      </c>
      <c r="F449" s="24" t="str">
        <f aca="false">IF(OR(C449="",D449=""),"",IFERROR(D449*INDEX(Ingredientes!$F$5:$F$204,MATCH(C449,Ingredientes!$B$5:$B$204,0))/INDEX(Ingredientes!$E$5:$E$204,MATCH(C449,Ingredientes!$B$5:$B$204,0)),"Cadastre em Ingredientes"))</f>
        <v/>
      </c>
      <c r="G449" s="7"/>
    </row>
    <row r="450" customFormat="false" ht="21" hidden="false" customHeight="true" outlineLevel="0" collapsed="false">
      <c r="B450" s="7"/>
      <c r="C450" s="7"/>
      <c r="D450" s="37"/>
      <c r="E450" s="34" t="str">
        <f aca="false">IF(C450="","",IFERROR(INDEX(Ingredientes!$D$5:$D$204,MATCH(C450,Ingredientes!$B$5:$B$204,0)),"?"))</f>
        <v/>
      </c>
      <c r="F450" s="24" t="str">
        <f aca="false">IF(OR(C450="",D450=""),"",IFERROR(D450*INDEX(Ingredientes!$F$5:$F$204,MATCH(C450,Ingredientes!$B$5:$B$204,0))/INDEX(Ingredientes!$E$5:$E$204,MATCH(C450,Ingredientes!$B$5:$B$204,0)),"Cadastre em Ingredientes"))</f>
        <v/>
      </c>
      <c r="G450" s="7"/>
    </row>
    <row r="451" customFormat="false" ht="21" hidden="false" customHeight="true" outlineLevel="0" collapsed="false">
      <c r="B451" s="7"/>
      <c r="C451" s="7"/>
      <c r="D451" s="37"/>
      <c r="E451" s="34" t="str">
        <f aca="false">IF(C451="","",IFERROR(INDEX(Ingredientes!$D$5:$D$204,MATCH(C451,Ingredientes!$B$5:$B$204,0)),"?"))</f>
        <v/>
      </c>
      <c r="F451" s="24" t="str">
        <f aca="false">IF(OR(C451="",D451=""),"",IFERROR(D451*INDEX(Ingredientes!$F$5:$F$204,MATCH(C451,Ingredientes!$B$5:$B$204,0))/INDEX(Ingredientes!$E$5:$E$204,MATCH(C451,Ingredientes!$B$5:$B$204,0)),"Cadastre em Ingredientes"))</f>
        <v/>
      </c>
      <c r="G451" s="7"/>
    </row>
    <row r="452" customFormat="false" ht="21" hidden="false" customHeight="true" outlineLevel="0" collapsed="false">
      <c r="B452" s="7"/>
      <c r="C452" s="7"/>
      <c r="D452" s="37"/>
      <c r="E452" s="34" t="str">
        <f aca="false">IF(C452="","",IFERROR(INDEX(Ingredientes!$D$5:$D$204,MATCH(C452,Ingredientes!$B$5:$B$204,0)),"?"))</f>
        <v/>
      </c>
      <c r="F452" s="24" t="str">
        <f aca="false">IF(OR(C452="",D452=""),"",IFERROR(D452*INDEX(Ingredientes!$F$5:$F$204,MATCH(C452,Ingredientes!$B$5:$B$204,0))/INDEX(Ingredientes!$E$5:$E$204,MATCH(C452,Ingredientes!$B$5:$B$204,0)),"Cadastre em Ingredientes"))</f>
        <v/>
      </c>
      <c r="G452" s="7"/>
    </row>
    <row r="453" customFormat="false" ht="21" hidden="false" customHeight="true" outlineLevel="0" collapsed="false">
      <c r="B453" s="7"/>
      <c r="C453" s="7"/>
      <c r="D453" s="37"/>
      <c r="E453" s="34" t="str">
        <f aca="false">IF(C453="","",IFERROR(INDEX(Ingredientes!$D$5:$D$204,MATCH(C453,Ingredientes!$B$5:$B$204,0)),"?"))</f>
        <v/>
      </c>
      <c r="F453" s="24" t="str">
        <f aca="false">IF(OR(C453="",D453=""),"",IFERROR(D453*INDEX(Ingredientes!$F$5:$F$204,MATCH(C453,Ingredientes!$B$5:$B$204,0))/INDEX(Ingredientes!$E$5:$E$204,MATCH(C453,Ingredientes!$B$5:$B$204,0)),"Cadastre em Ingredientes"))</f>
        <v/>
      </c>
      <c r="G453" s="7"/>
    </row>
    <row r="454" customFormat="false" ht="21" hidden="false" customHeight="true" outlineLevel="0" collapsed="false">
      <c r="B454" s="7"/>
      <c r="C454" s="7"/>
      <c r="D454" s="37"/>
      <c r="E454" s="34" t="str">
        <f aca="false">IF(C454="","",IFERROR(INDEX(Ingredientes!$D$5:$D$204,MATCH(C454,Ingredientes!$B$5:$B$204,0)),"?"))</f>
        <v/>
      </c>
      <c r="F454" s="24" t="str">
        <f aca="false">IF(OR(C454="",D454=""),"",IFERROR(D454*INDEX(Ingredientes!$F$5:$F$204,MATCH(C454,Ingredientes!$B$5:$B$204,0))/INDEX(Ingredientes!$E$5:$E$204,MATCH(C454,Ingredientes!$B$5:$B$204,0)),"Cadastre em Ingredientes"))</f>
        <v/>
      </c>
      <c r="G454" s="7"/>
    </row>
    <row r="455" customFormat="false" ht="21" hidden="false" customHeight="true" outlineLevel="0" collapsed="false">
      <c r="B455" s="7"/>
      <c r="C455" s="7"/>
      <c r="D455" s="37"/>
      <c r="E455" s="34" t="str">
        <f aca="false">IF(C455="","",IFERROR(INDEX(Ingredientes!$D$5:$D$204,MATCH(C455,Ingredientes!$B$5:$B$204,0)),"?"))</f>
        <v/>
      </c>
      <c r="F455" s="24" t="str">
        <f aca="false">IF(OR(C455="",D455=""),"",IFERROR(D455*INDEX(Ingredientes!$F$5:$F$204,MATCH(C455,Ingredientes!$B$5:$B$204,0))/INDEX(Ingredientes!$E$5:$E$204,MATCH(C455,Ingredientes!$B$5:$B$204,0)),"Cadastre em Ingredientes"))</f>
        <v/>
      </c>
      <c r="G455" s="7"/>
    </row>
    <row r="456" customFormat="false" ht="21" hidden="false" customHeight="true" outlineLevel="0" collapsed="false">
      <c r="B456" s="7"/>
      <c r="C456" s="7"/>
      <c r="D456" s="37"/>
      <c r="E456" s="34" t="str">
        <f aca="false">IF(C456="","",IFERROR(INDEX(Ingredientes!$D$5:$D$204,MATCH(C456,Ingredientes!$B$5:$B$204,0)),"?"))</f>
        <v/>
      </c>
      <c r="F456" s="24" t="str">
        <f aca="false">IF(OR(C456="",D456=""),"",IFERROR(D456*INDEX(Ingredientes!$F$5:$F$204,MATCH(C456,Ingredientes!$B$5:$B$204,0))/INDEX(Ingredientes!$E$5:$E$204,MATCH(C456,Ingredientes!$B$5:$B$204,0)),"Cadastre em Ingredientes"))</f>
        <v/>
      </c>
      <c r="G456" s="7"/>
    </row>
    <row r="457" customFormat="false" ht="21" hidden="false" customHeight="true" outlineLevel="0" collapsed="false">
      <c r="B457" s="7"/>
      <c r="C457" s="7"/>
      <c r="D457" s="37"/>
      <c r="E457" s="34" t="str">
        <f aca="false">IF(C457="","",IFERROR(INDEX(Ingredientes!$D$5:$D$204,MATCH(C457,Ingredientes!$B$5:$B$204,0)),"?"))</f>
        <v/>
      </c>
      <c r="F457" s="24" t="str">
        <f aca="false">IF(OR(C457="",D457=""),"",IFERROR(D457*INDEX(Ingredientes!$F$5:$F$204,MATCH(C457,Ingredientes!$B$5:$B$204,0))/INDEX(Ingredientes!$E$5:$E$204,MATCH(C457,Ingredientes!$B$5:$B$204,0)),"Cadastre em Ingredientes"))</f>
        <v/>
      </c>
      <c r="G457" s="7"/>
    </row>
    <row r="458" customFormat="false" ht="21" hidden="false" customHeight="true" outlineLevel="0" collapsed="false">
      <c r="B458" s="7"/>
      <c r="C458" s="7"/>
      <c r="D458" s="37"/>
      <c r="E458" s="34" t="str">
        <f aca="false">IF(C458="","",IFERROR(INDEX(Ingredientes!$D$5:$D$204,MATCH(C458,Ingredientes!$B$5:$B$204,0)),"?"))</f>
        <v/>
      </c>
      <c r="F458" s="24" t="str">
        <f aca="false">IF(OR(C458="",D458=""),"",IFERROR(D458*INDEX(Ingredientes!$F$5:$F$204,MATCH(C458,Ingredientes!$B$5:$B$204,0))/INDEX(Ingredientes!$E$5:$E$204,MATCH(C458,Ingredientes!$B$5:$B$204,0)),"Cadastre em Ingredientes"))</f>
        <v/>
      </c>
      <c r="G458" s="7"/>
    </row>
    <row r="459" customFormat="false" ht="21" hidden="false" customHeight="true" outlineLevel="0" collapsed="false">
      <c r="B459" s="7"/>
      <c r="C459" s="7"/>
      <c r="D459" s="37"/>
      <c r="E459" s="34" t="str">
        <f aca="false">IF(C459="","",IFERROR(INDEX(Ingredientes!$D$5:$D$204,MATCH(C459,Ingredientes!$B$5:$B$204,0)),"?"))</f>
        <v/>
      </c>
      <c r="F459" s="24" t="str">
        <f aca="false">IF(OR(C459="",D459=""),"",IFERROR(D459*INDEX(Ingredientes!$F$5:$F$204,MATCH(C459,Ingredientes!$B$5:$B$204,0))/INDEX(Ingredientes!$E$5:$E$204,MATCH(C459,Ingredientes!$B$5:$B$204,0)),"Cadastre em Ingredientes"))</f>
        <v/>
      </c>
      <c r="G459" s="7"/>
    </row>
    <row r="460" customFormat="false" ht="21" hidden="false" customHeight="true" outlineLevel="0" collapsed="false">
      <c r="B460" s="7"/>
      <c r="C460" s="7"/>
      <c r="D460" s="37"/>
      <c r="E460" s="34" t="str">
        <f aca="false">IF(C460="","",IFERROR(INDEX(Ingredientes!$D$5:$D$204,MATCH(C460,Ingredientes!$B$5:$B$204,0)),"?"))</f>
        <v/>
      </c>
      <c r="F460" s="24" t="str">
        <f aca="false">IF(OR(C460="",D460=""),"",IFERROR(D460*INDEX(Ingredientes!$F$5:$F$204,MATCH(C460,Ingredientes!$B$5:$B$204,0))/INDEX(Ingredientes!$E$5:$E$204,MATCH(C460,Ingredientes!$B$5:$B$204,0)),"Cadastre em Ingredientes"))</f>
        <v/>
      </c>
      <c r="G460" s="7"/>
    </row>
    <row r="461" customFormat="false" ht="21" hidden="false" customHeight="true" outlineLevel="0" collapsed="false">
      <c r="B461" s="7"/>
      <c r="C461" s="7"/>
      <c r="D461" s="37"/>
      <c r="E461" s="34" t="str">
        <f aca="false">IF(C461="","",IFERROR(INDEX(Ingredientes!$D$5:$D$204,MATCH(C461,Ingredientes!$B$5:$B$204,0)),"?"))</f>
        <v/>
      </c>
      <c r="F461" s="24" t="str">
        <f aca="false">IF(OR(C461="",D461=""),"",IFERROR(D461*INDEX(Ingredientes!$F$5:$F$204,MATCH(C461,Ingredientes!$B$5:$B$204,0))/INDEX(Ingredientes!$E$5:$E$204,MATCH(C461,Ingredientes!$B$5:$B$204,0)),"Cadastre em Ingredientes"))</f>
        <v/>
      </c>
      <c r="G461" s="7"/>
    </row>
    <row r="462" customFormat="false" ht="21" hidden="false" customHeight="true" outlineLevel="0" collapsed="false">
      <c r="B462" s="7"/>
      <c r="C462" s="7"/>
      <c r="D462" s="37"/>
      <c r="E462" s="34" t="str">
        <f aca="false">IF(C462="","",IFERROR(INDEX(Ingredientes!$D$5:$D$204,MATCH(C462,Ingredientes!$B$5:$B$204,0)),"?"))</f>
        <v/>
      </c>
      <c r="F462" s="24" t="str">
        <f aca="false">IF(OR(C462="",D462=""),"",IFERROR(D462*INDEX(Ingredientes!$F$5:$F$204,MATCH(C462,Ingredientes!$B$5:$B$204,0))/INDEX(Ingredientes!$E$5:$E$204,MATCH(C462,Ingredientes!$B$5:$B$204,0)),"Cadastre em Ingredientes"))</f>
        <v/>
      </c>
      <c r="G462" s="7"/>
    </row>
    <row r="463" customFormat="false" ht="21" hidden="false" customHeight="true" outlineLevel="0" collapsed="false">
      <c r="B463" s="7"/>
      <c r="C463" s="7"/>
      <c r="D463" s="37"/>
      <c r="E463" s="34" t="str">
        <f aca="false">IF(C463="","",IFERROR(INDEX(Ingredientes!$D$5:$D$204,MATCH(C463,Ingredientes!$B$5:$B$204,0)),"?"))</f>
        <v/>
      </c>
      <c r="F463" s="24" t="str">
        <f aca="false">IF(OR(C463="",D463=""),"",IFERROR(D463*INDEX(Ingredientes!$F$5:$F$204,MATCH(C463,Ingredientes!$B$5:$B$204,0))/INDEX(Ingredientes!$E$5:$E$204,MATCH(C463,Ingredientes!$B$5:$B$204,0)),"Cadastre em Ingredientes"))</f>
        <v/>
      </c>
      <c r="G463" s="7"/>
    </row>
    <row r="464" customFormat="false" ht="21" hidden="false" customHeight="true" outlineLevel="0" collapsed="false">
      <c r="B464" s="7"/>
      <c r="C464" s="7"/>
      <c r="D464" s="37"/>
      <c r="E464" s="34" t="str">
        <f aca="false">IF(C464="","",IFERROR(INDEX(Ingredientes!$D$5:$D$204,MATCH(C464,Ingredientes!$B$5:$B$204,0)),"?"))</f>
        <v/>
      </c>
      <c r="F464" s="24" t="str">
        <f aca="false">IF(OR(C464="",D464=""),"",IFERROR(D464*INDEX(Ingredientes!$F$5:$F$204,MATCH(C464,Ingredientes!$B$5:$B$204,0))/INDEX(Ingredientes!$E$5:$E$204,MATCH(C464,Ingredientes!$B$5:$B$204,0)),"Cadastre em Ingredientes"))</f>
        <v/>
      </c>
      <c r="G464" s="7"/>
    </row>
    <row r="465" customFormat="false" ht="21" hidden="false" customHeight="true" outlineLevel="0" collapsed="false">
      <c r="B465" s="7"/>
      <c r="C465" s="7"/>
      <c r="D465" s="37"/>
      <c r="E465" s="34" t="str">
        <f aca="false">IF(C465="","",IFERROR(INDEX(Ingredientes!$D$5:$D$204,MATCH(C465,Ingredientes!$B$5:$B$204,0)),"?"))</f>
        <v/>
      </c>
      <c r="F465" s="24" t="str">
        <f aca="false">IF(OR(C465="",D465=""),"",IFERROR(D465*INDEX(Ingredientes!$F$5:$F$204,MATCH(C465,Ingredientes!$B$5:$B$204,0))/INDEX(Ingredientes!$E$5:$E$204,MATCH(C465,Ingredientes!$B$5:$B$204,0)),"Cadastre em Ingredientes"))</f>
        <v/>
      </c>
      <c r="G465" s="7"/>
    </row>
    <row r="466" customFormat="false" ht="21" hidden="false" customHeight="true" outlineLevel="0" collapsed="false">
      <c r="B466" s="7"/>
      <c r="C466" s="7"/>
      <c r="D466" s="37"/>
      <c r="E466" s="34" t="str">
        <f aca="false">IF(C466="","",IFERROR(INDEX(Ingredientes!$D$5:$D$204,MATCH(C466,Ingredientes!$B$5:$B$204,0)),"?"))</f>
        <v/>
      </c>
      <c r="F466" s="24" t="str">
        <f aca="false">IF(OR(C466="",D466=""),"",IFERROR(D466*INDEX(Ingredientes!$F$5:$F$204,MATCH(C466,Ingredientes!$B$5:$B$204,0))/INDEX(Ingredientes!$E$5:$E$204,MATCH(C466,Ingredientes!$B$5:$B$204,0)),"Cadastre em Ingredientes"))</f>
        <v/>
      </c>
      <c r="G466" s="7"/>
    </row>
    <row r="467" customFormat="false" ht="21" hidden="false" customHeight="true" outlineLevel="0" collapsed="false">
      <c r="B467" s="7"/>
      <c r="C467" s="7"/>
      <c r="D467" s="37"/>
      <c r="E467" s="34" t="str">
        <f aca="false">IF(C467="","",IFERROR(INDEX(Ingredientes!$D$5:$D$204,MATCH(C467,Ingredientes!$B$5:$B$204,0)),"?"))</f>
        <v/>
      </c>
      <c r="F467" s="24" t="str">
        <f aca="false">IF(OR(C467="",D467=""),"",IFERROR(D467*INDEX(Ingredientes!$F$5:$F$204,MATCH(C467,Ingredientes!$B$5:$B$204,0))/INDEX(Ingredientes!$E$5:$E$204,MATCH(C467,Ingredientes!$B$5:$B$204,0)),"Cadastre em Ingredientes"))</f>
        <v/>
      </c>
      <c r="G467" s="7"/>
    </row>
    <row r="468" customFormat="false" ht="21" hidden="false" customHeight="true" outlineLevel="0" collapsed="false">
      <c r="B468" s="7"/>
      <c r="C468" s="7"/>
      <c r="D468" s="37"/>
      <c r="E468" s="34" t="str">
        <f aca="false">IF(C468="","",IFERROR(INDEX(Ingredientes!$D$5:$D$204,MATCH(C468,Ingredientes!$B$5:$B$204,0)),"?"))</f>
        <v/>
      </c>
      <c r="F468" s="24" t="str">
        <f aca="false">IF(OR(C468="",D468=""),"",IFERROR(D468*INDEX(Ingredientes!$F$5:$F$204,MATCH(C468,Ingredientes!$B$5:$B$204,0))/INDEX(Ingredientes!$E$5:$E$204,MATCH(C468,Ingredientes!$B$5:$B$204,0)),"Cadastre em Ingredientes"))</f>
        <v/>
      </c>
      <c r="G468" s="7"/>
    </row>
    <row r="469" customFormat="false" ht="21" hidden="false" customHeight="true" outlineLevel="0" collapsed="false">
      <c r="B469" s="7"/>
      <c r="C469" s="7"/>
      <c r="D469" s="37"/>
      <c r="E469" s="34" t="str">
        <f aca="false">IF(C469="","",IFERROR(INDEX(Ingredientes!$D$5:$D$204,MATCH(C469,Ingredientes!$B$5:$B$204,0)),"?"))</f>
        <v/>
      </c>
      <c r="F469" s="24" t="str">
        <f aca="false">IF(OR(C469="",D469=""),"",IFERROR(D469*INDEX(Ingredientes!$F$5:$F$204,MATCH(C469,Ingredientes!$B$5:$B$204,0))/INDEX(Ingredientes!$E$5:$E$204,MATCH(C469,Ingredientes!$B$5:$B$204,0)),"Cadastre em Ingredientes"))</f>
        <v/>
      </c>
      <c r="G469" s="7"/>
    </row>
    <row r="470" customFormat="false" ht="21" hidden="false" customHeight="true" outlineLevel="0" collapsed="false">
      <c r="B470" s="7"/>
      <c r="C470" s="7"/>
      <c r="D470" s="37"/>
      <c r="E470" s="34" t="str">
        <f aca="false">IF(C470="","",IFERROR(INDEX(Ingredientes!$D$5:$D$204,MATCH(C470,Ingredientes!$B$5:$B$204,0)),"?"))</f>
        <v/>
      </c>
      <c r="F470" s="24" t="str">
        <f aca="false">IF(OR(C470="",D470=""),"",IFERROR(D470*INDEX(Ingredientes!$F$5:$F$204,MATCH(C470,Ingredientes!$B$5:$B$204,0))/INDEX(Ingredientes!$E$5:$E$204,MATCH(C470,Ingredientes!$B$5:$B$204,0)),"Cadastre em Ingredientes"))</f>
        <v/>
      </c>
      <c r="G470" s="7"/>
    </row>
    <row r="471" customFormat="false" ht="21" hidden="false" customHeight="true" outlineLevel="0" collapsed="false">
      <c r="B471" s="7"/>
      <c r="C471" s="7"/>
      <c r="D471" s="37"/>
      <c r="E471" s="34" t="str">
        <f aca="false">IF(C471="","",IFERROR(INDEX(Ingredientes!$D$5:$D$204,MATCH(C471,Ingredientes!$B$5:$B$204,0)),"?"))</f>
        <v/>
      </c>
      <c r="F471" s="24" t="str">
        <f aca="false">IF(OR(C471="",D471=""),"",IFERROR(D471*INDEX(Ingredientes!$F$5:$F$204,MATCH(C471,Ingredientes!$B$5:$B$204,0))/INDEX(Ingredientes!$E$5:$E$204,MATCH(C471,Ingredientes!$B$5:$B$204,0)),"Cadastre em Ingredientes"))</f>
        <v/>
      </c>
      <c r="G471" s="7"/>
    </row>
    <row r="472" customFormat="false" ht="21" hidden="false" customHeight="true" outlineLevel="0" collapsed="false">
      <c r="B472" s="7"/>
      <c r="C472" s="7"/>
      <c r="D472" s="37"/>
      <c r="E472" s="34" t="str">
        <f aca="false">IF(C472="","",IFERROR(INDEX(Ingredientes!$D$5:$D$204,MATCH(C472,Ingredientes!$B$5:$B$204,0)),"?"))</f>
        <v/>
      </c>
      <c r="F472" s="24" t="str">
        <f aca="false">IF(OR(C472="",D472=""),"",IFERROR(D472*INDEX(Ingredientes!$F$5:$F$204,MATCH(C472,Ingredientes!$B$5:$B$204,0))/INDEX(Ingredientes!$E$5:$E$204,MATCH(C472,Ingredientes!$B$5:$B$204,0)),"Cadastre em Ingredientes"))</f>
        <v/>
      </c>
      <c r="G472" s="7"/>
    </row>
    <row r="473" customFormat="false" ht="21" hidden="false" customHeight="true" outlineLevel="0" collapsed="false">
      <c r="B473" s="7"/>
      <c r="C473" s="7"/>
      <c r="D473" s="37"/>
      <c r="E473" s="34" t="str">
        <f aca="false">IF(C473="","",IFERROR(INDEX(Ingredientes!$D$5:$D$204,MATCH(C473,Ingredientes!$B$5:$B$204,0)),"?"))</f>
        <v/>
      </c>
      <c r="F473" s="24" t="str">
        <f aca="false">IF(OR(C473="",D473=""),"",IFERROR(D473*INDEX(Ingredientes!$F$5:$F$204,MATCH(C473,Ingredientes!$B$5:$B$204,0))/INDEX(Ingredientes!$E$5:$E$204,MATCH(C473,Ingredientes!$B$5:$B$204,0)),"Cadastre em Ingredientes"))</f>
        <v/>
      </c>
      <c r="G473" s="7"/>
    </row>
    <row r="474" customFormat="false" ht="21" hidden="false" customHeight="true" outlineLevel="0" collapsed="false">
      <c r="B474" s="7"/>
      <c r="C474" s="7"/>
      <c r="D474" s="37"/>
      <c r="E474" s="34" t="str">
        <f aca="false">IF(C474="","",IFERROR(INDEX(Ingredientes!$D$5:$D$204,MATCH(C474,Ingredientes!$B$5:$B$204,0)),"?"))</f>
        <v/>
      </c>
      <c r="F474" s="24" t="str">
        <f aca="false">IF(OR(C474="",D474=""),"",IFERROR(D474*INDEX(Ingredientes!$F$5:$F$204,MATCH(C474,Ingredientes!$B$5:$B$204,0))/INDEX(Ingredientes!$E$5:$E$204,MATCH(C474,Ingredientes!$B$5:$B$204,0)),"Cadastre em Ingredientes"))</f>
        <v/>
      </c>
      <c r="G474" s="7"/>
    </row>
    <row r="475" customFormat="false" ht="21" hidden="false" customHeight="true" outlineLevel="0" collapsed="false">
      <c r="B475" s="7"/>
      <c r="C475" s="7"/>
      <c r="D475" s="37"/>
      <c r="E475" s="34" t="str">
        <f aca="false">IF(C475="","",IFERROR(INDEX(Ingredientes!$D$5:$D$204,MATCH(C475,Ingredientes!$B$5:$B$204,0)),"?"))</f>
        <v/>
      </c>
      <c r="F475" s="24" t="str">
        <f aca="false">IF(OR(C475="",D475=""),"",IFERROR(D475*INDEX(Ingredientes!$F$5:$F$204,MATCH(C475,Ingredientes!$B$5:$B$204,0))/INDEX(Ingredientes!$E$5:$E$204,MATCH(C475,Ingredientes!$B$5:$B$204,0)),"Cadastre em Ingredientes"))</f>
        <v/>
      </c>
      <c r="G475" s="7"/>
    </row>
    <row r="476" customFormat="false" ht="21" hidden="false" customHeight="true" outlineLevel="0" collapsed="false">
      <c r="B476" s="7"/>
      <c r="C476" s="7"/>
      <c r="D476" s="37"/>
      <c r="E476" s="34" t="str">
        <f aca="false">IF(C476="","",IFERROR(INDEX(Ingredientes!$D$5:$D$204,MATCH(C476,Ingredientes!$B$5:$B$204,0)),"?"))</f>
        <v/>
      </c>
      <c r="F476" s="24" t="str">
        <f aca="false">IF(OR(C476="",D476=""),"",IFERROR(D476*INDEX(Ingredientes!$F$5:$F$204,MATCH(C476,Ingredientes!$B$5:$B$204,0))/INDEX(Ingredientes!$E$5:$E$204,MATCH(C476,Ingredientes!$B$5:$B$204,0)),"Cadastre em Ingredientes"))</f>
        <v/>
      </c>
      <c r="G476" s="7"/>
    </row>
    <row r="477" customFormat="false" ht="21" hidden="false" customHeight="true" outlineLevel="0" collapsed="false">
      <c r="B477" s="7"/>
      <c r="C477" s="7"/>
      <c r="D477" s="37"/>
      <c r="E477" s="34" t="str">
        <f aca="false">IF(C477="","",IFERROR(INDEX(Ingredientes!$D$5:$D$204,MATCH(C477,Ingredientes!$B$5:$B$204,0)),"?"))</f>
        <v/>
      </c>
      <c r="F477" s="24" t="str">
        <f aca="false">IF(OR(C477="",D477=""),"",IFERROR(D477*INDEX(Ingredientes!$F$5:$F$204,MATCH(C477,Ingredientes!$B$5:$B$204,0))/INDEX(Ingredientes!$E$5:$E$204,MATCH(C477,Ingredientes!$B$5:$B$204,0)),"Cadastre em Ingredientes"))</f>
        <v/>
      </c>
      <c r="G477" s="7"/>
    </row>
    <row r="478" customFormat="false" ht="21" hidden="false" customHeight="true" outlineLevel="0" collapsed="false">
      <c r="B478" s="7"/>
      <c r="C478" s="7"/>
      <c r="D478" s="37"/>
      <c r="E478" s="34" t="str">
        <f aca="false">IF(C478="","",IFERROR(INDEX(Ingredientes!$D$5:$D$204,MATCH(C478,Ingredientes!$B$5:$B$204,0)),"?"))</f>
        <v/>
      </c>
      <c r="F478" s="24" t="str">
        <f aca="false">IF(OR(C478="",D478=""),"",IFERROR(D478*INDEX(Ingredientes!$F$5:$F$204,MATCH(C478,Ingredientes!$B$5:$B$204,0))/INDEX(Ingredientes!$E$5:$E$204,MATCH(C478,Ingredientes!$B$5:$B$204,0)),"Cadastre em Ingredientes"))</f>
        <v/>
      </c>
      <c r="G478" s="7"/>
    </row>
    <row r="479" customFormat="false" ht="21" hidden="false" customHeight="true" outlineLevel="0" collapsed="false">
      <c r="B479" s="7"/>
      <c r="C479" s="7"/>
      <c r="D479" s="37"/>
      <c r="E479" s="34" t="str">
        <f aca="false">IF(C479="","",IFERROR(INDEX(Ingredientes!$D$5:$D$204,MATCH(C479,Ingredientes!$B$5:$B$204,0)),"?"))</f>
        <v/>
      </c>
      <c r="F479" s="24" t="str">
        <f aca="false">IF(OR(C479="",D479=""),"",IFERROR(D479*INDEX(Ingredientes!$F$5:$F$204,MATCH(C479,Ingredientes!$B$5:$B$204,0))/INDEX(Ingredientes!$E$5:$E$204,MATCH(C479,Ingredientes!$B$5:$B$204,0)),"Cadastre em Ingredientes"))</f>
        <v/>
      </c>
      <c r="G479" s="7"/>
    </row>
    <row r="480" customFormat="false" ht="21" hidden="false" customHeight="true" outlineLevel="0" collapsed="false">
      <c r="B480" s="7"/>
      <c r="C480" s="7"/>
      <c r="D480" s="37"/>
      <c r="E480" s="34" t="str">
        <f aca="false">IF(C480="","",IFERROR(INDEX(Ingredientes!$D$5:$D$204,MATCH(C480,Ingredientes!$B$5:$B$204,0)),"?"))</f>
        <v/>
      </c>
      <c r="F480" s="24" t="str">
        <f aca="false">IF(OR(C480="",D480=""),"",IFERROR(D480*INDEX(Ingredientes!$F$5:$F$204,MATCH(C480,Ingredientes!$B$5:$B$204,0))/INDEX(Ingredientes!$E$5:$E$204,MATCH(C480,Ingredientes!$B$5:$B$204,0)),"Cadastre em Ingredientes"))</f>
        <v/>
      </c>
      <c r="G480" s="7"/>
    </row>
    <row r="481" customFormat="false" ht="21" hidden="false" customHeight="true" outlineLevel="0" collapsed="false">
      <c r="B481" s="7"/>
      <c r="C481" s="7"/>
      <c r="D481" s="37"/>
      <c r="E481" s="34" t="str">
        <f aca="false">IF(C481="","",IFERROR(INDEX(Ingredientes!$D$5:$D$204,MATCH(C481,Ingredientes!$B$5:$B$204,0)),"?"))</f>
        <v/>
      </c>
      <c r="F481" s="24" t="str">
        <f aca="false">IF(OR(C481="",D481=""),"",IFERROR(D481*INDEX(Ingredientes!$F$5:$F$204,MATCH(C481,Ingredientes!$B$5:$B$204,0))/INDEX(Ingredientes!$E$5:$E$204,MATCH(C481,Ingredientes!$B$5:$B$204,0)),"Cadastre em Ingredientes"))</f>
        <v/>
      </c>
      <c r="G481" s="7"/>
    </row>
    <row r="482" customFormat="false" ht="21" hidden="false" customHeight="true" outlineLevel="0" collapsed="false">
      <c r="B482" s="7"/>
      <c r="C482" s="7"/>
      <c r="D482" s="37"/>
      <c r="E482" s="34" t="str">
        <f aca="false">IF(C482="","",IFERROR(INDEX(Ingredientes!$D$5:$D$204,MATCH(C482,Ingredientes!$B$5:$B$204,0)),"?"))</f>
        <v/>
      </c>
      <c r="F482" s="24" t="str">
        <f aca="false">IF(OR(C482="",D482=""),"",IFERROR(D482*INDEX(Ingredientes!$F$5:$F$204,MATCH(C482,Ingredientes!$B$5:$B$204,0))/INDEX(Ingredientes!$E$5:$E$204,MATCH(C482,Ingredientes!$B$5:$B$204,0)),"Cadastre em Ingredientes"))</f>
        <v/>
      </c>
      <c r="G482" s="7"/>
    </row>
    <row r="483" customFormat="false" ht="21" hidden="false" customHeight="true" outlineLevel="0" collapsed="false">
      <c r="B483" s="7"/>
      <c r="C483" s="7"/>
      <c r="D483" s="37"/>
      <c r="E483" s="34" t="str">
        <f aca="false">IF(C483="","",IFERROR(INDEX(Ingredientes!$D$5:$D$204,MATCH(C483,Ingredientes!$B$5:$B$204,0)),"?"))</f>
        <v/>
      </c>
      <c r="F483" s="24" t="str">
        <f aca="false">IF(OR(C483="",D483=""),"",IFERROR(D483*INDEX(Ingredientes!$F$5:$F$204,MATCH(C483,Ingredientes!$B$5:$B$204,0))/INDEX(Ingredientes!$E$5:$E$204,MATCH(C483,Ingredientes!$B$5:$B$204,0)),"Cadastre em Ingredientes"))</f>
        <v/>
      </c>
      <c r="G483" s="7"/>
    </row>
    <row r="484" customFormat="false" ht="21" hidden="false" customHeight="true" outlineLevel="0" collapsed="false">
      <c r="B484" s="7"/>
      <c r="C484" s="7"/>
      <c r="D484" s="37"/>
      <c r="E484" s="34" t="str">
        <f aca="false">IF(C484="","",IFERROR(INDEX(Ingredientes!$D$5:$D$204,MATCH(C484,Ingredientes!$B$5:$B$204,0)),"?"))</f>
        <v/>
      </c>
      <c r="F484" s="24" t="str">
        <f aca="false">IF(OR(C484="",D484=""),"",IFERROR(D484*INDEX(Ingredientes!$F$5:$F$204,MATCH(C484,Ingredientes!$B$5:$B$204,0))/INDEX(Ingredientes!$E$5:$E$204,MATCH(C484,Ingredientes!$B$5:$B$204,0)),"Cadastre em Ingredientes"))</f>
        <v/>
      </c>
      <c r="G484" s="7"/>
    </row>
    <row r="485" customFormat="false" ht="21" hidden="false" customHeight="true" outlineLevel="0" collapsed="false">
      <c r="B485" s="7"/>
      <c r="C485" s="7"/>
      <c r="D485" s="37"/>
      <c r="E485" s="34" t="str">
        <f aca="false">IF(C485="","",IFERROR(INDEX(Ingredientes!$D$5:$D$204,MATCH(C485,Ingredientes!$B$5:$B$204,0)),"?"))</f>
        <v/>
      </c>
      <c r="F485" s="24" t="str">
        <f aca="false">IF(OR(C485="",D485=""),"",IFERROR(D485*INDEX(Ingredientes!$F$5:$F$204,MATCH(C485,Ingredientes!$B$5:$B$204,0))/INDEX(Ingredientes!$E$5:$E$204,MATCH(C485,Ingredientes!$B$5:$B$204,0)),"Cadastre em Ingredientes"))</f>
        <v/>
      </c>
      <c r="G485" s="7"/>
    </row>
    <row r="486" customFormat="false" ht="21" hidden="false" customHeight="true" outlineLevel="0" collapsed="false">
      <c r="B486" s="7"/>
      <c r="C486" s="7"/>
      <c r="D486" s="37"/>
      <c r="E486" s="34" t="str">
        <f aca="false">IF(C486="","",IFERROR(INDEX(Ingredientes!$D$5:$D$204,MATCH(C486,Ingredientes!$B$5:$B$204,0)),"?"))</f>
        <v/>
      </c>
      <c r="F486" s="24" t="str">
        <f aca="false">IF(OR(C486="",D486=""),"",IFERROR(D486*INDEX(Ingredientes!$F$5:$F$204,MATCH(C486,Ingredientes!$B$5:$B$204,0))/INDEX(Ingredientes!$E$5:$E$204,MATCH(C486,Ingredientes!$B$5:$B$204,0)),"Cadastre em Ingredientes"))</f>
        <v/>
      </c>
      <c r="G486" s="7"/>
    </row>
    <row r="487" customFormat="false" ht="21" hidden="false" customHeight="true" outlineLevel="0" collapsed="false">
      <c r="B487" s="7"/>
      <c r="C487" s="7"/>
      <c r="D487" s="37"/>
      <c r="E487" s="34" t="str">
        <f aca="false">IF(C487="","",IFERROR(INDEX(Ingredientes!$D$5:$D$204,MATCH(C487,Ingredientes!$B$5:$B$204,0)),"?"))</f>
        <v/>
      </c>
      <c r="F487" s="24" t="str">
        <f aca="false">IF(OR(C487="",D487=""),"",IFERROR(D487*INDEX(Ingredientes!$F$5:$F$204,MATCH(C487,Ingredientes!$B$5:$B$204,0))/INDEX(Ingredientes!$E$5:$E$204,MATCH(C487,Ingredientes!$B$5:$B$204,0)),"Cadastre em Ingredientes"))</f>
        <v/>
      </c>
      <c r="G487" s="7"/>
    </row>
    <row r="488" customFormat="false" ht="21" hidden="false" customHeight="true" outlineLevel="0" collapsed="false">
      <c r="B488" s="7"/>
      <c r="C488" s="7"/>
      <c r="D488" s="37"/>
      <c r="E488" s="34" t="str">
        <f aca="false">IF(C488="","",IFERROR(INDEX(Ingredientes!$D$5:$D$204,MATCH(C488,Ingredientes!$B$5:$B$204,0)),"?"))</f>
        <v/>
      </c>
      <c r="F488" s="24" t="str">
        <f aca="false">IF(OR(C488="",D488=""),"",IFERROR(D488*INDEX(Ingredientes!$F$5:$F$204,MATCH(C488,Ingredientes!$B$5:$B$204,0))/INDEX(Ingredientes!$E$5:$E$204,MATCH(C488,Ingredientes!$B$5:$B$204,0)),"Cadastre em Ingredientes"))</f>
        <v/>
      </c>
      <c r="G488" s="7"/>
    </row>
    <row r="489" customFormat="false" ht="21" hidden="false" customHeight="true" outlineLevel="0" collapsed="false">
      <c r="B489" s="7"/>
      <c r="C489" s="7"/>
      <c r="D489" s="37"/>
      <c r="E489" s="34" t="str">
        <f aca="false">IF(C489="","",IFERROR(INDEX(Ingredientes!$D$5:$D$204,MATCH(C489,Ingredientes!$B$5:$B$204,0)),"?"))</f>
        <v/>
      </c>
      <c r="F489" s="24" t="str">
        <f aca="false">IF(OR(C489="",D489=""),"",IFERROR(D489*INDEX(Ingredientes!$F$5:$F$204,MATCH(C489,Ingredientes!$B$5:$B$204,0))/INDEX(Ingredientes!$E$5:$E$204,MATCH(C489,Ingredientes!$B$5:$B$204,0)),"Cadastre em Ingredientes"))</f>
        <v/>
      </c>
      <c r="G489" s="7"/>
    </row>
    <row r="490" customFormat="false" ht="21" hidden="false" customHeight="true" outlineLevel="0" collapsed="false">
      <c r="B490" s="7"/>
      <c r="C490" s="7"/>
      <c r="D490" s="37"/>
      <c r="E490" s="34" t="str">
        <f aca="false">IF(C490="","",IFERROR(INDEX(Ingredientes!$D$5:$D$204,MATCH(C490,Ingredientes!$B$5:$B$204,0)),"?"))</f>
        <v/>
      </c>
      <c r="F490" s="24" t="str">
        <f aca="false">IF(OR(C490="",D490=""),"",IFERROR(D490*INDEX(Ingredientes!$F$5:$F$204,MATCH(C490,Ingredientes!$B$5:$B$204,0))/INDEX(Ingredientes!$E$5:$E$204,MATCH(C490,Ingredientes!$B$5:$B$204,0)),"Cadastre em Ingredientes"))</f>
        <v/>
      </c>
      <c r="G490" s="7"/>
    </row>
    <row r="491" customFormat="false" ht="21" hidden="false" customHeight="true" outlineLevel="0" collapsed="false">
      <c r="B491" s="7"/>
      <c r="C491" s="7"/>
      <c r="D491" s="37"/>
      <c r="E491" s="34" t="str">
        <f aca="false">IF(C491="","",IFERROR(INDEX(Ingredientes!$D$5:$D$204,MATCH(C491,Ingredientes!$B$5:$B$204,0)),"?"))</f>
        <v/>
      </c>
      <c r="F491" s="24" t="str">
        <f aca="false">IF(OR(C491="",D491=""),"",IFERROR(D491*INDEX(Ingredientes!$F$5:$F$204,MATCH(C491,Ingredientes!$B$5:$B$204,0))/INDEX(Ingredientes!$E$5:$E$204,MATCH(C491,Ingredientes!$B$5:$B$204,0)),"Cadastre em Ingredientes"))</f>
        <v/>
      </c>
      <c r="G491" s="7"/>
    </row>
    <row r="492" customFormat="false" ht="21" hidden="false" customHeight="true" outlineLevel="0" collapsed="false">
      <c r="B492" s="7"/>
      <c r="C492" s="7"/>
      <c r="D492" s="37"/>
      <c r="E492" s="34" t="str">
        <f aca="false">IF(C492="","",IFERROR(INDEX(Ingredientes!$D$5:$D$204,MATCH(C492,Ingredientes!$B$5:$B$204,0)),"?"))</f>
        <v/>
      </c>
      <c r="F492" s="24" t="str">
        <f aca="false">IF(OR(C492="",D492=""),"",IFERROR(D492*INDEX(Ingredientes!$F$5:$F$204,MATCH(C492,Ingredientes!$B$5:$B$204,0))/INDEX(Ingredientes!$E$5:$E$204,MATCH(C492,Ingredientes!$B$5:$B$204,0)),"Cadastre em Ingredientes"))</f>
        <v/>
      </c>
      <c r="G492" s="7"/>
    </row>
    <row r="493" customFormat="false" ht="21" hidden="false" customHeight="true" outlineLevel="0" collapsed="false">
      <c r="B493" s="7"/>
      <c r="C493" s="7"/>
      <c r="D493" s="37"/>
      <c r="E493" s="34" t="str">
        <f aca="false">IF(C493="","",IFERROR(INDEX(Ingredientes!$D$5:$D$204,MATCH(C493,Ingredientes!$B$5:$B$204,0)),"?"))</f>
        <v/>
      </c>
      <c r="F493" s="24" t="str">
        <f aca="false">IF(OR(C493="",D493=""),"",IFERROR(D493*INDEX(Ingredientes!$F$5:$F$204,MATCH(C493,Ingredientes!$B$5:$B$204,0))/INDEX(Ingredientes!$E$5:$E$204,MATCH(C493,Ingredientes!$B$5:$B$204,0)),"Cadastre em Ingredientes"))</f>
        <v/>
      </c>
      <c r="G493" s="7"/>
    </row>
    <row r="494" customFormat="false" ht="21" hidden="false" customHeight="true" outlineLevel="0" collapsed="false">
      <c r="B494" s="7"/>
      <c r="C494" s="7"/>
      <c r="D494" s="37"/>
      <c r="E494" s="34" t="str">
        <f aca="false">IF(C494="","",IFERROR(INDEX(Ingredientes!$D$5:$D$204,MATCH(C494,Ingredientes!$B$5:$B$204,0)),"?"))</f>
        <v/>
      </c>
      <c r="F494" s="24" t="str">
        <f aca="false">IF(OR(C494="",D494=""),"",IFERROR(D494*INDEX(Ingredientes!$F$5:$F$204,MATCH(C494,Ingredientes!$B$5:$B$204,0))/INDEX(Ingredientes!$E$5:$E$204,MATCH(C494,Ingredientes!$B$5:$B$204,0)),"Cadastre em Ingredientes"))</f>
        <v/>
      </c>
      <c r="G494" s="7"/>
    </row>
    <row r="495" customFormat="false" ht="21" hidden="false" customHeight="true" outlineLevel="0" collapsed="false">
      <c r="B495" s="7"/>
      <c r="C495" s="7"/>
      <c r="D495" s="37"/>
      <c r="E495" s="34" t="str">
        <f aca="false">IF(C495="","",IFERROR(INDEX(Ingredientes!$D$5:$D$204,MATCH(C495,Ingredientes!$B$5:$B$204,0)),"?"))</f>
        <v/>
      </c>
      <c r="F495" s="24" t="str">
        <f aca="false">IF(OR(C495="",D495=""),"",IFERROR(D495*INDEX(Ingredientes!$F$5:$F$204,MATCH(C495,Ingredientes!$B$5:$B$204,0))/INDEX(Ingredientes!$E$5:$E$204,MATCH(C495,Ingredientes!$B$5:$B$204,0)),"Cadastre em Ingredientes"))</f>
        <v/>
      </c>
      <c r="G495" s="7"/>
    </row>
    <row r="496" customFormat="false" ht="21" hidden="false" customHeight="true" outlineLevel="0" collapsed="false">
      <c r="B496" s="7"/>
      <c r="C496" s="7"/>
      <c r="D496" s="37"/>
      <c r="E496" s="34" t="str">
        <f aca="false">IF(C496="","",IFERROR(INDEX(Ingredientes!$D$5:$D$204,MATCH(C496,Ingredientes!$B$5:$B$204,0)),"?"))</f>
        <v/>
      </c>
      <c r="F496" s="24" t="str">
        <f aca="false">IF(OR(C496="",D496=""),"",IFERROR(D496*INDEX(Ingredientes!$F$5:$F$204,MATCH(C496,Ingredientes!$B$5:$B$204,0))/INDEX(Ingredientes!$E$5:$E$204,MATCH(C496,Ingredientes!$B$5:$B$204,0)),"Cadastre em Ingredientes"))</f>
        <v/>
      </c>
      <c r="G496" s="7"/>
    </row>
    <row r="497" customFormat="false" ht="21" hidden="false" customHeight="true" outlineLevel="0" collapsed="false">
      <c r="B497" s="7"/>
      <c r="C497" s="7"/>
      <c r="D497" s="37"/>
      <c r="E497" s="34" t="str">
        <f aca="false">IF(C497="","",IFERROR(INDEX(Ingredientes!$D$5:$D$204,MATCH(C497,Ingredientes!$B$5:$B$204,0)),"?"))</f>
        <v/>
      </c>
      <c r="F497" s="24" t="str">
        <f aca="false">IF(OR(C497="",D497=""),"",IFERROR(D497*INDEX(Ingredientes!$F$5:$F$204,MATCH(C497,Ingredientes!$B$5:$B$204,0))/INDEX(Ingredientes!$E$5:$E$204,MATCH(C497,Ingredientes!$B$5:$B$204,0)),"Cadastre em Ingredientes"))</f>
        <v/>
      </c>
      <c r="G497" s="7"/>
    </row>
    <row r="498" customFormat="false" ht="21" hidden="false" customHeight="true" outlineLevel="0" collapsed="false">
      <c r="B498" s="7"/>
      <c r="C498" s="7"/>
      <c r="D498" s="37"/>
      <c r="E498" s="34" t="str">
        <f aca="false">IF(C498="","",IFERROR(INDEX(Ingredientes!$D$5:$D$204,MATCH(C498,Ingredientes!$B$5:$B$204,0)),"?"))</f>
        <v/>
      </c>
      <c r="F498" s="24" t="str">
        <f aca="false">IF(OR(C498="",D498=""),"",IFERROR(D498*INDEX(Ingredientes!$F$5:$F$204,MATCH(C498,Ingredientes!$B$5:$B$204,0))/INDEX(Ingredientes!$E$5:$E$204,MATCH(C498,Ingredientes!$B$5:$B$204,0)),"Cadastre em Ingredientes"))</f>
        <v/>
      </c>
      <c r="G498" s="7"/>
    </row>
    <row r="499" customFormat="false" ht="21" hidden="false" customHeight="true" outlineLevel="0" collapsed="false">
      <c r="B499" s="7"/>
      <c r="C499" s="7"/>
      <c r="D499" s="37"/>
      <c r="E499" s="34" t="str">
        <f aca="false">IF(C499="","",IFERROR(INDEX(Ingredientes!$D$5:$D$204,MATCH(C499,Ingredientes!$B$5:$B$204,0)),"?"))</f>
        <v/>
      </c>
      <c r="F499" s="24" t="str">
        <f aca="false">IF(OR(C499="",D499=""),"",IFERROR(D499*INDEX(Ingredientes!$F$5:$F$204,MATCH(C499,Ingredientes!$B$5:$B$204,0))/INDEX(Ingredientes!$E$5:$E$204,MATCH(C499,Ingredientes!$B$5:$B$204,0)),"Cadastre em Ingredientes"))</f>
        <v/>
      </c>
      <c r="G499" s="7"/>
    </row>
    <row r="500" customFormat="false" ht="21" hidden="false" customHeight="true" outlineLevel="0" collapsed="false">
      <c r="B500" s="7"/>
      <c r="C500" s="7"/>
      <c r="D500" s="37"/>
      <c r="E500" s="34" t="str">
        <f aca="false">IF(C500="","",IFERROR(INDEX(Ingredientes!$D$5:$D$204,MATCH(C500,Ingredientes!$B$5:$B$204,0)),"?"))</f>
        <v/>
      </c>
      <c r="F500" s="24" t="str">
        <f aca="false">IF(OR(C500="",D500=""),"",IFERROR(D500*INDEX(Ingredientes!$F$5:$F$204,MATCH(C500,Ingredientes!$B$5:$B$204,0))/INDEX(Ingredientes!$E$5:$E$204,MATCH(C500,Ingredientes!$B$5:$B$204,0)),"Cadastre em Ingredientes"))</f>
        <v/>
      </c>
      <c r="G500" s="7"/>
    </row>
    <row r="501" customFormat="false" ht="21" hidden="false" customHeight="true" outlineLevel="0" collapsed="false">
      <c r="B501" s="7"/>
      <c r="C501" s="7"/>
      <c r="D501" s="37"/>
      <c r="E501" s="34" t="str">
        <f aca="false">IF(C501="","",IFERROR(INDEX(Ingredientes!$D$5:$D$204,MATCH(C501,Ingredientes!$B$5:$B$204,0)),"?"))</f>
        <v/>
      </c>
      <c r="F501" s="24" t="str">
        <f aca="false">IF(OR(C501="",D501=""),"",IFERROR(D501*INDEX(Ingredientes!$F$5:$F$204,MATCH(C501,Ingredientes!$B$5:$B$204,0))/INDEX(Ingredientes!$E$5:$E$204,MATCH(C501,Ingredientes!$B$5:$B$204,0)),"Cadastre em Ingredientes"))</f>
        <v/>
      </c>
      <c r="G501" s="7"/>
    </row>
    <row r="502" customFormat="false" ht="21" hidden="false" customHeight="true" outlineLevel="0" collapsed="false">
      <c r="B502" s="7"/>
      <c r="C502" s="7"/>
      <c r="D502" s="37"/>
      <c r="E502" s="34" t="str">
        <f aca="false">IF(C502="","",IFERROR(INDEX(Ingredientes!$D$5:$D$204,MATCH(C502,Ingredientes!$B$5:$B$204,0)),"?"))</f>
        <v/>
      </c>
      <c r="F502" s="24" t="str">
        <f aca="false">IF(OR(C502="",D502=""),"",IFERROR(D502*INDEX(Ingredientes!$F$5:$F$204,MATCH(C502,Ingredientes!$B$5:$B$204,0))/INDEX(Ingredientes!$E$5:$E$204,MATCH(C502,Ingredientes!$B$5:$B$204,0)),"Cadastre em Ingredientes"))</f>
        <v/>
      </c>
      <c r="G502" s="7"/>
    </row>
    <row r="503" customFormat="false" ht="21" hidden="false" customHeight="true" outlineLevel="0" collapsed="false">
      <c r="B503" s="7"/>
      <c r="C503" s="7"/>
      <c r="D503" s="37"/>
      <c r="E503" s="34" t="str">
        <f aca="false">IF(C503="","",IFERROR(INDEX(Ingredientes!$D$5:$D$204,MATCH(C503,Ingredientes!$B$5:$B$204,0)),"?"))</f>
        <v/>
      </c>
      <c r="F503" s="24" t="str">
        <f aca="false">IF(OR(C503="",D503=""),"",IFERROR(D503*INDEX(Ingredientes!$F$5:$F$204,MATCH(C503,Ingredientes!$B$5:$B$204,0))/INDEX(Ingredientes!$E$5:$E$204,MATCH(C503,Ingredientes!$B$5:$B$204,0)),"Cadastre em Ingredientes"))</f>
        <v/>
      </c>
      <c r="G503" s="7"/>
    </row>
    <row r="504" customFormat="false" ht="21" hidden="false" customHeight="true" outlineLevel="0" collapsed="false">
      <c r="B504" s="7"/>
      <c r="C504" s="7"/>
      <c r="D504" s="37"/>
      <c r="E504" s="34" t="str">
        <f aca="false">IF(C504="","",IFERROR(INDEX(Ingredientes!$D$5:$D$204,MATCH(C504,Ingredientes!$B$5:$B$204,0)),"?"))</f>
        <v/>
      </c>
      <c r="F504" s="24" t="str">
        <f aca="false">IF(OR(C504="",D504=""),"",IFERROR(D504*INDEX(Ingredientes!$F$5:$F$204,MATCH(C504,Ingredientes!$B$5:$B$204,0))/INDEX(Ingredientes!$E$5:$E$204,MATCH(C504,Ingredientes!$B$5:$B$204,0)),"Cadastre em Ingredientes"))</f>
        <v/>
      </c>
      <c r="G504" s="7"/>
    </row>
  </sheetData>
  <mergeCells count="2">
    <mergeCell ref="B1:G1"/>
    <mergeCell ref="B2:G2"/>
  </mergeCells>
  <conditionalFormatting sqref="F5:F504">
    <cfRule type="expression" priority="2" aboveAverage="0" equalAverage="0" bottom="0" percent="0" rank="0" text="" dxfId="0">
      <formula>ISTEXT(F5)*(F5&lt;&gt;"")</formula>
    </cfRule>
  </conditionalFormatting>
  <dataValidations count="2">
    <dataValidation allowBlank="true" errorStyle="stop" operator="between" prompt="Escolha da lista. Para um produto novo, cadastre antes na aba Produtos." promptTitle="Produto" showDropDown="false" showErrorMessage="false" showInputMessage="true" sqref="B5:B504" type="list">
      <formula1>Produtos!$B$5:$B$54</formula1>
      <formula2>0</formula2>
    </dataValidation>
    <dataValidation allowBlank="true" errorStyle="stop" operator="between" prompt="Escolha da lista. Se não estiver, cadastre na aba Ingredientes." promptTitle="O que vai" showDropDown="false" showErrorMessage="false" showInputMessage="true" sqref="C5:C504" type="list">
      <formula1>Ingredientes!$B$5:$B$204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3426"/>
    <pageSetUpPr fitToPage="true"/>
  </sheetPr>
  <dimension ref="B1:J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9.75" hidden="false" customHeight="true" outlineLevel="0" collapsed="false">
      <c r="B1" s="1" t="s">
        <v>171</v>
      </c>
      <c r="C1" s="1"/>
      <c r="D1" s="1"/>
      <c r="E1" s="1"/>
      <c r="F1" s="1"/>
      <c r="G1" s="1"/>
      <c r="H1" s="1"/>
      <c r="I1" s="1"/>
      <c r="J1" s="1"/>
    </row>
    <row r="2" customFormat="false" ht="36" hidden="false" customHeight="true" outlineLevel="0" collapsed="false">
      <c r="B2" s="2" t="s">
        <v>172</v>
      </c>
      <c r="C2" s="2"/>
      <c r="D2" s="2"/>
      <c r="E2" s="2"/>
      <c r="F2" s="2"/>
      <c r="G2" s="2"/>
      <c r="H2" s="2"/>
      <c r="I2" s="2"/>
      <c r="J2" s="2"/>
    </row>
    <row r="3" customFormat="false" ht="9.75" hidden="false" customHeight="true" outlineLevel="0" collapsed="false"/>
    <row r="4" customFormat="false" ht="43.5" hidden="false" customHeight="true" outlineLevel="0" collapsed="false">
      <c r="B4" s="35" t="s">
        <v>173</v>
      </c>
      <c r="C4" s="35" t="s">
        <v>174</v>
      </c>
      <c r="D4" s="35" t="s">
        <v>175</v>
      </c>
      <c r="E4" s="35" t="s">
        <v>176</v>
      </c>
      <c r="F4" s="35" t="s">
        <v>177</v>
      </c>
      <c r="G4" s="14" t="s">
        <v>178</v>
      </c>
      <c r="H4" s="14"/>
      <c r="I4" s="35" t="s">
        <v>179</v>
      </c>
      <c r="J4" s="35" t="s">
        <v>180</v>
      </c>
    </row>
    <row r="5" customFormat="false" ht="21" hidden="false" customHeight="true" outlineLevel="0" collapsed="false">
      <c r="B5" s="7" t="s">
        <v>149</v>
      </c>
      <c r="C5" s="37" t="s">
        <v>181</v>
      </c>
      <c r="D5" s="37" t="s">
        <v>182</v>
      </c>
      <c r="E5" s="37" t="n">
        <v>395</v>
      </c>
      <c r="F5" s="38" t="n">
        <v>6.49</v>
      </c>
      <c r="G5" s="24" t="n">
        <f aca="false">IF(OR(B5="",E5="",F5="",N(E5)=0),"",IF(OR(D5="g",D5="ml"),F5/E5*1000,F5/E5))</f>
        <v>16.4303797468354</v>
      </c>
      <c r="H5" s="20" t="str">
        <f aca="false">IF(G5="","",IF(D5="g","o quilo",IF(D5="ml","o litro","a unidade")))</f>
        <v>o quilo</v>
      </c>
      <c r="I5" s="7" t="s">
        <v>183</v>
      </c>
      <c r="J5" s="36" t="n">
        <v>46325</v>
      </c>
    </row>
    <row r="6" customFormat="false" ht="21" hidden="false" customHeight="true" outlineLevel="0" collapsed="false">
      <c r="B6" s="7" t="s">
        <v>151</v>
      </c>
      <c r="C6" s="37" t="s">
        <v>181</v>
      </c>
      <c r="D6" s="37" t="s">
        <v>182</v>
      </c>
      <c r="E6" s="37" t="n">
        <v>200</v>
      </c>
      <c r="F6" s="38" t="n">
        <v>3.29</v>
      </c>
      <c r="G6" s="24" t="n">
        <f aca="false">IF(OR(B6="",E6="",F6="",N(E6)=0),"",IF(OR(D6="g",D6="ml"),F6/E6*1000,F6/E6))</f>
        <v>16.45</v>
      </c>
      <c r="H6" s="20" t="str">
        <f aca="false">IF(G6="","",IF(D6="g","o quilo",IF(D6="ml","o litro","a unidade")))</f>
        <v>o quilo</v>
      </c>
      <c r="I6" s="7" t="s">
        <v>183</v>
      </c>
      <c r="J6" s="36" t="n">
        <v>46325</v>
      </c>
    </row>
    <row r="7" customFormat="false" ht="21" hidden="false" customHeight="true" outlineLevel="0" collapsed="false">
      <c r="B7" s="7" t="s">
        <v>143</v>
      </c>
      <c r="C7" s="37" t="s">
        <v>181</v>
      </c>
      <c r="D7" s="37" t="s">
        <v>182</v>
      </c>
      <c r="E7" s="37" t="n">
        <v>200</v>
      </c>
      <c r="F7" s="38" t="n">
        <v>9.9</v>
      </c>
      <c r="G7" s="24" t="n">
        <f aca="false">IF(OR(B7="",E7="",F7="",N(E7)=0),"",IF(OR(D7="g",D7="ml"),F7/E7*1000,F7/E7))</f>
        <v>49.5</v>
      </c>
      <c r="H7" s="20" t="str">
        <f aca="false">IF(G7="","",IF(D7="g","o quilo",IF(D7="ml","o litro","a unidade")))</f>
        <v>o quilo</v>
      </c>
      <c r="I7" s="7" t="s">
        <v>183</v>
      </c>
      <c r="J7" s="36" t="n">
        <v>46325</v>
      </c>
    </row>
    <row r="8" customFormat="false" ht="21" hidden="false" customHeight="true" outlineLevel="0" collapsed="false">
      <c r="B8" s="7" t="s">
        <v>184</v>
      </c>
      <c r="C8" s="37" t="s">
        <v>181</v>
      </c>
      <c r="D8" s="37" t="s">
        <v>182</v>
      </c>
      <c r="E8" s="37" t="n">
        <v>1000</v>
      </c>
      <c r="F8" s="38" t="n">
        <v>49.9</v>
      </c>
      <c r="G8" s="24" t="n">
        <f aca="false">IF(OR(B8="",E8="",F8="",N(E8)=0),"",IF(OR(D8="g",D8="ml"),F8/E8*1000,F8/E8))</f>
        <v>49.9</v>
      </c>
      <c r="H8" s="20" t="str">
        <f aca="false">IF(G8="","",IF(D8="g","o quilo",IF(D8="ml","o litro","a unidade")))</f>
        <v>o quilo</v>
      </c>
      <c r="I8" s="7" t="s">
        <v>185</v>
      </c>
      <c r="J8" s="36" t="n">
        <v>46325</v>
      </c>
    </row>
    <row r="9" customFormat="false" ht="21" hidden="false" customHeight="true" outlineLevel="0" collapsed="false">
      <c r="B9" s="7" t="s">
        <v>154</v>
      </c>
      <c r="C9" s="37" t="s">
        <v>181</v>
      </c>
      <c r="D9" s="37" t="s">
        <v>182</v>
      </c>
      <c r="E9" s="37" t="n">
        <v>500</v>
      </c>
      <c r="F9" s="38" t="n">
        <v>14.9</v>
      </c>
      <c r="G9" s="24" t="n">
        <f aca="false">IF(OR(B9="",E9="",F9="",N(E9)=0),"",IF(OR(D9="g",D9="ml"),F9/E9*1000,F9/E9))</f>
        <v>29.8</v>
      </c>
      <c r="H9" s="20" t="str">
        <f aca="false">IF(G9="","",IF(D9="g","o quilo",IF(D9="ml","o litro","a unidade")))</f>
        <v>o quilo</v>
      </c>
      <c r="I9" s="7" t="s">
        <v>186</v>
      </c>
      <c r="J9" s="36" t="n">
        <v>46325</v>
      </c>
    </row>
    <row r="10" customFormat="false" ht="21" hidden="false" customHeight="true" outlineLevel="0" collapsed="false">
      <c r="B10" s="7" t="s">
        <v>153</v>
      </c>
      <c r="C10" s="37" t="s">
        <v>181</v>
      </c>
      <c r="D10" s="37" t="s">
        <v>182</v>
      </c>
      <c r="E10" s="37" t="n">
        <v>200</v>
      </c>
      <c r="F10" s="38" t="n">
        <v>9.9</v>
      </c>
      <c r="G10" s="24" t="n">
        <f aca="false">IF(OR(B10="",E10="",F10="",N(E10)=0),"",IF(OR(D10="g",D10="ml"),F10/E10*1000,F10/E10))</f>
        <v>49.5</v>
      </c>
      <c r="H10" s="20" t="str">
        <f aca="false">IF(G10="","",IF(D10="g","o quilo",IF(D10="ml","o litro","a unidade")))</f>
        <v>o quilo</v>
      </c>
      <c r="I10" s="7" t="s">
        <v>183</v>
      </c>
      <c r="J10" s="36" t="n">
        <v>46325</v>
      </c>
    </row>
    <row r="11" customFormat="false" ht="21" hidden="false" customHeight="true" outlineLevel="0" collapsed="false">
      <c r="B11" s="7" t="s">
        <v>142</v>
      </c>
      <c r="C11" s="37" t="s">
        <v>181</v>
      </c>
      <c r="D11" s="37" t="s">
        <v>182</v>
      </c>
      <c r="E11" s="37" t="n">
        <v>1000</v>
      </c>
      <c r="F11" s="38" t="n">
        <v>4.79</v>
      </c>
      <c r="G11" s="24" t="n">
        <f aca="false">IF(OR(B11="",E11="",F11="",N(E11)=0),"",IF(OR(D11="g",D11="ml"),F11/E11*1000,F11/E11))</f>
        <v>4.79</v>
      </c>
      <c r="H11" s="20" t="str">
        <f aca="false">IF(G11="","",IF(D11="g","o quilo",IF(D11="ml","o litro","a unidade")))</f>
        <v>o quilo</v>
      </c>
      <c r="I11" s="7" t="s">
        <v>183</v>
      </c>
      <c r="J11" s="36" t="n">
        <v>46325</v>
      </c>
    </row>
    <row r="12" customFormat="false" ht="21" hidden="false" customHeight="true" outlineLevel="0" collapsed="false">
      <c r="B12" s="7" t="s">
        <v>140</v>
      </c>
      <c r="C12" s="37" t="s">
        <v>181</v>
      </c>
      <c r="D12" s="37" t="s">
        <v>182</v>
      </c>
      <c r="E12" s="37" t="n">
        <v>1000</v>
      </c>
      <c r="F12" s="38" t="n">
        <v>5.49</v>
      </c>
      <c r="G12" s="24" t="n">
        <f aca="false">IF(OR(B12="",E12="",F12="",N(E12)=0),"",IF(OR(D12="g",D12="ml"),F12/E12*1000,F12/E12))</f>
        <v>5.49</v>
      </c>
      <c r="H12" s="20" t="str">
        <f aca="false">IF(G12="","",IF(D12="g","o quilo",IF(D12="ml","o litro","a unidade")))</f>
        <v>o quilo</v>
      </c>
      <c r="I12" s="7" t="s">
        <v>183</v>
      </c>
      <c r="J12" s="36" t="n">
        <v>46325</v>
      </c>
    </row>
    <row r="13" customFormat="false" ht="21" hidden="false" customHeight="true" outlineLevel="0" collapsed="false">
      <c r="B13" s="7" t="s">
        <v>145</v>
      </c>
      <c r="C13" s="37" t="s">
        <v>181</v>
      </c>
      <c r="D13" s="37" t="s">
        <v>187</v>
      </c>
      <c r="E13" s="37" t="n">
        <v>30</v>
      </c>
      <c r="F13" s="38" t="n">
        <v>19.9</v>
      </c>
      <c r="G13" s="24" t="n">
        <f aca="false">IF(OR(B13="",E13="",F13="",N(E13)=0),"",IF(OR(D13="g",D13="ml"),F13/E13*1000,F13/E13))</f>
        <v>0.663333333333333</v>
      </c>
      <c r="H13" s="20" t="str">
        <f aca="false">IF(G13="","",IF(D13="g","o quilo",IF(D13="ml","o litro","a unidade")))</f>
        <v>a unidade</v>
      </c>
      <c r="I13" s="7" t="s">
        <v>188</v>
      </c>
      <c r="J13" s="36" t="n">
        <v>46325</v>
      </c>
    </row>
    <row r="14" customFormat="false" ht="21" hidden="false" customHeight="true" outlineLevel="0" collapsed="false">
      <c r="B14" s="7" t="s">
        <v>146</v>
      </c>
      <c r="C14" s="37" t="s">
        <v>181</v>
      </c>
      <c r="D14" s="37" t="s">
        <v>189</v>
      </c>
      <c r="E14" s="37" t="n">
        <v>1000</v>
      </c>
      <c r="F14" s="38" t="n">
        <v>5.29</v>
      </c>
      <c r="G14" s="24" t="n">
        <f aca="false">IF(OR(B14="",E14="",F14="",N(E14)=0),"",IF(OR(D14="g",D14="ml"),F14/E14*1000,F14/E14))</f>
        <v>5.29</v>
      </c>
      <c r="H14" s="20" t="str">
        <f aca="false">IF(G14="","",IF(D14="g","o quilo",IF(D14="ml","o litro","a unidade")))</f>
        <v>o litro</v>
      </c>
      <c r="I14" s="7" t="s">
        <v>183</v>
      </c>
      <c r="J14" s="36" t="n">
        <v>46325</v>
      </c>
    </row>
    <row r="15" customFormat="false" ht="21" hidden="false" customHeight="true" outlineLevel="0" collapsed="false">
      <c r="B15" s="7" t="s">
        <v>147</v>
      </c>
      <c r="C15" s="37" t="s">
        <v>181</v>
      </c>
      <c r="D15" s="37" t="s">
        <v>189</v>
      </c>
      <c r="E15" s="37" t="n">
        <v>900</v>
      </c>
      <c r="F15" s="38" t="n">
        <v>7.99</v>
      </c>
      <c r="G15" s="24" t="n">
        <f aca="false">IF(OR(B15="",E15="",F15="",N(E15)=0),"",IF(OR(D15="g",D15="ml"),F15/E15*1000,F15/E15))</f>
        <v>8.87777777777778</v>
      </c>
      <c r="H15" s="20" t="str">
        <f aca="false">IF(G15="","",IF(D15="g","o quilo",IF(D15="ml","o litro","a unidade")))</f>
        <v>o litro</v>
      </c>
      <c r="I15" s="7" t="s">
        <v>183</v>
      </c>
      <c r="J15" s="36" t="n">
        <v>46325</v>
      </c>
    </row>
    <row r="16" customFormat="false" ht="21" hidden="false" customHeight="true" outlineLevel="0" collapsed="false">
      <c r="B16" s="7" t="s">
        <v>148</v>
      </c>
      <c r="C16" s="37" t="s">
        <v>181</v>
      </c>
      <c r="D16" s="37" t="s">
        <v>182</v>
      </c>
      <c r="E16" s="37" t="n">
        <v>100</v>
      </c>
      <c r="F16" s="38" t="n">
        <v>3.99</v>
      </c>
      <c r="G16" s="24" t="n">
        <f aca="false">IF(OR(B16="",E16="",F16="",N(E16)=0),"",IF(OR(D16="g",D16="ml"),F16/E16*1000,F16/E16))</f>
        <v>39.9</v>
      </c>
      <c r="H16" s="20" t="str">
        <f aca="false">IF(G16="","",IF(D16="g","o quilo",IF(D16="ml","o litro","a unidade")))</f>
        <v>o quilo</v>
      </c>
      <c r="I16" s="7" t="s">
        <v>183</v>
      </c>
      <c r="J16" s="36" t="n">
        <v>46325</v>
      </c>
    </row>
    <row r="17" customFormat="false" ht="21" hidden="false" customHeight="true" outlineLevel="0" collapsed="false">
      <c r="B17" s="7" t="s">
        <v>159</v>
      </c>
      <c r="C17" s="37" t="s">
        <v>181</v>
      </c>
      <c r="D17" s="37" t="s">
        <v>182</v>
      </c>
      <c r="E17" s="37" t="n">
        <v>400</v>
      </c>
      <c r="F17" s="38" t="n">
        <v>6.49</v>
      </c>
      <c r="G17" s="24" t="n">
        <f aca="false">IF(OR(B17="",E17="",F17="",N(E17)=0),"",IF(OR(D17="g",D17="ml"),F17/E17*1000,F17/E17))</f>
        <v>16.225</v>
      </c>
      <c r="H17" s="20" t="str">
        <f aca="false">IF(G17="","",IF(D17="g","o quilo",IF(D17="ml","o litro","a unidade")))</f>
        <v>o quilo</v>
      </c>
      <c r="I17" s="7" t="s">
        <v>183</v>
      </c>
      <c r="J17" s="36" t="n">
        <v>46325</v>
      </c>
    </row>
    <row r="18" customFormat="false" ht="21" hidden="false" customHeight="true" outlineLevel="0" collapsed="false">
      <c r="B18" s="7" t="s">
        <v>190</v>
      </c>
      <c r="C18" s="37" t="s">
        <v>181</v>
      </c>
      <c r="D18" s="37" t="s">
        <v>182</v>
      </c>
      <c r="E18" s="37" t="n">
        <v>100</v>
      </c>
      <c r="F18" s="38" t="n">
        <v>4.99</v>
      </c>
      <c r="G18" s="24" t="n">
        <f aca="false">IF(OR(B18="",E18="",F18="",N(E18)=0),"",IF(OR(D18="g",D18="ml"),F18/E18*1000,F18/E18))</f>
        <v>49.9</v>
      </c>
      <c r="H18" s="20" t="str">
        <f aca="false">IF(G18="","",IF(D18="g","o quilo",IF(D18="ml","o litro","a unidade")))</f>
        <v>o quilo</v>
      </c>
      <c r="I18" s="7" t="s">
        <v>183</v>
      </c>
      <c r="J18" s="36" t="n">
        <v>46325</v>
      </c>
    </row>
    <row r="19" customFormat="false" ht="21" hidden="false" customHeight="true" outlineLevel="0" collapsed="false">
      <c r="B19" s="7" t="s">
        <v>163</v>
      </c>
      <c r="C19" s="37" t="s">
        <v>181</v>
      </c>
      <c r="D19" s="37" t="s">
        <v>182</v>
      </c>
      <c r="E19" s="37" t="n">
        <v>1000</v>
      </c>
      <c r="F19" s="38" t="n">
        <v>21.9</v>
      </c>
      <c r="G19" s="24" t="n">
        <f aca="false">IF(OR(B19="",E19="",F19="",N(E19)=0),"",IF(OR(D19="g",D19="ml"),F19/E19*1000,F19/E19))</f>
        <v>21.9</v>
      </c>
      <c r="H19" s="20" t="str">
        <f aca="false">IF(G19="","",IF(D19="g","o quilo",IF(D19="ml","o litro","a unidade")))</f>
        <v>o quilo</v>
      </c>
      <c r="I19" s="7" t="s">
        <v>191</v>
      </c>
      <c r="J19" s="36" t="n">
        <v>46325</v>
      </c>
    </row>
    <row r="20" customFormat="false" ht="21" hidden="false" customHeight="true" outlineLevel="0" collapsed="false">
      <c r="B20" s="7" t="s">
        <v>164</v>
      </c>
      <c r="C20" s="37" t="s">
        <v>181</v>
      </c>
      <c r="D20" s="37" t="s">
        <v>182</v>
      </c>
      <c r="E20" s="37" t="n">
        <v>400</v>
      </c>
      <c r="F20" s="38" t="n">
        <v>10.9</v>
      </c>
      <c r="G20" s="24" t="n">
        <f aca="false">IF(OR(B20="",E20="",F20="",N(E20)=0),"",IF(OR(D20="g",D20="ml"),F20/E20*1000,F20/E20))</f>
        <v>27.25</v>
      </c>
      <c r="H20" s="20" t="str">
        <f aca="false">IF(G20="","",IF(D20="g","o quilo",IF(D20="ml","o litro","a unidade")))</f>
        <v>o quilo</v>
      </c>
      <c r="I20" s="7" t="s">
        <v>183</v>
      </c>
      <c r="J20" s="36" t="n">
        <v>46325</v>
      </c>
    </row>
    <row r="21" customFormat="false" ht="21" hidden="false" customHeight="true" outlineLevel="0" collapsed="false">
      <c r="B21" s="7" t="s">
        <v>165</v>
      </c>
      <c r="C21" s="37" t="s">
        <v>181</v>
      </c>
      <c r="D21" s="37" t="s">
        <v>182</v>
      </c>
      <c r="E21" s="37" t="n">
        <v>1000</v>
      </c>
      <c r="F21" s="38" t="n">
        <v>5.99</v>
      </c>
      <c r="G21" s="24" t="n">
        <f aca="false">IF(OR(B21="",E21="",F21="",N(E21)=0),"",IF(OR(D21="g",D21="ml"),F21/E21*1000,F21/E21))</f>
        <v>5.99</v>
      </c>
      <c r="H21" s="20" t="str">
        <f aca="false">IF(G21="","",IF(D21="g","o quilo",IF(D21="ml","o litro","a unidade")))</f>
        <v>o quilo</v>
      </c>
      <c r="I21" s="7" t="s">
        <v>188</v>
      </c>
      <c r="J21" s="36" t="n">
        <v>46325</v>
      </c>
    </row>
    <row r="22" customFormat="false" ht="21" hidden="false" customHeight="true" outlineLevel="0" collapsed="false">
      <c r="B22" s="7" t="s">
        <v>166</v>
      </c>
      <c r="C22" s="37" t="s">
        <v>181</v>
      </c>
      <c r="D22" s="37" t="s">
        <v>182</v>
      </c>
      <c r="E22" s="37" t="n">
        <v>1000</v>
      </c>
      <c r="F22" s="38" t="n">
        <v>2.99</v>
      </c>
      <c r="G22" s="24" t="n">
        <f aca="false">IF(OR(B22="",E22="",F22="",N(E22)=0),"",IF(OR(D22="g",D22="ml"),F22/E22*1000,F22/E22))</f>
        <v>2.99</v>
      </c>
      <c r="H22" s="20" t="str">
        <f aca="false">IF(G22="","",IF(D22="g","o quilo",IF(D22="ml","o litro","a unidade")))</f>
        <v>o quilo</v>
      </c>
      <c r="I22" s="7" t="s">
        <v>183</v>
      </c>
      <c r="J22" s="36" t="n">
        <v>46325</v>
      </c>
    </row>
    <row r="23" customFormat="false" ht="21" hidden="false" customHeight="true" outlineLevel="0" collapsed="false">
      <c r="B23" s="7" t="s">
        <v>168</v>
      </c>
      <c r="C23" s="37" t="s">
        <v>181</v>
      </c>
      <c r="D23" s="37" t="s">
        <v>182</v>
      </c>
      <c r="E23" s="37" t="n">
        <v>500</v>
      </c>
      <c r="F23" s="38" t="n">
        <v>6.9</v>
      </c>
      <c r="G23" s="24" t="n">
        <f aca="false">IF(OR(B23="",E23="",F23="",N(E23)=0),"",IF(OR(D23="g",D23="ml"),F23/E23*1000,F23/E23))</f>
        <v>13.8</v>
      </c>
      <c r="H23" s="20" t="str">
        <f aca="false">IF(G23="","",IF(D23="g","o quilo",IF(D23="ml","o litro","a unidade")))</f>
        <v>o quilo</v>
      </c>
      <c r="I23" s="7" t="s">
        <v>183</v>
      </c>
      <c r="J23" s="36" t="n">
        <v>46325</v>
      </c>
    </row>
    <row r="24" customFormat="false" ht="21" hidden="false" customHeight="true" outlineLevel="0" collapsed="false">
      <c r="B24" s="7" t="s">
        <v>156</v>
      </c>
      <c r="C24" s="37" t="s">
        <v>192</v>
      </c>
      <c r="D24" s="37" t="s">
        <v>187</v>
      </c>
      <c r="E24" s="37" t="n">
        <v>50</v>
      </c>
      <c r="F24" s="38" t="n">
        <v>39.9</v>
      </c>
      <c r="G24" s="24" t="n">
        <f aca="false">IF(OR(B24="",E24="",F24="",N(E24)=0),"",IF(OR(D24="g",D24="ml"),F24/E24*1000,F24/E24))</f>
        <v>0.798</v>
      </c>
      <c r="H24" s="20" t="str">
        <f aca="false">IF(G24="","",IF(D24="g","o quilo",IF(D24="ml","o litro","a unidade")))</f>
        <v>a unidade</v>
      </c>
      <c r="I24" s="7" t="s">
        <v>193</v>
      </c>
      <c r="J24" s="36" t="n">
        <v>46325</v>
      </c>
    </row>
    <row r="25" customFormat="false" ht="21" hidden="false" customHeight="true" outlineLevel="0" collapsed="false">
      <c r="B25" s="7" t="s">
        <v>157</v>
      </c>
      <c r="C25" s="37" t="s">
        <v>192</v>
      </c>
      <c r="D25" s="37" t="s">
        <v>187</v>
      </c>
      <c r="E25" s="37" t="n">
        <v>50</v>
      </c>
      <c r="F25" s="38" t="n">
        <v>7.9</v>
      </c>
      <c r="G25" s="24" t="n">
        <f aca="false">IF(OR(B25="",E25="",F25="",N(E25)=0),"",IF(OR(D25="g",D25="ml"),F25/E25*1000,F25/E25))</f>
        <v>0.158</v>
      </c>
      <c r="H25" s="20" t="str">
        <f aca="false">IF(G25="","",IF(D25="g","o quilo",IF(D25="ml","o litro","a unidade")))</f>
        <v>a unidade</v>
      </c>
      <c r="I25" s="7" t="s">
        <v>193</v>
      </c>
      <c r="J25" s="36" t="n">
        <v>46325</v>
      </c>
    </row>
    <row r="26" customFormat="false" ht="21" hidden="false" customHeight="true" outlineLevel="0" collapsed="false">
      <c r="B26" s="7" t="s">
        <v>158</v>
      </c>
      <c r="C26" s="37" t="s">
        <v>192</v>
      </c>
      <c r="D26" s="37" t="s">
        <v>187</v>
      </c>
      <c r="E26" s="37" t="n">
        <v>100</v>
      </c>
      <c r="F26" s="38" t="n">
        <v>15</v>
      </c>
      <c r="G26" s="24" t="n">
        <f aca="false">IF(OR(B26="",E26="",F26="",N(E26)=0),"",IF(OR(D26="g",D26="ml"),F26/E26*1000,F26/E26))</f>
        <v>0.15</v>
      </c>
      <c r="H26" s="20" t="str">
        <f aca="false">IF(G26="","",IF(D26="g","o quilo",IF(D26="ml","o litro","a unidade")))</f>
        <v>a unidade</v>
      </c>
      <c r="I26" s="7" t="s">
        <v>194</v>
      </c>
      <c r="J26" s="36" t="n">
        <v>46325</v>
      </c>
    </row>
    <row r="27" customFormat="false" ht="21" hidden="false" customHeight="true" outlineLevel="0" collapsed="false">
      <c r="B27" s="7" t="s">
        <v>162</v>
      </c>
      <c r="C27" s="37" t="s">
        <v>192</v>
      </c>
      <c r="D27" s="37" t="s">
        <v>187</v>
      </c>
      <c r="E27" s="37" t="n">
        <v>100</v>
      </c>
      <c r="F27" s="38" t="n">
        <v>5.9</v>
      </c>
      <c r="G27" s="24" t="n">
        <f aca="false">IF(OR(B27="",E27="",F27="",N(E27)=0),"",IF(OR(D27="g",D27="ml"),F27/E27*1000,F27/E27))</f>
        <v>0.059</v>
      </c>
      <c r="H27" s="20" t="str">
        <f aca="false">IF(G27="","",IF(D27="g","o quilo",IF(D27="ml","o litro","a unidade")))</f>
        <v>a unidade</v>
      </c>
      <c r="I27" s="7" t="s">
        <v>186</v>
      </c>
      <c r="J27" s="36" t="n">
        <v>46325</v>
      </c>
    </row>
    <row r="28" customFormat="false" ht="21" hidden="false" customHeight="true" outlineLevel="0" collapsed="false">
      <c r="B28" s="7" t="s">
        <v>161</v>
      </c>
      <c r="C28" s="37" t="s">
        <v>192</v>
      </c>
      <c r="D28" s="37" t="s">
        <v>187</v>
      </c>
      <c r="E28" s="37" t="n">
        <v>100</v>
      </c>
      <c r="F28" s="38" t="n">
        <v>9.9</v>
      </c>
      <c r="G28" s="24" t="n">
        <f aca="false">IF(OR(B28="",E28="",F28="",N(E28)=0),"",IF(OR(D28="g",D28="ml"),F28/E28*1000,F28/E28))</f>
        <v>0.099</v>
      </c>
      <c r="H28" s="20" t="str">
        <f aca="false">IF(G28="","",IF(D28="g","o quilo",IF(D28="ml","o litro","a unidade")))</f>
        <v>a unidade</v>
      </c>
      <c r="I28" s="7" t="s">
        <v>193</v>
      </c>
      <c r="J28" s="36" t="n">
        <v>46325</v>
      </c>
    </row>
    <row r="29" customFormat="false" ht="21" hidden="false" customHeight="true" outlineLevel="0" collapsed="false">
      <c r="B29" s="7" t="s">
        <v>170</v>
      </c>
      <c r="C29" s="37" t="s">
        <v>192</v>
      </c>
      <c r="D29" s="37" t="s">
        <v>187</v>
      </c>
      <c r="E29" s="37" t="n">
        <v>10</v>
      </c>
      <c r="F29" s="38" t="n">
        <v>12.9</v>
      </c>
      <c r="G29" s="24" t="n">
        <f aca="false">IF(OR(B29="",E29="",F29="",N(E29)=0),"",IF(OR(D29="g",D29="ml"),F29/E29*1000,F29/E29))</f>
        <v>1.29</v>
      </c>
      <c r="H29" s="20" t="str">
        <f aca="false">IF(G29="","",IF(D29="g","o quilo",IF(D29="ml","o litro","a unidade")))</f>
        <v>a unidade</v>
      </c>
      <c r="I29" s="7" t="s">
        <v>193</v>
      </c>
      <c r="J29" s="36" t="n">
        <v>46325</v>
      </c>
    </row>
    <row r="30" customFormat="false" ht="21" hidden="false" customHeight="true" outlineLevel="0" collapsed="false">
      <c r="B30" s="7"/>
      <c r="C30" s="37"/>
      <c r="D30" s="37"/>
      <c r="E30" s="37"/>
      <c r="F30" s="38"/>
      <c r="G30" s="24" t="str">
        <f aca="false">IF(OR(B30="",E30="",F30="",N(E30)=0),"",IF(OR(D30="g",D30="ml"),F30/E30*1000,F30/E30))</f>
        <v/>
      </c>
      <c r="H30" s="20" t="str">
        <f aca="false">IF(G30="","",IF(D30="g","o quilo",IF(D30="ml","o litro","a unidade")))</f>
        <v/>
      </c>
      <c r="I30" s="7"/>
      <c r="J30" s="36"/>
    </row>
    <row r="31" customFormat="false" ht="21" hidden="false" customHeight="true" outlineLevel="0" collapsed="false">
      <c r="B31" s="7"/>
      <c r="C31" s="37"/>
      <c r="D31" s="37"/>
      <c r="E31" s="37"/>
      <c r="F31" s="38"/>
      <c r="G31" s="24" t="str">
        <f aca="false">IF(OR(B31="",E31="",F31="",N(E31)=0),"",IF(OR(D31="g",D31="ml"),F31/E31*1000,F31/E31))</f>
        <v/>
      </c>
      <c r="H31" s="20" t="str">
        <f aca="false">IF(G31="","",IF(D31="g","o quilo",IF(D31="ml","o litro","a unidade")))</f>
        <v/>
      </c>
      <c r="I31" s="7"/>
      <c r="J31" s="36"/>
    </row>
    <row r="32" customFormat="false" ht="21" hidden="false" customHeight="true" outlineLevel="0" collapsed="false">
      <c r="B32" s="7"/>
      <c r="C32" s="37"/>
      <c r="D32" s="37"/>
      <c r="E32" s="37"/>
      <c r="F32" s="38"/>
      <c r="G32" s="24" t="str">
        <f aca="false">IF(OR(B32="",E32="",F32="",N(E32)=0),"",IF(OR(D32="g",D32="ml"),F32/E32*1000,F32/E32))</f>
        <v/>
      </c>
      <c r="H32" s="20" t="str">
        <f aca="false">IF(G32="","",IF(D32="g","o quilo",IF(D32="ml","o litro","a unidade")))</f>
        <v/>
      </c>
      <c r="I32" s="7"/>
      <c r="J32" s="36"/>
    </row>
    <row r="33" customFormat="false" ht="21" hidden="false" customHeight="true" outlineLevel="0" collapsed="false">
      <c r="B33" s="7"/>
      <c r="C33" s="37"/>
      <c r="D33" s="37"/>
      <c r="E33" s="37"/>
      <c r="F33" s="38"/>
      <c r="G33" s="24" t="str">
        <f aca="false">IF(OR(B33="",E33="",F33="",N(E33)=0),"",IF(OR(D33="g",D33="ml"),F33/E33*1000,F33/E33))</f>
        <v/>
      </c>
      <c r="H33" s="20" t="str">
        <f aca="false">IF(G33="","",IF(D33="g","o quilo",IF(D33="ml","o litro","a unidade")))</f>
        <v/>
      </c>
      <c r="I33" s="7"/>
      <c r="J33" s="36"/>
    </row>
    <row r="34" customFormat="false" ht="21" hidden="false" customHeight="true" outlineLevel="0" collapsed="false">
      <c r="B34" s="7"/>
      <c r="C34" s="37"/>
      <c r="D34" s="37"/>
      <c r="E34" s="37"/>
      <c r="F34" s="38"/>
      <c r="G34" s="24" t="str">
        <f aca="false">IF(OR(B34="",E34="",F34="",N(E34)=0),"",IF(OR(D34="g",D34="ml"),F34/E34*1000,F34/E34))</f>
        <v/>
      </c>
      <c r="H34" s="20" t="str">
        <f aca="false">IF(G34="","",IF(D34="g","o quilo",IF(D34="ml","o litro","a unidade")))</f>
        <v/>
      </c>
      <c r="I34" s="7"/>
      <c r="J34" s="36"/>
    </row>
    <row r="35" customFormat="false" ht="21" hidden="false" customHeight="true" outlineLevel="0" collapsed="false">
      <c r="B35" s="7"/>
      <c r="C35" s="37"/>
      <c r="D35" s="37"/>
      <c r="E35" s="37"/>
      <c r="F35" s="38"/>
      <c r="G35" s="24" t="str">
        <f aca="false">IF(OR(B35="",E35="",F35="",N(E35)=0),"",IF(OR(D35="g",D35="ml"),F35/E35*1000,F35/E35))</f>
        <v/>
      </c>
      <c r="H35" s="20" t="str">
        <f aca="false">IF(G35="","",IF(D35="g","o quilo",IF(D35="ml","o litro","a unidade")))</f>
        <v/>
      </c>
      <c r="I35" s="7"/>
      <c r="J35" s="36"/>
    </row>
    <row r="36" customFormat="false" ht="21" hidden="false" customHeight="true" outlineLevel="0" collapsed="false">
      <c r="B36" s="7"/>
      <c r="C36" s="37"/>
      <c r="D36" s="37"/>
      <c r="E36" s="37"/>
      <c r="F36" s="38"/>
      <c r="G36" s="24" t="str">
        <f aca="false">IF(OR(B36="",E36="",F36="",N(E36)=0),"",IF(OR(D36="g",D36="ml"),F36/E36*1000,F36/E36))</f>
        <v/>
      </c>
      <c r="H36" s="20" t="str">
        <f aca="false">IF(G36="","",IF(D36="g","o quilo",IF(D36="ml","o litro","a unidade")))</f>
        <v/>
      </c>
      <c r="I36" s="7"/>
      <c r="J36" s="36"/>
    </row>
    <row r="37" customFormat="false" ht="21" hidden="false" customHeight="true" outlineLevel="0" collapsed="false">
      <c r="B37" s="7"/>
      <c r="C37" s="37"/>
      <c r="D37" s="37"/>
      <c r="E37" s="37"/>
      <c r="F37" s="38"/>
      <c r="G37" s="24" t="str">
        <f aca="false">IF(OR(B37="",E37="",F37="",N(E37)=0),"",IF(OR(D37="g",D37="ml"),F37/E37*1000,F37/E37))</f>
        <v/>
      </c>
      <c r="H37" s="20" t="str">
        <f aca="false">IF(G37="","",IF(D37="g","o quilo",IF(D37="ml","o litro","a unidade")))</f>
        <v/>
      </c>
      <c r="I37" s="7"/>
      <c r="J37" s="36"/>
    </row>
    <row r="38" customFormat="false" ht="21" hidden="false" customHeight="true" outlineLevel="0" collapsed="false">
      <c r="B38" s="7"/>
      <c r="C38" s="37"/>
      <c r="D38" s="37"/>
      <c r="E38" s="37"/>
      <c r="F38" s="38"/>
      <c r="G38" s="24" t="str">
        <f aca="false">IF(OR(B38="",E38="",F38="",N(E38)=0),"",IF(OR(D38="g",D38="ml"),F38/E38*1000,F38/E38))</f>
        <v/>
      </c>
      <c r="H38" s="20" t="str">
        <f aca="false">IF(G38="","",IF(D38="g","o quilo",IF(D38="ml","o litro","a unidade")))</f>
        <v/>
      </c>
      <c r="I38" s="7"/>
      <c r="J38" s="36"/>
    </row>
    <row r="39" customFormat="false" ht="21" hidden="false" customHeight="true" outlineLevel="0" collapsed="false">
      <c r="B39" s="7"/>
      <c r="C39" s="37"/>
      <c r="D39" s="37"/>
      <c r="E39" s="37"/>
      <c r="F39" s="38"/>
      <c r="G39" s="24" t="str">
        <f aca="false">IF(OR(B39="",E39="",F39="",N(E39)=0),"",IF(OR(D39="g",D39="ml"),F39/E39*1000,F39/E39))</f>
        <v/>
      </c>
      <c r="H39" s="20" t="str">
        <f aca="false">IF(G39="","",IF(D39="g","o quilo",IF(D39="ml","o litro","a unidade")))</f>
        <v/>
      </c>
      <c r="I39" s="7"/>
      <c r="J39" s="36"/>
    </row>
    <row r="40" customFormat="false" ht="21" hidden="false" customHeight="true" outlineLevel="0" collapsed="false">
      <c r="B40" s="7"/>
      <c r="C40" s="37"/>
      <c r="D40" s="37"/>
      <c r="E40" s="37"/>
      <c r="F40" s="38"/>
      <c r="G40" s="24" t="str">
        <f aca="false">IF(OR(B40="",E40="",F40="",N(E40)=0),"",IF(OR(D40="g",D40="ml"),F40/E40*1000,F40/E40))</f>
        <v/>
      </c>
      <c r="H40" s="20" t="str">
        <f aca="false">IF(G40="","",IF(D40="g","o quilo",IF(D40="ml","o litro","a unidade")))</f>
        <v/>
      </c>
      <c r="I40" s="7"/>
      <c r="J40" s="36"/>
    </row>
    <row r="41" customFormat="false" ht="21" hidden="false" customHeight="true" outlineLevel="0" collapsed="false">
      <c r="B41" s="7"/>
      <c r="C41" s="37"/>
      <c r="D41" s="37"/>
      <c r="E41" s="37"/>
      <c r="F41" s="38"/>
      <c r="G41" s="24" t="str">
        <f aca="false">IF(OR(B41="",E41="",F41="",N(E41)=0),"",IF(OR(D41="g",D41="ml"),F41/E41*1000,F41/E41))</f>
        <v/>
      </c>
      <c r="H41" s="20" t="str">
        <f aca="false">IF(G41="","",IF(D41="g","o quilo",IF(D41="ml","o litro","a unidade")))</f>
        <v/>
      </c>
      <c r="I41" s="7"/>
      <c r="J41" s="36"/>
    </row>
    <row r="42" customFormat="false" ht="21" hidden="false" customHeight="true" outlineLevel="0" collapsed="false">
      <c r="B42" s="7"/>
      <c r="C42" s="37"/>
      <c r="D42" s="37"/>
      <c r="E42" s="37"/>
      <c r="F42" s="38"/>
      <c r="G42" s="24" t="str">
        <f aca="false">IF(OR(B42="",E42="",F42="",N(E42)=0),"",IF(OR(D42="g",D42="ml"),F42/E42*1000,F42/E42))</f>
        <v/>
      </c>
      <c r="H42" s="20" t="str">
        <f aca="false">IF(G42="","",IF(D42="g","o quilo",IF(D42="ml","o litro","a unidade")))</f>
        <v/>
      </c>
      <c r="I42" s="7"/>
      <c r="J42" s="36"/>
    </row>
    <row r="43" customFormat="false" ht="21" hidden="false" customHeight="true" outlineLevel="0" collapsed="false">
      <c r="B43" s="7"/>
      <c r="C43" s="37"/>
      <c r="D43" s="37"/>
      <c r="E43" s="37"/>
      <c r="F43" s="38"/>
      <c r="G43" s="24" t="str">
        <f aca="false">IF(OR(B43="",E43="",F43="",N(E43)=0),"",IF(OR(D43="g",D43="ml"),F43/E43*1000,F43/E43))</f>
        <v/>
      </c>
      <c r="H43" s="20" t="str">
        <f aca="false">IF(G43="","",IF(D43="g","o quilo",IF(D43="ml","o litro","a unidade")))</f>
        <v/>
      </c>
      <c r="I43" s="7"/>
      <c r="J43" s="36"/>
    </row>
    <row r="44" customFormat="false" ht="21" hidden="false" customHeight="true" outlineLevel="0" collapsed="false">
      <c r="B44" s="7"/>
      <c r="C44" s="37"/>
      <c r="D44" s="37"/>
      <c r="E44" s="37"/>
      <c r="F44" s="38"/>
      <c r="G44" s="24" t="str">
        <f aca="false">IF(OR(B44="",E44="",F44="",N(E44)=0),"",IF(OR(D44="g",D44="ml"),F44/E44*1000,F44/E44))</f>
        <v/>
      </c>
      <c r="H44" s="20" t="str">
        <f aca="false">IF(G44="","",IF(D44="g","o quilo",IF(D44="ml","o litro","a unidade")))</f>
        <v/>
      </c>
      <c r="I44" s="7"/>
      <c r="J44" s="36"/>
    </row>
    <row r="45" customFormat="false" ht="21" hidden="false" customHeight="true" outlineLevel="0" collapsed="false">
      <c r="B45" s="7"/>
      <c r="C45" s="37"/>
      <c r="D45" s="37"/>
      <c r="E45" s="37"/>
      <c r="F45" s="38"/>
      <c r="G45" s="24" t="str">
        <f aca="false">IF(OR(B45="",E45="",F45="",N(E45)=0),"",IF(OR(D45="g",D45="ml"),F45/E45*1000,F45/E45))</f>
        <v/>
      </c>
      <c r="H45" s="20" t="str">
        <f aca="false">IF(G45="","",IF(D45="g","o quilo",IF(D45="ml","o litro","a unidade")))</f>
        <v/>
      </c>
      <c r="I45" s="7"/>
      <c r="J45" s="36"/>
    </row>
    <row r="46" customFormat="false" ht="21" hidden="false" customHeight="true" outlineLevel="0" collapsed="false">
      <c r="B46" s="7"/>
      <c r="C46" s="37"/>
      <c r="D46" s="37"/>
      <c r="E46" s="37"/>
      <c r="F46" s="38"/>
      <c r="G46" s="24" t="str">
        <f aca="false">IF(OR(B46="",E46="",F46="",N(E46)=0),"",IF(OR(D46="g",D46="ml"),F46/E46*1000,F46/E46))</f>
        <v/>
      </c>
      <c r="H46" s="20" t="str">
        <f aca="false">IF(G46="","",IF(D46="g","o quilo",IF(D46="ml","o litro","a unidade")))</f>
        <v/>
      </c>
      <c r="I46" s="7"/>
      <c r="J46" s="36"/>
    </row>
    <row r="47" customFormat="false" ht="21" hidden="false" customHeight="true" outlineLevel="0" collapsed="false">
      <c r="B47" s="7"/>
      <c r="C47" s="37"/>
      <c r="D47" s="37"/>
      <c r="E47" s="37"/>
      <c r="F47" s="38"/>
      <c r="G47" s="24" t="str">
        <f aca="false">IF(OR(B47="",E47="",F47="",N(E47)=0),"",IF(OR(D47="g",D47="ml"),F47/E47*1000,F47/E47))</f>
        <v/>
      </c>
      <c r="H47" s="20" t="str">
        <f aca="false">IF(G47="","",IF(D47="g","o quilo",IF(D47="ml","o litro","a unidade")))</f>
        <v/>
      </c>
      <c r="I47" s="7"/>
      <c r="J47" s="36"/>
    </row>
    <row r="48" customFormat="false" ht="21" hidden="false" customHeight="true" outlineLevel="0" collapsed="false">
      <c r="B48" s="7"/>
      <c r="C48" s="37"/>
      <c r="D48" s="37"/>
      <c r="E48" s="37"/>
      <c r="F48" s="38"/>
      <c r="G48" s="24" t="str">
        <f aca="false">IF(OR(B48="",E48="",F48="",N(E48)=0),"",IF(OR(D48="g",D48="ml"),F48/E48*1000,F48/E48))</f>
        <v/>
      </c>
      <c r="H48" s="20" t="str">
        <f aca="false">IF(G48="","",IF(D48="g","o quilo",IF(D48="ml","o litro","a unidade")))</f>
        <v/>
      </c>
      <c r="I48" s="7"/>
      <c r="J48" s="36"/>
    </row>
    <row r="49" customFormat="false" ht="21" hidden="false" customHeight="true" outlineLevel="0" collapsed="false">
      <c r="B49" s="7"/>
      <c r="C49" s="37"/>
      <c r="D49" s="37"/>
      <c r="E49" s="37"/>
      <c r="F49" s="38"/>
      <c r="G49" s="24" t="str">
        <f aca="false">IF(OR(B49="",E49="",F49="",N(E49)=0),"",IF(OR(D49="g",D49="ml"),F49/E49*1000,F49/E49))</f>
        <v/>
      </c>
      <c r="H49" s="20" t="str">
        <f aca="false">IF(G49="","",IF(D49="g","o quilo",IF(D49="ml","o litro","a unidade")))</f>
        <v/>
      </c>
      <c r="I49" s="7"/>
      <c r="J49" s="36"/>
    </row>
    <row r="50" customFormat="false" ht="21" hidden="false" customHeight="true" outlineLevel="0" collapsed="false">
      <c r="B50" s="7"/>
      <c r="C50" s="37"/>
      <c r="D50" s="37"/>
      <c r="E50" s="37"/>
      <c r="F50" s="38"/>
      <c r="G50" s="24" t="str">
        <f aca="false">IF(OR(B50="",E50="",F50="",N(E50)=0),"",IF(OR(D50="g",D50="ml"),F50/E50*1000,F50/E50))</f>
        <v/>
      </c>
      <c r="H50" s="20" t="str">
        <f aca="false">IF(G50="","",IF(D50="g","o quilo",IF(D50="ml","o litro","a unidade")))</f>
        <v/>
      </c>
      <c r="I50" s="7"/>
      <c r="J50" s="36"/>
    </row>
    <row r="51" customFormat="false" ht="21" hidden="false" customHeight="true" outlineLevel="0" collapsed="false">
      <c r="B51" s="7"/>
      <c r="C51" s="37"/>
      <c r="D51" s="37"/>
      <c r="E51" s="37"/>
      <c r="F51" s="38"/>
      <c r="G51" s="24" t="str">
        <f aca="false">IF(OR(B51="",E51="",F51="",N(E51)=0),"",IF(OR(D51="g",D51="ml"),F51/E51*1000,F51/E51))</f>
        <v/>
      </c>
      <c r="H51" s="20" t="str">
        <f aca="false">IF(G51="","",IF(D51="g","o quilo",IF(D51="ml","o litro","a unidade")))</f>
        <v/>
      </c>
      <c r="I51" s="7"/>
      <c r="J51" s="36"/>
    </row>
    <row r="52" customFormat="false" ht="21" hidden="false" customHeight="true" outlineLevel="0" collapsed="false">
      <c r="B52" s="7"/>
      <c r="C52" s="37"/>
      <c r="D52" s="37"/>
      <c r="E52" s="37"/>
      <c r="F52" s="38"/>
      <c r="G52" s="24" t="str">
        <f aca="false">IF(OR(B52="",E52="",F52="",N(E52)=0),"",IF(OR(D52="g",D52="ml"),F52/E52*1000,F52/E52))</f>
        <v/>
      </c>
      <c r="H52" s="20" t="str">
        <f aca="false">IF(G52="","",IF(D52="g","o quilo",IF(D52="ml","o litro","a unidade")))</f>
        <v/>
      </c>
      <c r="I52" s="7"/>
      <c r="J52" s="36"/>
    </row>
    <row r="53" customFormat="false" ht="21" hidden="false" customHeight="true" outlineLevel="0" collapsed="false">
      <c r="B53" s="7"/>
      <c r="C53" s="37"/>
      <c r="D53" s="37"/>
      <c r="E53" s="37"/>
      <c r="F53" s="38"/>
      <c r="G53" s="24" t="str">
        <f aca="false">IF(OR(B53="",E53="",F53="",N(E53)=0),"",IF(OR(D53="g",D53="ml"),F53/E53*1000,F53/E53))</f>
        <v/>
      </c>
      <c r="H53" s="20" t="str">
        <f aca="false">IF(G53="","",IF(D53="g","o quilo",IF(D53="ml","o litro","a unidade")))</f>
        <v/>
      </c>
      <c r="I53" s="7"/>
      <c r="J53" s="36"/>
    </row>
    <row r="54" customFormat="false" ht="21" hidden="false" customHeight="true" outlineLevel="0" collapsed="false">
      <c r="B54" s="7"/>
      <c r="C54" s="37"/>
      <c r="D54" s="37"/>
      <c r="E54" s="37"/>
      <c r="F54" s="38"/>
      <c r="G54" s="24" t="str">
        <f aca="false">IF(OR(B54="",E54="",F54="",N(E54)=0),"",IF(OR(D54="g",D54="ml"),F54/E54*1000,F54/E54))</f>
        <v/>
      </c>
      <c r="H54" s="20" t="str">
        <f aca="false">IF(G54="","",IF(D54="g","o quilo",IF(D54="ml","o litro","a unidade")))</f>
        <v/>
      </c>
      <c r="I54" s="7"/>
      <c r="J54" s="36"/>
    </row>
    <row r="55" customFormat="false" ht="21" hidden="false" customHeight="true" outlineLevel="0" collapsed="false">
      <c r="B55" s="7"/>
      <c r="C55" s="37"/>
      <c r="D55" s="37"/>
      <c r="E55" s="37"/>
      <c r="F55" s="38"/>
      <c r="G55" s="24" t="str">
        <f aca="false">IF(OR(B55="",E55="",F55="",N(E55)=0),"",IF(OR(D55="g",D55="ml"),F55/E55*1000,F55/E55))</f>
        <v/>
      </c>
      <c r="H55" s="20" t="str">
        <f aca="false">IF(G55="","",IF(D55="g","o quilo",IF(D55="ml","o litro","a unidade")))</f>
        <v/>
      </c>
      <c r="I55" s="7"/>
      <c r="J55" s="36"/>
    </row>
    <row r="56" customFormat="false" ht="21" hidden="false" customHeight="true" outlineLevel="0" collapsed="false">
      <c r="B56" s="7"/>
      <c r="C56" s="37"/>
      <c r="D56" s="37"/>
      <c r="E56" s="37"/>
      <c r="F56" s="38"/>
      <c r="G56" s="24" t="str">
        <f aca="false">IF(OR(B56="",E56="",F56="",N(E56)=0),"",IF(OR(D56="g",D56="ml"),F56/E56*1000,F56/E56))</f>
        <v/>
      </c>
      <c r="H56" s="20" t="str">
        <f aca="false">IF(G56="","",IF(D56="g","o quilo",IF(D56="ml","o litro","a unidade")))</f>
        <v/>
      </c>
      <c r="I56" s="7"/>
      <c r="J56" s="36"/>
    </row>
    <row r="57" customFormat="false" ht="21" hidden="false" customHeight="true" outlineLevel="0" collapsed="false">
      <c r="B57" s="7"/>
      <c r="C57" s="37"/>
      <c r="D57" s="37"/>
      <c r="E57" s="37"/>
      <c r="F57" s="38"/>
      <c r="G57" s="24" t="str">
        <f aca="false">IF(OR(B57="",E57="",F57="",N(E57)=0),"",IF(OR(D57="g",D57="ml"),F57/E57*1000,F57/E57))</f>
        <v/>
      </c>
      <c r="H57" s="20" t="str">
        <f aca="false">IF(G57="","",IF(D57="g","o quilo",IF(D57="ml","o litro","a unidade")))</f>
        <v/>
      </c>
      <c r="I57" s="7"/>
      <c r="J57" s="36"/>
    </row>
    <row r="58" customFormat="false" ht="21" hidden="false" customHeight="true" outlineLevel="0" collapsed="false">
      <c r="B58" s="7"/>
      <c r="C58" s="37"/>
      <c r="D58" s="37"/>
      <c r="E58" s="37"/>
      <c r="F58" s="38"/>
      <c r="G58" s="24" t="str">
        <f aca="false">IF(OR(B58="",E58="",F58="",N(E58)=0),"",IF(OR(D58="g",D58="ml"),F58/E58*1000,F58/E58))</f>
        <v/>
      </c>
      <c r="H58" s="20" t="str">
        <f aca="false">IF(G58="","",IF(D58="g","o quilo",IF(D58="ml","o litro","a unidade")))</f>
        <v/>
      </c>
      <c r="I58" s="7"/>
      <c r="J58" s="36"/>
    </row>
    <row r="59" customFormat="false" ht="21" hidden="false" customHeight="true" outlineLevel="0" collapsed="false">
      <c r="B59" s="7"/>
      <c r="C59" s="37"/>
      <c r="D59" s="37"/>
      <c r="E59" s="37"/>
      <c r="F59" s="38"/>
      <c r="G59" s="24" t="str">
        <f aca="false">IF(OR(B59="",E59="",F59="",N(E59)=0),"",IF(OR(D59="g",D59="ml"),F59/E59*1000,F59/E59))</f>
        <v/>
      </c>
      <c r="H59" s="20" t="str">
        <f aca="false">IF(G59="","",IF(D59="g","o quilo",IF(D59="ml","o litro","a unidade")))</f>
        <v/>
      </c>
      <c r="I59" s="7"/>
      <c r="J59" s="36"/>
    </row>
    <row r="60" customFormat="false" ht="21" hidden="false" customHeight="true" outlineLevel="0" collapsed="false">
      <c r="B60" s="7"/>
      <c r="C60" s="37"/>
      <c r="D60" s="37"/>
      <c r="E60" s="37"/>
      <c r="F60" s="38"/>
      <c r="G60" s="24" t="str">
        <f aca="false">IF(OR(B60="",E60="",F60="",N(E60)=0),"",IF(OR(D60="g",D60="ml"),F60/E60*1000,F60/E60))</f>
        <v/>
      </c>
      <c r="H60" s="20" t="str">
        <f aca="false">IF(G60="","",IF(D60="g","o quilo",IF(D60="ml","o litro","a unidade")))</f>
        <v/>
      </c>
      <c r="I60" s="7"/>
      <c r="J60" s="36"/>
    </row>
    <row r="61" customFormat="false" ht="21" hidden="false" customHeight="true" outlineLevel="0" collapsed="false">
      <c r="B61" s="7"/>
      <c r="C61" s="37"/>
      <c r="D61" s="37"/>
      <c r="E61" s="37"/>
      <c r="F61" s="38"/>
      <c r="G61" s="24" t="str">
        <f aca="false">IF(OR(B61="",E61="",F61="",N(E61)=0),"",IF(OR(D61="g",D61="ml"),F61/E61*1000,F61/E61))</f>
        <v/>
      </c>
      <c r="H61" s="20" t="str">
        <f aca="false">IF(G61="","",IF(D61="g","o quilo",IF(D61="ml","o litro","a unidade")))</f>
        <v/>
      </c>
      <c r="I61" s="7"/>
      <c r="J61" s="36"/>
    </row>
    <row r="62" customFormat="false" ht="21" hidden="false" customHeight="true" outlineLevel="0" collapsed="false">
      <c r="B62" s="7"/>
      <c r="C62" s="37"/>
      <c r="D62" s="37"/>
      <c r="E62" s="37"/>
      <c r="F62" s="38"/>
      <c r="G62" s="24" t="str">
        <f aca="false">IF(OR(B62="",E62="",F62="",N(E62)=0),"",IF(OR(D62="g",D62="ml"),F62/E62*1000,F62/E62))</f>
        <v/>
      </c>
      <c r="H62" s="20" t="str">
        <f aca="false">IF(G62="","",IF(D62="g","o quilo",IF(D62="ml","o litro","a unidade")))</f>
        <v/>
      </c>
      <c r="I62" s="7"/>
      <c r="J62" s="36"/>
    </row>
    <row r="63" customFormat="false" ht="21" hidden="false" customHeight="true" outlineLevel="0" collapsed="false">
      <c r="B63" s="7"/>
      <c r="C63" s="37"/>
      <c r="D63" s="37"/>
      <c r="E63" s="37"/>
      <c r="F63" s="38"/>
      <c r="G63" s="24" t="str">
        <f aca="false">IF(OR(B63="",E63="",F63="",N(E63)=0),"",IF(OR(D63="g",D63="ml"),F63/E63*1000,F63/E63))</f>
        <v/>
      </c>
      <c r="H63" s="20" t="str">
        <f aca="false">IF(G63="","",IF(D63="g","o quilo",IF(D63="ml","o litro","a unidade")))</f>
        <v/>
      </c>
      <c r="I63" s="7"/>
      <c r="J63" s="36"/>
    </row>
    <row r="64" customFormat="false" ht="21" hidden="false" customHeight="true" outlineLevel="0" collapsed="false">
      <c r="B64" s="7"/>
      <c r="C64" s="37"/>
      <c r="D64" s="37"/>
      <c r="E64" s="37"/>
      <c r="F64" s="38"/>
      <c r="G64" s="24" t="str">
        <f aca="false">IF(OR(B64="",E64="",F64="",N(E64)=0),"",IF(OR(D64="g",D64="ml"),F64/E64*1000,F64/E64))</f>
        <v/>
      </c>
      <c r="H64" s="20" t="str">
        <f aca="false">IF(G64="","",IF(D64="g","o quilo",IF(D64="ml","o litro","a unidade")))</f>
        <v/>
      </c>
      <c r="I64" s="7"/>
      <c r="J64" s="36"/>
    </row>
    <row r="65" customFormat="false" ht="21" hidden="false" customHeight="true" outlineLevel="0" collapsed="false">
      <c r="B65" s="7"/>
      <c r="C65" s="37"/>
      <c r="D65" s="37"/>
      <c r="E65" s="37"/>
      <c r="F65" s="38"/>
      <c r="G65" s="24" t="str">
        <f aca="false">IF(OR(B65="",E65="",F65="",N(E65)=0),"",IF(OR(D65="g",D65="ml"),F65/E65*1000,F65/E65))</f>
        <v/>
      </c>
      <c r="H65" s="20" t="str">
        <f aca="false">IF(G65="","",IF(D65="g","o quilo",IF(D65="ml","o litro","a unidade")))</f>
        <v/>
      </c>
      <c r="I65" s="7"/>
      <c r="J65" s="36"/>
    </row>
    <row r="66" customFormat="false" ht="21" hidden="false" customHeight="true" outlineLevel="0" collapsed="false">
      <c r="B66" s="7"/>
      <c r="C66" s="37"/>
      <c r="D66" s="37"/>
      <c r="E66" s="37"/>
      <c r="F66" s="38"/>
      <c r="G66" s="24" t="str">
        <f aca="false">IF(OR(B66="",E66="",F66="",N(E66)=0),"",IF(OR(D66="g",D66="ml"),F66/E66*1000,F66/E66))</f>
        <v/>
      </c>
      <c r="H66" s="20" t="str">
        <f aca="false">IF(G66="","",IF(D66="g","o quilo",IF(D66="ml","o litro","a unidade")))</f>
        <v/>
      </c>
      <c r="I66" s="7"/>
      <c r="J66" s="36"/>
    </row>
    <row r="67" customFormat="false" ht="21" hidden="false" customHeight="true" outlineLevel="0" collapsed="false">
      <c r="B67" s="7"/>
      <c r="C67" s="37"/>
      <c r="D67" s="37"/>
      <c r="E67" s="37"/>
      <c r="F67" s="38"/>
      <c r="G67" s="24" t="str">
        <f aca="false">IF(OR(B67="",E67="",F67="",N(E67)=0),"",IF(OR(D67="g",D67="ml"),F67/E67*1000,F67/E67))</f>
        <v/>
      </c>
      <c r="H67" s="20" t="str">
        <f aca="false">IF(G67="","",IF(D67="g","o quilo",IF(D67="ml","o litro","a unidade")))</f>
        <v/>
      </c>
      <c r="I67" s="7"/>
      <c r="J67" s="36"/>
    </row>
    <row r="68" customFormat="false" ht="21" hidden="false" customHeight="true" outlineLevel="0" collapsed="false">
      <c r="B68" s="7"/>
      <c r="C68" s="37"/>
      <c r="D68" s="37"/>
      <c r="E68" s="37"/>
      <c r="F68" s="38"/>
      <c r="G68" s="24" t="str">
        <f aca="false">IF(OR(B68="",E68="",F68="",N(E68)=0),"",IF(OR(D68="g",D68="ml"),F68/E68*1000,F68/E68))</f>
        <v/>
      </c>
      <c r="H68" s="20" t="str">
        <f aca="false">IF(G68="","",IF(D68="g","o quilo",IF(D68="ml","o litro","a unidade")))</f>
        <v/>
      </c>
      <c r="I68" s="7"/>
      <c r="J68" s="36"/>
    </row>
    <row r="69" customFormat="false" ht="21" hidden="false" customHeight="true" outlineLevel="0" collapsed="false">
      <c r="B69" s="7"/>
      <c r="C69" s="37"/>
      <c r="D69" s="37"/>
      <c r="E69" s="37"/>
      <c r="F69" s="38"/>
      <c r="G69" s="24" t="str">
        <f aca="false">IF(OR(B69="",E69="",F69="",N(E69)=0),"",IF(OR(D69="g",D69="ml"),F69/E69*1000,F69/E69))</f>
        <v/>
      </c>
      <c r="H69" s="20" t="str">
        <f aca="false">IF(G69="","",IF(D69="g","o quilo",IF(D69="ml","o litro","a unidade")))</f>
        <v/>
      </c>
      <c r="I69" s="7"/>
      <c r="J69" s="36"/>
    </row>
    <row r="70" customFormat="false" ht="21" hidden="false" customHeight="true" outlineLevel="0" collapsed="false">
      <c r="B70" s="7"/>
      <c r="C70" s="37"/>
      <c r="D70" s="37"/>
      <c r="E70" s="37"/>
      <c r="F70" s="38"/>
      <c r="G70" s="24" t="str">
        <f aca="false">IF(OR(B70="",E70="",F70="",N(E70)=0),"",IF(OR(D70="g",D70="ml"),F70/E70*1000,F70/E70))</f>
        <v/>
      </c>
      <c r="H70" s="20" t="str">
        <f aca="false">IF(G70="","",IF(D70="g","o quilo",IF(D70="ml","o litro","a unidade")))</f>
        <v/>
      </c>
      <c r="I70" s="7"/>
      <c r="J70" s="36"/>
    </row>
    <row r="71" customFormat="false" ht="21" hidden="false" customHeight="true" outlineLevel="0" collapsed="false">
      <c r="B71" s="7"/>
      <c r="C71" s="37"/>
      <c r="D71" s="37"/>
      <c r="E71" s="37"/>
      <c r="F71" s="38"/>
      <c r="G71" s="24" t="str">
        <f aca="false">IF(OR(B71="",E71="",F71="",N(E71)=0),"",IF(OR(D71="g",D71="ml"),F71/E71*1000,F71/E71))</f>
        <v/>
      </c>
      <c r="H71" s="20" t="str">
        <f aca="false">IF(G71="","",IF(D71="g","o quilo",IF(D71="ml","o litro","a unidade")))</f>
        <v/>
      </c>
      <c r="I71" s="7"/>
      <c r="J71" s="36"/>
    </row>
    <row r="72" customFormat="false" ht="21" hidden="false" customHeight="true" outlineLevel="0" collapsed="false">
      <c r="B72" s="7"/>
      <c r="C72" s="37"/>
      <c r="D72" s="37"/>
      <c r="E72" s="37"/>
      <c r="F72" s="38"/>
      <c r="G72" s="24" t="str">
        <f aca="false">IF(OR(B72="",E72="",F72="",N(E72)=0),"",IF(OR(D72="g",D72="ml"),F72/E72*1000,F72/E72))</f>
        <v/>
      </c>
      <c r="H72" s="20" t="str">
        <f aca="false">IF(G72="","",IF(D72="g","o quilo",IF(D72="ml","o litro","a unidade")))</f>
        <v/>
      </c>
      <c r="I72" s="7"/>
      <c r="J72" s="36"/>
    </row>
    <row r="73" customFormat="false" ht="21" hidden="false" customHeight="true" outlineLevel="0" collapsed="false">
      <c r="B73" s="7"/>
      <c r="C73" s="37"/>
      <c r="D73" s="37"/>
      <c r="E73" s="37"/>
      <c r="F73" s="38"/>
      <c r="G73" s="24" t="str">
        <f aca="false">IF(OR(B73="",E73="",F73="",N(E73)=0),"",IF(OR(D73="g",D73="ml"),F73/E73*1000,F73/E73))</f>
        <v/>
      </c>
      <c r="H73" s="20" t="str">
        <f aca="false">IF(G73="","",IF(D73="g","o quilo",IF(D73="ml","o litro","a unidade")))</f>
        <v/>
      </c>
      <c r="I73" s="7"/>
      <c r="J73" s="36"/>
    </row>
    <row r="74" customFormat="false" ht="21" hidden="false" customHeight="true" outlineLevel="0" collapsed="false">
      <c r="B74" s="7"/>
      <c r="C74" s="37"/>
      <c r="D74" s="37"/>
      <c r="E74" s="37"/>
      <c r="F74" s="38"/>
      <c r="G74" s="24" t="str">
        <f aca="false">IF(OR(B74="",E74="",F74="",N(E74)=0),"",IF(OR(D74="g",D74="ml"),F74/E74*1000,F74/E74))</f>
        <v/>
      </c>
      <c r="H74" s="20" t="str">
        <f aca="false">IF(G74="","",IF(D74="g","o quilo",IF(D74="ml","o litro","a unidade")))</f>
        <v/>
      </c>
      <c r="I74" s="7"/>
      <c r="J74" s="36"/>
    </row>
    <row r="75" customFormat="false" ht="21" hidden="false" customHeight="true" outlineLevel="0" collapsed="false">
      <c r="B75" s="7"/>
      <c r="C75" s="37"/>
      <c r="D75" s="37"/>
      <c r="E75" s="37"/>
      <c r="F75" s="38"/>
      <c r="G75" s="24" t="str">
        <f aca="false">IF(OR(B75="",E75="",F75="",N(E75)=0),"",IF(OR(D75="g",D75="ml"),F75/E75*1000,F75/E75))</f>
        <v/>
      </c>
      <c r="H75" s="20" t="str">
        <f aca="false">IF(G75="","",IF(D75="g","o quilo",IF(D75="ml","o litro","a unidade")))</f>
        <v/>
      </c>
      <c r="I75" s="7"/>
      <c r="J75" s="36"/>
    </row>
    <row r="76" customFormat="false" ht="21" hidden="false" customHeight="true" outlineLevel="0" collapsed="false">
      <c r="B76" s="7"/>
      <c r="C76" s="37"/>
      <c r="D76" s="37"/>
      <c r="E76" s="37"/>
      <c r="F76" s="38"/>
      <c r="G76" s="24" t="str">
        <f aca="false">IF(OR(B76="",E76="",F76="",N(E76)=0),"",IF(OR(D76="g",D76="ml"),F76/E76*1000,F76/E76))</f>
        <v/>
      </c>
      <c r="H76" s="20" t="str">
        <f aca="false">IF(G76="","",IF(D76="g","o quilo",IF(D76="ml","o litro","a unidade")))</f>
        <v/>
      </c>
      <c r="I76" s="7"/>
      <c r="J76" s="36"/>
    </row>
    <row r="77" customFormat="false" ht="21" hidden="false" customHeight="true" outlineLevel="0" collapsed="false">
      <c r="B77" s="7"/>
      <c r="C77" s="37"/>
      <c r="D77" s="37"/>
      <c r="E77" s="37"/>
      <c r="F77" s="38"/>
      <c r="G77" s="24" t="str">
        <f aca="false">IF(OR(B77="",E77="",F77="",N(E77)=0),"",IF(OR(D77="g",D77="ml"),F77/E77*1000,F77/E77))</f>
        <v/>
      </c>
      <c r="H77" s="20" t="str">
        <f aca="false">IF(G77="","",IF(D77="g","o quilo",IF(D77="ml","o litro","a unidade")))</f>
        <v/>
      </c>
      <c r="I77" s="7"/>
      <c r="J77" s="36"/>
    </row>
    <row r="78" customFormat="false" ht="21" hidden="false" customHeight="true" outlineLevel="0" collapsed="false">
      <c r="B78" s="7"/>
      <c r="C78" s="37"/>
      <c r="D78" s="37"/>
      <c r="E78" s="37"/>
      <c r="F78" s="38"/>
      <c r="G78" s="24" t="str">
        <f aca="false">IF(OR(B78="",E78="",F78="",N(E78)=0),"",IF(OR(D78="g",D78="ml"),F78/E78*1000,F78/E78))</f>
        <v/>
      </c>
      <c r="H78" s="20" t="str">
        <f aca="false">IF(G78="","",IF(D78="g","o quilo",IF(D78="ml","o litro","a unidade")))</f>
        <v/>
      </c>
      <c r="I78" s="7"/>
      <c r="J78" s="36"/>
    </row>
    <row r="79" customFormat="false" ht="21" hidden="false" customHeight="true" outlineLevel="0" collapsed="false">
      <c r="B79" s="7"/>
      <c r="C79" s="37"/>
      <c r="D79" s="37"/>
      <c r="E79" s="37"/>
      <c r="F79" s="38"/>
      <c r="G79" s="24" t="str">
        <f aca="false">IF(OR(B79="",E79="",F79="",N(E79)=0),"",IF(OR(D79="g",D79="ml"),F79/E79*1000,F79/E79))</f>
        <v/>
      </c>
      <c r="H79" s="20" t="str">
        <f aca="false">IF(G79="","",IF(D79="g","o quilo",IF(D79="ml","o litro","a unidade")))</f>
        <v/>
      </c>
      <c r="I79" s="7"/>
      <c r="J79" s="36"/>
    </row>
    <row r="80" customFormat="false" ht="21" hidden="false" customHeight="true" outlineLevel="0" collapsed="false">
      <c r="B80" s="7"/>
      <c r="C80" s="37"/>
      <c r="D80" s="37"/>
      <c r="E80" s="37"/>
      <c r="F80" s="38"/>
      <c r="G80" s="24" t="str">
        <f aca="false">IF(OR(B80="",E80="",F80="",N(E80)=0),"",IF(OR(D80="g",D80="ml"),F80/E80*1000,F80/E80))</f>
        <v/>
      </c>
      <c r="H80" s="20" t="str">
        <f aca="false">IF(G80="","",IF(D80="g","o quilo",IF(D80="ml","o litro","a unidade")))</f>
        <v/>
      </c>
      <c r="I80" s="7"/>
      <c r="J80" s="36"/>
    </row>
    <row r="81" customFormat="false" ht="21" hidden="false" customHeight="true" outlineLevel="0" collapsed="false">
      <c r="B81" s="7"/>
      <c r="C81" s="37"/>
      <c r="D81" s="37"/>
      <c r="E81" s="37"/>
      <c r="F81" s="38"/>
      <c r="G81" s="24" t="str">
        <f aca="false">IF(OR(B81="",E81="",F81="",N(E81)=0),"",IF(OR(D81="g",D81="ml"),F81/E81*1000,F81/E81))</f>
        <v/>
      </c>
      <c r="H81" s="20" t="str">
        <f aca="false">IF(G81="","",IF(D81="g","o quilo",IF(D81="ml","o litro","a unidade")))</f>
        <v/>
      </c>
      <c r="I81" s="7"/>
      <c r="J81" s="36"/>
    </row>
    <row r="82" customFormat="false" ht="21" hidden="false" customHeight="true" outlineLevel="0" collapsed="false">
      <c r="B82" s="7"/>
      <c r="C82" s="37"/>
      <c r="D82" s="37"/>
      <c r="E82" s="37"/>
      <c r="F82" s="38"/>
      <c r="G82" s="24" t="str">
        <f aca="false">IF(OR(B82="",E82="",F82="",N(E82)=0),"",IF(OR(D82="g",D82="ml"),F82/E82*1000,F82/E82))</f>
        <v/>
      </c>
      <c r="H82" s="20" t="str">
        <f aca="false">IF(G82="","",IF(D82="g","o quilo",IF(D82="ml","o litro","a unidade")))</f>
        <v/>
      </c>
      <c r="I82" s="7"/>
      <c r="J82" s="36"/>
    </row>
    <row r="83" customFormat="false" ht="21" hidden="false" customHeight="true" outlineLevel="0" collapsed="false">
      <c r="B83" s="7"/>
      <c r="C83" s="37"/>
      <c r="D83" s="37"/>
      <c r="E83" s="37"/>
      <c r="F83" s="38"/>
      <c r="G83" s="24" t="str">
        <f aca="false">IF(OR(B83="",E83="",F83="",N(E83)=0),"",IF(OR(D83="g",D83="ml"),F83/E83*1000,F83/E83))</f>
        <v/>
      </c>
      <c r="H83" s="20" t="str">
        <f aca="false">IF(G83="","",IF(D83="g","o quilo",IF(D83="ml","o litro","a unidade")))</f>
        <v/>
      </c>
      <c r="I83" s="7"/>
      <c r="J83" s="36"/>
    </row>
    <row r="84" customFormat="false" ht="21" hidden="false" customHeight="true" outlineLevel="0" collapsed="false">
      <c r="B84" s="7"/>
      <c r="C84" s="37"/>
      <c r="D84" s="37"/>
      <c r="E84" s="37"/>
      <c r="F84" s="38"/>
      <c r="G84" s="24" t="str">
        <f aca="false">IF(OR(B84="",E84="",F84="",N(E84)=0),"",IF(OR(D84="g",D84="ml"),F84/E84*1000,F84/E84))</f>
        <v/>
      </c>
      <c r="H84" s="20" t="str">
        <f aca="false">IF(G84="","",IF(D84="g","o quilo",IF(D84="ml","o litro","a unidade")))</f>
        <v/>
      </c>
      <c r="I84" s="7"/>
      <c r="J84" s="36"/>
    </row>
    <row r="85" customFormat="false" ht="21" hidden="false" customHeight="true" outlineLevel="0" collapsed="false">
      <c r="B85" s="7"/>
      <c r="C85" s="37"/>
      <c r="D85" s="37"/>
      <c r="E85" s="37"/>
      <c r="F85" s="38"/>
      <c r="G85" s="24" t="str">
        <f aca="false">IF(OR(B85="",E85="",F85="",N(E85)=0),"",IF(OR(D85="g",D85="ml"),F85/E85*1000,F85/E85))</f>
        <v/>
      </c>
      <c r="H85" s="20" t="str">
        <f aca="false">IF(G85="","",IF(D85="g","o quilo",IF(D85="ml","o litro","a unidade")))</f>
        <v/>
      </c>
      <c r="I85" s="7"/>
      <c r="J85" s="36"/>
    </row>
    <row r="86" customFormat="false" ht="21" hidden="false" customHeight="true" outlineLevel="0" collapsed="false">
      <c r="B86" s="7"/>
      <c r="C86" s="37"/>
      <c r="D86" s="37"/>
      <c r="E86" s="37"/>
      <c r="F86" s="38"/>
      <c r="G86" s="24" t="str">
        <f aca="false">IF(OR(B86="",E86="",F86="",N(E86)=0),"",IF(OR(D86="g",D86="ml"),F86/E86*1000,F86/E86))</f>
        <v/>
      </c>
      <c r="H86" s="20" t="str">
        <f aca="false">IF(G86="","",IF(D86="g","o quilo",IF(D86="ml","o litro","a unidade")))</f>
        <v/>
      </c>
      <c r="I86" s="7"/>
      <c r="J86" s="36"/>
    </row>
    <row r="87" customFormat="false" ht="21" hidden="false" customHeight="true" outlineLevel="0" collapsed="false">
      <c r="B87" s="7"/>
      <c r="C87" s="37"/>
      <c r="D87" s="37"/>
      <c r="E87" s="37"/>
      <c r="F87" s="38"/>
      <c r="G87" s="24" t="str">
        <f aca="false">IF(OR(B87="",E87="",F87="",N(E87)=0),"",IF(OR(D87="g",D87="ml"),F87/E87*1000,F87/E87))</f>
        <v/>
      </c>
      <c r="H87" s="20" t="str">
        <f aca="false">IF(G87="","",IF(D87="g","o quilo",IF(D87="ml","o litro","a unidade")))</f>
        <v/>
      </c>
      <c r="I87" s="7"/>
      <c r="J87" s="36"/>
    </row>
    <row r="88" customFormat="false" ht="21" hidden="false" customHeight="true" outlineLevel="0" collapsed="false">
      <c r="B88" s="7"/>
      <c r="C88" s="37"/>
      <c r="D88" s="37"/>
      <c r="E88" s="37"/>
      <c r="F88" s="38"/>
      <c r="G88" s="24" t="str">
        <f aca="false">IF(OR(B88="",E88="",F88="",N(E88)=0),"",IF(OR(D88="g",D88="ml"),F88/E88*1000,F88/E88))</f>
        <v/>
      </c>
      <c r="H88" s="20" t="str">
        <f aca="false">IF(G88="","",IF(D88="g","o quilo",IF(D88="ml","o litro","a unidade")))</f>
        <v/>
      </c>
      <c r="I88" s="7"/>
      <c r="J88" s="36"/>
    </row>
    <row r="89" customFormat="false" ht="21" hidden="false" customHeight="true" outlineLevel="0" collapsed="false">
      <c r="B89" s="7"/>
      <c r="C89" s="37"/>
      <c r="D89" s="37"/>
      <c r="E89" s="37"/>
      <c r="F89" s="38"/>
      <c r="G89" s="24" t="str">
        <f aca="false">IF(OR(B89="",E89="",F89="",N(E89)=0),"",IF(OR(D89="g",D89="ml"),F89/E89*1000,F89/E89))</f>
        <v/>
      </c>
      <c r="H89" s="20" t="str">
        <f aca="false">IF(G89="","",IF(D89="g","o quilo",IF(D89="ml","o litro","a unidade")))</f>
        <v/>
      </c>
      <c r="I89" s="7"/>
      <c r="J89" s="36"/>
    </row>
    <row r="90" customFormat="false" ht="21" hidden="false" customHeight="true" outlineLevel="0" collapsed="false">
      <c r="B90" s="7"/>
      <c r="C90" s="37"/>
      <c r="D90" s="37"/>
      <c r="E90" s="37"/>
      <c r="F90" s="38"/>
      <c r="G90" s="24" t="str">
        <f aca="false">IF(OR(B90="",E90="",F90="",N(E90)=0),"",IF(OR(D90="g",D90="ml"),F90/E90*1000,F90/E90))</f>
        <v/>
      </c>
      <c r="H90" s="20" t="str">
        <f aca="false">IF(G90="","",IF(D90="g","o quilo",IF(D90="ml","o litro","a unidade")))</f>
        <v/>
      </c>
      <c r="I90" s="7"/>
      <c r="J90" s="36"/>
    </row>
    <row r="91" customFormat="false" ht="21" hidden="false" customHeight="true" outlineLevel="0" collapsed="false">
      <c r="B91" s="7"/>
      <c r="C91" s="37"/>
      <c r="D91" s="37"/>
      <c r="E91" s="37"/>
      <c r="F91" s="38"/>
      <c r="G91" s="24" t="str">
        <f aca="false">IF(OR(B91="",E91="",F91="",N(E91)=0),"",IF(OR(D91="g",D91="ml"),F91/E91*1000,F91/E91))</f>
        <v/>
      </c>
      <c r="H91" s="20" t="str">
        <f aca="false">IF(G91="","",IF(D91="g","o quilo",IF(D91="ml","o litro","a unidade")))</f>
        <v/>
      </c>
      <c r="I91" s="7"/>
      <c r="J91" s="36"/>
    </row>
    <row r="92" customFormat="false" ht="21" hidden="false" customHeight="true" outlineLevel="0" collapsed="false">
      <c r="B92" s="7"/>
      <c r="C92" s="37"/>
      <c r="D92" s="37"/>
      <c r="E92" s="37"/>
      <c r="F92" s="38"/>
      <c r="G92" s="24" t="str">
        <f aca="false">IF(OR(B92="",E92="",F92="",N(E92)=0),"",IF(OR(D92="g",D92="ml"),F92/E92*1000,F92/E92))</f>
        <v/>
      </c>
      <c r="H92" s="20" t="str">
        <f aca="false">IF(G92="","",IF(D92="g","o quilo",IF(D92="ml","o litro","a unidade")))</f>
        <v/>
      </c>
      <c r="I92" s="7"/>
      <c r="J92" s="36"/>
    </row>
    <row r="93" customFormat="false" ht="21" hidden="false" customHeight="true" outlineLevel="0" collapsed="false">
      <c r="B93" s="7"/>
      <c r="C93" s="37"/>
      <c r="D93" s="37"/>
      <c r="E93" s="37"/>
      <c r="F93" s="38"/>
      <c r="G93" s="24" t="str">
        <f aca="false">IF(OR(B93="",E93="",F93="",N(E93)=0),"",IF(OR(D93="g",D93="ml"),F93/E93*1000,F93/E93))</f>
        <v/>
      </c>
      <c r="H93" s="20" t="str">
        <f aca="false">IF(G93="","",IF(D93="g","o quilo",IF(D93="ml","o litro","a unidade")))</f>
        <v/>
      </c>
      <c r="I93" s="7"/>
      <c r="J93" s="36"/>
    </row>
    <row r="94" customFormat="false" ht="21" hidden="false" customHeight="true" outlineLevel="0" collapsed="false">
      <c r="B94" s="7"/>
      <c r="C94" s="37"/>
      <c r="D94" s="37"/>
      <c r="E94" s="37"/>
      <c r="F94" s="38"/>
      <c r="G94" s="24" t="str">
        <f aca="false">IF(OR(B94="",E94="",F94="",N(E94)=0),"",IF(OR(D94="g",D94="ml"),F94/E94*1000,F94/E94))</f>
        <v/>
      </c>
      <c r="H94" s="20" t="str">
        <f aca="false">IF(G94="","",IF(D94="g","o quilo",IF(D94="ml","o litro","a unidade")))</f>
        <v/>
      </c>
      <c r="I94" s="7"/>
      <c r="J94" s="36"/>
    </row>
    <row r="95" customFormat="false" ht="21" hidden="false" customHeight="true" outlineLevel="0" collapsed="false">
      <c r="B95" s="7"/>
      <c r="C95" s="37"/>
      <c r="D95" s="37"/>
      <c r="E95" s="37"/>
      <c r="F95" s="38"/>
      <c r="G95" s="24" t="str">
        <f aca="false">IF(OR(B95="",E95="",F95="",N(E95)=0),"",IF(OR(D95="g",D95="ml"),F95/E95*1000,F95/E95))</f>
        <v/>
      </c>
      <c r="H95" s="20" t="str">
        <f aca="false">IF(G95="","",IF(D95="g","o quilo",IF(D95="ml","o litro","a unidade")))</f>
        <v/>
      </c>
      <c r="I95" s="7"/>
      <c r="J95" s="36"/>
    </row>
    <row r="96" customFormat="false" ht="21" hidden="false" customHeight="true" outlineLevel="0" collapsed="false">
      <c r="B96" s="7"/>
      <c r="C96" s="37"/>
      <c r="D96" s="37"/>
      <c r="E96" s="37"/>
      <c r="F96" s="38"/>
      <c r="G96" s="24" t="str">
        <f aca="false">IF(OR(B96="",E96="",F96="",N(E96)=0),"",IF(OR(D96="g",D96="ml"),F96/E96*1000,F96/E96))</f>
        <v/>
      </c>
      <c r="H96" s="20" t="str">
        <f aca="false">IF(G96="","",IF(D96="g","o quilo",IF(D96="ml","o litro","a unidade")))</f>
        <v/>
      </c>
      <c r="I96" s="7"/>
      <c r="J96" s="36"/>
    </row>
    <row r="97" customFormat="false" ht="21" hidden="false" customHeight="true" outlineLevel="0" collapsed="false">
      <c r="B97" s="7"/>
      <c r="C97" s="37"/>
      <c r="D97" s="37"/>
      <c r="E97" s="37"/>
      <c r="F97" s="38"/>
      <c r="G97" s="24" t="str">
        <f aca="false">IF(OR(B97="",E97="",F97="",N(E97)=0),"",IF(OR(D97="g",D97="ml"),F97/E97*1000,F97/E97))</f>
        <v/>
      </c>
      <c r="H97" s="20" t="str">
        <f aca="false">IF(G97="","",IF(D97="g","o quilo",IF(D97="ml","o litro","a unidade")))</f>
        <v/>
      </c>
      <c r="I97" s="7"/>
      <c r="J97" s="36"/>
    </row>
    <row r="98" customFormat="false" ht="21" hidden="false" customHeight="true" outlineLevel="0" collapsed="false">
      <c r="B98" s="7"/>
      <c r="C98" s="37"/>
      <c r="D98" s="37"/>
      <c r="E98" s="37"/>
      <c r="F98" s="38"/>
      <c r="G98" s="24" t="str">
        <f aca="false">IF(OR(B98="",E98="",F98="",N(E98)=0),"",IF(OR(D98="g",D98="ml"),F98/E98*1000,F98/E98))</f>
        <v/>
      </c>
      <c r="H98" s="20" t="str">
        <f aca="false">IF(G98="","",IF(D98="g","o quilo",IF(D98="ml","o litro","a unidade")))</f>
        <v/>
      </c>
      <c r="I98" s="7"/>
      <c r="J98" s="36"/>
    </row>
    <row r="99" customFormat="false" ht="21" hidden="false" customHeight="true" outlineLevel="0" collapsed="false">
      <c r="B99" s="7"/>
      <c r="C99" s="37"/>
      <c r="D99" s="37"/>
      <c r="E99" s="37"/>
      <c r="F99" s="38"/>
      <c r="G99" s="24" t="str">
        <f aca="false">IF(OR(B99="",E99="",F99="",N(E99)=0),"",IF(OR(D99="g",D99="ml"),F99/E99*1000,F99/E99))</f>
        <v/>
      </c>
      <c r="H99" s="20" t="str">
        <f aca="false">IF(G99="","",IF(D99="g","o quilo",IF(D99="ml","o litro","a unidade")))</f>
        <v/>
      </c>
      <c r="I99" s="7"/>
      <c r="J99" s="36"/>
    </row>
    <row r="100" customFormat="false" ht="21" hidden="false" customHeight="true" outlineLevel="0" collapsed="false">
      <c r="B100" s="7"/>
      <c r="C100" s="37"/>
      <c r="D100" s="37"/>
      <c r="E100" s="37"/>
      <c r="F100" s="38"/>
      <c r="G100" s="24" t="str">
        <f aca="false">IF(OR(B100="",E100="",F100="",N(E100)=0),"",IF(OR(D100="g",D100="ml"),F100/E100*1000,F100/E100))</f>
        <v/>
      </c>
      <c r="H100" s="20" t="str">
        <f aca="false">IF(G100="","",IF(D100="g","o quilo",IF(D100="ml","o litro","a unidade")))</f>
        <v/>
      </c>
      <c r="I100" s="7"/>
      <c r="J100" s="36"/>
    </row>
    <row r="101" customFormat="false" ht="21" hidden="false" customHeight="true" outlineLevel="0" collapsed="false">
      <c r="B101" s="7"/>
      <c r="C101" s="37"/>
      <c r="D101" s="37"/>
      <c r="E101" s="37"/>
      <c r="F101" s="38"/>
      <c r="G101" s="24" t="str">
        <f aca="false">IF(OR(B101="",E101="",F101="",N(E101)=0),"",IF(OR(D101="g",D101="ml"),F101/E101*1000,F101/E101))</f>
        <v/>
      </c>
      <c r="H101" s="20" t="str">
        <f aca="false">IF(G101="","",IF(D101="g","o quilo",IF(D101="ml","o litro","a unidade")))</f>
        <v/>
      </c>
      <c r="I101" s="7"/>
      <c r="J101" s="36"/>
    </row>
    <row r="102" customFormat="false" ht="21" hidden="false" customHeight="true" outlineLevel="0" collapsed="false">
      <c r="B102" s="7"/>
      <c r="C102" s="37"/>
      <c r="D102" s="37"/>
      <c r="E102" s="37"/>
      <c r="F102" s="38"/>
      <c r="G102" s="24" t="str">
        <f aca="false">IF(OR(B102="",E102="",F102="",N(E102)=0),"",IF(OR(D102="g",D102="ml"),F102/E102*1000,F102/E102))</f>
        <v/>
      </c>
      <c r="H102" s="20" t="str">
        <f aca="false">IF(G102="","",IF(D102="g","o quilo",IF(D102="ml","o litro","a unidade")))</f>
        <v/>
      </c>
      <c r="I102" s="7"/>
      <c r="J102" s="36"/>
    </row>
    <row r="103" customFormat="false" ht="21" hidden="false" customHeight="true" outlineLevel="0" collapsed="false">
      <c r="B103" s="7"/>
      <c r="C103" s="37"/>
      <c r="D103" s="37"/>
      <c r="E103" s="37"/>
      <c r="F103" s="38"/>
      <c r="G103" s="24" t="str">
        <f aca="false">IF(OR(B103="",E103="",F103="",N(E103)=0),"",IF(OR(D103="g",D103="ml"),F103/E103*1000,F103/E103))</f>
        <v/>
      </c>
      <c r="H103" s="20" t="str">
        <f aca="false">IF(G103="","",IF(D103="g","o quilo",IF(D103="ml","o litro","a unidade")))</f>
        <v/>
      </c>
      <c r="I103" s="7"/>
      <c r="J103" s="36"/>
    </row>
    <row r="104" customFormat="false" ht="21" hidden="false" customHeight="true" outlineLevel="0" collapsed="false">
      <c r="B104" s="7"/>
      <c r="C104" s="37"/>
      <c r="D104" s="37"/>
      <c r="E104" s="37"/>
      <c r="F104" s="38"/>
      <c r="G104" s="24" t="str">
        <f aca="false">IF(OR(B104="",E104="",F104="",N(E104)=0),"",IF(OR(D104="g",D104="ml"),F104/E104*1000,F104/E104))</f>
        <v/>
      </c>
      <c r="H104" s="20" t="str">
        <f aca="false">IF(G104="","",IF(D104="g","o quilo",IF(D104="ml","o litro","a unidade")))</f>
        <v/>
      </c>
      <c r="I104" s="7"/>
      <c r="J104" s="36"/>
    </row>
    <row r="105" customFormat="false" ht="21" hidden="false" customHeight="true" outlineLevel="0" collapsed="false">
      <c r="B105" s="7"/>
      <c r="C105" s="37"/>
      <c r="D105" s="37"/>
      <c r="E105" s="37"/>
      <c r="F105" s="38"/>
      <c r="G105" s="24" t="str">
        <f aca="false">IF(OR(B105="",E105="",F105="",N(E105)=0),"",IF(OR(D105="g",D105="ml"),F105/E105*1000,F105/E105))</f>
        <v/>
      </c>
      <c r="H105" s="20" t="str">
        <f aca="false">IF(G105="","",IF(D105="g","o quilo",IF(D105="ml","o litro","a unidade")))</f>
        <v/>
      </c>
      <c r="I105" s="7"/>
      <c r="J105" s="36"/>
    </row>
    <row r="106" customFormat="false" ht="21" hidden="false" customHeight="true" outlineLevel="0" collapsed="false">
      <c r="B106" s="7"/>
      <c r="C106" s="37"/>
      <c r="D106" s="37"/>
      <c r="E106" s="37"/>
      <c r="F106" s="38"/>
      <c r="G106" s="24" t="str">
        <f aca="false">IF(OR(B106="",E106="",F106="",N(E106)=0),"",IF(OR(D106="g",D106="ml"),F106/E106*1000,F106/E106))</f>
        <v/>
      </c>
      <c r="H106" s="20" t="str">
        <f aca="false">IF(G106="","",IF(D106="g","o quilo",IF(D106="ml","o litro","a unidade")))</f>
        <v/>
      </c>
      <c r="I106" s="7"/>
      <c r="J106" s="36"/>
    </row>
    <row r="107" customFormat="false" ht="21" hidden="false" customHeight="true" outlineLevel="0" collapsed="false">
      <c r="B107" s="7"/>
      <c r="C107" s="37"/>
      <c r="D107" s="37"/>
      <c r="E107" s="37"/>
      <c r="F107" s="38"/>
      <c r="G107" s="24" t="str">
        <f aca="false">IF(OR(B107="",E107="",F107="",N(E107)=0),"",IF(OR(D107="g",D107="ml"),F107/E107*1000,F107/E107))</f>
        <v/>
      </c>
      <c r="H107" s="20" t="str">
        <f aca="false">IF(G107="","",IF(D107="g","o quilo",IF(D107="ml","o litro","a unidade")))</f>
        <v/>
      </c>
      <c r="I107" s="7"/>
      <c r="J107" s="36"/>
    </row>
    <row r="108" customFormat="false" ht="21" hidden="false" customHeight="true" outlineLevel="0" collapsed="false">
      <c r="B108" s="7"/>
      <c r="C108" s="37"/>
      <c r="D108" s="37"/>
      <c r="E108" s="37"/>
      <c r="F108" s="38"/>
      <c r="G108" s="24" t="str">
        <f aca="false">IF(OR(B108="",E108="",F108="",N(E108)=0),"",IF(OR(D108="g",D108="ml"),F108/E108*1000,F108/E108))</f>
        <v/>
      </c>
      <c r="H108" s="20" t="str">
        <f aca="false">IF(G108="","",IF(D108="g","o quilo",IF(D108="ml","o litro","a unidade")))</f>
        <v/>
      </c>
      <c r="I108" s="7"/>
      <c r="J108" s="36"/>
    </row>
    <row r="109" customFormat="false" ht="21" hidden="false" customHeight="true" outlineLevel="0" collapsed="false">
      <c r="B109" s="7"/>
      <c r="C109" s="37"/>
      <c r="D109" s="37"/>
      <c r="E109" s="37"/>
      <c r="F109" s="38"/>
      <c r="G109" s="24" t="str">
        <f aca="false">IF(OR(B109="",E109="",F109="",N(E109)=0),"",IF(OR(D109="g",D109="ml"),F109/E109*1000,F109/E109))</f>
        <v/>
      </c>
      <c r="H109" s="20" t="str">
        <f aca="false">IF(G109="","",IF(D109="g","o quilo",IF(D109="ml","o litro","a unidade")))</f>
        <v/>
      </c>
      <c r="I109" s="7"/>
      <c r="J109" s="36"/>
    </row>
    <row r="110" customFormat="false" ht="21" hidden="false" customHeight="true" outlineLevel="0" collapsed="false">
      <c r="B110" s="7"/>
      <c r="C110" s="37"/>
      <c r="D110" s="37"/>
      <c r="E110" s="37"/>
      <c r="F110" s="38"/>
      <c r="G110" s="24" t="str">
        <f aca="false">IF(OR(B110="",E110="",F110="",N(E110)=0),"",IF(OR(D110="g",D110="ml"),F110/E110*1000,F110/E110))</f>
        <v/>
      </c>
      <c r="H110" s="20" t="str">
        <f aca="false">IF(G110="","",IF(D110="g","o quilo",IF(D110="ml","o litro","a unidade")))</f>
        <v/>
      </c>
      <c r="I110" s="7"/>
      <c r="J110" s="36"/>
    </row>
    <row r="111" customFormat="false" ht="21" hidden="false" customHeight="true" outlineLevel="0" collapsed="false">
      <c r="B111" s="7"/>
      <c r="C111" s="37"/>
      <c r="D111" s="37"/>
      <c r="E111" s="37"/>
      <c r="F111" s="38"/>
      <c r="G111" s="24" t="str">
        <f aca="false">IF(OR(B111="",E111="",F111="",N(E111)=0),"",IF(OR(D111="g",D111="ml"),F111/E111*1000,F111/E111))</f>
        <v/>
      </c>
      <c r="H111" s="20" t="str">
        <f aca="false">IF(G111="","",IF(D111="g","o quilo",IF(D111="ml","o litro","a unidade")))</f>
        <v/>
      </c>
      <c r="I111" s="7"/>
      <c r="J111" s="36"/>
    </row>
    <row r="112" customFormat="false" ht="21" hidden="false" customHeight="true" outlineLevel="0" collapsed="false">
      <c r="B112" s="7"/>
      <c r="C112" s="37"/>
      <c r="D112" s="37"/>
      <c r="E112" s="37"/>
      <c r="F112" s="38"/>
      <c r="G112" s="24" t="str">
        <f aca="false">IF(OR(B112="",E112="",F112="",N(E112)=0),"",IF(OR(D112="g",D112="ml"),F112/E112*1000,F112/E112))</f>
        <v/>
      </c>
      <c r="H112" s="20" t="str">
        <f aca="false">IF(G112="","",IF(D112="g","o quilo",IF(D112="ml","o litro","a unidade")))</f>
        <v/>
      </c>
      <c r="I112" s="7"/>
      <c r="J112" s="36"/>
    </row>
    <row r="113" customFormat="false" ht="21" hidden="false" customHeight="true" outlineLevel="0" collapsed="false">
      <c r="B113" s="7"/>
      <c r="C113" s="37"/>
      <c r="D113" s="37"/>
      <c r="E113" s="37"/>
      <c r="F113" s="38"/>
      <c r="G113" s="24" t="str">
        <f aca="false">IF(OR(B113="",E113="",F113="",N(E113)=0),"",IF(OR(D113="g",D113="ml"),F113/E113*1000,F113/E113))</f>
        <v/>
      </c>
      <c r="H113" s="20" t="str">
        <f aca="false">IF(G113="","",IF(D113="g","o quilo",IF(D113="ml","o litro","a unidade")))</f>
        <v/>
      </c>
      <c r="I113" s="7"/>
      <c r="J113" s="36"/>
    </row>
    <row r="114" customFormat="false" ht="21" hidden="false" customHeight="true" outlineLevel="0" collapsed="false">
      <c r="B114" s="7"/>
      <c r="C114" s="37"/>
      <c r="D114" s="37"/>
      <c r="E114" s="37"/>
      <c r="F114" s="38"/>
      <c r="G114" s="24" t="str">
        <f aca="false">IF(OR(B114="",E114="",F114="",N(E114)=0),"",IF(OR(D114="g",D114="ml"),F114/E114*1000,F114/E114))</f>
        <v/>
      </c>
      <c r="H114" s="20" t="str">
        <f aca="false">IF(G114="","",IF(D114="g","o quilo",IF(D114="ml","o litro","a unidade")))</f>
        <v/>
      </c>
      <c r="I114" s="7"/>
      <c r="J114" s="36"/>
    </row>
    <row r="115" customFormat="false" ht="21" hidden="false" customHeight="true" outlineLevel="0" collapsed="false">
      <c r="B115" s="7"/>
      <c r="C115" s="37"/>
      <c r="D115" s="37"/>
      <c r="E115" s="37"/>
      <c r="F115" s="38"/>
      <c r="G115" s="24" t="str">
        <f aca="false">IF(OR(B115="",E115="",F115="",N(E115)=0),"",IF(OR(D115="g",D115="ml"),F115/E115*1000,F115/E115))</f>
        <v/>
      </c>
      <c r="H115" s="20" t="str">
        <f aca="false">IF(G115="","",IF(D115="g","o quilo",IF(D115="ml","o litro","a unidade")))</f>
        <v/>
      </c>
      <c r="I115" s="7"/>
      <c r="J115" s="36"/>
    </row>
    <row r="116" customFormat="false" ht="21" hidden="false" customHeight="true" outlineLevel="0" collapsed="false">
      <c r="B116" s="7"/>
      <c r="C116" s="37"/>
      <c r="D116" s="37"/>
      <c r="E116" s="37"/>
      <c r="F116" s="38"/>
      <c r="G116" s="24" t="str">
        <f aca="false">IF(OR(B116="",E116="",F116="",N(E116)=0),"",IF(OR(D116="g",D116="ml"),F116/E116*1000,F116/E116))</f>
        <v/>
      </c>
      <c r="H116" s="20" t="str">
        <f aca="false">IF(G116="","",IF(D116="g","o quilo",IF(D116="ml","o litro","a unidade")))</f>
        <v/>
      </c>
      <c r="I116" s="7"/>
      <c r="J116" s="36"/>
    </row>
    <row r="117" customFormat="false" ht="21" hidden="false" customHeight="true" outlineLevel="0" collapsed="false">
      <c r="B117" s="7"/>
      <c r="C117" s="37"/>
      <c r="D117" s="37"/>
      <c r="E117" s="37"/>
      <c r="F117" s="38"/>
      <c r="G117" s="24" t="str">
        <f aca="false">IF(OR(B117="",E117="",F117="",N(E117)=0),"",IF(OR(D117="g",D117="ml"),F117/E117*1000,F117/E117))</f>
        <v/>
      </c>
      <c r="H117" s="20" t="str">
        <f aca="false">IF(G117="","",IF(D117="g","o quilo",IF(D117="ml","o litro","a unidade")))</f>
        <v/>
      </c>
      <c r="I117" s="7"/>
      <c r="J117" s="36"/>
    </row>
    <row r="118" customFormat="false" ht="21" hidden="false" customHeight="true" outlineLevel="0" collapsed="false">
      <c r="B118" s="7"/>
      <c r="C118" s="37"/>
      <c r="D118" s="37"/>
      <c r="E118" s="37"/>
      <c r="F118" s="38"/>
      <c r="G118" s="24" t="str">
        <f aca="false">IF(OR(B118="",E118="",F118="",N(E118)=0),"",IF(OR(D118="g",D118="ml"),F118/E118*1000,F118/E118))</f>
        <v/>
      </c>
      <c r="H118" s="20" t="str">
        <f aca="false">IF(G118="","",IF(D118="g","o quilo",IF(D118="ml","o litro","a unidade")))</f>
        <v/>
      </c>
      <c r="I118" s="7"/>
      <c r="J118" s="36"/>
    </row>
    <row r="119" customFormat="false" ht="21" hidden="false" customHeight="true" outlineLevel="0" collapsed="false">
      <c r="B119" s="7"/>
      <c r="C119" s="37"/>
      <c r="D119" s="37"/>
      <c r="E119" s="37"/>
      <c r="F119" s="38"/>
      <c r="G119" s="24" t="str">
        <f aca="false">IF(OR(B119="",E119="",F119="",N(E119)=0),"",IF(OR(D119="g",D119="ml"),F119/E119*1000,F119/E119))</f>
        <v/>
      </c>
      <c r="H119" s="20" t="str">
        <f aca="false">IF(G119="","",IF(D119="g","o quilo",IF(D119="ml","o litro","a unidade")))</f>
        <v/>
      </c>
      <c r="I119" s="7"/>
      <c r="J119" s="36"/>
    </row>
    <row r="120" customFormat="false" ht="21" hidden="false" customHeight="true" outlineLevel="0" collapsed="false">
      <c r="B120" s="7"/>
      <c r="C120" s="37"/>
      <c r="D120" s="37"/>
      <c r="E120" s="37"/>
      <c r="F120" s="38"/>
      <c r="G120" s="24" t="str">
        <f aca="false">IF(OR(B120="",E120="",F120="",N(E120)=0),"",IF(OR(D120="g",D120="ml"),F120/E120*1000,F120/E120))</f>
        <v/>
      </c>
      <c r="H120" s="20" t="str">
        <f aca="false">IF(G120="","",IF(D120="g","o quilo",IF(D120="ml","o litro","a unidade")))</f>
        <v/>
      </c>
      <c r="I120" s="7"/>
      <c r="J120" s="36"/>
    </row>
    <row r="121" customFormat="false" ht="21" hidden="false" customHeight="true" outlineLevel="0" collapsed="false">
      <c r="B121" s="7"/>
      <c r="C121" s="37"/>
      <c r="D121" s="37"/>
      <c r="E121" s="37"/>
      <c r="F121" s="38"/>
      <c r="G121" s="24" t="str">
        <f aca="false">IF(OR(B121="",E121="",F121="",N(E121)=0),"",IF(OR(D121="g",D121="ml"),F121/E121*1000,F121/E121))</f>
        <v/>
      </c>
      <c r="H121" s="20" t="str">
        <f aca="false">IF(G121="","",IF(D121="g","o quilo",IF(D121="ml","o litro","a unidade")))</f>
        <v/>
      </c>
      <c r="I121" s="7"/>
      <c r="J121" s="36"/>
    </row>
    <row r="122" customFormat="false" ht="21" hidden="false" customHeight="true" outlineLevel="0" collapsed="false">
      <c r="B122" s="7"/>
      <c r="C122" s="37"/>
      <c r="D122" s="37"/>
      <c r="E122" s="37"/>
      <c r="F122" s="38"/>
      <c r="G122" s="24" t="str">
        <f aca="false">IF(OR(B122="",E122="",F122="",N(E122)=0),"",IF(OR(D122="g",D122="ml"),F122/E122*1000,F122/E122))</f>
        <v/>
      </c>
      <c r="H122" s="20" t="str">
        <f aca="false">IF(G122="","",IF(D122="g","o quilo",IF(D122="ml","o litro","a unidade")))</f>
        <v/>
      </c>
      <c r="I122" s="7"/>
      <c r="J122" s="36"/>
    </row>
    <row r="123" customFormat="false" ht="21" hidden="false" customHeight="true" outlineLevel="0" collapsed="false">
      <c r="B123" s="7"/>
      <c r="C123" s="37"/>
      <c r="D123" s="37"/>
      <c r="E123" s="37"/>
      <c r="F123" s="38"/>
      <c r="G123" s="24" t="str">
        <f aca="false">IF(OR(B123="",E123="",F123="",N(E123)=0),"",IF(OR(D123="g",D123="ml"),F123/E123*1000,F123/E123))</f>
        <v/>
      </c>
      <c r="H123" s="20" t="str">
        <f aca="false">IF(G123="","",IF(D123="g","o quilo",IF(D123="ml","o litro","a unidade")))</f>
        <v/>
      </c>
      <c r="I123" s="7"/>
      <c r="J123" s="36"/>
    </row>
    <row r="124" customFormat="false" ht="21" hidden="false" customHeight="true" outlineLevel="0" collapsed="false">
      <c r="B124" s="7"/>
      <c r="C124" s="37"/>
      <c r="D124" s="37"/>
      <c r="E124" s="37"/>
      <c r="F124" s="38"/>
      <c r="G124" s="24" t="str">
        <f aca="false">IF(OR(B124="",E124="",F124="",N(E124)=0),"",IF(OR(D124="g",D124="ml"),F124/E124*1000,F124/E124))</f>
        <v/>
      </c>
      <c r="H124" s="20" t="str">
        <f aca="false">IF(G124="","",IF(D124="g","o quilo",IF(D124="ml","o litro","a unidade")))</f>
        <v/>
      </c>
      <c r="I124" s="7"/>
      <c r="J124" s="36"/>
    </row>
    <row r="125" customFormat="false" ht="21" hidden="false" customHeight="true" outlineLevel="0" collapsed="false">
      <c r="B125" s="7"/>
      <c r="C125" s="37"/>
      <c r="D125" s="37"/>
      <c r="E125" s="37"/>
      <c r="F125" s="38"/>
      <c r="G125" s="24" t="str">
        <f aca="false">IF(OR(B125="",E125="",F125="",N(E125)=0),"",IF(OR(D125="g",D125="ml"),F125/E125*1000,F125/E125))</f>
        <v/>
      </c>
      <c r="H125" s="20" t="str">
        <f aca="false">IF(G125="","",IF(D125="g","o quilo",IF(D125="ml","o litro","a unidade")))</f>
        <v/>
      </c>
      <c r="I125" s="7"/>
      <c r="J125" s="36"/>
    </row>
    <row r="126" customFormat="false" ht="21" hidden="false" customHeight="true" outlineLevel="0" collapsed="false">
      <c r="B126" s="7"/>
      <c r="C126" s="37"/>
      <c r="D126" s="37"/>
      <c r="E126" s="37"/>
      <c r="F126" s="38"/>
      <c r="G126" s="24" t="str">
        <f aca="false">IF(OR(B126="",E126="",F126="",N(E126)=0),"",IF(OR(D126="g",D126="ml"),F126/E126*1000,F126/E126))</f>
        <v/>
      </c>
      <c r="H126" s="20" t="str">
        <f aca="false">IF(G126="","",IF(D126="g","o quilo",IF(D126="ml","o litro","a unidade")))</f>
        <v/>
      </c>
      <c r="I126" s="7"/>
      <c r="J126" s="36"/>
    </row>
    <row r="127" customFormat="false" ht="21" hidden="false" customHeight="true" outlineLevel="0" collapsed="false">
      <c r="B127" s="7"/>
      <c r="C127" s="37"/>
      <c r="D127" s="37"/>
      <c r="E127" s="37"/>
      <c r="F127" s="38"/>
      <c r="G127" s="24" t="str">
        <f aca="false">IF(OR(B127="",E127="",F127="",N(E127)=0),"",IF(OR(D127="g",D127="ml"),F127/E127*1000,F127/E127))</f>
        <v/>
      </c>
      <c r="H127" s="20" t="str">
        <f aca="false">IF(G127="","",IF(D127="g","o quilo",IF(D127="ml","o litro","a unidade")))</f>
        <v/>
      </c>
      <c r="I127" s="7"/>
      <c r="J127" s="36"/>
    </row>
    <row r="128" customFormat="false" ht="21" hidden="false" customHeight="true" outlineLevel="0" collapsed="false">
      <c r="B128" s="7"/>
      <c r="C128" s="37"/>
      <c r="D128" s="37"/>
      <c r="E128" s="37"/>
      <c r="F128" s="38"/>
      <c r="G128" s="24" t="str">
        <f aca="false">IF(OR(B128="",E128="",F128="",N(E128)=0),"",IF(OR(D128="g",D128="ml"),F128/E128*1000,F128/E128))</f>
        <v/>
      </c>
      <c r="H128" s="20" t="str">
        <f aca="false">IF(G128="","",IF(D128="g","o quilo",IF(D128="ml","o litro","a unidade")))</f>
        <v/>
      </c>
      <c r="I128" s="7"/>
      <c r="J128" s="36"/>
    </row>
    <row r="129" customFormat="false" ht="21" hidden="false" customHeight="true" outlineLevel="0" collapsed="false">
      <c r="B129" s="7"/>
      <c r="C129" s="37"/>
      <c r="D129" s="37"/>
      <c r="E129" s="37"/>
      <c r="F129" s="38"/>
      <c r="G129" s="24" t="str">
        <f aca="false">IF(OR(B129="",E129="",F129="",N(E129)=0),"",IF(OR(D129="g",D129="ml"),F129/E129*1000,F129/E129))</f>
        <v/>
      </c>
      <c r="H129" s="20" t="str">
        <f aca="false">IF(G129="","",IF(D129="g","o quilo",IF(D129="ml","o litro","a unidade")))</f>
        <v/>
      </c>
      <c r="I129" s="7"/>
      <c r="J129" s="36"/>
    </row>
    <row r="130" customFormat="false" ht="21" hidden="false" customHeight="true" outlineLevel="0" collapsed="false">
      <c r="B130" s="7"/>
      <c r="C130" s="37"/>
      <c r="D130" s="37"/>
      <c r="E130" s="37"/>
      <c r="F130" s="38"/>
      <c r="G130" s="24" t="str">
        <f aca="false">IF(OR(B130="",E130="",F130="",N(E130)=0),"",IF(OR(D130="g",D130="ml"),F130/E130*1000,F130/E130))</f>
        <v/>
      </c>
      <c r="H130" s="20" t="str">
        <f aca="false">IF(G130="","",IF(D130="g","o quilo",IF(D130="ml","o litro","a unidade")))</f>
        <v/>
      </c>
      <c r="I130" s="7"/>
      <c r="J130" s="36"/>
    </row>
    <row r="131" customFormat="false" ht="21" hidden="false" customHeight="true" outlineLevel="0" collapsed="false">
      <c r="B131" s="7"/>
      <c r="C131" s="37"/>
      <c r="D131" s="37"/>
      <c r="E131" s="37"/>
      <c r="F131" s="38"/>
      <c r="G131" s="24" t="str">
        <f aca="false">IF(OR(B131="",E131="",F131="",N(E131)=0),"",IF(OR(D131="g",D131="ml"),F131/E131*1000,F131/E131))</f>
        <v/>
      </c>
      <c r="H131" s="20" t="str">
        <f aca="false">IF(G131="","",IF(D131="g","o quilo",IF(D131="ml","o litro","a unidade")))</f>
        <v/>
      </c>
      <c r="I131" s="7"/>
      <c r="J131" s="36"/>
    </row>
    <row r="132" customFormat="false" ht="21" hidden="false" customHeight="true" outlineLevel="0" collapsed="false">
      <c r="B132" s="7"/>
      <c r="C132" s="37"/>
      <c r="D132" s="37"/>
      <c r="E132" s="37"/>
      <c r="F132" s="38"/>
      <c r="G132" s="24" t="str">
        <f aca="false">IF(OR(B132="",E132="",F132="",N(E132)=0),"",IF(OR(D132="g",D132="ml"),F132/E132*1000,F132/E132))</f>
        <v/>
      </c>
      <c r="H132" s="20" t="str">
        <f aca="false">IF(G132="","",IF(D132="g","o quilo",IF(D132="ml","o litro","a unidade")))</f>
        <v/>
      </c>
      <c r="I132" s="7"/>
      <c r="J132" s="36"/>
    </row>
    <row r="133" customFormat="false" ht="21" hidden="false" customHeight="true" outlineLevel="0" collapsed="false">
      <c r="B133" s="7"/>
      <c r="C133" s="37"/>
      <c r="D133" s="37"/>
      <c r="E133" s="37"/>
      <c r="F133" s="38"/>
      <c r="G133" s="24" t="str">
        <f aca="false">IF(OR(B133="",E133="",F133="",N(E133)=0),"",IF(OR(D133="g",D133="ml"),F133/E133*1000,F133/E133))</f>
        <v/>
      </c>
      <c r="H133" s="20" t="str">
        <f aca="false">IF(G133="","",IF(D133="g","o quilo",IF(D133="ml","o litro","a unidade")))</f>
        <v/>
      </c>
      <c r="I133" s="7"/>
      <c r="J133" s="36"/>
    </row>
    <row r="134" customFormat="false" ht="21" hidden="false" customHeight="true" outlineLevel="0" collapsed="false">
      <c r="B134" s="7"/>
      <c r="C134" s="37"/>
      <c r="D134" s="37"/>
      <c r="E134" s="37"/>
      <c r="F134" s="38"/>
      <c r="G134" s="24" t="str">
        <f aca="false">IF(OR(B134="",E134="",F134="",N(E134)=0),"",IF(OR(D134="g",D134="ml"),F134/E134*1000,F134/E134))</f>
        <v/>
      </c>
      <c r="H134" s="20" t="str">
        <f aca="false">IF(G134="","",IF(D134="g","o quilo",IF(D134="ml","o litro","a unidade")))</f>
        <v/>
      </c>
      <c r="I134" s="7"/>
      <c r="J134" s="36"/>
    </row>
    <row r="135" customFormat="false" ht="21" hidden="false" customHeight="true" outlineLevel="0" collapsed="false">
      <c r="B135" s="7"/>
      <c r="C135" s="37"/>
      <c r="D135" s="37"/>
      <c r="E135" s="37"/>
      <c r="F135" s="38"/>
      <c r="G135" s="24" t="str">
        <f aca="false">IF(OR(B135="",E135="",F135="",N(E135)=0),"",IF(OR(D135="g",D135="ml"),F135/E135*1000,F135/E135))</f>
        <v/>
      </c>
      <c r="H135" s="20" t="str">
        <f aca="false">IF(G135="","",IF(D135="g","o quilo",IF(D135="ml","o litro","a unidade")))</f>
        <v/>
      </c>
      <c r="I135" s="7"/>
      <c r="J135" s="36"/>
    </row>
    <row r="136" customFormat="false" ht="21" hidden="false" customHeight="true" outlineLevel="0" collapsed="false">
      <c r="B136" s="7"/>
      <c r="C136" s="37"/>
      <c r="D136" s="37"/>
      <c r="E136" s="37"/>
      <c r="F136" s="38"/>
      <c r="G136" s="24" t="str">
        <f aca="false">IF(OR(B136="",E136="",F136="",N(E136)=0),"",IF(OR(D136="g",D136="ml"),F136/E136*1000,F136/E136))</f>
        <v/>
      </c>
      <c r="H136" s="20" t="str">
        <f aca="false">IF(G136="","",IF(D136="g","o quilo",IF(D136="ml","o litro","a unidade")))</f>
        <v/>
      </c>
      <c r="I136" s="7"/>
      <c r="J136" s="36"/>
    </row>
    <row r="137" customFormat="false" ht="21" hidden="false" customHeight="true" outlineLevel="0" collapsed="false">
      <c r="B137" s="7"/>
      <c r="C137" s="37"/>
      <c r="D137" s="37"/>
      <c r="E137" s="37"/>
      <c r="F137" s="38"/>
      <c r="G137" s="24" t="str">
        <f aca="false">IF(OR(B137="",E137="",F137="",N(E137)=0),"",IF(OR(D137="g",D137="ml"),F137/E137*1000,F137/E137))</f>
        <v/>
      </c>
      <c r="H137" s="20" t="str">
        <f aca="false">IF(G137="","",IF(D137="g","o quilo",IF(D137="ml","o litro","a unidade")))</f>
        <v/>
      </c>
      <c r="I137" s="7"/>
      <c r="J137" s="36"/>
    </row>
    <row r="138" customFormat="false" ht="21" hidden="false" customHeight="true" outlineLevel="0" collapsed="false">
      <c r="B138" s="7"/>
      <c r="C138" s="37"/>
      <c r="D138" s="37"/>
      <c r="E138" s="37"/>
      <c r="F138" s="38"/>
      <c r="G138" s="24" t="str">
        <f aca="false">IF(OR(B138="",E138="",F138="",N(E138)=0),"",IF(OR(D138="g",D138="ml"),F138/E138*1000,F138/E138))</f>
        <v/>
      </c>
      <c r="H138" s="20" t="str">
        <f aca="false">IF(G138="","",IF(D138="g","o quilo",IF(D138="ml","o litro","a unidade")))</f>
        <v/>
      </c>
      <c r="I138" s="7"/>
      <c r="J138" s="36"/>
    </row>
    <row r="139" customFormat="false" ht="21" hidden="false" customHeight="true" outlineLevel="0" collapsed="false">
      <c r="B139" s="7"/>
      <c r="C139" s="37"/>
      <c r="D139" s="37"/>
      <c r="E139" s="37"/>
      <c r="F139" s="38"/>
      <c r="G139" s="24" t="str">
        <f aca="false">IF(OR(B139="",E139="",F139="",N(E139)=0),"",IF(OR(D139="g",D139="ml"),F139/E139*1000,F139/E139))</f>
        <v/>
      </c>
      <c r="H139" s="20" t="str">
        <f aca="false">IF(G139="","",IF(D139="g","o quilo",IF(D139="ml","o litro","a unidade")))</f>
        <v/>
      </c>
      <c r="I139" s="7"/>
      <c r="J139" s="36"/>
    </row>
    <row r="140" customFormat="false" ht="21" hidden="false" customHeight="true" outlineLevel="0" collapsed="false">
      <c r="B140" s="7"/>
      <c r="C140" s="37"/>
      <c r="D140" s="37"/>
      <c r="E140" s="37"/>
      <c r="F140" s="38"/>
      <c r="G140" s="24" t="str">
        <f aca="false">IF(OR(B140="",E140="",F140="",N(E140)=0),"",IF(OR(D140="g",D140="ml"),F140/E140*1000,F140/E140))</f>
        <v/>
      </c>
      <c r="H140" s="20" t="str">
        <f aca="false">IF(G140="","",IF(D140="g","o quilo",IF(D140="ml","o litro","a unidade")))</f>
        <v/>
      </c>
      <c r="I140" s="7"/>
      <c r="J140" s="36"/>
    </row>
    <row r="141" customFormat="false" ht="21" hidden="false" customHeight="true" outlineLevel="0" collapsed="false">
      <c r="B141" s="7"/>
      <c r="C141" s="37"/>
      <c r="D141" s="37"/>
      <c r="E141" s="37"/>
      <c r="F141" s="38"/>
      <c r="G141" s="24" t="str">
        <f aca="false">IF(OR(B141="",E141="",F141="",N(E141)=0),"",IF(OR(D141="g",D141="ml"),F141/E141*1000,F141/E141))</f>
        <v/>
      </c>
      <c r="H141" s="20" t="str">
        <f aca="false">IF(G141="","",IF(D141="g","o quilo",IF(D141="ml","o litro","a unidade")))</f>
        <v/>
      </c>
      <c r="I141" s="7"/>
      <c r="J141" s="36"/>
    </row>
    <row r="142" customFormat="false" ht="21" hidden="false" customHeight="true" outlineLevel="0" collapsed="false">
      <c r="B142" s="7"/>
      <c r="C142" s="37"/>
      <c r="D142" s="37"/>
      <c r="E142" s="37"/>
      <c r="F142" s="38"/>
      <c r="G142" s="24" t="str">
        <f aca="false">IF(OR(B142="",E142="",F142="",N(E142)=0),"",IF(OR(D142="g",D142="ml"),F142/E142*1000,F142/E142))</f>
        <v/>
      </c>
      <c r="H142" s="20" t="str">
        <f aca="false">IF(G142="","",IF(D142="g","o quilo",IF(D142="ml","o litro","a unidade")))</f>
        <v/>
      </c>
      <c r="I142" s="7"/>
      <c r="J142" s="36"/>
    </row>
    <row r="143" customFormat="false" ht="21" hidden="false" customHeight="true" outlineLevel="0" collapsed="false">
      <c r="B143" s="7"/>
      <c r="C143" s="37"/>
      <c r="D143" s="37"/>
      <c r="E143" s="37"/>
      <c r="F143" s="38"/>
      <c r="G143" s="24" t="str">
        <f aca="false">IF(OR(B143="",E143="",F143="",N(E143)=0),"",IF(OR(D143="g",D143="ml"),F143/E143*1000,F143/E143))</f>
        <v/>
      </c>
      <c r="H143" s="20" t="str">
        <f aca="false">IF(G143="","",IF(D143="g","o quilo",IF(D143="ml","o litro","a unidade")))</f>
        <v/>
      </c>
      <c r="I143" s="7"/>
      <c r="J143" s="36"/>
    </row>
    <row r="144" customFormat="false" ht="21" hidden="false" customHeight="true" outlineLevel="0" collapsed="false">
      <c r="B144" s="7"/>
      <c r="C144" s="37"/>
      <c r="D144" s="37"/>
      <c r="E144" s="37"/>
      <c r="F144" s="38"/>
      <c r="G144" s="24" t="str">
        <f aca="false">IF(OR(B144="",E144="",F144="",N(E144)=0),"",IF(OR(D144="g",D144="ml"),F144/E144*1000,F144/E144))</f>
        <v/>
      </c>
      <c r="H144" s="20" t="str">
        <f aca="false">IF(G144="","",IF(D144="g","o quilo",IF(D144="ml","o litro","a unidade")))</f>
        <v/>
      </c>
      <c r="I144" s="7"/>
      <c r="J144" s="36"/>
    </row>
    <row r="145" customFormat="false" ht="21" hidden="false" customHeight="true" outlineLevel="0" collapsed="false">
      <c r="B145" s="7"/>
      <c r="C145" s="37"/>
      <c r="D145" s="37"/>
      <c r="E145" s="37"/>
      <c r="F145" s="38"/>
      <c r="G145" s="24" t="str">
        <f aca="false">IF(OR(B145="",E145="",F145="",N(E145)=0),"",IF(OR(D145="g",D145="ml"),F145/E145*1000,F145/E145))</f>
        <v/>
      </c>
      <c r="H145" s="20" t="str">
        <f aca="false">IF(G145="","",IF(D145="g","o quilo",IF(D145="ml","o litro","a unidade")))</f>
        <v/>
      </c>
      <c r="I145" s="7"/>
      <c r="J145" s="36"/>
    </row>
    <row r="146" customFormat="false" ht="21" hidden="false" customHeight="true" outlineLevel="0" collapsed="false">
      <c r="B146" s="7"/>
      <c r="C146" s="37"/>
      <c r="D146" s="37"/>
      <c r="E146" s="37"/>
      <c r="F146" s="38"/>
      <c r="G146" s="24" t="str">
        <f aca="false">IF(OR(B146="",E146="",F146="",N(E146)=0),"",IF(OR(D146="g",D146="ml"),F146/E146*1000,F146/E146))</f>
        <v/>
      </c>
      <c r="H146" s="20" t="str">
        <f aca="false">IF(G146="","",IF(D146="g","o quilo",IF(D146="ml","o litro","a unidade")))</f>
        <v/>
      </c>
      <c r="I146" s="7"/>
      <c r="J146" s="36"/>
    </row>
    <row r="147" customFormat="false" ht="21" hidden="false" customHeight="true" outlineLevel="0" collapsed="false">
      <c r="B147" s="7"/>
      <c r="C147" s="37"/>
      <c r="D147" s="37"/>
      <c r="E147" s="37"/>
      <c r="F147" s="38"/>
      <c r="G147" s="24" t="str">
        <f aca="false">IF(OR(B147="",E147="",F147="",N(E147)=0),"",IF(OR(D147="g",D147="ml"),F147/E147*1000,F147/E147))</f>
        <v/>
      </c>
      <c r="H147" s="20" t="str">
        <f aca="false">IF(G147="","",IF(D147="g","o quilo",IF(D147="ml","o litro","a unidade")))</f>
        <v/>
      </c>
      <c r="I147" s="7"/>
      <c r="J147" s="36"/>
    </row>
    <row r="148" customFormat="false" ht="21" hidden="false" customHeight="true" outlineLevel="0" collapsed="false">
      <c r="B148" s="7"/>
      <c r="C148" s="37"/>
      <c r="D148" s="37"/>
      <c r="E148" s="37"/>
      <c r="F148" s="38"/>
      <c r="G148" s="24" t="str">
        <f aca="false">IF(OR(B148="",E148="",F148="",N(E148)=0),"",IF(OR(D148="g",D148="ml"),F148/E148*1000,F148/E148))</f>
        <v/>
      </c>
      <c r="H148" s="20" t="str">
        <f aca="false">IF(G148="","",IF(D148="g","o quilo",IF(D148="ml","o litro","a unidade")))</f>
        <v/>
      </c>
      <c r="I148" s="7"/>
      <c r="J148" s="36"/>
    </row>
    <row r="149" customFormat="false" ht="21" hidden="false" customHeight="true" outlineLevel="0" collapsed="false">
      <c r="B149" s="7"/>
      <c r="C149" s="37"/>
      <c r="D149" s="37"/>
      <c r="E149" s="37"/>
      <c r="F149" s="38"/>
      <c r="G149" s="24" t="str">
        <f aca="false">IF(OR(B149="",E149="",F149="",N(E149)=0),"",IF(OR(D149="g",D149="ml"),F149/E149*1000,F149/E149))</f>
        <v/>
      </c>
      <c r="H149" s="20" t="str">
        <f aca="false">IF(G149="","",IF(D149="g","o quilo",IF(D149="ml","o litro","a unidade")))</f>
        <v/>
      </c>
      <c r="I149" s="7"/>
      <c r="J149" s="36"/>
    </row>
    <row r="150" customFormat="false" ht="21" hidden="false" customHeight="true" outlineLevel="0" collapsed="false">
      <c r="B150" s="7"/>
      <c r="C150" s="37"/>
      <c r="D150" s="37"/>
      <c r="E150" s="37"/>
      <c r="F150" s="38"/>
      <c r="G150" s="24" t="str">
        <f aca="false">IF(OR(B150="",E150="",F150="",N(E150)=0),"",IF(OR(D150="g",D150="ml"),F150/E150*1000,F150/E150))</f>
        <v/>
      </c>
      <c r="H150" s="20" t="str">
        <f aca="false">IF(G150="","",IF(D150="g","o quilo",IF(D150="ml","o litro","a unidade")))</f>
        <v/>
      </c>
      <c r="I150" s="7"/>
      <c r="J150" s="36"/>
    </row>
    <row r="151" customFormat="false" ht="21" hidden="false" customHeight="true" outlineLevel="0" collapsed="false">
      <c r="B151" s="7"/>
      <c r="C151" s="37"/>
      <c r="D151" s="37"/>
      <c r="E151" s="37"/>
      <c r="F151" s="38"/>
      <c r="G151" s="24" t="str">
        <f aca="false">IF(OR(B151="",E151="",F151="",N(E151)=0),"",IF(OR(D151="g",D151="ml"),F151/E151*1000,F151/E151))</f>
        <v/>
      </c>
      <c r="H151" s="20" t="str">
        <f aca="false">IF(G151="","",IF(D151="g","o quilo",IF(D151="ml","o litro","a unidade")))</f>
        <v/>
      </c>
      <c r="I151" s="7"/>
      <c r="J151" s="36"/>
    </row>
    <row r="152" customFormat="false" ht="21" hidden="false" customHeight="true" outlineLevel="0" collapsed="false">
      <c r="B152" s="7"/>
      <c r="C152" s="37"/>
      <c r="D152" s="37"/>
      <c r="E152" s="37"/>
      <c r="F152" s="38"/>
      <c r="G152" s="24" t="str">
        <f aca="false">IF(OR(B152="",E152="",F152="",N(E152)=0),"",IF(OR(D152="g",D152="ml"),F152/E152*1000,F152/E152))</f>
        <v/>
      </c>
      <c r="H152" s="20" t="str">
        <f aca="false">IF(G152="","",IF(D152="g","o quilo",IF(D152="ml","o litro","a unidade")))</f>
        <v/>
      </c>
      <c r="I152" s="7"/>
      <c r="J152" s="36"/>
    </row>
    <row r="153" customFormat="false" ht="21" hidden="false" customHeight="true" outlineLevel="0" collapsed="false">
      <c r="B153" s="7"/>
      <c r="C153" s="37"/>
      <c r="D153" s="37"/>
      <c r="E153" s="37"/>
      <c r="F153" s="38"/>
      <c r="G153" s="24" t="str">
        <f aca="false">IF(OR(B153="",E153="",F153="",N(E153)=0),"",IF(OR(D153="g",D153="ml"),F153/E153*1000,F153/E153))</f>
        <v/>
      </c>
      <c r="H153" s="20" t="str">
        <f aca="false">IF(G153="","",IF(D153="g","o quilo",IF(D153="ml","o litro","a unidade")))</f>
        <v/>
      </c>
      <c r="I153" s="7"/>
      <c r="J153" s="36"/>
    </row>
    <row r="154" customFormat="false" ht="21" hidden="false" customHeight="true" outlineLevel="0" collapsed="false">
      <c r="B154" s="7"/>
      <c r="C154" s="37"/>
      <c r="D154" s="37"/>
      <c r="E154" s="37"/>
      <c r="F154" s="38"/>
      <c r="G154" s="24" t="str">
        <f aca="false">IF(OR(B154="",E154="",F154="",N(E154)=0),"",IF(OR(D154="g",D154="ml"),F154/E154*1000,F154/E154))</f>
        <v/>
      </c>
      <c r="H154" s="20" t="str">
        <f aca="false">IF(G154="","",IF(D154="g","o quilo",IF(D154="ml","o litro","a unidade")))</f>
        <v/>
      </c>
      <c r="I154" s="7"/>
      <c r="J154" s="36"/>
    </row>
    <row r="155" customFormat="false" ht="21" hidden="false" customHeight="true" outlineLevel="0" collapsed="false">
      <c r="B155" s="7"/>
      <c r="C155" s="37"/>
      <c r="D155" s="37"/>
      <c r="E155" s="37"/>
      <c r="F155" s="38"/>
      <c r="G155" s="24" t="str">
        <f aca="false">IF(OR(B155="",E155="",F155="",N(E155)=0),"",IF(OR(D155="g",D155="ml"),F155/E155*1000,F155/E155))</f>
        <v/>
      </c>
      <c r="H155" s="20" t="str">
        <f aca="false">IF(G155="","",IF(D155="g","o quilo",IF(D155="ml","o litro","a unidade")))</f>
        <v/>
      </c>
      <c r="I155" s="7"/>
      <c r="J155" s="36"/>
    </row>
    <row r="156" customFormat="false" ht="21" hidden="false" customHeight="true" outlineLevel="0" collapsed="false">
      <c r="B156" s="7"/>
      <c r="C156" s="37"/>
      <c r="D156" s="37"/>
      <c r="E156" s="37"/>
      <c r="F156" s="38"/>
      <c r="G156" s="24" t="str">
        <f aca="false">IF(OR(B156="",E156="",F156="",N(E156)=0),"",IF(OR(D156="g",D156="ml"),F156/E156*1000,F156/E156))</f>
        <v/>
      </c>
      <c r="H156" s="20" t="str">
        <f aca="false">IF(G156="","",IF(D156="g","o quilo",IF(D156="ml","o litro","a unidade")))</f>
        <v/>
      </c>
      <c r="I156" s="7"/>
      <c r="J156" s="36"/>
    </row>
    <row r="157" customFormat="false" ht="21" hidden="false" customHeight="true" outlineLevel="0" collapsed="false">
      <c r="B157" s="7"/>
      <c r="C157" s="37"/>
      <c r="D157" s="37"/>
      <c r="E157" s="37"/>
      <c r="F157" s="38"/>
      <c r="G157" s="24" t="str">
        <f aca="false">IF(OR(B157="",E157="",F157="",N(E157)=0),"",IF(OR(D157="g",D157="ml"),F157/E157*1000,F157/E157))</f>
        <v/>
      </c>
      <c r="H157" s="20" t="str">
        <f aca="false">IF(G157="","",IF(D157="g","o quilo",IF(D157="ml","o litro","a unidade")))</f>
        <v/>
      </c>
      <c r="I157" s="7"/>
      <c r="J157" s="36"/>
    </row>
    <row r="158" customFormat="false" ht="21" hidden="false" customHeight="true" outlineLevel="0" collapsed="false">
      <c r="B158" s="7"/>
      <c r="C158" s="37"/>
      <c r="D158" s="37"/>
      <c r="E158" s="37"/>
      <c r="F158" s="38"/>
      <c r="G158" s="24" t="str">
        <f aca="false">IF(OR(B158="",E158="",F158="",N(E158)=0),"",IF(OR(D158="g",D158="ml"),F158/E158*1000,F158/E158))</f>
        <v/>
      </c>
      <c r="H158" s="20" t="str">
        <f aca="false">IF(G158="","",IF(D158="g","o quilo",IF(D158="ml","o litro","a unidade")))</f>
        <v/>
      </c>
      <c r="I158" s="7"/>
      <c r="J158" s="36"/>
    </row>
    <row r="159" customFormat="false" ht="21" hidden="false" customHeight="true" outlineLevel="0" collapsed="false">
      <c r="B159" s="7"/>
      <c r="C159" s="37"/>
      <c r="D159" s="37"/>
      <c r="E159" s="37"/>
      <c r="F159" s="38"/>
      <c r="G159" s="24" t="str">
        <f aca="false">IF(OR(B159="",E159="",F159="",N(E159)=0),"",IF(OR(D159="g",D159="ml"),F159/E159*1000,F159/E159))</f>
        <v/>
      </c>
      <c r="H159" s="20" t="str">
        <f aca="false">IF(G159="","",IF(D159="g","o quilo",IF(D159="ml","o litro","a unidade")))</f>
        <v/>
      </c>
      <c r="I159" s="7"/>
      <c r="J159" s="36"/>
    </row>
    <row r="160" customFormat="false" ht="21" hidden="false" customHeight="true" outlineLevel="0" collapsed="false">
      <c r="B160" s="7"/>
      <c r="C160" s="37"/>
      <c r="D160" s="37"/>
      <c r="E160" s="37"/>
      <c r="F160" s="38"/>
      <c r="G160" s="24" t="str">
        <f aca="false">IF(OR(B160="",E160="",F160="",N(E160)=0),"",IF(OR(D160="g",D160="ml"),F160/E160*1000,F160/E160))</f>
        <v/>
      </c>
      <c r="H160" s="20" t="str">
        <f aca="false">IF(G160="","",IF(D160="g","o quilo",IF(D160="ml","o litro","a unidade")))</f>
        <v/>
      </c>
      <c r="I160" s="7"/>
      <c r="J160" s="36"/>
    </row>
    <row r="161" customFormat="false" ht="21" hidden="false" customHeight="true" outlineLevel="0" collapsed="false">
      <c r="B161" s="7"/>
      <c r="C161" s="37"/>
      <c r="D161" s="37"/>
      <c r="E161" s="37"/>
      <c r="F161" s="38"/>
      <c r="G161" s="24" t="str">
        <f aca="false">IF(OR(B161="",E161="",F161="",N(E161)=0),"",IF(OR(D161="g",D161="ml"),F161/E161*1000,F161/E161))</f>
        <v/>
      </c>
      <c r="H161" s="20" t="str">
        <f aca="false">IF(G161="","",IF(D161="g","o quilo",IF(D161="ml","o litro","a unidade")))</f>
        <v/>
      </c>
      <c r="I161" s="7"/>
      <c r="J161" s="36"/>
    </row>
    <row r="162" customFormat="false" ht="21" hidden="false" customHeight="true" outlineLevel="0" collapsed="false">
      <c r="B162" s="7"/>
      <c r="C162" s="37"/>
      <c r="D162" s="37"/>
      <c r="E162" s="37"/>
      <c r="F162" s="38"/>
      <c r="G162" s="24" t="str">
        <f aca="false">IF(OR(B162="",E162="",F162="",N(E162)=0),"",IF(OR(D162="g",D162="ml"),F162/E162*1000,F162/E162))</f>
        <v/>
      </c>
      <c r="H162" s="20" t="str">
        <f aca="false">IF(G162="","",IF(D162="g","o quilo",IF(D162="ml","o litro","a unidade")))</f>
        <v/>
      </c>
      <c r="I162" s="7"/>
      <c r="J162" s="36"/>
    </row>
    <row r="163" customFormat="false" ht="21" hidden="false" customHeight="true" outlineLevel="0" collapsed="false">
      <c r="B163" s="7"/>
      <c r="C163" s="37"/>
      <c r="D163" s="37"/>
      <c r="E163" s="37"/>
      <c r="F163" s="38"/>
      <c r="G163" s="24" t="str">
        <f aca="false">IF(OR(B163="",E163="",F163="",N(E163)=0),"",IF(OR(D163="g",D163="ml"),F163/E163*1000,F163/E163))</f>
        <v/>
      </c>
      <c r="H163" s="20" t="str">
        <f aca="false">IF(G163="","",IF(D163="g","o quilo",IF(D163="ml","o litro","a unidade")))</f>
        <v/>
      </c>
      <c r="I163" s="7"/>
      <c r="J163" s="36"/>
    </row>
    <row r="164" customFormat="false" ht="21" hidden="false" customHeight="true" outlineLevel="0" collapsed="false">
      <c r="B164" s="7"/>
      <c r="C164" s="37"/>
      <c r="D164" s="37"/>
      <c r="E164" s="37"/>
      <c r="F164" s="38"/>
      <c r="G164" s="24" t="str">
        <f aca="false">IF(OR(B164="",E164="",F164="",N(E164)=0),"",IF(OR(D164="g",D164="ml"),F164/E164*1000,F164/E164))</f>
        <v/>
      </c>
      <c r="H164" s="20" t="str">
        <f aca="false">IF(G164="","",IF(D164="g","o quilo",IF(D164="ml","o litro","a unidade")))</f>
        <v/>
      </c>
      <c r="I164" s="7"/>
      <c r="J164" s="36"/>
    </row>
    <row r="165" customFormat="false" ht="21" hidden="false" customHeight="true" outlineLevel="0" collapsed="false">
      <c r="B165" s="7"/>
      <c r="C165" s="37"/>
      <c r="D165" s="37"/>
      <c r="E165" s="37"/>
      <c r="F165" s="38"/>
      <c r="G165" s="24" t="str">
        <f aca="false">IF(OR(B165="",E165="",F165="",N(E165)=0),"",IF(OR(D165="g",D165="ml"),F165/E165*1000,F165/E165))</f>
        <v/>
      </c>
      <c r="H165" s="20" t="str">
        <f aca="false">IF(G165="","",IF(D165="g","o quilo",IF(D165="ml","o litro","a unidade")))</f>
        <v/>
      </c>
      <c r="I165" s="7"/>
      <c r="J165" s="36"/>
    </row>
    <row r="166" customFormat="false" ht="21" hidden="false" customHeight="true" outlineLevel="0" collapsed="false">
      <c r="B166" s="7"/>
      <c r="C166" s="37"/>
      <c r="D166" s="37"/>
      <c r="E166" s="37"/>
      <c r="F166" s="38"/>
      <c r="G166" s="24" t="str">
        <f aca="false">IF(OR(B166="",E166="",F166="",N(E166)=0),"",IF(OR(D166="g",D166="ml"),F166/E166*1000,F166/E166))</f>
        <v/>
      </c>
      <c r="H166" s="20" t="str">
        <f aca="false">IF(G166="","",IF(D166="g","o quilo",IF(D166="ml","o litro","a unidade")))</f>
        <v/>
      </c>
      <c r="I166" s="7"/>
      <c r="J166" s="36"/>
    </row>
    <row r="167" customFormat="false" ht="21" hidden="false" customHeight="true" outlineLevel="0" collapsed="false">
      <c r="B167" s="7"/>
      <c r="C167" s="37"/>
      <c r="D167" s="37"/>
      <c r="E167" s="37"/>
      <c r="F167" s="38"/>
      <c r="G167" s="24" t="str">
        <f aca="false">IF(OR(B167="",E167="",F167="",N(E167)=0),"",IF(OR(D167="g",D167="ml"),F167/E167*1000,F167/E167))</f>
        <v/>
      </c>
      <c r="H167" s="20" t="str">
        <f aca="false">IF(G167="","",IF(D167="g","o quilo",IF(D167="ml","o litro","a unidade")))</f>
        <v/>
      </c>
      <c r="I167" s="7"/>
      <c r="J167" s="36"/>
    </row>
    <row r="168" customFormat="false" ht="21" hidden="false" customHeight="true" outlineLevel="0" collapsed="false">
      <c r="B168" s="7"/>
      <c r="C168" s="37"/>
      <c r="D168" s="37"/>
      <c r="E168" s="37"/>
      <c r="F168" s="38"/>
      <c r="G168" s="24" t="str">
        <f aca="false">IF(OR(B168="",E168="",F168="",N(E168)=0),"",IF(OR(D168="g",D168="ml"),F168/E168*1000,F168/E168))</f>
        <v/>
      </c>
      <c r="H168" s="20" t="str">
        <f aca="false">IF(G168="","",IF(D168="g","o quilo",IF(D168="ml","o litro","a unidade")))</f>
        <v/>
      </c>
      <c r="I168" s="7"/>
      <c r="J168" s="36"/>
    </row>
    <row r="169" customFormat="false" ht="21" hidden="false" customHeight="true" outlineLevel="0" collapsed="false">
      <c r="B169" s="7"/>
      <c r="C169" s="37"/>
      <c r="D169" s="37"/>
      <c r="E169" s="37"/>
      <c r="F169" s="38"/>
      <c r="G169" s="24" t="str">
        <f aca="false">IF(OR(B169="",E169="",F169="",N(E169)=0),"",IF(OR(D169="g",D169="ml"),F169/E169*1000,F169/E169))</f>
        <v/>
      </c>
      <c r="H169" s="20" t="str">
        <f aca="false">IF(G169="","",IF(D169="g","o quilo",IF(D169="ml","o litro","a unidade")))</f>
        <v/>
      </c>
      <c r="I169" s="7"/>
      <c r="J169" s="36"/>
    </row>
    <row r="170" customFormat="false" ht="21" hidden="false" customHeight="true" outlineLevel="0" collapsed="false">
      <c r="B170" s="7"/>
      <c r="C170" s="37"/>
      <c r="D170" s="37"/>
      <c r="E170" s="37"/>
      <c r="F170" s="38"/>
      <c r="G170" s="24" t="str">
        <f aca="false">IF(OR(B170="",E170="",F170="",N(E170)=0),"",IF(OR(D170="g",D170="ml"),F170/E170*1000,F170/E170))</f>
        <v/>
      </c>
      <c r="H170" s="20" t="str">
        <f aca="false">IF(G170="","",IF(D170="g","o quilo",IF(D170="ml","o litro","a unidade")))</f>
        <v/>
      </c>
      <c r="I170" s="7"/>
      <c r="J170" s="36"/>
    </row>
    <row r="171" customFormat="false" ht="21" hidden="false" customHeight="true" outlineLevel="0" collapsed="false">
      <c r="B171" s="7"/>
      <c r="C171" s="37"/>
      <c r="D171" s="37"/>
      <c r="E171" s="37"/>
      <c r="F171" s="38"/>
      <c r="G171" s="24" t="str">
        <f aca="false">IF(OR(B171="",E171="",F171="",N(E171)=0),"",IF(OR(D171="g",D171="ml"),F171/E171*1000,F171/E171))</f>
        <v/>
      </c>
      <c r="H171" s="20" t="str">
        <f aca="false">IF(G171="","",IF(D171="g","o quilo",IF(D171="ml","o litro","a unidade")))</f>
        <v/>
      </c>
      <c r="I171" s="7"/>
      <c r="J171" s="36"/>
    </row>
    <row r="172" customFormat="false" ht="21" hidden="false" customHeight="true" outlineLevel="0" collapsed="false">
      <c r="B172" s="7"/>
      <c r="C172" s="37"/>
      <c r="D172" s="37"/>
      <c r="E172" s="37"/>
      <c r="F172" s="38"/>
      <c r="G172" s="24" t="str">
        <f aca="false">IF(OR(B172="",E172="",F172="",N(E172)=0),"",IF(OR(D172="g",D172="ml"),F172/E172*1000,F172/E172))</f>
        <v/>
      </c>
      <c r="H172" s="20" t="str">
        <f aca="false">IF(G172="","",IF(D172="g","o quilo",IF(D172="ml","o litro","a unidade")))</f>
        <v/>
      </c>
      <c r="I172" s="7"/>
      <c r="J172" s="36"/>
    </row>
    <row r="173" customFormat="false" ht="21" hidden="false" customHeight="true" outlineLevel="0" collapsed="false">
      <c r="B173" s="7"/>
      <c r="C173" s="37"/>
      <c r="D173" s="37"/>
      <c r="E173" s="37"/>
      <c r="F173" s="38"/>
      <c r="G173" s="24" t="str">
        <f aca="false">IF(OR(B173="",E173="",F173="",N(E173)=0),"",IF(OR(D173="g",D173="ml"),F173/E173*1000,F173/E173))</f>
        <v/>
      </c>
      <c r="H173" s="20" t="str">
        <f aca="false">IF(G173="","",IF(D173="g","o quilo",IF(D173="ml","o litro","a unidade")))</f>
        <v/>
      </c>
      <c r="I173" s="7"/>
      <c r="J173" s="36"/>
    </row>
    <row r="174" customFormat="false" ht="21" hidden="false" customHeight="true" outlineLevel="0" collapsed="false">
      <c r="B174" s="7"/>
      <c r="C174" s="37"/>
      <c r="D174" s="37"/>
      <c r="E174" s="37"/>
      <c r="F174" s="38"/>
      <c r="G174" s="24" t="str">
        <f aca="false">IF(OR(B174="",E174="",F174="",N(E174)=0),"",IF(OR(D174="g",D174="ml"),F174/E174*1000,F174/E174))</f>
        <v/>
      </c>
      <c r="H174" s="20" t="str">
        <f aca="false">IF(G174="","",IF(D174="g","o quilo",IF(D174="ml","o litro","a unidade")))</f>
        <v/>
      </c>
      <c r="I174" s="7"/>
      <c r="J174" s="36"/>
    </row>
    <row r="175" customFormat="false" ht="21" hidden="false" customHeight="true" outlineLevel="0" collapsed="false">
      <c r="B175" s="7"/>
      <c r="C175" s="37"/>
      <c r="D175" s="37"/>
      <c r="E175" s="37"/>
      <c r="F175" s="38"/>
      <c r="G175" s="24" t="str">
        <f aca="false">IF(OR(B175="",E175="",F175="",N(E175)=0),"",IF(OR(D175="g",D175="ml"),F175/E175*1000,F175/E175))</f>
        <v/>
      </c>
      <c r="H175" s="20" t="str">
        <f aca="false">IF(G175="","",IF(D175="g","o quilo",IF(D175="ml","o litro","a unidade")))</f>
        <v/>
      </c>
      <c r="I175" s="7"/>
      <c r="J175" s="36"/>
    </row>
    <row r="176" customFormat="false" ht="21" hidden="false" customHeight="true" outlineLevel="0" collapsed="false">
      <c r="B176" s="7"/>
      <c r="C176" s="37"/>
      <c r="D176" s="37"/>
      <c r="E176" s="37"/>
      <c r="F176" s="38"/>
      <c r="G176" s="24" t="str">
        <f aca="false">IF(OR(B176="",E176="",F176="",N(E176)=0),"",IF(OR(D176="g",D176="ml"),F176/E176*1000,F176/E176))</f>
        <v/>
      </c>
      <c r="H176" s="20" t="str">
        <f aca="false">IF(G176="","",IF(D176="g","o quilo",IF(D176="ml","o litro","a unidade")))</f>
        <v/>
      </c>
      <c r="I176" s="7"/>
      <c r="J176" s="36"/>
    </row>
    <row r="177" customFormat="false" ht="21" hidden="false" customHeight="true" outlineLevel="0" collapsed="false">
      <c r="B177" s="7"/>
      <c r="C177" s="37"/>
      <c r="D177" s="37"/>
      <c r="E177" s="37"/>
      <c r="F177" s="38"/>
      <c r="G177" s="24" t="str">
        <f aca="false">IF(OR(B177="",E177="",F177="",N(E177)=0),"",IF(OR(D177="g",D177="ml"),F177/E177*1000,F177/E177))</f>
        <v/>
      </c>
      <c r="H177" s="20" t="str">
        <f aca="false">IF(G177="","",IF(D177="g","o quilo",IF(D177="ml","o litro","a unidade")))</f>
        <v/>
      </c>
      <c r="I177" s="7"/>
      <c r="J177" s="36"/>
    </row>
    <row r="178" customFormat="false" ht="21" hidden="false" customHeight="true" outlineLevel="0" collapsed="false">
      <c r="B178" s="7"/>
      <c r="C178" s="37"/>
      <c r="D178" s="37"/>
      <c r="E178" s="37"/>
      <c r="F178" s="38"/>
      <c r="G178" s="24" t="str">
        <f aca="false">IF(OR(B178="",E178="",F178="",N(E178)=0),"",IF(OR(D178="g",D178="ml"),F178/E178*1000,F178/E178))</f>
        <v/>
      </c>
      <c r="H178" s="20" t="str">
        <f aca="false">IF(G178="","",IF(D178="g","o quilo",IF(D178="ml","o litro","a unidade")))</f>
        <v/>
      </c>
      <c r="I178" s="7"/>
      <c r="J178" s="36"/>
    </row>
    <row r="179" customFormat="false" ht="21" hidden="false" customHeight="true" outlineLevel="0" collapsed="false">
      <c r="B179" s="7"/>
      <c r="C179" s="37"/>
      <c r="D179" s="37"/>
      <c r="E179" s="37"/>
      <c r="F179" s="38"/>
      <c r="G179" s="24" t="str">
        <f aca="false">IF(OR(B179="",E179="",F179="",N(E179)=0),"",IF(OR(D179="g",D179="ml"),F179/E179*1000,F179/E179))</f>
        <v/>
      </c>
      <c r="H179" s="20" t="str">
        <f aca="false">IF(G179="","",IF(D179="g","o quilo",IF(D179="ml","o litro","a unidade")))</f>
        <v/>
      </c>
      <c r="I179" s="7"/>
      <c r="J179" s="36"/>
    </row>
    <row r="180" customFormat="false" ht="21" hidden="false" customHeight="true" outlineLevel="0" collapsed="false">
      <c r="B180" s="7"/>
      <c r="C180" s="37"/>
      <c r="D180" s="37"/>
      <c r="E180" s="37"/>
      <c r="F180" s="38"/>
      <c r="G180" s="24" t="str">
        <f aca="false">IF(OR(B180="",E180="",F180="",N(E180)=0),"",IF(OR(D180="g",D180="ml"),F180/E180*1000,F180/E180))</f>
        <v/>
      </c>
      <c r="H180" s="20" t="str">
        <f aca="false">IF(G180="","",IF(D180="g","o quilo",IF(D180="ml","o litro","a unidade")))</f>
        <v/>
      </c>
      <c r="I180" s="7"/>
      <c r="J180" s="36"/>
    </row>
    <row r="181" customFormat="false" ht="21" hidden="false" customHeight="true" outlineLevel="0" collapsed="false">
      <c r="B181" s="7"/>
      <c r="C181" s="37"/>
      <c r="D181" s="37"/>
      <c r="E181" s="37"/>
      <c r="F181" s="38"/>
      <c r="G181" s="24" t="str">
        <f aca="false">IF(OR(B181="",E181="",F181="",N(E181)=0),"",IF(OR(D181="g",D181="ml"),F181/E181*1000,F181/E181))</f>
        <v/>
      </c>
      <c r="H181" s="20" t="str">
        <f aca="false">IF(G181="","",IF(D181="g","o quilo",IF(D181="ml","o litro","a unidade")))</f>
        <v/>
      </c>
      <c r="I181" s="7"/>
      <c r="J181" s="36"/>
    </row>
    <row r="182" customFormat="false" ht="21" hidden="false" customHeight="true" outlineLevel="0" collapsed="false">
      <c r="B182" s="7"/>
      <c r="C182" s="37"/>
      <c r="D182" s="37"/>
      <c r="E182" s="37"/>
      <c r="F182" s="38"/>
      <c r="G182" s="24" t="str">
        <f aca="false">IF(OR(B182="",E182="",F182="",N(E182)=0),"",IF(OR(D182="g",D182="ml"),F182/E182*1000,F182/E182))</f>
        <v/>
      </c>
      <c r="H182" s="20" t="str">
        <f aca="false">IF(G182="","",IF(D182="g","o quilo",IF(D182="ml","o litro","a unidade")))</f>
        <v/>
      </c>
      <c r="I182" s="7"/>
      <c r="J182" s="36"/>
    </row>
    <row r="183" customFormat="false" ht="21" hidden="false" customHeight="true" outlineLevel="0" collapsed="false">
      <c r="B183" s="7"/>
      <c r="C183" s="37"/>
      <c r="D183" s="37"/>
      <c r="E183" s="37"/>
      <c r="F183" s="38"/>
      <c r="G183" s="24" t="str">
        <f aca="false">IF(OR(B183="",E183="",F183="",N(E183)=0),"",IF(OR(D183="g",D183="ml"),F183/E183*1000,F183/E183))</f>
        <v/>
      </c>
      <c r="H183" s="20" t="str">
        <f aca="false">IF(G183="","",IF(D183="g","o quilo",IF(D183="ml","o litro","a unidade")))</f>
        <v/>
      </c>
      <c r="I183" s="7"/>
      <c r="J183" s="36"/>
    </row>
    <row r="184" customFormat="false" ht="21" hidden="false" customHeight="true" outlineLevel="0" collapsed="false">
      <c r="B184" s="7"/>
      <c r="C184" s="37"/>
      <c r="D184" s="37"/>
      <c r="E184" s="37"/>
      <c r="F184" s="38"/>
      <c r="G184" s="24" t="str">
        <f aca="false">IF(OR(B184="",E184="",F184="",N(E184)=0),"",IF(OR(D184="g",D184="ml"),F184/E184*1000,F184/E184))</f>
        <v/>
      </c>
      <c r="H184" s="20" t="str">
        <f aca="false">IF(G184="","",IF(D184="g","o quilo",IF(D184="ml","o litro","a unidade")))</f>
        <v/>
      </c>
      <c r="I184" s="7"/>
      <c r="J184" s="36"/>
    </row>
    <row r="185" customFormat="false" ht="21" hidden="false" customHeight="true" outlineLevel="0" collapsed="false">
      <c r="B185" s="7"/>
      <c r="C185" s="37"/>
      <c r="D185" s="37"/>
      <c r="E185" s="37"/>
      <c r="F185" s="38"/>
      <c r="G185" s="24" t="str">
        <f aca="false">IF(OR(B185="",E185="",F185="",N(E185)=0),"",IF(OR(D185="g",D185="ml"),F185/E185*1000,F185/E185))</f>
        <v/>
      </c>
      <c r="H185" s="20" t="str">
        <f aca="false">IF(G185="","",IF(D185="g","o quilo",IF(D185="ml","o litro","a unidade")))</f>
        <v/>
      </c>
      <c r="I185" s="7"/>
      <c r="J185" s="36"/>
    </row>
    <row r="186" customFormat="false" ht="21" hidden="false" customHeight="true" outlineLevel="0" collapsed="false">
      <c r="B186" s="7"/>
      <c r="C186" s="37"/>
      <c r="D186" s="37"/>
      <c r="E186" s="37"/>
      <c r="F186" s="38"/>
      <c r="G186" s="24" t="str">
        <f aca="false">IF(OR(B186="",E186="",F186="",N(E186)=0),"",IF(OR(D186="g",D186="ml"),F186/E186*1000,F186/E186))</f>
        <v/>
      </c>
      <c r="H186" s="20" t="str">
        <f aca="false">IF(G186="","",IF(D186="g","o quilo",IF(D186="ml","o litro","a unidade")))</f>
        <v/>
      </c>
      <c r="I186" s="7"/>
      <c r="J186" s="36"/>
    </row>
    <row r="187" customFormat="false" ht="21" hidden="false" customHeight="true" outlineLevel="0" collapsed="false">
      <c r="B187" s="7"/>
      <c r="C187" s="37"/>
      <c r="D187" s="37"/>
      <c r="E187" s="37"/>
      <c r="F187" s="38"/>
      <c r="G187" s="24" t="str">
        <f aca="false">IF(OR(B187="",E187="",F187="",N(E187)=0),"",IF(OR(D187="g",D187="ml"),F187/E187*1000,F187/E187))</f>
        <v/>
      </c>
      <c r="H187" s="20" t="str">
        <f aca="false">IF(G187="","",IF(D187="g","o quilo",IF(D187="ml","o litro","a unidade")))</f>
        <v/>
      </c>
      <c r="I187" s="7"/>
      <c r="J187" s="36"/>
    </row>
    <row r="188" customFormat="false" ht="21" hidden="false" customHeight="true" outlineLevel="0" collapsed="false">
      <c r="B188" s="7"/>
      <c r="C188" s="37"/>
      <c r="D188" s="37"/>
      <c r="E188" s="37"/>
      <c r="F188" s="38"/>
      <c r="G188" s="24" t="str">
        <f aca="false">IF(OR(B188="",E188="",F188="",N(E188)=0),"",IF(OR(D188="g",D188="ml"),F188/E188*1000,F188/E188))</f>
        <v/>
      </c>
      <c r="H188" s="20" t="str">
        <f aca="false">IF(G188="","",IF(D188="g","o quilo",IF(D188="ml","o litro","a unidade")))</f>
        <v/>
      </c>
      <c r="I188" s="7"/>
      <c r="J188" s="36"/>
    </row>
    <row r="189" customFormat="false" ht="21" hidden="false" customHeight="true" outlineLevel="0" collapsed="false">
      <c r="B189" s="7"/>
      <c r="C189" s="37"/>
      <c r="D189" s="37"/>
      <c r="E189" s="37"/>
      <c r="F189" s="38"/>
      <c r="G189" s="24" t="str">
        <f aca="false">IF(OR(B189="",E189="",F189="",N(E189)=0),"",IF(OR(D189="g",D189="ml"),F189/E189*1000,F189/E189))</f>
        <v/>
      </c>
      <c r="H189" s="20" t="str">
        <f aca="false">IF(G189="","",IF(D189="g","o quilo",IF(D189="ml","o litro","a unidade")))</f>
        <v/>
      </c>
      <c r="I189" s="7"/>
      <c r="J189" s="36"/>
    </row>
    <row r="190" customFormat="false" ht="21" hidden="false" customHeight="true" outlineLevel="0" collapsed="false">
      <c r="B190" s="7"/>
      <c r="C190" s="37"/>
      <c r="D190" s="37"/>
      <c r="E190" s="37"/>
      <c r="F190" s="38"/>
      <c r="G190" s="24" t="str">
        <f aca="false">IF(OR(B190="",E190="",F190="",N(E190)=0),"",IF(OR(D190="g",D190="ml"),F190/E190*1000,F190/E190))</f>
        <v/>
      </c>
      <c r="H190" s="20" t="str">
        <f aca="false">IF(G190="","",IF(D190="g","o quilo",IF(D190="ml","o litro","a unidade")))</f>
        <v/>
      </c>
      <c r="I190" s="7"/>
      <c r="J190" s="36"/>
    </row>
    <row r="191" customFormat="false" ht="21" hidden="false" customHeight="true" outlineLevel="0" collapsed="false">
      <c r="B191" s="7"/>
      <c r="C191" s="37"/>
      <c r="D191" s="37"/>
      <c r="E191" s="37"/>
      <c r="F191" s="38"/>
      <c r="G191" s="24" t="str">
        <f aca="false">IF(OR(B191="",E191="",F191="",N(E191)=0),"",IF(OR(D191="g",D191="ml"),F191/E191*1000,F191/E191))</f>
        <v/>
      </c>
      <c r="H191" s="20" t="str">
        <f aca="false">IF(G191="","",IF(D191="g","o quilo",IF(D191="ml","o litro","a unidade")))</f>
        <v/>
      </c>
      <c r="I191" s="7"/>
      <c r="J191" s="36"/>
    </row>
    <row r="192" customFormat="false" ht="21" hidden="false" customHeight="true" outlineLevel="0" collapsed="false">
      <c r="B192" s="7"/>
      <c r="C192" s="37"/>
      <c r="D192" s="37"/>
      <c r="E192" s="37"/>
      <c r="F192" s="38"/>
      <c r="G192" s="24" t="str">
        <f aca="false">IF(OR(B192="",E192="",F192="",N(E192)=0),"",IF(OR(D192="g",D192="ml"),F192/E192*1000,F192/E192))</f>
        <v/>
      </c>
      <c r="H192" s="20" t="str">
        <f aca="false">IF(G192="","",IF(D192="g","o quilo",IF(D192="ml","o litro","a unidade")))</f>
        <v/>
      </c>
      <c r="I192" s="7"/>
      <c r="J192" s="36"/>
    </row>
    <row r="193" customFormat="false" ht="21" hidden="false" customHeight="true" outlineLevel="0" collapsed="false">
      <c r="B193" s="7"/>
      <c r="C193" s="37"/>
      <c r="D193" s="37"/>
      <c r="E193" s="37"/>
      <c r="F193" s="38"/>
      <c r="G193" s="24" t="str">
        <f aca="false">IF(OR(B193="",E193="",F193="",N(E193)=0),"",IF(OR(D193="g",D193="ml"),F193/E193*1000,F193/E193))</f>
        <v/>
      </c>
      <c r="H193" s="20" t="str">
        <f aca="false">IF(G193="","",IF(D193="g","o quilo",IF(D193="ml","o litro","a unidade")))</f>
        <v/>
      </c>
      <c r="I193" s="7"/>
      <c r="J193" s="36"/>
    </row>
    <row r="194" customFormat="false" ht="21" hidden="false" customHeight="true" outlineLevel="0" collapsed="false">
      <c r="B194" s="7"/>
      <c r="C194" s="37"/>
      <c r="D194" s="37"/>
      <c r="E194" s="37"/>
      <c r="F194" s="38"/>
      <c r="G194" s="24" t="str">
        <f aca="false">IF(OR(B194="",E194="",F194="",N(E194)=0),"",IF(OR(D194="g",D194="ml"),F194/E194*1000,F194/E194))</f>
        <v/>
      </c>
      <c r="H194" s="20" t="str">
        <f aca="false">IF(G194="","",IF(D194="g","o quilo",IF(D194="ml","o litro","a unidade")))</f>
        <v/>
      </c>
      <c r="I194" s="7"/>
      <c r="J194" s="36"/>
    </row>
    <row r="195" customFormat="false" ht="21" hidden="false" customHeight="true" outlineLevel="0" collapsed="false">
      <c r="B195" s="7"/>
      <c r="C195" s="37"/>
      <c r="D195" s="37"/>
      <c r="E195" s="37"/>
      <c r="F195" s="38"/>
      <c r="G195" s="24" t="str">
        <f aca="false">IF(OR(B195="",E195="",F195="",N(E195)=0),"",IF(OR(D195="g",D195="ml"),F195/E195*1000,F195/E195))</f>
        <v/>
      </c>
      <c r="H195" s="20" t="str">
        <f aca="false">IF(G195="","",IF(D195="g","o quilo",IF(D195="ml","o litro","a unidade")))</f>
        <v/>
      </c>
      <c r="I195" s="7"/>
      <c r="J195" s="36"/>
    </row>
    <row r="196" customFormat="false" ht="21" hidden="false" customHeight="true" outlineLevel="0" collapsed="false">
      <c r="B196" s="7"/>
      <c r="C196" s="37"/>
      <c r="D196" s="37"/>
      <c r="E196" s="37"/>
      <c r="F196" s="38"/>
      <c r="G196" s="24" t="str">
        <f aca="false">IF(OR(B196="",E196="",F196="",N(E196)=0),"",IF(OR(D196="g",D196="ml"),F196/E196*1000,F196/E196))</f>
        <v/>
      </c>
      <c r="H196" s="20" t="str">
        <f aca="false">IF(G196="","",IF(D196="g","o quilo",IF(D196="ml","o litro","a unidade")))</f>
        <v/>
      </c>
      <c r="I196" s="7"/>
      <c r="J196" s="36"/>
    </row>
    <row r="197" customFormat="false" ht="21" hidden="false" customHeight="true" outlineLevel="0" collapsed="false">
      <c r="B197" s="7"/>
      <c r="C197" s="37"/>
      <c r="D197" s="37"/>
      <c r="E197" s="37"/>
      <c r="F197" s="38"/>
      <c r="G197" s="24" t="str">
        <f aca="false">IF(OR(B197="",E197="",F197="",N(E197)=0),"",IF(OR(D197="g",D197="ml"),F197/E197*1000,F197/E197))</f>
        <v/>
      </c>
      <c r="H197" s="20" t="str">
        <f aca="false">IF(G197="","",IF(D197="g","o quilo",IF(D197="ml","o litro","a unidade")))</f>
        <v/>
      </c>
      <c r="I197" s="7"/>
      <c r="J197" s="36"/>
    </row>
    <row r="198" customFormat="false" ht="21" hidden="false" customHeight="true" outlineLevel="0" collapsed="false">
      <c r="B198" s="7"/>
      <c r="C198" s="37"/>
      <c r="D198" s="37"/>
      <c r="E198" s="37"/>
      <c r="F198" s="38"/>
      <c r="G198" s="24" t="str">
        <f aca="false">IF(OR(B198="",E198="",F198="",N(E198)=0),"",IF(OR(D198="g",D198="ml"),F198/E198*1000,F198/E198))</f>
        <v/>
      </c>
      <c r="H198" s="20" t="str">
        <f aca="false">IF(G198="","",IF(D198="g","o quilo",IF(D198="ml","o litro","a unidade")))</f>
        <v/>
      </c>
      <c r="I198" s="7"/>
      <c r="J198" s="36"/>
    </row>
    <row r="199" customFormat="false" ht="21" hidden="false" customHeight="true" outlineLevel="0" collapsed="false">
      <c r="B199" s="7"/>
      <c r="C199" s="37"/>
      <c r="D199" s="37"/>
      <c r="E199" s="37"/>
      <c r="F199" s="38"/>
      <c r="G199" s="24" t="str">
        <f aca="false">IF(OR(B199="",E199="",F199="",N(E199)=0),"",IF(OR(D199="g",D199="ml"),F199/E199*1000,F199/E199))</f>
        <v/>
      </c>
      <c r="H199" s="20" t="str">
        <f aca="false">IF(G199="","",IF(D199="g","o quilo",IF(D199="ml","o litro","a unidade")))</f>
        <v/>
      </c>
      <c r="I199" s="7"/>
      <c r="J199" s="36"/>
    </row>
    <row r="200" customFormat="false" ht="21" hidden="false" customHeight="true" outlineLevel="0" collapsed="false">
      <c r="B200" s="7"/>
      <c r="C200" s="37"/>
      <c r="D200" s="37"/>
      <c r="E200" s="37"/>
      <c r="F200" s="38"/>
      <c r="G200" s="24" t="str">
        <f aca="false">IF(OR(B200="",E200="",F200="",N(E200)=0),"",IF(OR(D200="g",D200="ml"),F200/E200*1000,F200/E200))</f>
        <v/>
      </c>
      <c r="H200" s="20" t="str">
        <f aca="false">IF(G200="","",IF(D200="g","o quilo",IF(D200="ml","o litro","a unidade")))</f>
        <v/>
      </c>
      <c r="I200" s="7"/>
      <c r="J200" s="36"/>
    </row>
    <row r="201" customFormat="false" ht="21" hidden="false" customHeight="true" outlineLevel="0" collapsed="false">
      <c r="B201" s="7"/>
      <c r="C201" s="37"/>
      <c r="D201" s="37"/>
      <c r="E201" s="37"/>
      <c r="F201" s="38"/>
      <c r="G201" s="24" t="str">
        <f aca="false">IF(OR(B201="",E201="",F201="",N(E201)=0),"",IF(OR(D201="g",D201="ml"),F201/E201*1000,F201/E201))</f>
        <v/>
      </c>
      <c r="H201" s="20" t="str">
        <f aca="false">IF(G201="","",IF(D201="g","o quilo",IF(D201="ml","o litro","a unidade")))</f>
        <v/>
      </c>
      <c r="I201" s="7"/>
      <c r="J201" s="36"/>
    </row>
    <row r="202" customFormat="false" ht="21" hidden="false" customHeight="true" outlineLevel="0" collapsed="false">
      <c r="B202" s="7"/>
      <c r="C202" s="37"/>
      <c r="D202" s="37"/>
      <c r="E202" s="37"/>
      <c r="F202" s="38"/>
      <c r="G202" s="24" t="str">
        <f aca="false">IF(OR(B202="",E202="",F202="",N(E202)=0),"",IF(OR(D202="g",D202="ml"),F202/E202*1000,F202/E202))</f>
        <v/>
      </c>
      <c r="H202" s="20" t="str">
        <f aca="false">IF(G202="","",IF(D202="g","o quilo",IF(D202="ml","o litro","a unidade")))</f>
        <v/>
      </c>
      <c r="I202" s="7"/>
      <c r="J202" s="36"/>
    </row>
    <row r="203" customFormat="false" ht="21" hidden="false" customHeight="true" outlineLevel="0" collapsed="false">
      <c r="B203" s="7"/>
      <c r="C203" s="37"/>
      <c r="D203" s="37"/>
      <c r="E203" s="37"/>
      <c r="F203" s="38"/>
      <c r="G203" s="24" t="str">
        <f aca="false">IF(OR(B203="",E203="",F203="",N(E203)=0),"",IF(OR(D203="g",D203="ml"),F203/E203*1000,F203/E203))</f>
        <v/>
      </c>
      <c r="H203" s="20" t="str">
        <f aca="false">IF(G203="","",IF(D203="g","o quilo",IF(D203="ml","o litro","a unidade")))</f>
        <v/>
      </c>
      <c r="I203" s="7"/>
      <c r="J203" s="36"/>
    </row>
    <row r="204" customFormat="false" ht="21" hidden="false" customHeight="true" outlineLevel="0" collapsed="false">
      <c r="B204" s="7"/>
      <c r="C204" s="37"/>
      <c r="D204" s="37"/>
      <c r="E204" s="37"/>
      <c r="F204" s="38"/>
      <c r="G204" s="24" t="str">
        <f aca="false">IF(OR(B204="",E204="",F204="",N(E204)=0),"",IF(OR(D204="g",D204="ml"),F204/E204*1000,F204/E204))</f>
        <v/>
      </c>
      <c r="H204" s="20" t="str">
        <f aca="false">IF(G204="","",IF(D204="g","o quilo",IF(D204="ml","o litro","a unidade")))</f>
        <v/>
      </c>
      <c r="I204" s="7"/>
      <c r="J204" s="36"/>
    </row>
  </sheetData>
  <mergeCells count="3">
    <mergeCell ref="B1:J1"/>
    <mergeCell ref="B2:J2"/>
    <mergeCell ref="G4:H4"/>
  </mergeCells>
  <dataValidations count="2">
    <dataValidation allowBlank="true" errorStyle="stop" operator="between" showDropDown="false" showErrorMessage="false" showInputMessage="false" sqref="C5:C204" type="list">
      <formula1>"Ingrediente,Embalagem,Outro"</formula1>
      <formula2>0</formula2>
    </dataValidation>
    <dataValidation allowBlank="true" errorStyle="stop" operator="between" prompt="g = gramas, ml = mililitros, un = unidades (ovos, potes, colheres)" promptTitle="Medida" showDropDown="false" showErrorMessage="false" showInputMessage="true" sqref="D5:D204" type="list">
      <formula1>"g,ml,un"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3426"/>
    <pageSetUpPr fitToPage="true"/>
  </sheetPr>
  <dimension ref="B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9.75" hidden="false" customHeight="true" outlineLevel="0" collapsed="false">
      <c r="B1" s="1" t="s">
        <v>3</v>
      </c>
      <c r="C1" s="1"/>
      <c r="D1" s="1"/>
    </row>
    <row r="2" customFormat="false" ht="36" hidden="false" customHeight="true" outlineLevel="0" collapsed="false">
      <c r="B2" s="2" t="s">
        <v>195</v>
      </c>
      <c r="C2" s="2"/>
      <c r="D2" s="2"/>
    </row>
    <row r="3" customFormat="false" ht="9.75" hidden="false" customHeight="true" outlineLevel="0" collapsed="false"/>
    <row r="4" customFormat="false" ht="27.75" hidden="false" customHeight="true" outlineLevel="0" collapsed="false">
      <c r="B4" s="3" t="s">
        <v>196</v>
      </c>
      <c r="C4" s="3"/>
      <c r="D4" s="3"/>
    </row>
    <row r="5" customFormat="false" ht="43.5" hidden="false" customHeight="true" outlineLevel="0" collapsed="false">
      <c r="B5" s="35" t="s">
        <v>197</v>
      </c>
      <c r="C5" s="35" t="s">
        <v>198</v>
      </c>
      <c r="D5" s="35" t="s">
        <v>105</v>
      </c>
    </row>
    <row r="6" customFormat="false" ht="24" hidden="false" customHeight="true" outlineLevel="0" collapsed="false">
      <c r="B6" s="7" t="s">
        <v>199</v>
      </c>
      <c r="C6" s="38" t="n">
        <v>60</v>
      </c>
      <c r="D6" s="42" t="s">
        <v>200</v>
      </c>
    </row>
    <row r="7" customFormat="false" ht="24" hidden="false" customHeight="true" outlineLevel="0" collapsed="false">
      <c r="B7" s="7" t="s">
        <v>201</v>
      </c>
      <c r="C7" s="38" t="n">
        <v>50</v>
      </c>
      <c r="D7" s="42" t="s">
        <v>202</v>
      </c>
    </row>
    <row r="8" customFormat="false" ht="24" hidden="false" customHeight="true" outlineLevel="0" collapsed="false">
      <c r="B8" s="7" t="s">
        <v>203</v>
      </c>
      <c r="C8" s="38" t="n">
        <v>20</v>
      </c>
      <c r="D8" s="42"/>
    </row>
    <row r="9" customFormat="false" ht="24" hidden="false" customHeight="true" outlineLevel="0" collapsed="false">
      <c r="B9" s="7" t="s">
        <v>204</v>
      </c>
      <c r="C9" s="38" t="n">
        <v>40</v>
      </c>
      <c r="D9" s="42"/>
    </row>
    <row r="10" customFormat="false" ht="24" hidden="false" customHeight="true" outlineLevel="0" collapsed="false">
      <c r="B10" s="7" t="s">
        <v>205</v>
      </c>
      <c r="C10" s="38" t="n">
        <v>82</v>
      </c>
      <c r="D10" s="42" t="s">
        <v>206</v>
      </c>
    </row>
    <row r="11" customFormat="false" ht="24" hidden="false" customHeight="true" outlineLevel="0" collapsed="false">
      <c r="B11" s="7" t="s">
        <v>207</v>
      </c>
      <c r="C11" s="38" t="n">
        <v>100</v>
      </c>
      <c r="D11" s="42" t="s">
        <v>208</v>
      </c>
    </row>
    <row r="12" customFormat="false" ht="24" hidden="false" customHeight="true" outlineLevel="0" collapsed="false">
      <c r="B12" s="7" t="s">
        <v>209</v>
      </c>
      <c r="C12" s="38" t="n">
        <v>30</v>
      </c>
      <c r="D12" s="42" t="s">
        <v>210</v>
      </c>
    </row>
    <row r="13" customFormat="false" ht="24" hidden="false" customHeight="true" outlineLevel="0" collapsed="false">
      <c r="B13" s="7" t="s">
        <v>211</v>
      </c>
      <c r="C13" s="38" t="n">
        <v>25</v>
      </c>
      <c r="D13" s="42" t="s">
        <v>212</v>
      </c>
    </row>
    <row r="14" customFormat="false" ht="24" hidden="false" customHeight="true" outlineLevel="0" collapsed="false">
      <c r="B14" s="7" t="s">
        <v>213</v>
      </c>
      <c r="C14" s="38" t="n">
        <v>0</v>
      </c>
      <c r="D14" s="42" t="s">
        <v>214</v>
      </c>
    </row>
    <row r="15" customFormat="false" ht="24" hidden="false" customHeight="true" outlineLevel="0" collapsed="false">
      <c r="B15" s="7" t="s">
        <v>215</v>
      </c>
      <c r="C15" s="38" t="n">
        <v>0</v>
      </c>
      <c r="D15" s="42"/>
    </row>
    <row r="16" customFormat="false" ht="24" hidden="false" customHeight="true" outlineLevel="0" collapsed="false">
      <c r="B16" s="7" t="s">
        <v>216</v>
      </c>
      <c r="C16" s="38" t="n">
        <v>0</v>
      </c>
      <c r="D16" s="42"/>
    </row>
    <row r="17" customFormat="false" ht="24" hidden="false" customHeight="true" outlineLevel="0" collapsed="false">
      <c r="B17" s="7"/>
      <c r="C17" s="38"/>
      <c r="D17" s="42"/>
    </row>
    <row r="18" customFormat="false" ht="24" hidden="false" customHeight="true" outlineLevel="0" collapsed="false">
      <c r="B18" s="7"/>
      <c r="C18" s="38"/>
      <c r="D18" s="42"/>
    </row>
    <row r="19" customFormat="false" ht="24" hidden="false" customHeight="true" outlineLevel="0" collapsed="false">
      <c r="B19" s="7"/>
      <c r="C19" s="38"/>
      <c r="D19" s="42"/>
    </row>
    <row r="20" customFormat="false" ht="24" hidden="false" customHeight="true" outlineLevel="0" collapsed="false">
      <c r="B20" s="7"/>
      <c r="C20" s="38"/>
      <c r="D20" s="42"/>
    </row>
    <row r="21" customFormat="false" ht="24" hidden="false" customHeight="true" outlineLevel="0" collapsed="false">
      <c r="B21" s="11" t="s">
        <v>217</v>
      </c>
      <c r="C21" s="25" t="n">
        <f aca="false">SUM(C6:C20)</f>
        <v>407</v>
      </c>
      <c r="D21" s="26" t="s">
        <v>218</v>
      </c>
    </row>
    <row r="23" customFormat="false" ht="27.75" hidden="false" customHeight="true" outlineLevel="0" collapsed="false">
      <c r="B23" s="3" t="s">
        <v>219</v>
      </c>
      <c r="C23" s="3"/>
      <c r="D23" s="3"/>
    </row>
    <row r="24" customFormat="false" ht="24" hidden="false" customHeight="true" outlineLevel="0" collapsed="false">
      <c r="B24" s="9" t="s">
        <v>220</v>
      </c>
      <c r="C24" s="38" t="n">
        <v>1500</v>
      </c>
      <c r="D24" s="20" t="s">
        <v>221</v>
      </c>
    </row>
    <row r="26" customFormat="false" ht="27.75" hidden="false" customHeight="true" outlineLevel="0" collapsed="false">
      <c r="B26" s="3" t="s">
        <v>222</v>
      </c>
      <c r="C26" s="3"/>
      <c r="D26" s="3"/>
    </row>
    <row r="27" customFormat="false" ht="24" hidden="false" customHeight="true" outlineLevel="0" collapsed="false">
      <c r="B27" s="9" t="s">
        <v>223</v>
      </c>
      <c r="C27" s="37" t="n">
        <v>22</v>
      </c>
      <c r="D27" s="20" t="s">
        <v>224</v>
      </c>
    </row>
    <row r="28" customFormat="false" ht="24" hidden="false" customHeight="true" outlineLevel="0" collapsed="false">
      <c r="B28" s="9" t="s">
        <v>225</v>
      </c>
      <c r="C28" s="37" t="n">
        <v>5</v>
      </c>
      <c r="D28" s="20" t="s">
        <v>226</v>
      </c>
    </row>
    <row r="29" customFormat="false" ht="24" hidden="false" customHeight="true" outlineLevel="0" collapsed="false">
      <c r="B29" s="6" t="s">
        <v>227</v>
      </c>
      <c r="C29" s="34" t="n">
        <f aca="false">C27*C28</f>
        <v>110</v>
      </c>
      <c r="D29" s="20"/>
    </row>
    <row r="30" customFormat="false" ht="24" hidden="false" customHeight="true" outlineLevel="0" collapsed="false">
      <c r="B30" s="11" t="s">
        <v>228</v>
      </c>
      <c r="C30" s="25" t="n">
        <f aca="false">IF(C29&gt;0,(C21+C24)/C29,0)</f>
        <v>17.3363636363636</v>
      </c>
      <c r="D30" s="26" t="s">
        <v>229</v>
      </c>
    </row>
    <row r="32" customFormat="false" ht="27.75" hidden="false" customHeight="true" outlineLevel="0" collapsed="false">
      <c r="B32" s="3" t="s">
        <v>230</v>
      </c>
      <c r="C32" s="3"/>
      <c r="D32" s="3"/>
    </row>
    <row r="33" customFormat="false" ht="24" hidden="false" customHeight="true" outlineLevel="0" collapsed="false">
      <c r="B33" s="9" t="s">
        <v>231</v>
      </c>
      <c r="C33" s="43" t="n">
        <v>0.03</v>
      </c>
      <c r="D33" s="20" t="s">
        <v>232</v>
      </c>
    </row>
    <row r="34" customFormat="false" ht="24" hidden="false" customHeight="true" outlineLevel="0" collapsed="false">
      <c r="B34" s="9" t="s">
        <v>233</v>
      </c>
      <c r="C34" s="43" t="n">
        <v>0.05</v>
      </c>
      <c r="D34" s="20" t="s">
        <v>234</v>
      </c>
    </row>
    <row r="35" customFormat="false" ht="24" hidden="false" customHeight="true" outlineLevel="0" collapsed="false">
      <c r="B35" s="9" t="s">
        <v>235</v>
      </c>
      <c r="C35" s="43" t="n">
        <v>0.15</v>
      </c>
      <c r="D35" s="20" t="s">
        <v>236</v>
      </c>
    </row>
    <row r="37" customFormat="false" ht="27.75" hidden="false" customHeight="true" outlineLevel="0" collapsed="false">
      <c r="B37" s="3" t="s">
        <v>237</v>
      </c>
      <c r="C37" s="3"/>
      <c r="D37" s="3"/>
    </row>
    <row r="38" customFormat="false" ht="24" hidden="false" customHeight="true" outlineLevel="0" collapsed="false">
      <c r="B38" s="11" t="s">
        <v>238</v>
      </c>
      <c r="C38" s="25" t="n">
        <f aca="false">C21+C24</f>
        <v>1907</v>
      </c>
      <c r="D38" s="10"/>
    </row>
    <row r="39" customFormat="false" ht="24" hidden="false" customHeight="true" outlineLevel="0" collapsed="false">
      <c r="B39" s="11" t="s">
        <v>239</v>
      </c>
      <c r="C39" s="25" t="n">
        <f aca="false">MetaVendas</f>
        <v>2991.89572679672</v>
      </c>
      <c r="D39" s="26" t="s">
        <v>240</v>
      </c>
    </row>
  </sheetData>
  <mergeCells count="7">
    <mergeCell ref="B1:D1"/>
    <mergeCell ref="B2:D2"/>
    <mergeCell ref="B4:D4"/>
    <mergeCell ref="B23:D23"/>
    <mergeCell ref="B26:D26"/>
    <mergeCell ref="B32:D32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2026-10-30T21:43:05Z</dcterms:created>
  <dc:creator>openpyxl</dc:creator>
  <dc:description/>
  <dc:language>en-US</dc:language>
  <cp:lastModifiedBy/>
  <dcterms:modified xsi:type="dcterms:W3CDTF">2026-10-30T21:43:09Z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