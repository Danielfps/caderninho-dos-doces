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ício" sheetId="1" state="visible" r:id="rId3"/>
    <sheet name="Resumo" sheetId="2" state="visible" r:id="rId4"/>
    <sheet name="Vendas" sheetId="3" state="visible" r:id="rId5"/>
    <sheet name="Recebi" sheetId="4" state="visible" r:id="rId6"/>
    <sheet name="Acertos" sheetId="5" state="visible" r:id="rId7"/>
    <sheet name="Clientes" sheetId="6" state="visible" r:id="rId8"/>
    <sheet name="Produtos" sheetId="7" state="visible" r:id="rId9"/>
    <sheet name="Receitas" sheetId="8" state="visible" r:id="rId10"/>
    <sheet name="Materiais" sheetId="9" state="visible" r:id="rId11"/>
    <sheet name="Meu Mês" sheetId="10" state="visible" r:id="rId12"/>
  </sheets>
  <definedNames>
    <definedName function="false" hidden="false" name="ContasFixas" vbProcedure="false">'Meu Mês'!$C$21</definedName>
    <definedName function="false" hidden="false" name="LucroDesejado" vbProcedure="false">'Meu Mês'!$C$35</definedName>
    <definedName function="false" hidden="false" name="MetaVendas" vbProcedure="false">Resumo!$C$25</definedName>
    <definedName function="false" hidden="false" name="Negocio" vbProcedure="false">Início!$D$4</definedName>
    <definedName function="false" hidden="false" name="Perdas" vbProcedure="false">'Meu Mês'!$C$34</definedName>
    <definedName function="false" hidden="false" name="Salario" vbProcedure="false">'Meu Mês'!$C$24</definedName>
    <definedName function="false" hidden="false" name="Taxas" vbProcedure="false">'Meu Mês'!$C$33</definedName>
    <definedName function="false" hidden="false" name="ValorHora" vbProcedure="false">'Meu Mês'!$C$30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<sst xmlns="http://schemas.openxmlformats.org/spreadsheetml/2006/main" count="435" uniqueCount="252">
  <si>
    <t xml:space="preserve">Caderninho — controle de fiado</t>
  </si>
  <si>
    <t xml:space="preserve">Planilha de custos, preços e fiado para qualquer negócio que vende para receber depois: cantina, lanchonete, doces e salgados, lojinha, revenda.</t>
  </si>
  <si>
    <t xml:space="preserve">Nome do negócio (se quiser)</t>
  </si>
  <si>
    <t xml:space="preserve">Na primeira vez, preencha nesta ordem:</t>
  </si>
  <si>
    <t xml:space="preserve">Meu Mês</t>
  </si>
  <si>
    <t xml:space="preserve">Suas contas fixas, quanto você precisa para viver e quantas horas trabalha. A planilha calcula quanto vale a sua hora.</t>
  </si>
  <si>
    <t xml:space="preserve">Materiais</t>
  </si>
  <si>
    <t xml:space="preserve">Se você prepara o que vende: tudo que compra para isso (ingredientes, embalagens), com o tamanho do pacote e o preço.</t>
  </si>
  <si>
    <t xml:space="preserve">Produtos</t>
  </si>
  <si>
    <t xml:space="preserve">O que você vende. Se prepara: quanto a receita rende e quanto tempo leva. Se compra pronto: quanto paga por unidade.</t>
  </si>
  <si>
    <t xml:space="preserve">Receitas</t>
  </si>
  <si>
    <t xml:space="preserve">Só para o que você prepara: o que vai e quanto vai. O preço sugerido aparece em Produtos.</t>
  </si>
  <si>
    <t xml:space="preserve">Clientes</t>
  </si>
  <si>
    <t xml:space="preserve">Quem compra de você, com uma observação se quiser (turma, setor, responsável).</t>
  </si>
  <si>
    <t xml:space="preserve">No dia a dia:</t>
  </si>
  <si>
    <t xml:space="preserve">•</t>
  </si>
  <si>
    <t xml:space="preserve">Vendas</t>
  </si>
  <si>
    <t xml:space="preserve">Quem pegou o quê. Sem produto cadastrado? Escreva o que foi e o valor, como no caderno.</t>
  </si>
  <si>
    <t xml:space="preserve">Recebi</t>
  </si>
  <si>
    <t xml:space="preserve">Quem te pagou, quanto e como (Pix, dinheiro, cartão).</t>
  </si>
  <si>
    <t xml:space="preserve">Acertos</t>
  </si>
  <si>
    <t xml:space="preserve">Um presente, um desconto ou a correção do valor que alguém deve.</t>
  </si>
  <si>
    <t xml:space="preserve">Resumo</t>
  </si>
  <si>
    <t xml:space="preserve">Quanto vendeu, quanto já recebeu, quem deve e se o mês pagou suas contas e o seu salário.</t>
  </si>
  <si>
    <t xml:space="preserve">As cores</t>
  </si>
  <si>
    <t xml:space="preserve">Azul clarinho</t>
  </si>
  <si>
    <t xml:space="preserve">Você preenche. Pode escrever por cima à vontade.</t>
  </si>
  <si>
    <t xml:space="preserve">Branco</t>
  </si>
  <si>
    <t xml:space="preserve">A planilha calcula sozinha. Não precisa mexer.</t>
  </si>
  <si>
    <t xml:space="preserve">Cinza</t>
  </si>
  <si>
    <t xml:space="preserve">Os números mais importantes.</t>
  </si>
  <si>
    <t xml:space="preserve">Vermelho</t>
  </si>
  <si>
    <t xml:space="preserve">Dívida, ou um preço que dá prejuízo.</t>
  </si>
  <si>
    <t xml:space="preserve">Verde</t>
  </si>
  <si>
    <t xml:space="preserve">Dinheiro que entrou e conta em dia.</t>
  </si>
  <si>
    <t xml:space="preserve">Como a planilha chega no preço</t>
  </si>
  <si>
    <t xml:space="preserve">1</t>
  </si>
  <si>
    <t xml:space="preserve">Custo da unidade</t>
  </si>
  <si>
    <t xml:space="preserve">Se prepara: materiais da receita, mais as perdas, divididos pelo rendimento. Se compra pronto: o que paga, mais as perdas.</t>
  </si>
  <si>
    <t xml:space="preserve">2</t>
  </si>
  <si>
    <t xml:space="preserve">Seu tempo e contas</t>
  </si>
  <si>
    <t xml:space="preserve">Só no que você prepara: horas da receita × quanto vale a sua hora, divididas pelo rendimento. É isso que paga as contas fixas e o seu salário.</t>
  </si>
  <si>
    <t xml:space="preserve">3</t>
  </si>
  <si>
    <t xml:space="preserve">Preço sugerido</t>
  </si>
  <si>
    <t xml:space="preserve">Custo completo, mais as taxas e o lucro que você quer. Arredondado para cima.</t>
  </si>
  <si>
    <t xml:space="preserve">4</t>
  </si>
  <si>
    <t xml:space="preserve">Como está</t>
  </si>
  <si>
    <t xml:space="preserve">Compara com o preço que você cobra hoje: Preço bom, Abaixo do sugerido, Não paga o seu tempo ou Prejuízo.</t>
  </si>
  <si>
    <t xml:space="preserve">Dicas</t>
  </si>
  <si>
    <t xml:space="preserve">As linhas que já vêm preenchidas são exemplos. Escreva por cima ou apague.</t>
  </si>
  <si>
    <t xml:space="preserve">Quilo vira gramas e litro vira ml: 1 kg = 1000 g, 1 litro = 1000 ml. Ovos, potes e peças são em unidades (un).</t>
  </si>
  <si>
    <t xml:space="preserve">Mudou o preço de algo que você compra? Mude só na aba Materiais (ou em Produtos, se compra pronto): custos e preços sugeridos se atualizam sozinhos.</t>
  </si>
  <si>
    <t xml:space="preserve">Na aba Vendas, escreva o preço que você cobrou. Assim, se mudar o preço depois, as vendas antigas não mudam.</t>
  </si>
  <si>
    <t xml:space="preserve">Em breve o app Caderninho vai preencher esta planilha sozinho.</t>
  </si>
  <si>
    <t xml:space="preserve">Quanto você vendeu, quanto já entrou, quem está devendo e se o mês pagou as suas contas e o seu salário.</t>
  </si>
  <si>
    <t xml:space="preserve">Mês que quero ver</t>
  </si>
  <si>
    <t xml:space="preserve">Começa no mês de hoje. Para ver outro, escreva a data (ex.: 01/09/2026).</t>
  </si>
  <si>
    <t xml:space="preserve">Dinheiro na rua</t>
  </si>
  <si>
    <t xml:space="preserve">Falta receber de todo mundo</t>
  </si>
  <si>
    <t xml:space="preserve">Veja quem na aba Clientes.</t>
  </si>
  <si>
    <t xml:space="preserve">Neste mês</t>
  </si>
  <si>
    <t xml:space="preserve">Desde o começo</t>
  </si>
  <si>
    <t xml:space="preserve">Vendi</t>
  </si>
  <si>
    <t xml:space="preserve">Tudo que as pessoas pegaram, pago ou fiado, com descontos e acertos.</t>
  </si>
  <si>
    <t xml:space="preserve">Já recebi</t>
  </si>
  <si>
    <t xml:space="preserve">O dinheiro que já entrou.</t>
  </si>
  <si>
    <t xml:space="preserve">Gastei com materiais e mercadoria</t>
  </si>
  <si>
    <t xml:space="preserve">Pelo custo de cada produto (aba Produtos).</t>
  </si>
  <si>
    <t xml:space="preserve">Taxas (maquininha, app)</t>
  </si>
  <si>
    <t xml:space="preserve">Uma estimativa, pela % da aba Meu Mês.</t>
  </si>
  <si>
    <t xml:space="preserve">Sobrou das vendas</t>
  </si>
  <si>
    <t xml:space="preserve">O que fica para pagar as contas e o seu salário.</t>
  </si>
  <si>
    <t xml:space="preserve">O mês pagou as contas e o seu salário?</t>
  </si>
  <si>
    <t xml:space="preserve">Contas fixas do mês</t>
  </si>
  <si>
    <t xml:space="preserve">Da aba Meu Mês.</t>
  </si>
  <si>
    <t xml:space="preserve">Ficou para mim</t>
  </si>
  <si>
    <t xml:space="preserve">Sobrou das vendas menos as contas fixas (contando o fiado que ainda vai entrar).</t>
  </si>
  <si>
    <t xml:space="preserve">Meu salário</t>
  </si>
  <si>
    <t xml:space="preserve">O que você quer tirar por mês (aba Meu Mês).</t>
  </si>
  <si>
    <t xml:space="preserve">Meta do mês</t>
  </si>
  <si>
    <t xml:space="preserve">De cada R$ 1,00 que vendo, sobra</t>
  </si>
  <si>
    <t xml:space="preserve">Para pagar contas e salário. Quanto maior, melhor.</t>
  </si>
  <si>
    <t xml:space="preserve">Para pagar contas + salário, preciso vender</t>
  </si>
  <si>
    <t xml:space="preserve">Por mês.</t>
  </si>
  <si>
    <t xml:space="preserve">Já vendi da meta</t>
  </si>
  <si>
    <t xml:space="preserve">Por produto, neste mês</t>
  </si>
  <si>
    <t xml:space="preserve">Produto</t>
  </si>
  <si>
    <t xml:space="preserve">Unidades</t>
  </si>
  <si>
    <t xml:space="preserve">Sobrou</t>
  </si>
  <si>
    <t xml:space="preserve">Quem pegou o quê, uma linha por produto. Preço em branco usa o da aba Produtos. Sem produto cadastrado? Escreva o que foi e o valor, como no caderno.</t>
  </si>
  <si>
    <t xml:space="preserve">Data</t>
  </si>
  <si>
    <t xml:space="preserve">Cliente</t>
  </si>
  <si>
    <t xml:space="preserve">Produto (ou o que foi)</t>
  </si>
  <si>
    <t xml:space="preserve">Quantas</t>
  </si>
  <si>
    <t xml:space="preserve">Preço da unidade</t>
  </si>
  <si>
    <t xml:space="preserve">Total</t>
  </si>
  <si>
    <t xml:space="preserve">Custo</t>
  </si>
  <si>
    <t xml:space="preserve">Pagou na hora?</t>
  </si>
  <si>
    <t xml:space="preserve">Ana</t>
  </si>
  <si>
    <t xml:space="preserve">Bolo de pote</t>
  </si>
  <si>
    <t xml:space="preserve">Bruno</t>
  </si>
  <si>
    <t xml:space="preserve">Brigadeiro</t>
  </si>
  <si>
    <t xml:space="preserve">Sim</t>
  </si>
  <si>
    <t xml:space="preserve">Carla</t>
  </si>
  <si>
    <t xml:space="preserve">Refrigerante lata</t>
  </si>
  <si>
    <t xml:space="preserve">Coxinha de frango</t>
  </si>
  <si>
    <t xml:space="preserve">Lúcia</t>
  </si>
  <si>
    <t xml:space="preserve">Lanche</t>
  </si>
  <si>
    <t xml:space="preserve">João</t>
  </si>
  <si>
    <t xml:space="preserve">Cada vez que alguém te pagar, uma linha aqui. Pode ser tudo ou só uma parte do que a pessoa deve.</t>
  </si>
  <si>
    <t xml:space="preserve">Quanto</t>
  </si>
  <si>
    <t xml:space="preserve">Como pagou</t>
  </si>
  <si>
    <t xml:space="preserve">Observação</t>
  </si>
  <si>
    <t xml:space="preserve">Pix</t>
  </si>
  <si>
    <t xml:space="preserve">Dinheiro</t>
  </si>
  <si>
    <t xml:space="preserve">Pagou uma parte</t>
  </si>
  <si>
    <t xml:space="preserve">Cartão</t>
  </si>
  <si>
    <t xml:space="preserve">Descontos e acertos</t>
  </si>
  <si>
    <t xml:space="preserve">Para mudar o valor que alguém deve: um presente, um desconto ou a correção de um erro. Com menos (−) diminui o que a pessoa deve; sem sinal, aumenta.</t>
  </si>
  <si>
    <t xml:space="preserve">Valor
(− diminui, + aumenta)</t>
  </si>
  <si>
    <t xml:space="preserve">Motivo</t>
  </si>
  <si>
    <t xml:space="preserve">Presente</t>
  </si>
  <si>
    <t xml:space="preserve">Arredondei a conta</t>
  </si>
  <si>
    <t xml:space="preserve">Quem compra de você. O quanto cada pessoa pegou, pagou e ainda deve aparece sozinho, pelas abas Vendas, Recebi e Acertos.</t>
  </si>
  <si>
    <t xml:space="preserve">Nome</t>
  </si>
  <si>
    <t xml:space="preserve">WhatsApp</t>
  </si>
  <si>
    <t xml:space="preserve">Observação
(turma, setor, responsável)</t>
  </si>
  <si>
    <t xml:space="preserve">Já pegou</t>
  </si>
  <si>
    <t xml:space="preserve">Já pagou</t>
  </si>
  <si>
    <t xml:space="preserve">Está devendo</t>
  </si>
  <si>
    <t xml:space="preserve">Última compra</t>
  </si>
  <si>
    <t xml:space="preserve">Situação</t>
  </si>
  <si>
    <t xml:space="preserve">(11) 90000-0001</t>
  </si>
  <si>
    <t xml:space="preserve">RH</t>
  </si>
  <si>
    <t xml:space="preserve">(11) 90000-0002</t>
  </si>
  <si>
    <t xml:space="preserve">Portaria</t>
  </si>
  <si>
    <t xml:space="preserve">(11) 90000-0003</t>
  </si>
  <si>
    <t xml:space="preserve">3º ano B</t>
  </si>
  <si>
    <t xml:space="preserve">(11) 90000-0004</t>
  </si>
  <si>
    <t xml:space="preserve">Responsável pelo Pedro, 5º ano</t>
  </si>
  <si>
    <t xml:space="preserve">(11) 90000-0005</t>
  </si>
  <si>
    <t xml:space="preserve">Vizinho</t>
  </si>
  <si>
    <t xml:space="preserve">Produtos e preços</t>
  </si>
  <si>
    <t xml:space="preserve">Quanto custa cada unidade e quanto cobrar. Se você prepara, preencha rendimento e tempo e monte a receita; se compra pronto para revender, preencha só quanto paga por unidade.</t>
  </si>
  <si>
    <t xml:space="preserve">A receita rende
(unidades)</t>
  </si>
  <si>
    <t xml:space="preserve">Tempo para fazer a receita (horas)</t>
  </si>
  <si>
    <t xml:space="preserve">Se compra pronto: quanto paga por unidade</t>
  </si>
  <si>
    <t xml:space="preserve">Materiais da receita</t>
  </si>
  <si>
    <t xml:space="preserve">Custo por unidade
(materiais e perdas)</t>
  </si>
  <si>
    <t xml:space="preserve">Seu tempo e contas por unidade</t>
  </si>
  <si>
    <t xml:space="preserve">Custo completo por unidade</t>
  </si>
  <si>
    <t xml:space="preserve">Preço mínimo
(sem prejuízo)</t>
  </si>
  <si>
    <t xml:space="preserve">Preço que eu cobro</t>
  </si>
  <si>
    <t xml:space="preserve">Lucro por unidade</t>
  </si>
  <si>
    <t xml:space="preserve">Margem de lucro</t>
  </si>
  <si>
    <t xml:space="preserve">Só para o que você prepara: o que vai em cada produto e quanto vai, com as embalagens. Linhas do mesmo produto ficam juntas.</t>
  </si>
  <si>
    <t xml:space="preserve">O que vai</t>
  </si>
  <si>
    <t xml:space="preserve">Quanto vai</t>
  </si>
  <si>
    <t xml:space="preserve">Medida</t>
  </si>
  <si>
    <t xml:space="preserve">Farinha de trigo</t>
  </si>
  <si>
    <t xml:space="preserve">massa</t>
  </si>
  <si>
    <t xml:space="preserve">Açúcar refinado</t>
  </si>
  <si>
    <t xml:space="preserve">Chocolate em pó 50%</t>
  </si>
  <si>
    <t xml:space="preserve">massa e recheio</t>
  </si>
  <si>
    <t xml:space="preserve">Ovos</t>
  </si>
  <si>
    <t xml:space="preserve">Leite</t>
  </si>
  <si>
    <t xml:space="preserve">Óleo</t>
  </si>
  <si>
    <t xml:space="preserve">Fermento em pó</t>
  </si>
  <si>
    <t xml:space="preserve">Leite condensado</t>
  </si>
  <si>
    <t xml:space="preserve">recheio (2 latas)</t>
  </si>
  <si>
    <t xml:space="preserve">Creme de leite</t>
  </si>
  <si>
    <t xml:space="preserve">recheio</t>
  </si>
  <si>
    <t xml:space="preserve">Manteiga</t>
  </si>
  <si>
    <t xml:space="preserve">Chocolate granulado</t>
  </si>
  <si>
    <t xml:space="preserve">cobertura</t>
  </si>
  <si>
    <t xml:space="preserve">Pote 250 ml com tampa</t>
  </si>
  <si>
    <t xml:space="preserve">Colher descartável</t>
  </si>
  <si>
    <t xml:space="preserve">Etiqueta com o nome do negócio</t>
  </si>
  <si>
    <t xml:space="preserve">Peito de frango</t>
  </si>
  <si>
    <t xml:space="preserve">Requeijão cremoso</t>
  </si>
  <si>
    <t xml:space="preserve">Cebola</t>
  </si>
  <si>
    <t xml:space="preserve">Sal</t>
  </si>
  <si>
    <t xml:space="preserve">empanar</t>
  </si>
  <si>
    <t xml:space="preserve">Farinha de rosca</t>
  </si>
  <si>
    <t xml:space="preserve">fritura</t>
  </si>
  <si>
    <t xml:space="preserve">Caixa para salgado</t>
  </si>
  <si>
    <t xml:space="preserve">Forminha nº 4</t>
  </si>
  <si>
    <t xml:space="preserve">Tudo que você compra para preparar o que vende: ingredientes, embalagens, materiais. Quilo vira gramas (1 kg = 1000 g) e litro vira ml (1 L = 1000 ml).</t>
  </si>
  <si>
    <t xml:space="preserve">O que é</t>
  </si>
  <si>
    <t xml:space="preserve">Tipo</t>
  </si>
  <si>
    <t xml:space="preserve">Medida
(g, ml ou un)</t>
  </si>
  <si>
    <t xml:space="preserve">Quanto vem no pacote</t>
  </si>
  <si>
    <t xml:space="preserve">Quanto paguei</t>
  </si>
  <si>
    <t xml:space="preserve">Sai por</t>
  </si>
  <si>
    <t xml:space="preserve">Onde comprei</t>
  </si>
  <si>
    <t xml:space="preserve">Atualizado em</t>
  </si>
  <si>
    <t xml:space="preserve">Ingrediente</t>
  </si>
  <si>
    <t xml:space="preserve">g</t>
  </si>
  <si>
    <t xml:space="preserve">Mercado</t>
  </si>
  <si>
    <t xml:space="preserve">Atacado</t>
  </si>
  <si>
    <t xml:space="preserve">un</t>
  </si>
  <si>
    <t xml:space="preserve">Feira</t>
  </si>
  <si>
    <t xml:space="preserve">ml</t>
  </si>
  <si>
    <t xml:space="preserve">Açougue</t>
  </si>
  <si>
    <t xml:space="preserve">Embalagem</t>
  </si>
  <si>
    <t xml:space="preserve">Loja de embalagem</t>
  </si>
  <si>
    <t xml:space="preserve">Gráfica</t>
  </si>
  <si>
    <t xml:space="preserve">Quanto custa manter o seu negócio e quanto você precisa ganhar. Preencha uma vez e mude quando algo mudar.</t>
  </si>
  <si>
    <t xml:space="preserve">1. Contas fixas do mês  (o que você paga todo mês, vendendo ou não)</t>
  </si>
  <si>
    <t xml:space="preserve">Conta</t>
  </si>
  <si>
    <t xml:space="preserve">Valor por mês</t>
  </si>
  <si>
    <t xml:space="preserve">Gás</t>
  </si>
  <si>
    <t xml:space="preserve">A parte do gás usada no trabalho</t>
  </si>
  <si>
    <t xml:space="preserve">Luz</t>
  </si>
  <si>
    <t xml:space="preserve">Só a parte do trabalho (geladeira, forno, freezer), se der para separar</t>
  </si>
  <si>
    <t xml:space="preserve">Água</t>
  </si>
  <si>
    <t xml:space="preserve">Internet e celular</t>
  </si>
  <si>
    <t xml:space="preserve">MEI (DAS)</t>
  </si>
  <si>
    <t xml:space="preserve">Se for MEI, o boleto do mês</t>
  </si>
  <si>
    <t xml:space="preserve">Transporte e entregas</t>
  </si>
  <si>
    <t xml:space="preserve">Combustível, ônibus, motoboy</t>
  </si>
  <si>
    <t xml:space="preserve">Manutenção de equipamentos</t>
  </si>
  <si>
    <t xml:space="preserve">Guarde um pouco por mês para quando algo quebrar</t>
  </si>
  <si>
    <t xml:space="preserve">Material de limpeza</t>
  </si>
  <si>
    <t xml:space="preserve">Divulgação</t>
  </si>
  <si>
    <t xml:space="preserve">Cardápio, anúncio, cartão</t>
  </si>
  <si>
    <t xml:space="preserve">Mensalidade da maquininha</t>
  </si>
  <si>
    <t xml:space="preserve">Aluguel ou ponto (a parte que usa)</t>
  </si>
  <si>
    <t xml:space="preserve">Total das contas fixas</t>
  </si>
  <si>
    <t xml:space="preserve">A planilha soma sozinha.</t>
  </si>
  <si>
    <t xml:space="preserve">2. Você</t>
  </si>
  <si>
    <t xml:space="preserve">Quanto preciso para viver por mês (meu salário)</t>
  </si>
  <si>
    <t xml:space="preserve">O que você quer tirar para você, todo mês, para pagar as suas contas de casa.</t>
  </si>
  <si>
    <t xml:space="preserve">3. Seu tempo</t>
  </si>
  <si>
    <t xml:space="preserve">Dias que trabalho no mês</t>
  </si>
  <si>
    <t xml:space="preserve">Contando os dias de comprar, preparar e entregar.</t>
  </si>
  <si>
    <t xml:space="preserve">Horas por dia</t>
  </si>
  <si>
    <t xml:space="preserve">Preparando, comprando, atendendo, entregando e cobrando.</t>
  </si>
  <si>
    <t xml:space="preserve">Horas no mês</t>
  </si>
  <si>
    <t xml:space="preserve">Quanto vale a minha hora</t>
  </si>
  <si>
    <t xml:space="preserve">Contas fixas + seu salário, divididos pelas horas. Entra no preço do que você prepara.</t>
  </si>
  <si>
    <t xml:space="preserve">4. Porcentagens</t>
  </si>
  <si>
    <t xml:space="preserve">Taxas sobre a venda</t>
  </si>
  <si>
    <t xml:space="preserve">Maquininha, app de entrega. Se só uma parte paga no cartão, use uma média.</t>
  </si>
  <si>
    <t xml:space="preserve">Perdas</t>
  </si>
  <si>
    <t xml:space="preserve">O que estraga, quebra, vence ou vira brinde.</t>
  </si>
  <si>
    <t xml:space="preserve">Lucro que eu quero</t>
  </si>
  <si>
    <t xml:space="preserve">Além do seu salário: para guardar, comprar equipamento e crescer.</t>
  </si>
  <si>
    <t xml:space="preserve">Resultado</t>
  </si>
  <si>
    <t xml:space="preserve">Preciso ganhar por mês (contas + meu salário)</t>
  </si>
  <si>
    <t xml:space="preserve">Para isso, preciso vender por mês mais ou menos</t>
  </si>
  <si>
    <t xml:space="preserve">Depende dos seus preços. Veja os detalhes no Resumo.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</si>
</sst>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yyyy"/>
    <numFmt numFmtId="166" formatCode="&quot;R$ &quot;#,##0.00"/>
    <numFmt numFmtId="167" formatCode="General"/>
    <numFmt numFmtId="168" formatCode="0%"/>
    <numFmt numFmtId="169" formatCode="dd/mm/yyyy"/>
    <numFmt numFmtId="170" formatCode="@"/>
    <numFmt numFmtId="171" formatCode="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Inter"/>
      <family val="0"/>
      <charset val="1"/>
    </font>
    <font>
      <sz val="11"/>
      <color rgb="FF5D6573"/>
      <name val="Inter"/>
      <family val="0"/>
      <charset val="1"/>
    </font>
    <font>
      <b val="true"/>
      <sz val="12"/>
      <color rgb="FF15181E"/>
      <name val="Inter"/>
      <family val="0"/>
      <charset val="1"/>
    </font>
    <font>
      <b val="true"/>
      <sz val="14"/>
      <color rgb="FF15181E"/>
      <name val="Inter"/>
      <family val="0"/>
      <charset val="1"/>
    </font>
    <font>
      <b val="true"/>
      <sz val="13"/>
      <color rgb="FFFFFFFF"/>
      <name val="Inter"/>
      <family val="0"/>
      <charset val="1"/>
    </font>
    <font>
      <b val="true"/>
      <sz val="12"/>
      <color rgb="FF1D4ED8"/>
      <name val="Inter"/>
      <family val="0"/>
      <charset val="1"/>
    </font>
    <font>
      <sz val="11"/>
      <color rgb="FF15181E"/>
      <name val="Inter"/>
      <family val="0"/>
      <charset val="1"/>
    </font>
    <font>
      <b val="true"/>
      <sz val="11"/>
      <color rgb="FF1D4ED8"/>
      <name val="Inter"/>
      <family val="0"/>
      <charset val="1"/>
    </font>
    <font>
      <b val="true"/>
      <sz val="11"/>
      <color rgb="FF15181E"/>
      <name val="Inter"/>
      <family val="0"/>
      <charset val="1"/>
    </font>
    <font>
      <b val="true"/>
      <sz val="11"/>
      <color rgb="FFC2321B"/>
      <name val="Inter"/>
      <family val="0"/>
      <charset val="1"/>
    </font>
    <font>
      <b val="true"/>
      <sz val="11"/>
      <color rgb="FF15803D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b val="true"/>
      <sz val="13"/>
      <color rgb="FF1D4ED8"/>
      <name val="Inter"/>
      <family val="0"/>
      <charset val="1"/>
    </font>
    <font>
      <b val="true"/>
      <sz val="13"/>
      <color rgb="FFC2321B"/>
      <name val="Inter"/>
      <family val="0"/>
      <charset val="1"/>
    </font>
    <font>
      <sz val="11"/>
      <color rgb="FF15803D"/>
      <name val="Inter"/>
      <family val="0"/>
      <charset val="1"/>
    </font>
    <font>
      <b val="true"/>
      <sz val="13"/>
      <color rgb="FF15181E"/>
      <name val="Inter"/>
      <family val="0"/>
      <charset val="1"/>
    </font>
    <font>
      <sz val="11"/>
      <color rgb="FF1D4ED8"/>
      <name val="Inter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EEF0F4"/>
        <bgColor rgb="FFE8EEFC"/>
      </patternFill>
    </fill>
    <fill>
      <patternFill patternType="solid">
        <fgColor rgb="FFFFFFFF"/>
        <bgColor rgb="FFEEF0F4"/>
      </patternFill>
    </fill>
    <fill>
      <patternFill patternType="solid">
        <fgColor rgb="FFE8EEFC"/>
        <bgColor rgb="FFEEF0F4"/>
      </patternFill>
    </fill>
    <fill>
      <patternFill patternType="solid">
        <fgColor rgb="FFFCEBE7"/>
        <bgColor rgb="FFEEF0F4"/>
      </patternFill>
    </fill>
    <fill>
      <patternFill patternType="solid">
        <fgColor rgb="FFE6F4EA"/>
        <bgColor rgb="FFEEF0F4"/>
      </patternFill>
    </fill>
    <fill>
      <patternFill patternType="solid">
        <fgColor rgb="FF15181E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1E4EA"/>
      </left>
      <right/>
      <top style="thin">
        <color rgb="FFE1E4EA"/>
      </top>
      <bottom style="thin">
        <color rgb="FFE1E4EA"/>
      </bottom>
      <diagonal/>
    </border>
    <border diagonalUp="false" diagonalDown="false">
      <left style="thin">
        <color rgb="FFE1E4EA"/>
      </left>
      <right style="thin">
        <color rgb="FFE1E4EA"/>
      </right>
      <top style="thin">
        <color rgb="FFE1E4EA"/>
      </top>
      <bottom style="thin">
        <color rgb="FFE1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C2321B"/>
      </font>
    </dxf>
    <dxf>
      <font>
        <b val="1"/>
        <color rgb="FFC2321B"/>
      </font>
      <fill>
        <patternFill>
          <bgColor rgb="FFFCEBE7"/>
        </patternFill>
      </fill>
    </dxf>
    <dxf>
      <font>
        <b val="1"/>
        <color rgb="FF15803D"/>
      </font>
      <fill>
        <patternFill>
          <bgColor rgb="FFE6F4EA"/>
        </patternFill>
      </fill>
    </dxf>
    <dxf>
      <font>
        <b val="1"/>
        <color rgb="FF1D4ED8"/>
      </font>
      <fill>
        <patternFill>
          <bgColor rgb="FFE8EEFC"/>
        </patternFill>
      </fill>
    </dxf>
    <dxf>
      <font>
        <b val="1"/>
        <color rgb="FF15181E"/>
      </font>
      <fill>
        <patternFill>
          <bgColor rgb="FFEEF0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E7"/>
      <rgbColor rgb="FFE6F4EA"/>
      <rgbColor rgb="FF660066"/>
      <rgbColor rgb="FFFF8080"/>
      <rgbColor rgb="FF1D4ED8"/>
      <rgbColor rgb="FFE1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C"/>
      <rgbColor rgb="FFEEF0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573"/>
      <rgbColor rgb="FF969696"/>
      <rgbColor rgb="FF003366"/>
      <rgbColor rgb="FF339966"/>
      <rgbColor rgb="FF15181E"/>
      <rgbColor rgb="FF333300"/>
      <rgbColor rgb="FFC232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B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86"/>
  </cols>
  <sheetData>
    <row r="1" customFormat="false" ht="39.75" hidden="false" customHeight="true" outlineLevel="0" collapsed="false">
      <c r="B1" s="1" t="s">
        <v>0</v>
      </c>
      <c r="C1" s="1"/>
      <c r="D1" s="1"/>
    </row>
    <row r="2" customFormat="false" ht="36" hidden="false" customHeight="true" outlineLevel="0" collapsed="false">
      <c r="B2" s="2" t="s">
        <v>1</v>
      </c>
      <c r="C2" s="2"/>
      <c r="D2" s="2"/>
    </row>
    <row r="3" customFormat="false" ht="9.75" hidden="false" customHeight="true" outlineLevel="0" collapsed="false"/>
    <row r="4" customFormat="false" ht="30" hidden="false" customHeight="true" outlineLevel="0" collapsed="false">
      <c r="B4" s="3" t="s">
        <v>2</v>
      </c>
      <c r="C4" s="3"/>
      <c r="D4" s="4"/>
    </row>
    <row r="6" customFormat="false" ht="27.75" hidden="false" customHeight="true" outlineLevel="0" collapsed="false">
      <c r="B6" s="5" t="s">
        <v>3</v>
      </c>
      <c r="C6" s="5"/>
      <c r="D6" s="5"/>
    </row>
    <row r="7" customFormat="false" ht="33.75" hidden="false" customHeight="true" outlineLevel="0" collapsed="false">
      <c r="B7" s="6" t="n">
        <v>1</v>
      </c>
      <c r="C7" s="7" t="s">
        <v>4</v>
      </c>
      <c r="D7" s="8" t="s">
        <v>5</v>
      </c>
    </row>
    <row r="8" customFormat="false" ht="33.75" hidden="false" customHeight="true" outlineLevel="0" collapsed="false">
      <c r="B8" s="6" t="n">
        <v>2</v>
      </c>
      <c r="C8" s="7" t="s">
        <v>6</v>
      </c>
      <c r="D8" s="8" t="s">
        <v>7</v>
      </c>
    </row>
    <row r="9" customFormat="false" ht="33.75" hidden="false" customHeight="true" outlineLevel="0" collapsed="false">
      <c r="B9" s="6" t="n">
        <v>3</v>
      </c>
      <c r="C9" s="7" t="s">
        <v>8</v>
      </c>
      <c r="D9" s="8" t="s">
        <v>9</v>
      </c>
    </row>
    <row r="10" customFormat="false" ht="33.75" hidden="false" customHeight="true" outlineLevel="0" collapsed="false">
      <c r="B10" s="6" t="n">
        <v>4</v>
      </c>
      <c r="C10" s="7" t="s">
        <v>10</v>
      </c>
      <c r="D10" s="8" t="s">
        <v>11</v>
      </c>
    </row>
    <row r="11" customFormat="false" ht="33.75" hidden="false" customHeight="true" outlineLevel="0" collapsed="false">
      <c r="B11" s="6" t="n">
        <v>5</v>
      </c>
      <c r="C11" s="7" t="s">
        <v>12</v>
      </c>
      <c r="D11" s="8" t="s">
        <v>13</v>
      </c>
    </row>
    <row r="13" customFormat="false" ht="27.75" hidden="false" customHeight="true" outlineLevel="0" collapsed="false">
      <c r="B13" s="5" t="s">
        <v>14</v>
      </c>
      <c r="C13" s="5"/>
      <c r="D13" s="5"/>
    </row>
    <row r="14" customFormat="false" ht="33.75" hidden="false" customHeight="true" outlineLevel="0" collapsed="false">
      <c r="B14" s="6" t="s">
        <v>15</v>
      </c>
      <c r="C14" s="7" t="s">
        <v>16</v>
      </c>
      <c r="D14" s="8" t="s">
        <v>17</v>
      </c>
    </row>
    <row r="15" customFormat="false" ht="33.75" hidden="false" customHeight="true" outlineLevel="0" collapsed="false">
      <c r="B15" s="6" t="s">
        <v>15</v>
      </c>
      <c r="C15" s="7" t="s">
        <v>18</v>
      </c>
      <c r="D15" s="8" t="s">
        <v>19</v>
      </c>
    </row>
    <row r="16" customFormat="false" ht="33.75" hidden="false" customHeight="true" outlineLevel="0" collapsed="false">
      <c r="B16" s="6" t="s">
        <v>15</v>
      </c>
      <c r="C16" s="7" t="s">
        <v>20</v>
      </c>
      <c r="D16" s="8" t="s">
        <v>21</v>
      </c>
    </row>
    <row r="17" customFormat="false" ht="33.75" hidden="false" customHeight="true" outlineLevel="0" collapsed="false">
      <c r="B17" s="6" t="s">
        <v>15</v>
      </c>
      <c r="C17" s="7" t="s">
        <v>22</v>
      </c>
      <c r="D17" s="8" t="s">
        <v>23</v>
      </c>
    </row>
    <row r="19" customFormat="false" ht="27.75" hidden="false" customHeight="true" outlineLevel="0" collapsed="false">
      <c r="B19" s="5" t="s">
        <v>24</v>
      </c>
      <c r="C19" s="5"/>
      <c r="D19" s="5"/>
    </row>
    <row r="20" customFormat="false" ht="25.5" hidden="false" customHeight="true" outlineLevel="0" collapsed="false">
      <c r="B20" s="9"/>
      <c r="C20" s="10" t="s">
        <v>25</v>
      </c>
      <c r="D20" s="8" t="s">
        <v>26</v>
      </c>
    </row>
    <row r="21" customFormat="false" ht="25.5" hidden="false" customHeight="true" outlineLevel="0" collapsed="false">
      <c r="B21" s="8"/>
      <c r="C21" s="11" t="s">
        <v>27</v>
      </c>
      <c r="D21" s="8" t="s">
        <v>28</v>
      </c>
    </row>
    <row r="22" customFormat="false" ht="25.5" hidden="false" customHeight="true" outlineLevel="0" collapsed="false">
      <c r="B22" s="12"/>
      <c r="C22" s="13" t="s">
        <v>29</v>
      </c>
      <c r="D22" s="8" t="s">
        <v>30</v>
      </c>
    </row>
    <row r="23" customFormat="false" ht="25.5" hidden="false" customHeight="true" outlineLevel="0" collapsed="false">
      <c r="B23" s="14"/>
      <c r="C23" s="15" t="s">
        <v>31</v>
      </c>
      <c r="D23" s="8" t="s">
        <v>32</v>
      </c>
    </row>
    <row r="24" customFormat="false" ht="25.5" hidden="false" customHeight="true" outlineLevel="0" collapsed="false">
      <c r="B24" s="16"/>
      <c r="C24" s="17" t="s">
        <v>33</v>
      </c>
      <c r="D24" s="8" t="s">
        <v>34</v>
      </c>
    </row>
    <row r="26" customFormat="false" ht="27.75" hidden="false" customHeight="true" outlineLevel="0" collapsed="false">
      <c r="B26" s="5" t="s">
        <v>35</v>
      </c>
      <c r="C26" s="5"/>
      <c r="D26" s="5"/>
    </row>
    <row r="27" customFormat="false" ht="33.75" hidden="false" customHeight="true" outlineLevel="0" collapsed="false">
      <c r="B27" s="18" t="s">
        <v>36</v>
      </c>
      <c r="C27" s="11" t="s">
        <v>37</v>
      </c>
      <c r="D27" s="8" t="s">
        <v>38</v>
      </c>
    </row>
    <row r="28" customFormat="false" ht="33.75" hidden="false" customHeight="true" outlineLevel="0" collapsed="false">
      <c r="B28" s="18" t="s">
        <v>39</v>
      </c>
      <c r="C28" s="11" t="s">
        <v>40</v>
      </c>
      <c r="D28" s="8" t="s">
        <v>41</v>
      </c>
    </row>
    <row r="29" customFormat="false" ht="33.75" hidden="false" customHeight="true" outlineLevel="0" collapsed="false">
      <c r="B29" s="18" t="s">
        <v>42</v>
      </c>
      <c r="C29" s="11" t="s">
        <v>43</v>
      </c>
      <c r="D29" s="8" t="s">
        <v>44</v>
      </c>
    </row>
    <row r="30" customFormat="false" ht="33.75" hidden="false" customHeight="true" outlineLevel="0" collapsed="false">
      <c r="B30" s="18" t="s">
        <v>45</v>
      </c>
      <c r="C30" s="11" t="s">
        <v>46</v>
      </c>
      <c r="D30" s="8" t="s">
        <v>47</v>
      </c>
    </row>
    <row r="32" customFormat="false" ht="27.75" hidden="false" customHeight="true" outlineLevel="0" collapsed="false">
      <c r="B32" s="5" t="s">
        <v>48</v>
      </c>
      <c r="C32" s="5"/>
      <c r="D32" s="5"/>
    </row>
    <row r="33" customFormat="false" ht="30" hidden="false" customHeight="true" outlineLevel="0" collapsed="false">
      <c r="B33" s="19" t="s">
        <v>15</v>
      </c>
      <c r="C33" s="20" t="s">
        <v>49</v>
      </c>
      <c r="D33" s="20"/>
    </row>
    <row r="34" customFormat="false" ht="30" hidden="false" customHeight="true" outlineLevel="0" collapsed="false">
      <c r="B34" s="19" t="s">
        <v>15</v>
      </c>
      <c r="C34" s="20" t="s">
        <v>50</v>
      </c>
      <c r="D34" s="20"/>
    </row>
    <row r="35" customFormat="false" ht="30" hidden="false" customHeight="true" outlineLevel="0" collapsed="false">
      <c r="B35" s="19" t="s">
        <v>15</v>
      </c>
      <c r="C35" s="20" t="s">
        <v>51</v>
      </c>
      <c r="D35" s="20"/>
    </row>
    <row r="36" customFormat="false" ht="30" hidden="false" customHeight="true" outlineLevel="0" collapsed="false">
      <c r="B36" s="19" t="s">
        <v>15</v>
      </c>
      <c r="C36" s="20" t="s">
        <v>52</v>
      </c>
      <c r="D36" s="20"/>
    </row>
    <row r="37" customFormat="false" ht="30" hidden="false" customHeight="true" outlineLevel="0" collapsed="false">
      <c r="B37" s="19" t="s">
        <v>15</v>
      </c>
      <c r="C37" s="20" t="s">
        <v>53</v>
      </c>
      <c r="D37" s="20"/>
    </row>
  </sheetData>
  <mergeCells count="13">
    <mergeCell ref="B1:D1"/>
    <mergeCell ref="B2:D2"/>
    <mergeCell ref="B4:C4"/>
    <mergeCell ref="B6:D6"/>
    <mergeCell ref="B13:D13"/>
    <mergeCell ref="B19:D19"/>
    <mergeCell ref="B26:D26"/>
    <mergeCell ref="B32:D32"/>
    <mergeCell ref="C33:D33"/>
    <mergeCell ref="C34:D34"/>
    <mergeCell ref="C35:D35"/>
    <mergeCell ref="C36:D36"/>
    <mergeCell ref="C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B1:E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4" min="3" style="0" width="17"/>
    <col collapsed="false" customWidth="true" hidden="false" outlineLevel="0" max="5" min="5" style="0" width="50"/>
  </cols>
  <sheetData>
    <row r="1" customFormat="false" ht="39.75" hidden="false" customHeight="true" outlineLevel="0" collapsed="false">
      <c r="B1" s="1" t="str">
        <f aca="false">IF(Negocio="","Resumo","Resumo · "&amp;Negocio)</f>
        <v>Resumo</v>
      </c>
      <c r="C1" s="1"/>
      <c r="D1" s="1"/>
      <c r="E1" s="1"/>
    </row>
    <row r="2" customFormat="false" ht="36" hidden="false" customHeight="true" outlineLevel="0" collapsed="false">
      <c r="B2" s="2" t="s">
        <v>54</v>
      </c>
      <c r="C2" s="2"/>
      <c r="D2" s="2"/>
      <c r="E2" s="2"/>
    </row>
    <row r="3" customFormat="false" ht="9.75" hidden="false" customHeight="true" outlineLevel="0" collapsed="false"/>
    <row r="4" customFormat="false" ht="30" hidden="false" customHeight="true" outlineLevel="0" collapsed="false">
      <c r="B4" s="21" t="s">
        <v>55</v>
      </c>
      <c r="C4" s="22" t="n">
        <f aca="true">DATE(YEAR(TODAY()),MONTH(TODAY()),1)</f>
        <v>46296</v>
      </c>
      <c r="D4" s="23" t="s">
        <v>56</v>
      </c>
      <c r="E4" s="23"/>
    </row>
    <row r="6" customFormat="false" ht="27.75" hidden="false" customHeight="true" outlineLevel="0" collapsed="false">
      <c r="B6" s="5" t="s">
        <v>57</v>
      </c>
      <c r="C6" s="5"/>
      <c r="D6" s="5"/>
      <c r="E6" s="5"/>
    </row>
    <row r="7" customFormat="false" ht="30" hidden="false" customHeight="true" outlineLevel="0" collapsed="false">
      <c r="B7" s="24" t="s">
        <v>58</v>
      </c>
      <c r="C7" s="25" t="n">
        <f aca="false">SUMIF(Clientes!$H$5:$H$304,"&gt;0")</f>
        <v>61.5</v>
      </c>
      <c r="D7" s="15" t="str">
        <f aca="false">COUNTIF(Clientes!$H$5:$H$304,"&gt;0.005")&amp;" devendo"</f>
        <v>3 devendo</v>
      </c>
      <c r="E7" s="26" t="s">
        <v>59</v>
      </c>
    </row>
    <row r="9" customFormat="false" ht="27.75" hidden="false" customHeight="true" outlineLevel="0" collapsed="false">
      <c r="B9" s="5" t="s">
        <v>16</v>
      </c>
      <c r="C9" s="5"/>
      <c r="D9" s="5"/>
      <c r="E9" s="5"/>
    </row>
    <row r="10" customFormat="false" ht="29.85" hidden="false" customHeight="false" outlineLevel="0" collapsed="false">
      <c r="B10" s="18"/>
      <c r="C10" s="18" t="s">
        <v>60</v>
      </c>
      <c r="D10" s="18" t="s">
        <v>61</v>
      </c>
      <c r="E10" s="18"/>
    </row>
    <row r="11" customFormat="false" ht="25.5" hidden="false" customHeight="true" outlineLevel="0" collapsed="false">
      <c r="B11" s="11" t="s">
        <v>62</v>
      </c>
      <c r="C11" s="27" t="n">
        <f aca="false">SUMIFS(Vendas!$G$5:$G$3004,Vendas!$B$5:$B$3004,"&gt;="&amp;$C$4,Vendas!$B$5:$B$3004,"&lt;="&amp;EOMONTH($C$4,0))+SUMIFS(Acertos!$D$5:$D$504,Acertos!$B$5:$B$504,"&gt;="&amp;$C$4,Acertos!$B$5:$B$504,"&lt;="&amp;EOMONTH($C$4,0))</f>
        <v>190.5</v>
      </c>
      <c r="D11" s="27" t="n">
        <f aca="false">SUM(Vendas!$G$5:$G$3004)+SUM(Acertos!$D$5:$D$504)</f>
        <v>190.5</v>
      </c>
      <c r="E11" s="23" t="s">
        <v>63</v>
      </c>
    </row>
    <row r="12" customFormat="false" ht="25.5" hidden="false" customHeight="true" outlineLevel="0" collapsed="false">
      <c r="B12" s="11" t="s">
        <v>64</v>
      </c>
      <c r="C12" s="28" t="n">
        <f aca="false">SUMIFS(Recebi!$D$5:$D$3004,Recebi!$B$5:$B$3004,"&gt;="&amp;$C$4,Recebi!$B$5:$B$3004,"&lt;="&amp;EOMONTH($C$4,0))+SUMIFS(Vendas!$G$5:$G$3004,Vendas!$J$5:$J$3004,"Sim",Vendas!$B$5:$B$3004,"&gt;="&amp;$C$4,Vendas!$B$5:$B$3004,"&lt;="&amp;EOMONTH($C$4,0))</f>
        <v>129</v>
      </c>
      <c r="D12" s="28" t="n">
        <f aca="false">SUM(Recebi!$D$5:$D$3004)+SUMIFS(Vendas!$G$5:$G$3004,Vendas!$J$5:$J$3004,"Sim")</f>
        <v>129</v>
      </c>
      <c r="E12" s="23" t="s">
        <v>65</v>
      </c>
    </row>
    <row r="13" customFormat="false" ht="25.5" hidden="false" customHeight="true" outlineLevel="0" collapsed="false">
      <c r="B13" s="11" t="s">
        <v>66</v>
      </c>
      <c r="C13" s="27" t="n">
        <f aca="false">SUMIFS(Vendas!$H$5:$H$3004,Vendas!$B$5:$B$3004,"&gt;="&amp;$C$4,Vendas!$B$5:$B$3004,"&lt;="&amp;EOMONTH($C$4,0))</f>
        <v>66.4451859166667</v>
      </c>
      <c r="D13" s="27" t="n">
        <f aca="false">SUM(Vendas!$H$5:$H$3004)</f>
        <v>66.4451859166667</v>
      </c>
      <c r="E13" s="23" t="s">
        <v>67</v>
      </c>
    </row>
    <row r="14" customFormat="false" ht="25.5" hidden="false" customHeight="true" outlineLevel="0" collapsed="false">
      <c r="B14" s="11" t="s">
        <v>68</v>
      </c>
      <c r="C14" s="27" t="n">
        <f aca="false">C11*Taxas</f>
        <v>5.715</v>
      </c>
      <c r="D14" s="27" t="n">
        <f aca="false">D11*Taxas</f>
        <v>5.715</v>
      </c>
      <c r="E14" s="23" t="s">
        <v>69</v>
      </c>
    </row>
    <row r="15" customFormat="false" ht="25.5" hidden="false" customHeight="true" outlineLevel="0" collapsed="false">
      <c r="B15" s="29" t="s">
        <v>70</v>
      </c>
      <c r="C15" s="30" t="n">
        <f aca="false">C11-C13-C14</f>
        <v>118.339814083333</v>
      </c>
      <c r="D15" s="30" t="n">
        <f aca="false">D11-D13-D14</f>
        <v>118.339814083333</v>
      </c>
      <c r="E15" s="31" t="s">
        <v>71</v>
      </c>
    </row>
    <row r="17" customFormat="false" ht="27.75" hidden="false" customHeight="true" outlineLevel="0" collapsed="false">
      <c r="B17" s="5" t="s">
        <v>72</v>
      </c>
      <c r="C17" s="5"/>
      <c r="D17" s="5"/>
      <c r="E17" s="5"/>
    </row>
    <row r="18" customFormat="false" ht="25.5" hidden="false" customHeight="true" outlineLevel="0" collapsed="false">
      <c r="B18" s="11" t="s">
        <v>73</v>
      </c>
      <c r="C18" s="27" t="n">
        <f aca="false">ContasFixas</f>
        <v>407</v>
      </c>
      <c r="D18" s="8"/>
      <c r="E18" s="23" t="s">
        <v>74</v>
      </c>
    </row>
    <row r="19" customFormat="false" ht="25.5" hidden="false" customHeight="true" outlineLevel="0" collapsed="false">
      <c r="B19" s="32" t="s">
        <v>75</v>
      </c>
      <c r="C19" s="33" t="n">
        <f aca="false">C15-C18</f>
        <v>-288.660185916667</v>
      </c>
      <c r="D19" s="12"/>
      <c r="E19" s="31" t="s">
        <v>76</v>
      </c>
    </row>
    <row r="20" customFormat="false" ht="25.5" hidden="false" customHeight="true" outlineLevel="0" collapsed="false">
      <c r="B20" s="11" t="s">
        <v>77</v>
      </c>
      <c r="C20" s="27" t="n">
        <f aca="false">Salario</f>
        <v>1500</v>
      </c>
      <c r="D20" s="8"/>
      <c r="E20" s="23" t="s">
        <v>78</v>
      </c>
    </row>
    <row r="21" customFormat="false" ht="33.75" hidden="false" customHeight="true" outlineLevel="0" collapsed="false">
      <c r="B21" s="34" t="str">
        <f aca="false">IF(C11=0,"Ainda não tem vendas neste mês.",IF(C19&gt;=C20,"Bateu o seu salário! E ainda sobrou "&amp;"R$ "&amp;FIXED(C19-C20,2)&amp;" de lucro.",IF(C19&gt;0,"Faltam "&amp;"R$ "&amp;FIXED(C20-C19,2)&amp;" para chegar no seu salário.","As vendas ainda não pagaram as contas fixas do mês.")))</f>
        <v>As vendas ainda não pagaram as contas fixas do mês.</v>
      </c>
      <c r="C21" s="34"/>
      <c r="D21" s="34"/>
      <c r="E21" s="34"/>
    </row>
    <row r="23" customFormat="false" ht="27.75" hidden="false" customHeight="true" outlineLevel="0" collapsed="false">
      <c r="B23" s="5" t="s">
        <v>79</v>
      </c>
      <c r="C23" s="5"/>
      <c r="D23" s="5"/>
      <c r="E23" s="5"/>
    </row>
    <row r="24" customFormat="false" ht="25.5" hidden="false" customHeight="true" outlineLevel="0" collapsed="false">
      <c r="B24" s="11" t="s">
        <v>80</v>
      </c>
      <c r="C24" s="35" t="n">
        <f aca="false">IF(C11&gt;0,(C11-C13)/C11-Taxas,IFERROR(AVERAGE(Produtos!$P$5:$P$104),0))</f>
        <v>0.621206373140857</v>
      </c>
      <c r="D24" s="8"/>
      <c r="E24" s="23" t="s">
        <v>81</v>
      </c>
    </row>
    <row r="25" customFormat="false" ht="25.5" hidden="false" customHeight="true" outlineLevel="0" collapsed="false">
      <c r="B25" s="29" t="s">
        <v>82</v>
      </c>
      <c r="C25" s="30" t="n">
        <f aca="false">IF(C24&gt;0,(ContasFixas+Salario)/C24,"")</f>
        <v>3069.83328319394</v>
      </c>
      <c r="D25" s="12"/>
      <c r="E25" s="31" t="s">
        <v>83</v>
      </c>
    </row>
    <row r="26" customFormat="false" ht="25.5" hidden="false" customHeight="true" outlineLevel="0" collapsed="false">
      <c r="B26" s="11" t="str">
        <f aca="false">"Para ter também "&amp;TEXT(LucroDesejado,"0%")&amp;" de lucro, preciso vender"</f>
        <v>Para ter também 15% de lucro, preciso vender</v>
      </c>
      <c r="C26" s="36" t="n">
        <f aca="false">IF(C24-LucroDesejado&gt;0,(ContasFixas+Salario)/(C24-LucroDesejado),"")</f>
        <v>4047.0590142675</v>
      </c>
      <c r="D26" s="8"/>
      <c r="E26" s="23" t="str">
        <f aca="false">IF(C26="","Com os preços de hoje não dá esse lucro. Veja a aba Produtos.","Por mês.")</f>
        <v>Por mês.</v>
      </c>
    </row>
    <row r="27" customFormat="false" ht="25.5" hidden="false" customHeight="true" outlineLevel="0" collapsed="false">
      <c r="B27" s="11" t="s">
        <v>84</v>
      </c>
      <c r="C27" s="37" t="n">
        <f aca="false">IF(N(C25)=0,"",C11/C25)</f>
        <v>0.0620554871962944</v>
      </c>
      <c r="D27" s="38" t="str">
        <f aca="false">IF(C27="","",REPT("■",MIN(10,ROUND(C27*10,0)))&amp;REPT("□",10-MIN(10,ROUND(C27*10,0))))</f>
        <v>■□□□□□□□□□</v>
      </c>
      <c r="E27" s="23" t="str">
        <f aca="false">IF(C27="","",IF(C11&gt;=C25,"Meta batida!","Faltam "&amp;"R$ "&amp;FIXED(C25-C11,2)&amp;" em vendas."))</f>
        <v>Faltam R$ 2,879.33 em vendas.</v>
      </c>
    </row>
    <row r="29" customFormat="false" ht="27.75" hidden="false" customHeight="true" outlineLevel="0" collapsed="false">
      <c r="B29" s="5" t="s">
        <v>85</v>
      </c>
      <c r="C29" s="5"/>
      <c r="D29" s="5"/>
      <c r="E29" s="5"/>
    </row>
    <row r="30" customFormat="false" ht="15" hidden="false" customHeight="false" outlineLevel="0" collapsed="false">
      <c r="B30" s="18" t="s">
        <v>86</v>
      </c>
      <c r="C30" s="18" t="s">
        <v>87</v>
      </c>
      <c r="D30" s="18" t="s">
        <v>62</v>
      </c>
      <c r="E30" s="18" t="s">
        <v>88</v>
      </c>
    </row>
    <row r="31" customFormat="false" ht="15" hidden="false" customHeight="false" outlineLevel="0" collapsed="false">
      <c r="B31" s="8" t="str">
        <f aca="false">IF(Produtos!B5="","",Produtos!B5)</f>
        <v>Bolo de pote</v>
      </c>
      <c r="C31" s="39" t="n">
        <f aca="false">IF(B31="","",SUMIFS(Vendas!$E$5:$E$3004,Vendas!$D$5:$D$3004,B31,Vendas!$B$5:$B$3004,"&gt;="&amp;$C$4,Vendas!$B$5:$B$3004,"&lt;="&amp;EOMONTH($C$4,0)))</f>
        <v>5</v>
      </c>
      <c r="D31" s="27" t="n">
        <f aca="false">IF(B31="","",SUMIFS(Vendas!$G$5:$G$3004,Vendas!$D$5:$D$3004,B31,Vendas!$B$5:$B$3004,"&gt;="&amp;$C$4,Vendas!$B$5:$B$3004,"&lt;="&amp;EOMONTH($C$4,0)))</f>
        <v>60</v>
      </c>
      <c r="E31" s="27" t="n">
        <f aca="false">IF(B31="","",SUMIFS(Vendas!$I$5:$I$3004,Vendas!$D$5:$D$3004,B31,Vendas!$B$5:$B$3004,"&gt;="&amp;$C$4,Vendas!$B$5:$B$3004,"&lt;="&amp;EOMONTH($C$4,0)))</f>
        <v>39.9588395833333</v>
      </c>
    </row>
    <row r="32" customFormat="false" ht="15" hidden="false" customHeight="false" outlineLevel="0" collapsed="false">
      <c r="B32" s="8" t="str">
        <f aca="false">IF(Produtos!B6="","",Produtos!B6)</f>
        <v>Coxinha de frango</v>
      </c>
      <c r="C32" s="39" t="n">
        <f aca="false">IF(B32="","",SUMIFS(Vendas!$E$5:$E$3004,Vendas!$D$5:$D$3004,B32,Vendas!$B$5:$B$3004,"&gt;="&amp;$C$4,Vendas!$B$5:$B$3004,"&lt;="&amp;EOMONTH($C$4,0)))</f>
        <v>12</v>
      </c>
      <c r="D32" s="27" t="n">
        <f aca="false">IF(B32="","",SUMIFS(Vendas!$G$5:$G$3004,Vendas!$D$5:$D$3004,B32,Vendas!$B$5:$B$3004,"&gt;="&amp;$C$4,Vendas!$B$5:$B$3004,"&lt;="&amp;EOMONTH($C$4,0)))</f>
        <v>60</v>
      </c>
      <c r="E32" s="27" t="n">
        <f aca="false">IF(B32="","",SUMIFS(Vendas!$I$5:$I$3004,Vendas!$D$5:$D$3004,B32,Vendas!$B$5:$B$3004,"&gt;="&amp;$C$4,Vendas!$B$5:$B$3004,"&lt;="&amp;EOMONTH($C$4,0)))</f>
        <v>33.2057745</v>
      </c>
    </row>
    <row r="33" customFormat="false" ht="15" hidden="false" customHeight="false" outlineLevel="0" collapsed="false">
      <c r="B33" s="8" t="str">
        <f aca="false">IF(Produtos!B7="","",Produtos!B7)</f>
        <v>Brigadeiro</v>
      </c>
      <c r="C33" s="39" t="n">
        <f aca="false">IF(B33="","",SUMIFS(Vendas!$E$5:$E$3004,Vendas!$D$5:$D$3004,B33,Vendas!$B$5:$B$3004,"&gt;="&amp;$C$4,Vendas!$B$5:$B$3004,"&lt;="&amp;EOMONTH($C$4,0)))</f>
        <v>20</v>
      </c>
      <c r="D33" s="27" t="n">
        <f aca="false">IF(B33="","",SUMIFS(Vendas!$G$5:$G$3004,Vendas!$D$5:$D$3004,B33,Vendas!$B$5:$B$3004,"&gt;="&amp;$C$4,Vendas!$B$5:$B$3004,"&lt;="&amp;EOMONTH($C$4,0)))</f>
        <v>50</v>
      </c>
      <c r="E33" s="27" t="n">
        <f aca="false">IF(B33="","",SUMIFS(Vendas!$I$5:$I$3004,Vendas!$D$5:$D$3004,B33,Vendas!$B$5:$B$3004,"&gt;="&amp;$C$4,Vendas!$B$5:$B$3004,"&lt;="&amp;EOMONTH($C$4,0)))</f>
        <v>40.4702</v>
      </c>
    </row>
    <row r="34" customFormat="false" ht="15" hidden="false" customHeight="false" outlineLevel="0" collapsed="false">
      <c r="B34" s="8" t="str">
        <f aca="false">IF(Produtos!B8="","",Produtos!B8)</f>
        <v>Refrigerante lata</v>
      </c>
      <c r="C34" s="39" t="n">
        <f aca="false">IF(B34="","",SUMIFS(Vendas!$E$5:$E$3004,Vendas!$D$5:$D$3004,B34,Vendas!$B$5:$B$3004,"&gt;="&amp;$C$4,Vendas!$B$5:$B$3004,"&lt;="&amp;EOMONTH($C$4,0)))</f>
        <v>3</v>
      </c>
      <c r="D34" s="27" t="n">
        <f aca="false">IF(B34="","",SUMIFS(Vendas!$G$5:$G$3004,Vendas!$D$5:$D$3004,B34,Vendas!$B$5:$B$3004,"&gt;="&amp;$C$4,Vendas!$B$5:$B$3004,"&lt;="&amp;EOMONTH($C$4,0)))</f>
        <v>18</v>
      </c>
      <c r="E34" s="27" t="n">
        <f aca="false">IF(B34="","",SUMIFS(Vendas!$I$5:$I$3004,Vendas!$D$5:$D$3004,B34,Vendas!$B$5:$B$3004,"&gt;="&amp;$C$4,Vendas!$B$5:$B$3004,"&lt;="&amp;EOMONTH($C$4,0)))</f>
        <v>7.92</v>
      </c>
    </row>
    <row r="35" customFormat="false" ht="15" hidden="false" customHeight="false" outlineLevel="0" collapsed="false">
      <c r="B35" s="8" t="str">
        <f aca="false">IF(Produtos!B9="","",Produtos!B9)</f>
        <v/>
      </c>
      <c r="C35" s="39" t="str">
        <f aca="false">IF(B35="","",SUMIFS(Vendas!$E$5:$E$3004,Vendas!$D$5:$D$3004,B35,Vendas!$B$5:$B$3004,"&gt;="&amp;$C$4,Vendas!$B$5:$B$3004,"&lt;="&amp;EOMONTH($C$4,0)))</f>
        <v/>
      </c>
      <c r="D35" s="27" t="str">
        <f aca="false">IF(B35="","",SUMIFS(Vendas!$G$5:$G$3004,Vendas!$D$5:$D$3004,B35,Vendas!$B$5:$B$3004,"&gt;="&amp;$C$4,Vendas!$B$5:$B$3004,"&lt;="&amp;EOMONTH($C$4,0)))</f>
        <v/>
      </c>
      <c r="E35" s="27" t="str">
        <f aca="false">IF(B35="","",SUMIFS(Vendas!$I$5:$I$3004,Vendas!$D$5:$D$3004,B35,Vendas!$B$5:$B$3004,"&gt;="&amp;$C$4,Vendas!$B$5:$B$3004,"&lt;="&amp;EOMONTH($C$4,0)))</f>
        <v/>
      </c>
    </row>
    <row r="36" customFormat="false" ht="15" hidden="false" customHeight="false" outlineLevel="0" collapsed="false">
      <c r="B36" s="8" t="str">
        <f aca="false">IF(Produtos!B10="","",Produtos!B10)</f>
        <v/>
      </c>
      <c r="C36" s="39" t="str">
        <f aca="false">IF(B36="","",SUMIFS(Vendas!$E$5:$E$3004,Vendas!$D$5:$D$3004,B36,Vendas!$B$5:$B$3004,"&gt;="&amp;$C$4,Vendas!$B$5:$B$3004,"&lt;="&amp;EOMONTH($C$4,0)))</f>
        <v/>
      </c>
      <c r="D36" s="27" t="str">
        <f aca="false">IF(B36="","",SUMIFS(Vendas!$G$5:$G$3004,Vendas!$D$5:$D$3004,B36,Vendas!$B$5:$B$3004,"&gt;="&amp;$C$4,Vendas!$B$5:$B$3004,"&lt;="&amp;EOMONTH($C$4,0)))</f>
        <v/>
      </c>
      <c r="E36" s="27" t="str">
        <f aca="false">IF(B36="","",SUMIFS(Vendas!$I$5:$I$3004,Vendas!$D$5:$D$3004,B36,Vendas!$B$5:$B$3004,"&gt;="&amp;$C$4,Vendas!$B$5:$B$3004,"&lt;="&amp;EOMONTH($C$4,0)))</f>
        <v/>
      </c>
    </row>
    <row r="37" customFormat="false" ht="15" hidden="false" customHeight="false" outlineLevel="0" collapsed="false">
      <c r="B37" s="8" t="str">
        <f aca="false">IF(Produtos!B11="","",Produtos!B11)</f>
        <v/>
      </c>
      <c r="C37" s="39" t="str">
        <f aca="false">IF(B37="","",SUMIFS(Vendas!$E$5:$E$3004,Vendas!$D$5:$D$3004,B37,Vendas!$B$5:$B$3004,"&gt;="&amp;$C$4,Vendas!$B$5:$B$3004,"&lt;="&amp;EOMONTH($C$4,0)))</f>
        <v/>
      </c>
      <c r="D37" s="27" t="str">
        <f aca="false">IF(B37="","",SUMIFS(Vendas!$G$5:$G$3004,Vendas!$D$5:$D$3004,B37,Vendas!$B$5:$B$3004,"&gt;="&amp;$C$4,Vendas!$B$5:$B$3004,"&lt;="&amp;EOMONTH($C$4,0)))</f>
        <v/>
      </c>
      <c r="E37" s="27" t="str">
        <f aca="false">IF(B37="","",SUMIFS(Vendas!$I$5:$I$3004,Vendas!$D$5:$D$3004,B37,Vendas!$B$5:$B$3004,"&gt;="&amp;$C$4,Vendas!$B$5:$B$3004,"&lt;="&amp;EOMONTH($C$4,0)))</f>
        <v/>
      </c>
    </row>
    <row r="38" customFormat="false" ht="15" hidden="false" customHeight="false" outlineLevel="0" collapsed="false">
      <c r="B38" s="8" t="str">
        <f aca="false">IF(Produtos!B12="","",Produtos!B12)</f>
        <v/>
      </c>
      <c r="C38" s="39" t="str">
        <f aca="false">IF(B38="","",SUMIFS(Vendas!$E$5:$E$3004,Vendas!$D$5:$D$3004,B38,Vendas!$B$5:$B$3004,"&gt;="&amp;$C$4,Vendas!$B$5:$B$3004,"&lt;="&amp;EOMONTH($C$4,0)))</f>
        <v/>
      </c>
      <c r="D38" s="27" t="str">
        <f aca="false">IF(B38="","",SUMIFS(Vendas!$G$5:$G$3004,Vendas!$D$5:$D$3004,B38,Vendas!$B$5:$B$3004,"&gt;="&amp;$C$4,Vendas!$B$5:$B$3004,"&lt;="&amp;EOMONTH($C$4,0)))</f>
        <v/>
      </c>
      <c r="E38" s="27" t="str">
        <f aca="false">IF(B38="","",SUMIFS(Vendas!$I$5:$I$3004,Vendas!$D$5:$D$3004,B38,Vendas!$B$5:$B$3004,"&gt;="&amp;$C$4,Vendas!$B$5:$B$3004,"&lt;="&amp;EOMONTH($C$4,0)))</f>
        <v/>
      </c>
    </row>
    <row r="39" customFormat="false" ht="15" hidden="false" customHeight="false" outlineLevel="0" collapsed="false">
      <c r="B39" s="8" t="str">
        <f aca="false">IF(Produtos!B13="","",Produtos!B13)</f>
        <v/>
      </c>
      <c r="C39" s="39" t="str">
        <f aca="false">IF(B39="","",SUMIFS(Vendas!$E$5:$E$3004,Vendas!$D$5:$D$3004,B39,Vendas!$B$5:$B$3004,"&gt;="&amp;$C$4,Vendas!$B$5:$B$3004,"&lt;="&amp;EOMONTH($C$4,0)))</f>
        <v/>
      </c>
      <c r="D39" s="27" t="str">
        <f aca="false">IF(B39="","",SUMIFS(Vendas!$G$5:$G$3004,Vendas!$D$5:$D$3004,B39,Vendas!$B$5:$B$3004,"&gt;="&amp;$C$4,Vendas!$B$5:$B$3004,"&lt;="&amp;EOMONTH($C$4,0)))</f>
        <v/>
      </c>
      <c r="E39" s="27" t="str">
        <f aca="false">IF(B39="","",SUMIFS(Vendas!$I$5:$I$3004,Vendas!$D$5:$D$3004,B39,Vendas!$B$5:$B$3004,"&gt;="&amp;$C$4,Vendas!$B$5:$B$3004,"&lt;="&amp;EOMONTH($C$4,0)))</f>
        <v/>
      </c>
    </row>
    <row r="40" customFormat="false" ht="15" hidden="false" customHeight="false" outlineLevel="0" collapsed="false">
      <c r="B40" s="8" t="str">
        <f aca="false">IF(Produtos!B14="","",Produtos!B14)</f>
        <v/>
      </c>
      <c r="C40" s="39" t="str">
        <f aca="false">IF(B40="","",SUMIFS(Vendas!$E$5:$E$3004,Vendas!$D$5:$D$3004,B40,Vendas!$B$5:$B$3004,"&gt;="&amp;$C$4,Vendas!$B$5:$B$3004,"&lt;="&amp;EOMONTH($C$4,0)))</f>
        <v/>
      </c>
      <c r="D40" s="27" t="str">
        <f aca="false">IF(B40="","",SUMIFS(Vendas!$G$5:$G$3004,Vendas!$D$5:$D$3004,B40,Vendas!$B$5:$B$3004,"&gt;="&amp;$C$4,Vendas!$B$5:$B$3004,"&lt;="&amp;EOMONTH($C$4,0)))</f>
        <v/>
      </c>
      <c r="E40" s="27" t="str">
        <f aca="false">IF(B40="","",SUMIFS(Vendas!$I$5:$I$3004,Vendas!$D$5:$D$3004,B40,Vendas!$B$5:$B$3004,"&gt;="&amp;$C$4,Vendas!$B$5:$B$3004,"&lt;="&amp;EOMONTH($C$4,0)))</f>
        <v/>
      </c>
    </row>
    <row r="41" customFormat="false" ht="15" hidden="false" customHeight="false" outlineLevel="0" collapsed="false">
      <c r="B41" s="8" t="str">
        <f aca="false">IF(Produtos!B15="","",Produtos!B15)</f>
        <v/>
      </c>
      <c r="C41" s="39" t="str">
        <f aca="false">IF(B41="","",SUMIFS(Vendas!$E$5:$E$3004,Vendas!$D$5:$D$3004,B41,Vendas!$B$5:$B$3004,"&gt;="&amp;$C$4,Vendas!$B$5:$B$3004,"&lt;="&amp;EOMONTH($C$4,0)))</f>
        <v/>
      </c>
      <c r="D41" s="27" t="str">
        <f aca="false">IF(B41="","",SUMIFS(Vendas!$G$5:$G$3004,Vendas!$D$5:$D$3004,B41,Vendas!$B$5:$B$3004,"&gt;="&amp;$C$4,Vendas!$B$5:$B$3004,"&lt;="&amp;EOMONTH($C$4,0)))</f>
        <v/>
      </c>
      <c r="E41" s="27" t="str">
        <f aca="false">IF(B41="","",SUMIFS(Vendas!$I$5:$I$3004,Vendas!$D$5:$D$3004,B41,Vendas!$B$5:$B$3004,"&gt;="&amp;$C$4,Vendas!$B$5:$B$3004,"&lt;="&amp;EOMONTH($C$4,0)))</f>
        <v/>
      </c>
    </row>
    <row r="42" customFormat="false" ht="15" hidden="false" customHeight="false" outlineLevel="0" collapsed="false">
      <c r="B42" s="8" t="str">
        <f aca="false">IF(Produtos!B16="","",Produtos!B16)</f>
        <v/>
      </c>
      <c r="C42" s="39" t="str">
        <f aca="false">IF(B42="","",SUMIFS(Vendas!$E$5:$E$3004,Vendas!$D$5:$D$3004,B42,Vendas!$B$5:$B$3004,"&gt;="&amp;$C$4,Vendas!$B$5:$B$3004,"&lt;="&amp;EOMONTH($C$4,0)))</f>
        <v/>
      </c>
      <c r="D42" s="27" t="str">
        <f aca="false">IF(B42="","",SUMIFS(Vendas!$G$5:$G$3004,Vendas!$D$5:$D$3004,B42,Vendas!$B$5:$B$3004,"&gt;="&amp;$C$4,Vendas!$B$5:$B$3004,"&lt;="&amp;EOMONTH($C$4,0)))</f>
        <v/>
      </c>
      <c r="E42" s="27" t="str">
        <f aca="false">IF(B42="","",SUMIFS(Vendas!$I$5:$I$3004,Vendas!$D$5:$D$3004,B42,Vendas!$B$5:$B$3004,"&gt;="&amp;$C$4,Vendas!$B$5:$B$3004,"&lt;="&amp;EOMONTH($C$4,0)))</f>
        <v/>
      </c>
    </row>
    <row r="43" customFormat="false" ht="15" hidden="false" customHeight="false" outlineLevel="0" collapsed="false">
      <c r="B43" s="8" t="str">
        <f aca="false">IF(Produtos!B17="","",Produtos!B17)</f>
        <v/>
      </c>
      <c r="C43" s="39" t="str">
        <f aca="false">IF(B43="","",SUMIFS(Vendas!$E$5:$E$3004,Vendas!$D$5:$D$3004,B43,Vendas!$B$5:$B$3004,"&gt;="&amp;$C$4,Vendas!$B$5:$B$3004,"&lt;="&amp;EOMONTH($C$4,0)))</f>
        <v/>
      </c>
      <c r="D43" s="27" t="str">
        <f aca="false">IF(B43="","",SUMIFS(Vendas!$G$5:$G$3004,Vendas!$D$5:$D$3004,B43,Vendas!$B$5:$B$3004,"&gt;="&amp;$C$4,Vendas!$B$5:$B$3004,"&lt;="&amp;EOMONTH($C$4,0)))</f>
        <v/>
      </c>
      <c r="E43" s="27" t="str">
        <f aca="false">IF(B43="","",SUMIFS(Vendas!$I$5:$I$3004,Vendas!$D$5:$D$3004,B43,Vendas!$B$5:$B$3004,"&gt;="&amp;$C$4,Vendas!$B$5:$B$3004,"&lt;="&amp;EOMONTH($C$4,0)))</f>
        <v/>
      </c>
    </row>
    <row r="44" customFormat="false" ht="15" hidden="false" customHeight="false" outlineLevel="0" collapsed="false">
      <c r="B44" s="8" t="str">
        <f aca="false">IF(Produtos!B18="","",Produtos!B18)</f>
        <v/>
      </c>
      <c r="C44" s="39" t="str">
        <f aca="false">IF(B44="","",SUMIFS(Vendas!$E$5:$E$3004,Vendas!$D$5:$D$3004,B44,Vendas!$B$5:$B$3004,"&gt;="&amp;$C$4,Vendas!$B$5:$B$3004,"&lt;="&amp;EOMONTH($C$4,0)))</f>
        <v/>
      </c>
      <c r="D44" s="27" t="str">
        <f aca="false">IF(B44="","",SUMIFS(Vendas!$G$5:$G$3004,Vendas!$D$5:$D$3004,B44,Vendas!$B$5:$B$3004,"&gt;="&amp;$C$4,Vendas!$B$5:$B$3004,"&lt;="&amp;EOMONTH($C$4,0)))</f>
        <v/>
      </c>
      <c r="E44" s="27" t="str">
        <f aca="false">IF(B44="","",SUMIFS(Vendas!$I$5:$I$3004,Vendas!$D$5:$D$3004,B44,Vendas!$B$5:$B$3004,"&gt;="&amp;$C$4,Vendas!$B$5:$B$3004,"&lt;="&amp;EOMONTH($C$4,0)))</f>
        <v/>
      </c>
    </row>
    <row r="45" customFormat="false" ht="15" hidden="false" customHeight="false" outlineLevel="0" collapsed="false">
      <c r="B45" s="8" t="str">
        <f aca="false">IF(Produtos!B19="","",Produtos!B19)</f>
        <v/>
      </c>
      <c r="C45" s="39" t="str">
        <f aca="false">IF(B45="","",SUMIFS(Vendas!$E$5:$E$3004,Vendas!$D$5:$D$3004,B45,Vendas!$B$5:$B$3004,"&gt;="&amp;$C$4,Vendas!$B$5:$B$3004,"&lt;="&amp;EOMONTH($C$4,0)))</f>
        <v/>
      </c>
      <c r="D45" s="27" t="str">
        <f aca="false">IF(B45="","",SUMIFS(Vendas!$G$5:$G$3004,Vendas!$D$5:$D$3004,B45,Vendas!$B$5:$B$3004,"&gt;="&amp;$C$4,Vendas!$B$5:$B$3004,"&lt;="&amp;EOMONTH($C$4,0)))</f>
        <v/>
      </c>
      <c r="E45" s="27" t="str">
        <f aca="false">IF(B45="","",SUMIFS(Vendas!$I$5:$I$3004,Vendas!$D$5:$D$3004,B45,Vendas!$B$5:$B$3004,"&gt;="&amp;$C$4,Vendas!$B$5:$B$3004,"&lt;="&amp;EOMONTH($C$4,0)))</f>
        <v/>
      </c>
    </row>
    <row r="46" customFormat="false" ht="15" hidden="false" customHeight="false" outlineLevel="0" collapsed="false">
      <c r="B46" s="8" t="str">
        <f aca="false">IF(Produtos!B20="","",Produtos!B20)</f>
        <v/>
      </c>
      <c r="C46" s="39" t="str">
        <f aca="false">IF(B46="","",SUMIFS(Vendas!$E$5:$E$3004,Vendas!$D$5:$D$3004,B46,Vendas!$B$5:$B$3004,"&gt;="&amp;$C$4,Vendas!$B$5:$B$3004,"&lt;="&amp;EOMONTH($C$4,0)))</f>
        <v/>
      </c>
      <c r="D46" s="27" t="str">
        <f aca="false">IF(B46="","",SUMIFS(Vendas!$G$5:$G$3004,Vendas!$D$5:$D$3004,B46,Vendas!$B$5:$B$3004,"&gt;="&amp;$C$4,Vendas!$B$5:$B$3004,"&lt;="&amp;EOMONTH($C$4,0)))</f>
        <v/>
      </c>
      <c r="E46" s="27" t="str">
        <f aca="false">IF(B46="","",SUMIFS(Vendas!$I$5:$I$3004,Vendas!$D$5:$D$3004,B46,Vendas!$B$5:$B$3004,"&gt;="&amp;$C$4,Vendas!$B$5:$B$3004,"&lt;="&amp;EOMONTH($C$4,0)))</f>
        <v/>
      </c>
    </row>
    <row r="47" customFormat="false" ht="15" hidden="false" customHeight="false" outlineLevel="0" collapsed="false">
      <c r="B47" s="8" t="str">
        <f aca="false">IF(Produtos!B21="","",Produtos!B21)</f>
        <v/>
      </c>
      <c r="C47" s="39" t="str">
        <f aca="false">IF(B47="","",SUMIFS(Vendas!$E$5:$E$3004,Vendas!$D$5:$D$3004,B47,Vendas!$B$5:$B$3004,"&gt;="&amp;$C$4,Vendas!$B$5:$B$3004,"&lt;="&amp;EOMONTH($C$4,0)))</f>
        <v/>
      </c>
      <c r="D47" s="27" t="str">
        <f aca="false">IF(B47="","",SUMIFS(Vendas!$G$5:$G$3004,Vendas!$D$5:$D$3004,B47,Vendas!$B$5:$B$3004,"&gt;="&amp;$C$4,Vendas!$B$5:$B$3004,"&lt;="&amp;EOMONTH($C$4,0)))</f>
        <v/>
      </c>
      <c r="E47" s="27" t="str">
        <f aca="false">IF(B47="","",SUMIFS(Vendas!$I$5:$I$3004,Vendas!$D$5:$D$3004,B47,Vendas!$B$5:$B$3004,"&gt;="&amp;$C$4,Vendas!$B$5:$B$3004,"&lt;="&amp;EOMONTH($C$4,0)))</f>
        <v/>
      </c>
    </row>
    <row r="48" customFormat="false" ht="15" hidden="false" customHeight="false" outlineLevel="0" collapsed="false">
      <c r="B48" s="8" t="str">
        <f aca="false">IF(Produtos!B22="","",Produtos!B22)</f>
        <v/>
      </c>
      <c r="C48" s="39" t="str">
        <f aca="false">IF(B48="","",SUMIFS(Vendas!$E$5:$E$3004,Vendas!$D$5:$D$3004,B48,Vendas!$B$5:$B$3004,"&gt;="&amp;$C$4,Vendas!$B$5:$B$3004,"&lt;="&amp;EOMONTH($C$4,0)))</f>
        <v/>
      </c>
      <c r="D48" s="27" t="str">
        <f aca="false">IF(B48="","",SUMIFS(Vendas!$G$5:$G$3004,Vendas!$D$5:$D$3004,B48,Vendas!$B$5:$B$3004,"&gt;="&amp;$C$4,Vendas!$B$5:$B$3004,"&lt;="&amp;EOMONTH($C$4,0)))</f>
        <v/>
      </c>
      <c r="E48" s="27" t="str">
        <f aca="false">IF(B48="","",SUMIFS(Vendas!$I$5:$I$3004,Vendas!$D$5:$D$3004,B48,Vendas!$B$5:$B$3004,"&gt;="&amp;$C$4,Vendas!$B$5:$B$3004,"&lt;="&amp;EOMONTH($C$4,0)))</f>
        <v/>
      </c>
    </row>
    <row r="49" customFormat="false" ht="15" hidden="false" customHeight="false" outlineLevel="0" collapsed="false">
      <c r="B49" s="8" t="str">
        <f aca="false">IF(Produtos!B23="","",Produtos!B23)</f>
        <v/>
      </c>
      <c r="C49" s="39" t="str">
        <f aca="false">IF(B49="","",SUMIFS(Vendas!$E$5:$E$3004,Vendas!$D$5:$D$3004,B49,Vendas!$B$5:$B$3004,"&gt;="&amp;$C$4,Vendas!$B$5:$B$3004,"&lt;="&amp;EOMONTH($C$4,0)))</f>
        <v/>
      </c>
      <c r="D49" s="27" t="str">
        <f aca="false">IF(B49="","",SUMIFS(Vendas!$G$5:$G$3004,Vendas!$D$5:$D$3004,B49,Vendas!$B$5:$B$3004,"&gt;="&amp;$C$4,Vendas!$B$5:$B$3004,"&lt;="&amp;EOMONTH($C$4,0)))</f>
        <v/>
      </c>
      <c r="E49" s="27" t="str">
        <f aca="false">IF(B49="","",SUMIFS(Vendas!$I$5:$I$3004,Vendas!$D$5:$D$3004,B49,Vendas!$B$5:$B$3004,"&gt;="&amp;$C$4,Vendas!$B$5:$B$3004,"&lt;="&amp;EOMONTH($C$4,0)))</f>
        <v/>
      </c>
    </row>
    <row r="50" customFormat="false" ht="15" hidden="false" customHeight="false" outlineLevel="0" collapsed="false">
      <c r="B50" s="8" t="str">
        <f aca="false">IF(Produtos!B24="","",Produtos!B24)</f>
        <v/>
      </c>
      <c r="C50" s="39" t="str">
        <f aca="false">IF(B50="","",SUMIFS(Vendas!$E$5:$E$3004,Vendas!$D$5:$D$3004,B50,Vendas!$B$5:$B$3004,"&gt;="&amp;$C$4,Vendas!$B$5:$B$3004,"&lt;="&amp;EOMONTH($C$4,0)))</f>
        <v/>
      </c>
      <c r="D50" s="27" t="str">
        <f aca="false">IF(B50="","",SUMIFS(Vendas!$G$5:$G$3004,Vendas!$D$5:$D$3004,B50,Vendas!$B$5:$B$3004,"&gt;="&amp;$C$4,Vendas!$B$5:$B$3004,"&lt;="&amp;EOMONTH($C$4,0)))</f>
        <v/>
      </c>
      <c r="E50" s="27" t="str">
        <f aca="false">IF(B50="","",SUMIFS(Vendas!$I$5:$I$3004,Vendas!$D$5:$D$3004,B50,Vendas!$B$5:$B$3004,"&gt;="&amp;$C$4,Vendas!$B$5:$B$3004,"&lt;="&amp;EOMONTH($C$4,0)))</f>
        <v/>
      </c>
    </row>
    <row r="51" customFormat="false" ht="15" hidden="false" customHeight="false" outlineLevel="0" collapsed="false">
      <c r="B51" s="8" t="str">
        <f aca="false">IF(Produtos!B25="","",Produtos!B25)</f>
        <v/>
      </c>
      <c r="C51" s="39" t="str">
        <f aca="false">IF(B51="","",SUMIFS(Vendas!$E$5:$E$3004,Vendas!$D$5:$D$3004,B51,Vendas!$B$5:$B$3004,"&gt;="&amp;$C$4,Vendas!$B$5:$B$3004,"&lt;="&amp;EOMONTH($C$4,0)))</f>
        <v/>
      </c>
      <c r="D51" s="27" t="str">
        <f aca="false">IF(B51="","",SUMIFS(Vendas!$G$5:$G$3004,Vendas!$D$5:$D$3004,B51,Vendas!$B$5:$B$3004,"&gt;="&amp;$C$4,Vendas!$B$5:$B$3004,"&lt;="&amp;EOMONTH($C$4,0)))</f>
        <v/>
      </c>
      <c r="E51" s="27" t="str">
        <f aca="false">IF(B51="","",SUMIFS(Vendas!$I$5:$I$3004,Vendas!$D$5:$D$3004,B51,Vendas!$B$5:$B$3004,"&gt;="&amp;$C$4,Vendas!$B$5:$B$3004,"&lt;="&amp;EOMONTH($C$4,0)))</f>
        <v/>
      </c>
    </row>
    <row r="52" customFormat="false" ht="15" hidden="false" customHeight="false" outlineLevel="0" collapsed="false">
      <c r="B52" s="8" t="str">
        <f aca="false">IF(Produtos!B26="","",Produtos!B26)</f>
        <v/>
      </c>
      <c r="C52" s="39" t="str">
        <f aca="false">IF(B52="","",SUMIFS(Vendas!$E$5:$E$3004,Vendas!$D$5:$D$3004,B52,Vendas!$B$5:$B$3004,"&gt;="&amp;$C$4,Vendas!$B$5:$B$3004,"&lt;="&amp;EOMONTH($C$4,0)))</f>
        <v/>
      </c>
      <c r="D52" s="27" t="str">
        <f aca="false">IF(B52="","",SUMIFS(Vendas!$G$5:$G$3004,Vendas!$D$5:$D$3004,B52,Vendas!$B$5:$B$3004,"&gt;="&amp;$C$4,Vendas!$B$5:$B$3004,"&lt;="&amp;EOMONTH($C$4,0)))</f>
        <v/>
      </c>
      <c r="E52" s="27" t="str">
        <f aca="false">IF(B52="","",SUMIFS(Vendas!$I$5:$I$3004,Vendas!$D$5:$D$3004,B52,Vendas!$B$5:$B$3004,"&gt;="&amp;$C$4,Vendas!$B$5:$B$3004,"&lt;="&amp;EOMONTH($C$4,0)))</f>
        <v/>
      </c>
    </row>
    <row r="53" customFormat="false" ht="15" hidden="false" customHeight="false" outlineLevel="0" collapsed="false">
      <c r="B53" s="8" t="str">
        <f aca="false">IF(Produtos!B27="","",Produtos!B27)</f>
        <v/>
      </c>
      <c r="C53" s="39" t="str">
        <f aca="false">IF(B53="","",SUMIFS(Vendas!$E$5:$E$3004,Vendas!$D$5:$D$3004,B53,Vendas!$B$5:$B$3004,"&gt;="&amp;$C$4,Vendas!$B$5:$B$3004,"&lt;="&amp;EOMONTH($C$4,0)))</f>
        <v/>
      </c>
      <c r="D53" s="27" t="str">
        <f aca="false">IF(B53="","",SUMIFS(Vendas!$G$5:$G$3004,Vendas!$D$5:$D$3004,B53,Vendas!$B$5:$B$3004,"&gt;="&amp;$C$4,Vendas!$B$5:$B$3004,"&lt;="&amp;EOMONTH($C$4,0)))</f>
        <v/>
      </c>
      <c r="E53" s="27" t="str">
        <f aca="false">IF(B53="","",SUMIFS(Vendas!$I$5:$I$3004,Vendas!$D$5:$D$3004,B53,Vendas!$B$5:$B$3004,"&gt;="&amp;$C$4,Vendas!$B$5:$B$3004,"&lt;="&amp;EOMONTH($C$4,0)))</f>
        <v/>
      </c>
    </row>
    <row r="54" customFormat="false" ht="15" hidden="false" customHeight="false" outlineLevel="0" collapsed="false">
      <c r="B54" s="8" t="str">
        <f aca="false">IF(Produtos!B28="","",Produtos!B28)</f>
        <v/>
      </c>
      <c r="C54" s="39" t="str">
        <f aca="false">IF(B54="","",SUMIFS(Vendas!$E$5:$E$3004,Vendas!$D$5:$D$3004,B54,Vendas!$B$5:$B$3004,"&gt;="&amp;$C$4,Vendas!$B$5:$B$3004,"&lt;="&amp;EOMONTH($C$4,0)))</f>
        <v/>
      </c>
      <c r="D54" s="27" t="str">
        <f aca="false">IF(B54="","",SUMIFS(Vendas!$G$5:$G$3004,Vendas!$D$5:$D$3004,B54,Vendas!$B$5:$B$3004,"&gt;="&amp;$C$4,Vendas!$B$5:$B$3004,"&lt;="&amp;EOMONTH($C$4,0)))</f>
        <v/>
      </c>
      <c r="E54" s="27" t="str">
        <f aca="false">IF(B54="","",SUMIFS(Vendas!$I$5:$I$3004,Vendas!$D$5:$D$3004,B54,Vendas!$B$5:$B$3004,"&gt;="&amp;$C$4,Vendas!$B$5:$B$3004,"&lt;="&amp;EOMONTH($C$4,0)))</f>
        <v/>
      </c>
    </row>
    <row r="55" customFormat="false" ht="15" hidden="false" customHeight="false" outlineLevel="0" collapsed="false">
      <c r="B55" s="8" t="str">
        <f aca="false">IF(Produtos!B29="","",Produtos!B29)</f>
        <v/>
      </c>
      <c r="C55" s="39" t="str">
        <f aca="false">IF(B55="","",SUMIFS(Vendas!$E$5:$E$3004,Vendas!$D$5:$D$3004,B55,Vendas!$B$5:$B$3004,"&gt;="&amp;$C$4,Vendas!$B$5:$B$3004,"&lt;="&amp;EOMONTH($C$4,0)))</f>
        <v/>
      </c>
      <c r="D55" s="27" t="str">
        <f aca="false">IF(B55="","",SUMIFS(Vendas!$G$5:$G$3004,Vendas!$D$5:$D$3004,B55,Vendas!$B$5:$B$3004,"&gt;="&amp;$C$4,Vendas!$B$5:$B$3004,"&lt;="&amp;EOMONTH($C$4,0)))</f>
        <v/>
      </c>
      <c r="E55" s="27" t="str">
        <f aca="false">IF(B55="","",SUMIFS(Vendas!$I$5:$I$3004,Vendas!$D$5:$D$3004,B55,Vendas!$B$5:$B$3004,"&gt;="&amp;$C$4,Vendas!$B$5:$B$3004,"&lt;="&amp;EOMONTH($C$4,0)))</f>
        <v/>
      </c>
    </row>
    <row r="56" customFormat="false" ht="15" hidden="false" customHeight="false" outlineLevel="0" collapsed="false">
      <c r="B56" s="8" t="str">
        <f aca="false">IF(Produtos!B30="","",Produtos!B30)</f>
        <v/>
      </c>
      <c r="C56" s="39" t="str">
        <f aca="false">IF(B56="","",SUMIFS(Vendas!$E$5:$E$3004,Vendas!$D$5:$D$3004,B56,Vendas!$B$5:$B$3004,"&gt;="&amp;$C$4,Vendas!$B$5:$B$3004,"&lt;="&amp;EOMONTH($C$4,0)))</f>
        <v/>
      </c>
      <c r="D56" s="27" t="str">
        <f aca="false">IF(B56="","",SUMIFS(Vendas!$G$5:$G$3004,Vendas!$D$5:$D$3004,B56,Vendas!$B$5:$B$3004,"&gt;="&amp;$C$4,Vendas!$B$5:$B$3004,"&lt;="&amp;EOMONTH($C$4,0)))</f>
        <v/>
      </c>
      <c r="E56" s="27" t="str">
        <f aca="false">IF(B56="","",SUMIFS(Vendas!$I$5:$I$3004,Vendas!$D$5:$D$3004,B56,Vendas!$B$5:$B$3004,"&gt;="&amp;$C$4,Vendas!$B$5:$B$3004,"&lt;="&amp;EOMONTH($C$4,0)))</f>
        <v/>
      </c>
    </row>
    <row r="57" customFormat="false" ht="15" hidden="false" customHeight="false" outlineLevel="0" collapsed="false">
      <c r="B57" s="8" t="str">
        <f aca="false">IF(Produtos!B31="","",Produtos!B31)</f>
        <v/>
      </c>
      <c r="C57" s="39" t="str">
        <f aca="false">IF(B57="","",SUMIFS(Vendas!$E$5:$E$3004,Vendas!$D$5:$D$3004,B57,Vendas!$B$5:$B$3004,"&gt;="&amp;$C$4,Vendas!$B$5:$B$3004,"&lt;="&amp;EOMONTH($C$4,0)))</f>
        <v/>
      </c>
      <c r="D57" s="27" t="str">
        <f aca="false">IF(B57="","",SUMIFS(Vendas!$G$5:$G$3004,Vendas!$D$5:$D$3004,B57,Vendas!$B$5:$B$3004,"&gt;="&amp;$C$4,Vendas!$B$5:$B$3004,"&lt;="&amp;EOMONTH($C$4,0)))</f>
        <v/>
      </c>
      <c r="E57" s="27" t="str">
        <f aca="false">IF(B57="","",SUMIFS(Vendas!$I$5:$I$3004,Vendas!$D$5:$D$3004,B57,Vendas!$B$5:$B$3004,"&gt;="&amp;$C$4,Vendas!$B$5:$B$3004,"&lt;="&amp;EOMONTH($C$4,0)))</f>
        <v/>
      </c>
    </row>
    <row r="58" customFormat="false" ht="15" hidden="false" customHeight="false" outlineLevel="0" collapsed="false">
      <c r="B58" s="8" t="str">
        <f aca="false">IF(Produtos!B32="","",Produtos!B32)</f>
        <v/>
      </c>
      <c r="C58" s="39" t="str">
        <f aca="false">IF(B58="","",SUMIFS(Vendas!$E$5:$E$3004,Vendas!$D$5:$D$3004,B58,Vendas!$B$5:$B$3004,"&gt;="&amp;$C$4,Vendas!$B$5:$B$3004,"&lt;="&amp;EOMONTH($C$4,0)))</f>
        <v/>
      </c>
      <c r="D58" s="27" t="str">
        <f aca="false">IF(B58="","",SUMIFS(Vendas!$G$5:$G$3004,Vendas!$D$5:$D$3004,B58,Vendas!$B$5:$B$3004,"&gt;="&amp;$C$4,Vendas!$B$5:$B$3004,"&lt;="&amp;EOMONTH($C$4,0)))</f>
        <v/>
      </c>
      <c r="E58" s="27" t="str">
        <f aca="false">IF(B58="","",SUMIFS(Vendas!$I$5:$I$3004,Vendas!$D$5:$D$3004,B58,Vendas!$B$5:$B$3004,"&gt;="&amp;$C$4,Vendas!$B$5:$B$3004,"&lt;="&amp;EOMONTH($C$4,0)))</f>
        <v/>
      </c>
    </row>
    <row r="59" customFormat="false" ht="15" hidden="false" customHeight="false" outlineLevel="0" collapsed="false">
      <c r="B59" s="8" t="str">
        <f aca="false">IF(Produtos!B33="","",Produtos!B33)</f>
        <v/>
      </c>
      <c r="C59" s="39" t="str">
        <f aca="false">IF(B59="","",SUMIFS(Vendas!$E$5:$E$3004,Vendas!$D$5:$D$3004,B59,Vendas!$B$5:$B$3004,"&gt;="&amp;$C$4,Vendas!$B$5:$B$3004,"&lt;="&amp;EOMONTH($C$4,0)))</f>
        <v/>
      </c>
      <c r="D59" s="27" t="str">
        <f aca="false">IF(B59="","",SUMIFS(Vendas!$G$5:$G$3004,Vendas!$D$5:$D$3004,B59,Vendas!$B$5:$B$3004,"&gt;="&amp;$C$4,Vendas!$B$5:$B$3004,"&lt;="&amp;EOMONTH($C$4,0)))</f>
        <v/>
      </c>
      <c r="E59" s="27" t="str">
        <f aca="false">IF(B59="","",SUMIFS(Vendas!$I$5:$I$3004,Vendas!$D$5:$D$3004,B59,Vendas!$B$5:$B$3004,"&gt;="&amp;$C$4,Vendas!$B$5:$B$3004,"&lt;="&amp;EOMONTH($C$4,0)))</f>
        <v/>
      </c>
    </row>
    <row r="60" customFormat="false" ht="15" hidden="false" customHeight="false" outlineLevel="0" collapsed="false">
      <c r="B60" s="8" t="str">
        <f aca="false">IF(Produtos!B34="","",Produtos!B34)</f>
        <v/>
      </c>
      <c r="C60" s="39" t="str">
        <f aca="false">IF(B60="","",SUMIFS(Vendas!$E$5:$E$3004,Vendas!$D$5:$D$3004,B60,Vendas!$B$5:$B$3004,"&gt;="&amp;$C$4,Vendas!$B$5:$B$3004,"&lt;="&amp;EOMONTH($C$4,0)))</f>
        <v/>
      </c>
      <c r="D60" s="27" t="str">
        <f aca="false">IF(B60="","",SUMIFS(Vendas!$G$5:$G$3004,Vendas!$D$5:$D$3004,B60,Vendas!$B$5:$B$3004,"&gt;="&amp;$C$4,Vendas!$B$5:$B$3004,"&lt;="&amp;EOMONTH($C$4,0)))</f>
        <v/>
      </c>
      <c r="E60" s="27" t="str">
        <f aca="false">IF(B60="","",SUMIFS(Vendas!$I$5:$I$3004,Vendas!$D$5:$D$3004,B60,Vendas!$B$5:$B$3004,"&gt;="&amp;$C$4,Vendas!$B$5:$B$3004,"&lt;="&amp;EOMONTH($C$4,0)))</f>
        <v/>
      </c>
    </row>
    <row r="61" customFormat="false" ht="15" hidden="false" customHeight="false" outlineLevel="0" collapsed="false">
      <c r="B61" s="8" t="str">
        <f aca="false">IF(Produtos!B35="","",Produtos!B35)</f>
        <v/>
      </c>
      <c r="C61" s="39" t="str">
        <f aca="false">IF(B61="","",SUMIFS(Vendas!$E$5:$E$3004,Vendas!$D$5:$D$3004,B61,Vendas!$B$5:$B$3004,"&gt;="&amp;$C$4,Vendas!$B$5:$B$3004,"&lt;="&amp;EOMONTH($C$4,0)))</f>
        <v/>
      </c>
      <c r="D61" s="27" t="str">
        <f aca="false">IF(B61="","",SUMIFS(Vendas!$G$5:$G$3004,Vendas!$D$5:$D$3004,B61,Vendas!$B$5:$B$3004,"&gt;="&amp;$C$4,Vendas!$B$5:$B$3004,"&lt;="&amp;EOMONTH($C$4,0)))</f>
        <v/>
      </c>
      <c r="E61" s="27" t="str">
        <f aca="false">IF(B61="","",SUMIFS(Vendas!$I$5:$I$3004,Vendas!$D$5:$D$3004,B61,Vendas!$B$5:$B$3004,"&gt;="&amp;$C$4,Vendas!$B$5:$B$3004,"&lt;="&amp;EOMONTH($C$4,0)))</f>
        <v/>
      </c>
    </row>
    <row r="62" customFormat="false" ht="15" hidden="false" customHeight="false" outlineLevel="0" collapsed="false">
      <c r="B62" s="8" t="str">
        <f aca="false">IF(Produtos!B36="","",Produtos!B36)</f>
        <v/>
      </c>
      <c r="C62" s="39" t="str">
        <f aca="false">IF(B62="","",SUMIFS(Vendas!$E$5:$E$3004,Vendas!$D$5:$D$3004,B62,Vendas!$B$5:$B$3004,"&gt;="&amp;$C$4,Vendas!$B$5:$B$3004,"&lt;="&amp;EOMONTH($C$4,0)))</f>
        <v/>
      </c>
      <c r="D62" s="27" t="str">
        <f aca="false">IF(B62="","",SUMIFS(Vendas!$G$5:$G$3004,Vendas!$D$5:$D$3004,B62,Vendas!$B$5:$B$3004,"&gt;="&amp;$C$4,Vendas!$B$5:$B$3004,"&lt;="&amp;EOMONTH($C$4,0)))</f>
        <v/>
      </c>
      <c r="E62" s="27" t="str">
        <f aca="false">IF(B62="","",SUMIFS(Vendas!$I$5:$I$3004,Vendas!$D$5:$D$3004,B62,Vendas!$B$5:$B$3004,"&gt;="&amp;$C$4,Vendas!$B$5:$B$3004,"&lt;="&amp;EOMONTH($C$4,0)))</f>
        <v/>
      </c>
    </row>
    <row r="63" customFormat="false" ht="15" hidden="false" customHeight="false" outlineLevel="0" collapsed="false">
      <c r="B63" s="8" t="str">
        <f aca="false">IF(Produtos!B37="","",Produtos!B37)</f>
        <v/>
      </c>
      <c r="C63" s="39" t="str">
        <f aca="false">IF(B63="","",SUMIFS(Vendas!$E$5:$E$3004,Vendas!$D$5:$D$3004,B63,Vendas!$B$5:$B$3004,"&gt;="&amp;$C$4,Vendas!$B$5:$B$3004,"&lt;="&amp;EOMONTH($C$4,0)))</f>
        <v/>
      </c>
      <c r="D63" s="27" t="str">
        <f aca="false">IF(B63="","",SUMIFS(Vendas!$G$5:$G$3004,Vendas!$D$5:$D$3004,B63,Vendas!$B$5:$B$3004,"&gt;="&amp;$C$4,Vendas!$B$5:$B$3004,"&lt;="&amp;EOMONTH($C$4,0)))</f>
        <v/>
      </c>
      <c r="E63" s="27" t="str">
        <f aca="false">IF(B63="","",SUMIFS(Vendas!$I$5:$I$3004,Vendas!$D$5:$D$3004,B63,Vendas!$B$5:$B$3004,"&gt;="&amp;$C$4,Vendas!$B$5:$B$3004,"&lt;="&amp;EOMONTH($C$4,0)))</f>
        <v/>
      </c>
    </row>
    <row r="64" customFormat="false" ht="15" hidden="false" customHeight="false" outlineLevel="0" collapsed="false">
      <c r="B64" s="8" t="str">
        <f aca="false">IF(Produtos!B38="","",Produtos!B38)</f>
        <v/>
      </c>
      <c r="C64" s="39" t="str">
        <f aca="false">IF(B64="","",SUMIFS(Vendas!$E$5:$E$3004,Vendas!$D$5:$D$3004,B64,Vendas!$B$5:$B$3004,"&gt;="&amp;$C$4,Vendas!$B$5:$B$3004,"&lt;="&amp;EOMONTH($C$4,0)))</f>
        <v/>
      </c>
      <c r="D64" s="27" t="str">
        <f aca="false">IF(B64="","",SUMIFS(Vendas!$G$5:$G$3004,Vendas!$D$5:$D$3004,B64,Vendas!$B$5:$B$3004,"&gt;="&amp;$C$4,Vendas!$B$5:$B$3004,"&lt;="&amp;EOMONTH($C$4,0)))</f>
        <v/>
      </c>
      <c r="E64" s="27" t="str">
        <f aca="false">IF(B64="","",SUMIFS(Vendas!$I$5:$I$3004,Vendas!$D$5:$D$3004,B64,Vendas!$B$5:$B$3004,"&gt;="&amp;$C$4,Vendas!$B$5:$B$3004,"&lt;="&amp;EOMONTH($C$4,0)))</f>
        <v/>
      </c>
    </row>
    <row r="65" customFormat="false" ht="15" hidden="false" customHeight="false" outlineLevel="0" collapsed="false">
      <c r="B65" s="8" t="str">
        <f aca="false">IF(Produtos!B39="","",Produtos!B39)</f>
        <v/>
      </c>
      <c r="C65" s="39" t="str">
        <f aca="false">IF(B65="","",SUMIFS(Vendas!$E$5:$E$3004,Vendas!$D$5:$D$3004,B65,Vendas!$B$5:$B$3004,"&gt;="&amp;$C$4,Vendas!$B$5:$B$3004,"&lt;="&amp;EOMONTH($C$4,0)))</f>
        <v/>
      </c>
      <c r="D65" s="27" t="str">
        <f aca="false">IF(B65="","",SUMIFS(Vendas!$G$5:$G$3004,Vendas!$D$5:$D$3004,B65,Vendas!$B$5:$B$3004,"&gt;="&amp;$C$4,Vendas!$B$5:$B$3004,"&lt;="&amp;EOMONTH($C$4,0)))</f>
        <v/>
      </c>
      <c r="E65" s="27" t="str">
        <f aca="false">IF(B65="","",SUMIFS(Vendas!$I$5:$I$3004,Vendas!$D$5:$D$3004,B65,Vendas!$B$5:$B$3004,"&gt;="&amp;$C$4,Vendas!$B$5:$B$3004,"&lt;="&amp;EOMONTH($C$4,0)))</f>
        <v/>
      </c>
    </row>
    <row r="66" customFormat="false" ht="15" hidden="false" customHeight="false" outlineLevel="0" collapsed="false">
      <c r="B66" s="8" t="str">
        <f aca="false">IF(Produtos!B40="","",Produtos!B40)</f>
        <v/>
      </c>
      <c r="C66" s="39" t="str">
        <f aca="false">IF(B66="","",SUMIFS(Vendas!$E$5:$E$3004,Vendas!$D$5:$D$3004,B66,Vendas!$B$5:$B$3004,"&gt;="&amp;$C$4,Vendas!$B$5:$B$3004,"&lt;="&amp;EOMONTH($C$4,0)))</f>
        <v/>
      </c>
      <c r="D66" s="27" t="str">
        <f aca="false">IF(B66="","",SUMIFS(Vendas!$G$5:$G$3004,Vendas!$D$5:$D$3004,B66,Vendas!$B$5:$B$3004,"&gt;="&amp;$C$4,Vendas!$B$5:$B$3004,"&lt;="&amp;EOMONTH($C$4,0)))</f>
        <v/>
      </c>
      <c r="E66" s="27" t="str">
        <f aca="false">IF(B66="","",SUMIFS(Vendas!$I$5:$I$3004,Vendas!$D$5:$D$3004,B66,Vendas!$B$5:$B$3004,"&gt;="&amp;$C$4,Vendas!$B$5:$B$3004,"&lt;="&amp;EOMONTH($C$4,0)))</f>
        <v/>
      </c>
    </row>
    <row r="67" customFormat="false" ht="15" hidden="false" customHeight="false" outlineLevel="0" collapsed="false">
      <c r="B67" s="8" t="str">
        <f aca="false">IF(Produtos!B41="","",Produtos!B41)</f>
        <v/>
      </c>
      <c r="C67" s="39" t="str">
        <f aca="false">IF(B67="","",SUMIFS(Vendas!$E$5:$E$3004,Vendas!$D$5:$D$3004,B67,Vendas!$B$5:$B$3004,"&gt;="&amp;$C$4,Vendas!$B$5:$B$3004,"&lt;="&amp;EOMONTH($C$4,0)))</f>
        <v/>
      </c>
      <c r="D67" s="27" t="str">
        <f aca="false">IF(B67="","",SUMIFS(Vendas!$G$5:$G$3004,Vendas!$D$5:$D$3004,B67,Vendas!$B$5:$B$3004,"&gt;="&amp;$C$4,Vendas!$B$5:$B$3004,"&lt;="&amp;EOMONTH($C$4,0)))</f>
        <v/>
      </c>
      <c r="E67" s="27" t="str">
        <f aca="false">IF(B67="","",SUMIFS(Vendas!$I$5:$I$3004,Vendas!$D$5:$D$3004,B67,Vendas!$B$5:$B$3004,"&gt;="&amp;$C$4,Vendas!$B$5:$B$3004,"&lt;="&amp;EOMONTH($C$4,0)))</f>
        <v/>
      </c>
    </row>
    <row r="68" customFormat="false" ht="15" hidden="false" customHeight="false" outlineLevel="0" collapsed="false">
      <c r="B68" s="8" t="str">
        <f aca="false">IF(Produtos!B42="","",Produtos!B42)</f>
        <v/>
      </c>
      <c r="C68" s="39" t="str">
        <f aca="false">IF(B68="","",SUMIFS(Vendas!$E$5:$E$3004,Vendas!$D$5:$D$3004,B68,Vendas!$B$5:$B$3004,"&gt;="&amp;$C$4,Vendas!$B$5:$B$3004,"&lt;="&amp;EOMONTH($C$4,0)))</f>
        <v/>
      </c>
      <c r="D68" s="27" t="str">
        <f aca="false">IF(B68="","",SUMIFS(Vendas!$G$5:$G$3004,Vendas!$D$5:$D$3004,B68,Vendas!$B$5:$B$3004,"&gt;="&amp;$C$4,Vendas!$B$5:$B$3004,"&lt;="&amp;EOMONTH($C$4,0)))</f>
        <v/>
      </c>
      <c r="E68" s="27" t="str">
        <f aca="false">IF(B68="","",SUMIFS(Vendas!$I$5:$I$3004,Vendas!$D$5:$D$3004,B68,Vendas!$B$5:$B$3004,"&gt;="&amp;$C$4,Vendas!$B$5:$B$3004,"&lt;="&amp;EOMONTH($C$4,0)))</f>
        <v/>
      </c>
    </row>
    <row r="69" customFormat="false" ht="15" hidden="false" customHeight="false" outlineLevel="0" collapsed="false">
      <c r="B69" s="8" t="str">
        <f aca="false">IF(Produtos!B43="","",Produtos!B43)</f>
        <v/>
      </c>
      <c r="C69" s="39" t="str">
        <f aca="false">IF(B69="","",SUMIFS(Vendas!$E$5:$E$3004,Vendas!$D$5:$D$3004,B69,Vendas!$B$5:$B$3004,"&gt;="&amp;$C$4,Vendas!$B$5:$B$3004,"&lt;="&amp;EOMONTH($C$4,0)))</f>
        <v/>
      </c>
      <c r="D69" s="27" t="str">
        <f aca="false">IF(B69="","",SUMIFS(Vendas!$G$5:$G$3004,Vendas!$D$5:$D$3004,B69,Vendas!$B$5:$B$3004,"&gt;="&amp;$C$4,Vendas!$B$5:$B$3004,"&lt;="&amp;EOMONTH($C$4,0)))</f>
        <v/>
      </c>
      <c r="E69" s="27" t="str">
        <f aca="false">IF(B69="","",SUMIFS(Vendas!$I$5:$I$3004,Vendas!$D$5:$D$3004,B69,Vendas!$B$5:$B$3004,"&gt;="&amp;$C$4,Vendas!$B$5:$B$3004,"&lt;="&amp;EOMONTH($C$4,0)))</f>
        <v/>
      </c>
    </row>
    <row r="70" customFormat="false" ht="15" hidden="false" customHeight="false" outlineLevel="0" collapsed="false">
      <c r="B70" s="8" t="str">
        <f aca="false">IF(Produtos!B44="","",Produtos!B44)</f>
        <v/>
      </c>
      <c r="C70" s="39" t="str">
        <f aca="false">IF(B70="","",SUMIFS(Vendas!$E$5:$E$3004,Vendas!$D$5:$D$3004,B70,Vendas!$B$5:$B$3004,"&gt;="&amp;$C$4,Vendas!$B$5:$B$3004,"&lt;="&amp;EOMONTH($C$4,0)))</f>
        <v/>
      </c>
      <c r="D70" s="27" t="str">
        <f aca="false">IF(B70="","",SUMIFS(Vendas!$G$5:$G$3004,Vendas!$D$5:$D$3004,B70,Vendas!$B$5:$B$3004,"&gt;="&amp;$C$4,Vendas!$B$5:$B$3004,"&lt;="&amp;EOMONTH($C$4,0)))</f>
        <v/>
      </c>
      <c r="E70" s="27" t="str">
        <f aca="false">IF(B70="","",SUMIFS(Vendas!$I$5:$I$3004,Vendas!$D$5:$D$3004,B70,Vendas!$B$5:$B$3004,"&gt;="&amp;$C$4,Vendas!$B$5:$B$3004,"&lt;="&amp;EOMONTH($C$4,0)))</f>
        <v/>
      </c>
    </row>
    <row r="71" customFormat="false" ht="15" hidden="false" customHeight="false" outlineLevel="0" collapsed="false">
      <c r="B71" s="8" t="str">
        <f aca="false">IF(Produtos!B45="","",Produtos!B45)</f>
        <v/>
      </c>
      <c r="C71" s="39" t="str">
        <f aca="false">IF(B71="","",SUMIFS(Vendas!$E$5:$E$3004,Vendas!$D$5:$D$3004,B71,Vendas!$B$5:$B$3004,"&gt;="&amp;$C$4,Vendas!$B$5:$B$3004,"&lt;="&amp;EOMONTH($C$4,0)))</f>
        <v/>
      </c>
      <c r="D71" s="27" t="str">
        <f aca="false">IF(B71="","",SUMIFS(Vendas!$G$5:$G$3004,Vendas!$D$5:$D$3004,B71,Vendas!$B$5:$B$3004,"&gt;="&amp;$C$4,Vendas!$B$5:$B$3004,"&lt;="&amp;EOMONTH($C$4,0)))</f>
        <v/>
      </c>
      <c r="E71" s="27" t="str">
        <f aca="false">IF(B71="","",SUMIFS(Vendas!$I$5:$I$3004,Vendas!$D$5:$D$3004,B71,Vendas!$B$5:$B$3004,"&gt;="&amp;$C$4,Vendas!$B$5:$B$3004,"&lt;="&amp;EOMONTH($C$4,0)))</f>
        <v/>
      </c>
    </row>
    <row r="72" customFormat="false" ht="15" hidden="false" customHeight="false" outlineLevel="0" collapsed="false">
      <c r="B72" s="8" t="str">
        <f aca="false">IF(Produtos!B46="","",Produtos!B46)</f>
        <v/>
      </c>
      <c r="C72" s="39" t="str">
        <f aca="false">IF(B72="","",SUMIFS(Vendas!$E$5:$E$3004,Vendas!$D$5:$D$3004,B72,Vendas!$B$5:$B$3004,"&gt;="&amp;$C$4,Vendas!$B$5:$B$3004,"&lt;="&amp;EOMONTH($C$4,0)))</f>
        <v/>
      </c>
      <c r="D72" s="27" t="str">
        <f aca="false">IF(B72="","",SUMIFS(Vendas!$G$5:$G$3004,Vendas!$D$5:$D$3004,B72,Vendas!$B$5:$B$3004,"&gt;="&amp;$C$4,Vendas!$B$5:$B$3004,"&lt;="&amp;EOMONTH($C$4,0)))</f>
        <v/>
      </c>
      <c r="E72" s="27" t="str">
        <f aca="false">IF(B72="","",SUMIFS(Vendas!$I$5:$I$3004,Vendas!$D$5:$D$3004,B72,Vendas!$B$5:$B$3004,"&gt;="&amp;$C$4,Vendas!$B$5:$B$3004,"&lt;="&amp;EOMONTH($C$4,0)))</f>
        <v/>
      </c>
    </row>
    <row r="73" customFormat="false" ht="15" hidden="false" customHeight="false" outlineLevel="0" collapsed="false">
      <c r="B73" s="8" t="str">
        <f aca="false">IF(Produtos!B47="","",Produtos!B47)</f>
        <v/>
      </c>
      <c r="C73" s="39" t="str">
        <f aca="false">IF(B73="","",SUMIFS(Vendas!$E$5:$E$3004,Vendas!$D$5:$D$3004,B73,Vendas!$B$5:$B$3004,"&gt;="&amp;$C$4,Vendas!$B$5:$B$3004,"&lt;="&amp;EOMONTH($C$4,0)))</f>
        <v/>
      </c>
      <c r="D73" s="27" t="str">
        <f aca="false">IF(B73="","",SUMIFS(Vendas!$G$5:$G$3004,Vendas!$D$5:$D$3004,B73,Vendas!$B$5:$B$3004,"&gt;="&amp;$C$4,Vendas!$B$5:$B$3004,"&lt;="&amp;EOMONTH($C$4,0)))</f>
        <v/>
      </c>
      <c r="E73" s="27" t="str">
        <f aca="false">IF(B73="","",SUMIFS(Vendas!$I$5:$I$3004,Vendas!$D$5:$D$3004,B73,Vendas!$B$5:$B$3004,"&gt;="&amp;$C$4,Vendas!$B$5:$B$3004,"&lt;="&amp;EOMONTH($C$4,0)))</f>
        <v/>
      </c>
    </row>
    <row r="74" customFormat="false" ht="15" hidden="false" customHeight="false" outlineLevel="0" collapsed="false">
      <c r="B74" s="8" t="str">
        <f aca="false">IF(Produtos!B48="","",Produtos!B48)</f>
        <v/>
      </c>
      <c r="C74" s="39" t="str">
        <f aca="false">IF(B74="","",SUMIFS(Vendas!$E$5:$E$3004,Vendas!$D$5:$D$3004,B74,Vendas!$B$5:$B$3004,"&gt;="&amp;$C$4,Vendas!$B$5:$B$3004,"&lt;="&amp;EOMONTH($C$4,0)))</f>
        <v/>
      </c>
      <c r="D74" s="27" t="str">
        <f aca="false">IF(B74="","",SUMIFS(Vendas!$G$5:$G$3004,Vendas!$D$5:$D$3004,B74,Vendas!$B$5:$B$3004,"&gt;="&amp;$C$4,Vendas!$B$5:$B$3004,"&lt;="&amp;EOMONTH($C$4,0)))</f>
        <v/>
      </c>
      <c r="E74" s="27" t="str">
        <f aca="false">IF(B74="","",SUMIFS(Vendas!$I$5:$I$3004,Vendas!$D$5:$D$3004,B74,Vendas!$B$5:$B$3004,"&gt;="&amp;$C$4,Vendas!$B$5:$B$3004,"&lt;="&amp;EOMONTH($C$4,0)))</f>
        <v/>
      </c>
    </row>
    <row r="75" customFormat="false" ht="15" hidden="false" customHeight="false" outlineLevel="0" collapsed="false">
      <c r="B75" s="8" t="str">
        <f aca="false">IF(Produtos!B49="","",Produtos!B49)</f>
        <v/>
      </c>
      <c r="C75" s="39" t="str">
        <f aca="false">IF(B75="","",SUMIFS(Vendas!$E$5:$E$3004,Vendas!$D$5:$D$3004,B75,Vendas!$B$5:$B$3004,"&gt;="&amp;$C$4,Vendas!$B$5:$B$3004,"&lt;="&amp;EOMONTH($C$4,0)))</f>
        <v/>
      </c>
      <c r="D75" s="27" t="str">
        <f aca="false">IF(B75="","",SUMIFS(Vendas!$G$5:$G$3004,Vendas!$D$5:$D$3004,B75,Vendas!$B$5:$B$3004,"&gt;="&amp;$C$4,Vendas!$B$5:$B$3004,"&lt;="&amp;EOMONTH($C$4,0)))</f>
        <v/>
      </c>
      <c r="E75" s="27" t="str">
        <f aca="false">IF(B75="","",SUMIFS(Vendas!$I$5:$I$3004,Vendas!$D$5:$D$3004,B75,Vendas!$B$5:$B$3004,"&gt;="&amp;$C$4,Vendas!$B$5:$B$3004,"&lt;="&amp;EOMONTH($C$4,0)))</f>
        <v/>
      </c>
    </row>
    <row r="76" customFormat="false" ht="15" hidden="false" customHeight="false" outlineLevel="0" collapsed="false">
      <c r="B76" s="8" t="str">
        <f aca="false">IF(Produtos!B50="","",Produtos!B50)</f>
        <v/>
      </c>
      <c r="C76" s="39" t="str">
        <f aca="false">IF(B76="","",SUMIFS(Vendas!$E$5:$E$3004,Vendas!$D$5:$D$3004,B76,Vendas!$B$5:$B$3004,"&gt;="&amp;$C$4,Vendas!$B$5:$B$3004,"&lt;="&amp;EOMONTH($C$4,0)))</f>
        <v/>
      </c>
      <c r="D76" s="27" t="str">
        <f aca="false">IF(B76="","",SUMIFS(Vendas!$G$5:$G$3004,Vendas!$D$5:$D$3004,B76,Vendas!$B$5:$B$3004,"&gt;="&amp;$C$4,Vendas!$B$5:$B$3004,"&lt;="&amp;EOMONTH($C$4,0)))</f>
        <v/>
      </c>
      <c r="E76" s="27" t="str">
        <f aca="false">IF(B76="","",SUMIFS(Vendas!$I$5:$I$3004,Vendas!$D$5:$D$3004,B76,Vendas!$B$5:$B$3004,"&gt;="&amp;$C$4,Vendas!$B$5:$B$3004,"&lt;="&amp;EOMONTH($C$4,0)))</f>
        <v/>
      </c>
    </row>
    <row r="77" customFormat="false" ht="15" hidden="false" customHeight="false" outlineLevel="0" collapsed="false">
      <c r="B77" s="8" t="str">
        <f aca="false">IF(Produtos!B51="","",Produtos!B51)</f>
        <v/>
      </c>
      <c r="C77" s="39" t="str">
        <f aca="false">IF(B77="","",SUMIFS(Vendas!$E$5:$E$3004,Vendas!$D$5:$D$3004,B77,Vendas!$B$5:$B$3004,"&gt;="&amp;$C$4,Vendas!$B$5:$B$3004,"&lt;="&amp;EOMONTH($C$4,0)))</f>
        <v/>
      </c>
      <c r="D77" s="27" t="str">
        <f aca="false">IF(B77="","",SUMIFS(Vendas!$G$5:$G$3004,Vendas!$D$5:$D$3004,B77,Vendas!$B$5:$B$3004,"&gt;="&amp;$C$4,Vendas!$B$5:$B$3004,"&lt;="&amp;EOMONTH($C$4,0)))</f>
        <v/>
      </c>
      <c r="E77" s="27" t="str">
        <f aca="false">IF(B77="","",SUMIFS(Vendas!$I$5:$I$3004,Vendas!$D$5:$D$3004,B77,Vendas!$B$5:$B$3004,"&gt;="&amp;$C$4,Vendas!$B$5:$B$3004,"&lt;="&amp;EOMONTH($C$4,0)))</f>
        <v/>
      </c>
    </row>
    <row r="78" customFormat="false" ht="15" hidden="false" customHeight="false" outlineLevel="0" collapsed="false">
      <c r="B78" s="8" t="str">
        <f aca="false">IF(Produtos!B52="","",Produtos!B52)</f>
        <v/>
      </c>
      <c r="C78" s="39" t="str">
        <f aca="false">IF(B78="","",SUMIFS(Vendas!$E$5:$E$3004,Vendas!$D$5:$D$3004,B78,Vendas!$B$5:$B$3004,"&gt;="&amp;$C$4,Vendas!$B$5:$B$3004,"&lt;="&amp;EOMONTH($C$4,0)))</f>
        <v/>
      </c>
      <c r="D78" s="27" t="str">
        <f aca="false">IF(B78="","",SUMIFS(Vendas!$G$5:$G$3004,Vendas!$D$5:$D$3004,B78,Vendas!$B$5:$B$3004,"&gt;="&amp;$C$4,Vendas!$B$5:$B$3004,"&lt;="&amp;EOMONTH($C$4,0)))</f>
        <v/>
      </c>
      <c r="E78" s="27" t="str">
        <f aca="false">IF(B78="","",SUMIFS(Vendas!$I$5:$I$3004,Vendas!$D$5:$D$3004,B78,Vendas!$B$5:$B$3004,"&gt;="&amp;$C$4,Vendas!$B$5:$B$3004,"&lt;="&amp;EOMONTH($C$4,0)))</f>
        <v/>
      </c>
    </row>
    <row r="79" customFormat="false" ht="15" hidden="false" customHeight="false" outlineLevel="0" collapsed="false">
      <c r="B79" s="8" t="str">
        <f aca="false">IF(Produtos!B53="","",Produtos!B53)</f>
        <v/>
      </c>
      <c r="C79" s="39" t="str">
        <f aca="false">IF(B79="","",SUMIFS(Vendas!$E$5:$E$3004,Vendas!$D$5:$D$3004,B79,Vendas!$B$5:$B$3004,"&gt;="&amp;$C$4,Vendas!$B$5:$B$3004,"&lt;="&amp;EOMONTH($C$4,0)))</f>
        <v/>
      </c>
      <c r="D79" s="27" t="str">
        <f aca="false">IF(B79="","",SUMIFS(Vendas!$G$5:$G$3004,Vendas!$D$5:$D$3004,B79,Vendas!$B$5:$B$3004,"&gt;="&amp;$C$4,Vendas!$B$5:$B$3004,"&lt;="&amp;EOMONTH($C$4,0)))</f>
        <v/>
      </c>
      <c r="E79" s="27" t="str">
        <f aca="false">IF(B79="","",SUMIFS(Vendas!$I$5:$I$3004,Vendas!$D$5:$D$3004,B79,Vendas!$B$5:$B$3004,"&gt;="&amp;$C$4,Vendas!$B$5:$B$3004,"&lt;="&amp;EOMONTH($C$4,0)))</f>
        <v/>
      </c>
    </row>
    <row r="80" customFormat="false" ht="15" hidden="false" customHeight="false" outlineLevel="0" collapsed="false">
      <c r="B80" s="8" t="str">
        <f aca="false">IF(Produtos!B54="","",Produtos!B54)</f>
        <v/>
      </c>
      <c r="C80" s="39" t="str">
        <f aca="false">IF(B80="","",SUMIFS(Vendas!$E$5:$E$3004,Vendas!$D$5:$D$3004,B80,Vendas!$B$5:$B$3004,"&gt;="&amp;$C$4,Vendas!$B$5:$B$3004,"&lt;="&amp;EOMONTH($C$4,0)))</f>
        <v/>
      </c>
      <c r="D80" s="27" t="str">
        <f aca="false">IF(B80="","",SUMIFS(Vendas!$G$5:$G$3004,Vendas!$D$5:$D$3004,B80,Vendas!$B$5:$B$3004,"&gt;="&amp;$C$4,Vendas!$B$5:$B$3004,"&lt;="&amp;EOMONTH($C$4,0)))</f>
        <v/>
      </c>
      <c r="E80" s="27" t="str">
        <f aca="false">IF(B80="","",SUMIFS(Vendas!$I$5:$I$3004,Vendas!$D$5:$D$3004,B80,Vendas!$B$5:$B$3004,"&gt;="&amp;$C$4,Vendas!$B$5:$B$3004,"&lt;="&amp;EOMONTH($C$4,0)))</f>
        <v/>
      </c>
    </row>
    <row r="81" customFormat="false" ht="15" hidden="false" customHeight="false" outlineLevel="0" collapsed="false">
      <c r="B81" s="8" t="str">
        <f aca="false">IF(Produtos!B55="","",Produtos!B55)</f>
        <v/>
      </c>
      <c r="C81" s="39" t="str">
        <f aca="false">IF(B81="","",SUMIFS(Vendas!$E$5:$E$3004,Vendas!$D$5:$D$3004,B81,Vendas!$B$5:$B$3004,"&gt;="&amp;$C$4,Vendas!$B$5:$B$3004,"&lt;="&amp;EOMONTH($C$4,0)))</f>
        <v/>
      </c>
      <c r="D81" s="27" t="str">
        <f aca="false">IF(B81="","",SUMIFS(Vendas!$G$5:$G$3004,Vendas!$D$5:$D$3004,B81,Vendas!$B$5:$B$3004,"&gt;="&amp;$C$4,Vendas!$B$5:$B$3004,"&lt;="&amp;EOMONTH($C$4,0)))</f>
        <v/>
      </c>
      <c r="E81" s="27" t="str">
        <f aca="false">IF(B81="","",SUMIFS(Vendas!$I$5:$I$3004,Vendas!$D$5:$D$3004,B81,Vendas!$B$5:$B$3004,"&gt;="&amp;$C$4,Vendas!$B$5:$B$3004,"&lt;="&amp;EOMONTH($C$4,0)))</f>
        <v/>
      </c>
    </row>
    <row r="82" customFormat="false" ht="15" hidden="false" customHeight="false" outlineLevel="0" collapsed="false">
      <c r="B82" s="8" t="str">
        <f aca="false">IF(Produtos!B56="","",Produtos!B56)</f>
        <v/>
      </c>
      <c r="C82" s="39" t="str">
        <f aca="false">IF(B82="","",SUMIFS(Vendas!$E$5:$E$3004,Vendas!$D$5:$D$3004,B82,Vendas!$B$5:$B$3004,"&gt;="&amp;$C$4,Vendas!$B$5:$B$3004,"&lt;="&amp;EOMONTH($C$4,0)))</f>
        <v/>
      </c>
      <c r="D82" s="27" t="str">
        <f aca="false">IF(B82="","",SUMIFS(Vendas!$G$5:$G$3004,Vendas!$D$5:$D$3004,B82,Vendas!$B$5:$B$3004,"&gt;="&amp;$C$4,Vendas!$B$5:$B$3004,"&lt;="&amp;EOMONTH($C$4,0)))</f>
        <v/>
      </c>
      <c r="E82" s="27" t="str">
        <f aca="false">IF(B82="","",SUMIFS(Vendas!$I$5:$I$3004,Vendas!$D$5:$D$3004,B82,Vendas!$B$5:$B$3004,"&gt;="&amp;$C$4,Vendas!$B$5:$B$3004,"&lt;="&amp;EOMONTH($C$4,0)))</f>
        <v/>
      </c>
    </row>
    <row r="83" customFormat="false" ht="15" hidden="false" customHeight="false" outlineLevel="0" collapsed="false">
      <c r="B83" s="8" t="str">
        <f aca="false">IF(Produtos!B57="","",Produtos!B57)</f>
        <v/>
      </c>
      <c r="C83" s="39" t="str">
        <f aca="false">IF(B83="","",SUMIFS(Vendas!$E$5:$E$3004,Vendas!$D$5:$D$3004,B83,Vendas!$B$5:$B$3004,"&gt;="&amp;$C$4,Vendas!$B$5:$B$3004,"&lt;="&amp;EOMONTH($C$4,0)))</f>
        <v/>
      </c>
      <c r="D83" s="27" t="str">
        <f aca="false">IF(B83="","",SUMIFS(Vendas!$G$5:$G$3004,Vendas!$D$5:$D$3004,B83,Vendas!$B$5:$B$3004,"&gt;="&amp;$C$4,Vendas!$B$5:$B$3004,"&lt;="&amp;EOMONTH($C$4,0)))</f>
        <v/>
      </c>
      <c r="E83" s="27" t="str">
        <f aca="false">IF(B83="","",SUMIFS(Vendas!$I$5:$I$3004,Vendas!$D$5:$D$3004,B83,Vendas!$B$5:$B$3004,"&gt;="&amp;$C$4,Vendas!$B$5:$B$3004,"&lt;="&amp;EOMONTH($C$4,0)))</f>
        <v/>
      </c>
    </row>
    <row r="84" customFormat="false" ht="15" hidden="false" customHeight="false" outlineLevel="0" collapsed="false">
      <c r="B84" s="8" t="str">
        <f aca="false">IF(Produtos!B58="","",Produtos!B58)</f>
        <v/>
      </c>
      <c r="C84" s="39" t="str">
        <f aca="false">IF(B84="","",SUMIFS(Vendas!$E$5:$E$3004,Vendas!$D$5:$D$3004,B84,Vendas!$B$5:$B$3004,"&gt;="&amp;$C$4,Vendas!$B$5:$B$3004,"&lt;="&amp;EOMONTH($C$4,0)))</f>
        <v/>
      </c>
      <c r="D84" s="27" t="str">
        <f aca="false">IF(B84="","",SUMIFS(Vendas!$G$5:$G$3004,Vendas!$D$5:$D$3004,B84,Vendas!$B$5:$B$3004,"&gt;="&amp;$C$4,Vendas!$B$5:$B$3004,"&lt;="&amp;EOMONTH($C$4,0)))</f>
        <v/>
      </c>
      <c r="E84" s="27" t="str">
        <f aca="false">IF(B84="","",SUMIFS(Vendas!$I$5:$I$3004,Vendas!$D$5:$D$3004,B84,Vendas!$B$5:$B$3004,"&gt;="&amp;$C$4,Vendas!$B$5:$B$3004,"&lt;="&amp;EOMONTH($C$4,0)))</f>
        <v/>
      </c>
    </row>
    <row r="85" customFormat="false" ht="15" hidden="false" customHeight="false" outlineLevel="0" collapsed="false">
      <c r="B85" s="8" t="str">
        <f aca="false">IF(Produtos!B59="","",Produtos!B59)</f>
        <v/>
      </c>
      <c r="C85" s="39" t="str">
        <f aca="false">IF(B85="","",SUMIFS(Vendas!$E$5:$E$3004,Vendas!$D$5:$D$3004,B85,Vendas!$B$5:$B$3004,"&gt;="&amp;$C$4,Vendas!$B$5:$B$3004,"&lt;="&amp;EOMONTH($C$4,0)))</f>
        <v/>
      </c>
      <c r="D85" s="27" t="str">
        <f aca="false">IF(B85="","",SUMIFS(Vendas!$G$5:$G$3004,Vendas!$D$5:$D$3004,B85,Vendas!$B$5:$B$3004,"&gt;="&amp;$C$4,Vendas!$B$5:$B$3004,"&lt;="&amp;EOMONTH($C$4,0)))</f>
        <v/>
      </c>
      <c r="E85" s="27" t="str">
        <f aca="false">IF(B85="","",SUMIFS(Vendas!$I$5:$I$3004,Vendas!$D$5:$D$3004,B85,Vendas!$B$5:$B$3004,"&gt;="&amp;$C$4,Vendas!$B$5:$B$3004,"&lt;="&amp;EOMONTH($C$4,0)))</f>
        <v/>
      </c>
    </row>
    <row r="86" customFormat="false" ht="15" hidden="false" customHeight="false" outlineLevel="0" collapsed="false">
      <c r="B86" s="8" t="str">
        <f aca="false">IF(Produtos!B60="","",Produtos!B60)</f>
        <v/>
      </c>
      <c r="C86" s="39" t="str">
        <f aca="false">IF(B86="","",SUMIFS(Vendas!$E$5:$E$3004,Vendas!$D$5:$D$3004,B86,Vendas!$B$5:$B$3004,"&gt;="&amp;$C$4,Vendas!$B$5:$B$3004,"&lt;="&amp;EOMONTH($C$4,0)))</f>
        <v/>
      </c>
      <c r="D86" s="27" t="str">
        <f aca="false">IF(B86="","",SUMIFS(Vendas!$G$5:$G$3004,Vendas!$D$5:$D$3004,B86,Vendas!$B$5:$B$3004,"&gt;="&amp;$C$4,Vendas!$B$5:$B$3004,"&lt;="&amp;EOMONTH($C$4,0)))</f>
        <v/>
      </c>
      <c r="E86" s="27" t="str">
        <f aca="false">IF(B86="","",SUMIFS(Vendas!$I$5:$I$3004,Vendas!$D$5:$D$3004,B86,Vendas!$B$5:$B$3004,"&gt;="&amp;$C$4,Vendas!$B$5:$B$3004,"&lt;="&amp;EOMONTH($C$4,0)))</f>
        <v/>
      </c>
    </row>
    <row r="87" customFormat="false" ht="15" hidden="false" customHeight="false" outlineLevel="0" collapsed="false">
      <c r="B87" s="8" t="str">
        <f aca="false">IF(Produtos!B61="","",Produtos!B61)</f>
        <v/>
      </c>
      <c r="C87" s="39" t="str">
        <f aca="false">IF(B87="","",SUMIFS(Vendas!$E$5:$E$3004,Vendas!$D$5:$D$3004,B87,Vendas!$B$5:$B$3004,"&gt;="&amp;$C$4,Vendas!$B$5:$B$3004,"&lt;="&amp;EOMONTH($C$4,0)))</f>
        <v/>
      </c>
      <c r="D87" s="27" t="str">
        <f aca="false">IF(B87="","",SUMIFS(Vendas!$G$5:$G$3004,Vendas!$D$5:$D$3004,B87,Vendas!$B$5:$B$3004,"&gt;="&amp;$C$4,Vendas!$B$5:$B$3004,"&lt;="&amp;EOMONTH($C$4,0)))</f>
        <v/>
      </c>
      <c r="E87" s="27" t="str">
        <f aca="false">IF(B87="","",SUMIFS(Vendas!$I$5:$I$3004,Vendas!$D$5:$D$3004,B87,Vendas!$B$5:$B$3004,"&gt;="&amp;$C$4,Vendas!$B$5:$B$3004,"&lt;="&amp;EOMONTH($C$4,0)))</f>
        <v/>
      </c>
    </row>
    <row r="88" customFormat="false" ht="15" hidden="false" customHeight="false" outlineLevel="0" collapsed="false">
      <c r="B88" s="8" t="str">
        <f aca="false">IF(Produtos!B62="","",Produtos!B62)</f>
        <v/>
      </c>
      <c r="C88" s="39" t="str">
        <f aca="false">IF(B88="","",SUMIFS(Vendas!$E$5:$E$3004,Vendas!$D$5:$D$3004,B88,Vendas!$B$5:$B$3004,"&gt;="&amp;$C$4,Vendas!$B$5:$B$3004,"&lt;="&amp;EOMONTH($C$4,0)))</f>
        <v/>
      </c>
      <c r="D88" s="27" t="str">
        <f aca="false">IF(B88="","",SUMIFS(Vendas!$G$5:$G$3004,Vendas!$D$5:$D$3004,B88,Vendas!$B$5:$B$3004,"&gt;="&amp;$C$4,Vendas!$B$5:$B$3004,"&lt;="&amp;EOMONTH($C$4,0)))</f>
        <v/>
      </c>
      <c r="E88" s="27" t="str">
        <f aca="false">IF(B88="","",SUMIFS(Vendas!$I$5:$I$3004,Vendas!$D$5:$D$3004,B88,Vendas!$B$5:$B$3004,"&gt;="&amp;$C$4,Vendas!$B$5:$B$3004,"&lt;="&amp;EOMONTH($C$4,0)))</f>
        <v/>
      </c>
    </row>
    <row r="89" customFormat="false" ht="15" hidden="false" customHeight="false" outlineLevel="0" collapsed="false">
      <c r="B89" s="8" t="str">
        <f aca="false">IF(Produtos!B63="","",Produtos!B63)</f>
        <v/>
      </c>
      <c r="C89" s="39" t="str">
        <f aca="false">IF(B89="","",SUMIFS(Vendas!$E$5:$E$3004,Vendas!$D$5:$D$3004,B89,Vendas!$B$5:$B$3004,"&gt;="&amp;$C$4,Vendas!$B$5:$B$3004,"&lt;="&amp;EOMONTH($C$4,0)))</f>
        <v/>
      </c>
      <c r="D89" s="27" t="str">
        <f aca="false">IF(B89="","",SUMIFS(Vendas!$G$5:$G$3004,Vendas!$D$5:$D$3004,B89,Vendas!$B$5:$B$3004,"&gt;="&amp;$C$4,Vendas!$B$5:$B$3004,"&lt;="&amp;EOMONTH($C$4,0)))</f>
        <v/>
      </c>
      <c r="E89" s="27" t="str">
        <f aca="false">IF(B89="","",SUMIFS(Vendas!$I$5:$I$3004,Vendas!$D$5:$D$3004,B89,Vendas!$B$5:$B$3004,"&gt;="&amp;$C$4,Vendas!$B$5:$B$3004,"&lt;="&amp;EOMONTH($C$4,0)))</f>
        <v/>
      </c>
    </row>
    <row r="90" customFormat="false" ht="15" hidden="false" customHeight="false" outlineLevel="0" collapsed="false">
      <c r="B90" s="8" t="str">
        <f aca="false">IF(Produtos!B64="","",Produtos!B64)</f>
        <v/>
      </c>
      <c r="C90" s="39" t="str">
        <f aca="false">IF(B90="","",SUMIFS(Vendas!$E$5:$E$3004,Vendas!$D$5:$D$3004,B90,Vendas!$B$5:$B$3004,"&gt;="&amp;$C$4,Vendas!$B$5:$B$3004,"&lt;="&amp;EOMONTH($C$4,0)))</f>
        <v/>
      </c>
      <c r="D90" s="27" t="str">
        <f aca="false">IF(B90="","",SUMIFS(Vendas!$G$5:$G$3004,Vendas!$D$5:$D$3004,B90,Vendas!$B$5:$B$3004,"&gt;="&amp;$C$4,Vendas!$B$5:$B$3004,"&lt;="&amp;EOMONTH($C$4,0)))</f>
        <v/>
      </c>
      <c r="E90" s="27" t="str">
        <f aca="false">IF(B90="","",SUMIFS(Vendas!$I$5:$I$3004,Vendas!$D$5:$D$3004,B90,Vendas!$B$5:$B$3004,"&gt;="&amp;$C$4,Vendas!$B$5:$B$3004,"&lt;="&amp;EOMONTH($C$4,0)))</f>
        <v/>
      </c>
    </row>
    <row r="91" customFormat="false" ht="15" hidden="false" customHeight="false" outlineLevel="0" collapsed="false">
      <c r="B91" s="8" t="str">
        <f aca="false">IF(Produtos!B65="","",Produtos!B65)</f>
        <v/>
      </c>
      <c r="C91" s="39" t="str">
        <f aca="false">IF(B91="","",SUMIFS(Vendas!$E$5:$E$3004,Vendas!$D$5:$D$3004,B91,Vendas!$B$5:$B$3004,"&gt;="&amp;$C$4,Vendas!$B$5:$B$3004,"&lt;="&amp;EOMONTH($C$4,0)))</f>
        <v/>
      </c>
      <c r="D91" s="27" t="str">
        <f aca="false">IF(B91="","",SUMIFS(Vendas!$G$5:$G$3004,Vendas!$D$5:$D$3004,B91,Vendas!$B$5:$B$3004,"&gt;="&amp;$C$4,Vendas!$B$5:$B$3004,"&lt;="&amp;EOMONTH($C$4,0)))</f>
        <v/>
      </c>
      <c r="E91" s="27" t="str">
        <f aca="false">IF(B91="","",SUMIFS(Vendas!$I$5:$I$3004,Vendas!$D$5:$D$3004,B91,Vendas!$B$5:$B$3004,"&gt;="&amp;$C$4,Vendas!$B$5:$B$3004,"&lt;="&amp;EOMONTH($C$4,0)))</f>
        <v/>
      </c>
    </row>
    <row r="92" customFormat="false" ht="15" hidden="false" customHeight="false" outlineLevel="0" collapsed="false">
      <c r="B92" s="8" t="str">
        <f aca="false">IF(Produtos!B66="","",Produtos!B66)</f>
        <v/>
      </c>
      <c r="C92" s="39" t="str">
        <f aca="false">IF(B92="","",SUMIFS(Vendas!$E$5:$E$3004,Vendas!$D$5:$D$3004,B92,Vendas!$B$5:$B$3004,"&gt;="&amp;$C$4,Vendas!$B$5:$B$3004,"&lt;="&amp;EOMONTH($C$4,0)))</f>
        <v/>
      </c>
      <c r="D92" s="27" t="str">
        <f aca="false">IF(B92="","",SUMIFS(Vendas!$G$5:$G$3004,Vendas!$D$5:$D$3004,B92,Vendas!$B$5:$B$3004,"&gt;="&amp;$C$4,Vendas!$B$5:$B$3004,"&lt;="&amp;EOMONTH($C$4,0)))</f>
        <v/>
      </c>
      <c r="E92" s="27" t="str">
        <f aca="false">IF(B92="","",SUMIFS(Vendas!$I$5:$I$3004,Vendas!$D$5:$D$3004,B92,Vendas!$B$5:$B$3004,"&gt;="&amp;$C$4,Vendas!$B$5:$B$3004,"&lt;="&amp;EOMONTH($C$4,0)))</f>
        <v/>
      </c>
    </row>
    <row r="93" customFormat="false" ht="15" hidden="false" customHeight="false" outlineLevel="0" collapsed="false">
      <c r="B93" s="8" t="str">
        <f aca="false">IF(Produtos!B67="","",Produtos!B67)</f>
        <v/>
      </c>
      <c r="C93" s="39" t="str">
        <f aca="false">IF(B93="","",SUMIFS(Vendas!$E$5:$E$3004,Vendas!$D$5:$D$3004,B93,Vendas!$B$5:$B$3004,"&gt;="&amp;$C$4,Vendas!$B$5:$B$3004,"&lt;="&amp;EOMONTH($C$4,0)))</f>
        <v/>
      </c>
      <c r="D93" s="27" t="str">
        <f aca="false">IF(B93="","",SUMIFS(Vendas!$G$5:$G$3004,Vendas!$D$5:$D$3004,B93,Vendas!$B$5:$B$3004,"&gt;="&amp;$C$4,Vendas!$B$5:$B$3004,"&lt;="&amp;EOMONTH($C$4,0)))</f>
        <v/>
      </c>
      <c r="E93" s="27" t="str">
        <f aca="false">IF(B93="","",SUMIFS(Vendas!$I$5:$I$3004,Vendas!$D$5:$D$3004,B93,Vendas!$B$5:$B$3004,"&gt;="&amp;$C$4,Vendas!$B$5:$B$3004,"&lt;="&amp;EOMONTH($C$4,0)))</f>
        <v/>
      </c>
    </row>
    <row r="94" customFormat="false" ht="15" hidden="false" customHeight="false" outlineLevel="0" collapsed="false">
      <c r="B94" s="8" t="str">
        <f aca="false">IF(Produtos!B68="","",Produtos!B68)</f>
        <v/>
      </c>
      <c r="C94" s="39" t="str">
        <f aca="false">IF(B94="","",SUMIFS(Vendas!$E$5:$E$3004,Vendas!$D$5:$D$3004,B94,Vendas!$B$5:$B$3004,"&gt;="&amp;$C$4,Vendas!$B$5:$B$3004,"&lt;="&amp;EOMONTH($C$4,0)))</f>
        <v/>
      </c>
      <c r="D94" s="27" t="str">
        <f aca="false">IF(B94="","",SUMIFS(Vendas!$G$5:$G$3004,Vendas!$D$5:$D$3004,B94,Vendas!$B$5:$B$3004,"&gt;="&amp;$C$4,Vendas!$B$5:$B$3004,"&lt;="&amp;EOMONTH($C$4,0)))</f>
        <v/>
      </c>
      <c r="E94" s="27" t="str">
        <f aca="false">IF(B94="","",SUMIFS(Vendas!$I$5:$I$3004,Vendas!$D$5:$D$3004,B94,Vendas!$B$5:$B$3004,"&gt;="&amp;$C$4,Vendas!$B$5:$B$3004,"&lt;="&amp;EOMONTH($C$4,0)))</f>
        <v/>
      </c>
    </row>
    <row r="95" customFormat="false" ht="15" hidden="false" customHeight="false" outlineLevel="0" collapsed="false">
      <c r="B95" s="8" t="str">
        <f aca="false">IF(Produtos!B69="","",Produtos!B69)</f>
        <v/>
      </c>
      <c r="C95" s="39" t="str">
        <f aca="false">IF(B95="","",SUMIFS(Vendas!$E$5:$E$3004,Vendas!$D$5:$D$3004,B95,Vendas!$B$5:$B$3004,"&gt;="&amp;$C$4,Vendas!$B$5:$B$3004,"&lt;="&amp;EOMONTH($C$4,0)))</f>
        <v/>
      </c>
      <c r="D95" s="27" t="str">
        <f aca="false">IF(B95="","",SUMIFS(Vendas!$G$5:$G$3004,Vendas!$D$5:$D$3004,B95,Vendas!$B$5:$B$3004,"&gt;="&amp;$C$4,Vendas!$B$5:$B$3004,"&lt;="&amp;EOMONTH($C$4,0)))</f>
        <v/>
      </c>
      <c r="E95" s="27" t="str">
        <f aca="false">IF(B95="","",SUMIFS(Vendas!$I$5:$I$3004,Vendas!$D$5:$D$3004,B95,Vendas!$B$5:$B$3004,"&gt;="&amp;$C$4,Vendas!$B$5:$B$3004,"&lt;="&amp;EOMONTH($C$4,0)))</f>
        <v/>
      </c>
    </row>
    <row r="96" customFormat="false" ht="15" hidden="false" customHeight="false" outlineLevel="0" collapsed="false">
      <c r="B96" s="8" t="str">
        <f aca="false">IF(Produtos!B70="","",Produtos!B70)</f>
        <v/>
      </c>
      <c r="C96" s="39" t="str">
        <f aca="false">IF(B96="","",SUMIFS(Vendas!$E$5:$E$3004,Vendas!$D$5:$D$3004,B96,Vendas!$B$5:$B$3004,"&gt;="&amp;$C$4,Vendas!$B$5:$B$3004,"&lt;="&amp;EOMONTH($C$4,0)))</f>
        <v/>
      </c>
      <c r="D96" s="27" t="str">
        <f aca="false">IF(B96="","",SUMIFS(Vendas!$G$5:$G$3004,Vendas!$D$5:$D$3004,B96,Vendas!$B$5:$B$3004,"&gt;="&amp;$C$4,Vendas!$B$5:$B$3004,"&lt;="&amp;EOMONTH($C$4,0)))</f>
        <v/>
      </c>
      <c r="E96" s="27" t="str">
        <f aca="false">IF(B96="","",SUMIFS(Vendas!$I$5:$I$3004,Vendas!$D$5:$D$3004,B96,Vendas!$B$5:$B$3004,"&gt;="&amp;$C$4,Vendas!$B$5:$B$3004,"&lt;="&amp;EOMONTH($C$4,0)))</f>
        <v/>
      </c>
    </row>
    <row r="97" customFormat="false" ht="15" hidden="false" customHeight="false" outlineLevel="0" collapsed="false">
      <c r="B97" s="8" t="str">
        <f aca="false">IF(Produtos!B71="","",Produtos!B71)</f>
        <v/>
      </c>
      <c r="C97" s="39" t="str">
        <f aca="false">IF(B97="","",SUMIFS(Vendas!$E$5:$E$3004,Vendas!$D$5:$D$3004,B97,Vendas!$B$5:$B$3004,"&gt;="&amp;$C$4,Vendas!$B$5:$B$3004,"&lt;="&amp;EOMONTH($C$4,0)))</f>
        <v/>
      </c>
      <c r="D97" s="27" t="str">
        <f aca="false">IF(B97="","",SUMIFS(Vendas!$G$5:$G$3004,Vendas!$D$5:$D$3004,B97,Vendas!$B$5:$B$3004,"&gt;="&amp;$C$4,Vendas!$B$5:$B$3004,"&lt;="&amp;EOMONTH($C$4,0)))</f>
        <v/>
      </c>
      <c r="E97" s="27" t="str">
        <f aca="false">IF(B97="","",SUMIFS(Vendas!$I$5:$I$3004,Vendas!$D$5:$D$3004,B97,Vendas!$B$5:$B$3004,"&gt;="&amp;$C$4,Vendas!$B$5:$B$3004,"&lt;="&amp;EOMONTH($C$4,0)))</f>
        <v/>
      </c>
    </row>
    <row r="98" customFormat="false" ht="15" hidden="false" customHeight="false" outlineLevel="0" collapsed="false">
      <c r="B98" s="8" t="str">
        <f aca="false">IF(Produtos!B72="","",Produtos!B72)</f>
        <v/>
      </c>
      <c r="C98" s="39" t="str">
        <f aca="false">IF(B98="","",SUMIFS(Vendas!$E$5:$E$3004,Vendas!$D$5:$D$3004,B98,Vendas!$B$5:$B$3004,"&gt;="&amp;$C$4,Vendas!$B$5:$B$3004,"&lt;="&amp;EOMONTH($C$4,0)))</f>
        <v/>
      </c>
      <c r="D98" s="27" t="str">
        <f aca="false">IF(B98="","",SUMIFS(Vendas!$G$5:$G$3004,Vendas!$D$5:$D$3004,B98,Vendas!$B$5:$B$3004,"&gt;="&amp;$C$4,Vendas!$B$5:$B$3004,"&lt;="&amp;EOMONTH($C$4,0)))</f>
        <v/>
      </c>
      <c r="E98" s="27" t="str">
        <f aca="false">IF(B98="","",SUMIFS(Vendas!$I$5:$I$3004,Vendas!$D$5:$D$3004,B98,Vendas!$B$5:$B$3004,"&gt;="&amp;$C$4,Vendas!$B$5:$B$3004,"&lt;="&amp;EOMONTH($C$4,0)))</f>
        <v/>
      </c>
    </row>
    <row r="99" customFormat="false" ht="15" hidden="false" customHeight="false" outlineLevel="0" collapsed="false">
      <c r="B99" s="8" t="str">
        <f aca="false">IF(Produtos!B73="","",Produtos!B73)</f>
        <v/>
      </c>
      <c r="C99" s="39" t="str">
        <f aca="false">IF(B99="","",SUMIFS(Vendas!$E$5:$E$3004,Vendas!$D$5:$D$3004,B99,Vendas!$B$5:$B$3004,"&gt;="&amp;$C$4,Vendas!$B$5:$B$3004,"&lt;="&amp;EOMONTH($C$4,0)))</f>
        <v/>
      </c>
      <c r="D99" s="27" t="str">
        <f aca="false">IF(B99="","",SUMIFS(Vendas!$G$5:$G$3004,Vendas!$D$5:$D$3004,B99,Vendas!$B$5:$B$3004,"&gt;="&amp;$C$4,Vendas!$B$5:$B$3004,"&lt;="&amp;EOMONTH($C$4,0)))</f>
        <v/>
      </c>
      <c r="E99" s="27" t="str">
        <f aca="false">IF(B99="","",SUMIFS(Vendas!$I$5:$I$3004,Vendas!$D$5:$D$3004,B99,Vendas!$B$5:$B$3004,"&gt;="&amp;$C$4,Vendas!$B$5:$B$3004,"&lt;="&amp;EOMONTH($C$4,0)))</f>
        <v/>
      </c>
    </row>
    <row r="100" customFormat="false" ht="15" hidden="false" customHeight="false" outlineLevel="0" collapsed="false">
      <c r="B100" s="8" t="str">
        <f aca="false">IF(Produtos!B74="","",Produtos!B74)</f>
        <v/>
      </c>
      <c r="C100" s="39" t="str">
        <f aca="false">IF(B100="","",SUMIFS(Vendas!$E$5:$E$3004,Vendas!$D$5:$D$3004,B100,Vendas!$B$5:$B$3004,"&gt;="&amp;$C$4,Vendas!$B$5:$B$3004,"&lt;="&amp;EOMONTH($C$4,0)))</f>
        <v/>
      </c>
      <c r="D100" s="27" t="str">
        <f aca="false">IF(B100="","",SUMIFS(Vendas!$G$5:$G$3004,Vendas!$D$5:$D$3004,B100,Vendas!$B$5:$B$3004,"&gt;="&amp;$C$4,Vendas!$B$5:$B$3004,"&lt;="&amp;EOMONTH($C$4,0)))</f>
        <v/>
      </c>
      <c r="E100" s="27" t="str">
        <f aca="false">IF(B100="","",SUMIFS(Vendas!$I$5:$I$3004,Vendas!$D$5:$D$3004,B100,Vendas!$B$5:$B$3004,"&gt;="&amp;$C$4,Vendas!$B$5:$B$3004,"&lt;="&amp;EOMONTH($C$4,0)))</f>
        <v/>
      </c>
    </row>
    <row r="101" customFormat="false" ht="15" hidden="false" customHeight="false" outlineLevel="0" collapsed="false">
      <c r="B101" s="8" t="str">
        <f aca="false">IF(Produtos!B75="","",Produtos!B75)</f>
        <v/>
      </c>
      <c r="C101" s="39" t="str">
        <f aca="false">IF(B101="","",SUMIFS(Vendas!$E$5:$E$3004,Vendas!$D$5:$D$3004,B101,Vendas!$B$5:$B$3004,"&gt;="&amp;$C$4,Vendas!$B$5:$B$3004,"&lt;="&amp;EOMONTH($C$4,0)))</f>
        <v/>
      </c>
      <c r="D101" s="27" t="str">
        <f aca="false">IF(B101="","",SUMIFS(Vendas!$G$5:$G$3004,Vendas!$D$5:$D$3004,B101,Vendas!$B$5:$B$3004,"&gt;="&amp;$C$4,Vendas!$B$5:$B$3004,"&lt;="&amp;EOMONTH($C$4,0)))</f>
        <v/>
      </c>
      <c r="E101" s="27" t="str">
        <f aca="false">IF(B101="","",SUMIFS(Vendas!$I$5:$I$3004,Vendas!$D$5:$D$3004,B101,Vendas!$B$5:$B$3004,"&gt;="&amp;$C$4,Vendas!$B$5:$B$3004,"&lt;="&amp;EOMONTH($C$4,0)))</f>
        <v/>
      </c>
    </row>
    <row r="102" customFormat="false" ht="15" hidden="false" customHeight="false" outlineLevel="0" collapsed="false">
      <c r="B102" s="8" t="str">
        <f aca="false">IF(Produtos!B76="","",Produtos!B76)</f>
        <v/>
      </c>
      <c r="C102" s="39" t="str">
        <f aca="false">IF(B102="","",SUMIFS(Vendas!$E$5:$E$3004,Vendas!$D$5:$D$3004,B102,Vendas!$B$5:$B$3004,"&gt;="&amp;$C$4,Vendas!$B$5:$B$3004,"&lt;="&amp;EOMONTH($C$4,0)))</f>
        <v/>
      </c>
      <c r="D102" s="27" t="str">
        <f aca="false">IF(B102="","",SUMIFS(Vendas!$G$5:$G$3004,Vendas!$D$5:$D$3004,B102,Vendas!$B$5:$B$3004,"&gt;="&amp;$C$4,Vendas!$B$5:$B$3004,"&lt;="&amp;EOMONTH($C$4,0)))</f>
        <v/>
      </c>
      <c r="E102" s="27" t="str">
        <f aca="false">IF(B102="","",SUMIFS(Vendas!$I$5:$I$3004,Vendas!$D$5:$D$3004,B102,Vendas!$B$5:$B$3004,"&gt;="&amp;$C$4,Vendas!$B$5:$B$3004,"&lt;="&amp;EOMONTH($C$4,0)))</f>
        <v/>
      </c>
    </row>
    <row r="103" customFormat="false" ht="15" hidden="false" customHeight="false" outlineLevel="0" collapsed="false">
      <c r="B103" s="8" t="str">
        <f aca="false">IF(Produtos!B77="","",Produtos!B77)</f>
        <v/>
      </c>
      <c r="C103" s="39" t="str">
        <f aca="false">IF(B103="","",SUMIFS(Vendas!$E$5:$E$3004,Vendas!$D$5:$D$3004,B103,Vendas!$B$5:$B$3004,"&gt;="&amp;$C$4,Vendas!$B$5:$B$3004,"&lt;="&amp;EOMONTH($C$4,0)))</f>
        <v/>
      </c>
      <c r="D103" s="27" t="str">
        <f aca="false">IF(B103="","",SUMIFS(Vendas!$G$5:$G$3004,Vendas!$D$5:$D$3004,B103,Vendas!$B$5:$B$3004,"&gt;="&amp;$C$4,Vendas!$B$5:$B$3004,"&lt;="&amp;EOMONTH($C$4,0)))</f>
        <v/>
      </c>
      <c r="E103" s="27" t="str">
        <f aca="false">IF(B103="","",SUMIFS(Vendas!$I$5:$I$3004,Vendas!$D$5:$D$3004,B103,Vendas!$B$5:$B$3004,"&gt;="&amp;$C$4,Vendas!$B$5:$B$3004,"&lt;="&amp;EOMONTH($C$4,0)))</f>
        <v/>
      </c>
    </row>
    <row r="104" customFormat="false" ht="15" hidden="false" customHeight="false" outlineLevel="0" collapsed="false">
      <c r="B104" s="8" t="str">
        <f aca="false">IF(Produtos!B78="","",Produtos!B78)</f>
        <v/>
      </c>
      <c r="C104" s="39" t="str">
        <f aca="false">IF(B104="","",SUMIFS(Vendas!$E$5:$E$3004,Vendas!$D$5:$D$3004,B104,Vendas!$B$5:$B$3004,"&gt;="&amp;$C$4,Vendas!$B$5:$B$3004,"&lt;="&amp;EOMONTH($C$4,0)))</f>
        <v/>
      </c>
      <c r="D104" s="27" t="str">
        <f aca="false">IF(B104="","",SUMIFS(Vendas!$G$5:$G$3004,Vendas!$D$5:$D$3004,B104,Vendas!$B$5:$B$3004,"&gt;="&amp;$C$4,Vendas!$B$5:$B$3004,"&lt;="&amp;EOMONTH($C$4,0)))</f>
        <v/>
      </c>
      <c r="E104" s="27" t="str">
        <f aca="false">IF(B104="","",SUMIFS(Vendas!$I$5:$I$3004,Vendas!$D$5:$D$3004,B104,Vendas!$B$5:$B$3004,"&gt;="&amp;$C$4,Vendas!$B$5:$B$3004,"&lt;="&amp;EOMONTH($C$4,0)))</f>
        <v/>
      </c>
    </row>
    <row r="105" customFormat="false" ht="15" hidden="false" customHeight="false" outlineLevel="0" collapsed="false">
      <c r="B105" s="8" t="str">
        <f aca="false">IF(Produtos!B79="","",Produtos!B79)</f>
        <v/>
      </c>
      <c r="C105" s="39" t="str">
        <f aca="false">IF(B105="","",SUMIFS(Vendas!$E$5:$E$3004,Vendas!$D$5:$D$3004,B105,Vendas!$B$5:$B$3004,"&gt;="&amp;$C$4,Vendas!$B$5:$B$3004,"&lt;="&amp;EOMONTH($C$4,0)))</f>
        <v/>
      </c>
      <c r="D105" s="27" t="str">
        <f aca="false">IF(B105="","",SUMIFS(Vendas!$G$5:$G$3004,Vendas!$D$5:$D$3004,B105,Vendas!$B$5:$B$3004,"&gt;="&amp;$C$4,Vendas!$B$5:$B$3004,"&lt;="&amp;EOMONTH($C$4,0)))</f>
        <v/>
      </c>
      <c r="E105" s="27" t="str">
        <f aca="false">IF(B105="","",SUMIFS(Vendas!$I$5:$I$3004,Vendas!$D$5:$D$3004,B105,Vendas!$B$5:$B$3004,"&gt;="&amp;$C$4,Vendas!$B$5:$B$3004,"&lt;="&amp;EOMONTH($C$4,0)))</f>
        <v/>
      </c>
    </row>
    <row r="106" customFormat="false" ht="15" hidden="false" customHeight="false" outlineLevel="0" collapsed="false">
      <c r="B106" s="8" t="str">
        <f aca="false">IF(Produtos!B80="","",Produtos!B80)</f>
        <v/>
      </c>
      <c r="C106" s="39" t="str">
        <f aca="false">IF(B106="","",SUMIFS(Vendas!$E$5:$E$3004,Vendas!$D$5:$D$3004,B106,Vendas!$B$5:$B$3004,"&gt;="&amp;$C$4,Vendas!$B$5:$B$3004,"&lt;="&amp;EOMONTH($C$4,0)))</f>
        <v/>
      </c>
      <c r="D106" s="27" t="str">
        <f aca="false">IF(B106="","",SUMIFS(Vendas!$G$5:$G$3004,Vendas!$D$5:$D$3004,B106,Vendas!$B$5:$B$3004,"&gt;="&amp;$C$4,Vendas!$B$5:$B$3004,"&lt;="&amp;EOMONTH($C$4,0)))</f>
        <v/>
      </c>
      <c r="E106" s="27" t="str">
        <f aca="false">IF(B106="","",SUMIFS(Vendas!$I$5:$I$3004,Vendas!$D$5:$D$3004,B106,Vendas!$B$5:$B$3004,"&gt;="&amp;$C$4,Vendas!$B$5:$B$3004,"&lt;="&amp;EOMONTH($C$4,0)))</f>
        <v/>
      </c>
    </row>
    <row r="107" customFormat="false" ht="15" hidden="false" customHeight="false" outlineLevel="0" collapsed="false">
      <c r="B107" s="8" t="str">
        <f aca="false">IF(Produtos!B81="","",Produtos!B81)</f>
        <v/>
      </c>
      <c r="C107" s="39" t="str">
        <f aca="false">IF(B107="","",SUMIFS(Vendas!$E$5:$E$3004,Vendas!$D$5:$D$3004,B107,Vendas!$B$5:$B$3004,"&gt;="&amp;$C$4,Vendas!$B$5:$B$3004,"&lt;="&amp;EOMONTH($C$4,0)))</f>
        <v/>
      </c>
      <c r="D107" s="27" t="str">
        <f aca="false">IF(B107="","",SUMIFS(Vendas!$G$5:$G$3004,Vendas!$D$5:$D$3004,B107,Vendas!$B$5:$B$3004,"&gt;="&amp;$C$4,Vendas!$B$5:$B$3004,"&lt;="&amp;EOMONTH($C$4,0)))</f>
        <v/>
      </c>
      <c r="E107" s="27" t="str">
        <f aca="false">IF(B107="","",SUMIFS(Vendas!$I$5:$I$3004,Vendas!$D$5:$D$3004,B107,Vendas!$B$5:$B$3004,"&gt;="&amp;$C$4,Vendas!$B$5:$B$3004,"&lt;="&amp;EOMONTH($C$4,0)))</f>
        <v/>
      </c>
    </row>
    <row r="108" customFormat="false" ht="15" hidden="false" customHeight="false" outlineLevel="0" collapsed="false">
      <c r="B108" s="8" t="str">
        <f aca="false">IF(Produtos!B82="","",Produtos!B82)</f>
        <v/>
      </c>
      <c r="C108" s="39" t="str">
        <f aca="false">IF(B108="","",SUMIFS(Vendas!$E$5:$E$3004,Vendas!$D$5:$D$3004,B108,Vendas!$B$5:$B$3004,"&gt;="&amp;$C$4,Vendas!$B$5:$B$3004,"&lt;="&amp;EOMONTH($C$4,0)))</f>
        <v/>
      </c>
      <c r="D108" s="27" t="str">
        <f aca="false">IF(B108="","",SUMIFS(Vendas!$G$5:$G$3004,Vendas!$D$5:$D$3004,B108,Vendas!$B$5:$B$3004,"&gt;="&amp;$C$4,Vendas!$B$5:$B$3004,"&lt;="&amp;EOMONTH($C$4,0)))</f>
        <v/>
      </c>
      <c r="E108" s="27" t="str">
        <f aca="false">IF(B108="","",SUMIFS(Vendas!$I$5:$I$3004,Vendas!$D$5:$D$3004,B108,Vendas!$B$5:$B$3004,"&gt;="&amp;$C$4,Vendas!$B$5:$B$3004,"&lt;="&amp;EOMONTH($C$4,0)))</f>
        <v/>
      </c>
    </row>
    <row r="109" customFormat="false" ht="15" hidden="false" customHeight="false" outlineLevel="0" collapsed="false">
      <c r="B109" s="8" t="str">
        <f aca="false">IF(Produtos!B83="","",Produtos!B83)</f>
        <v/>
      </c>
      <c r="C109" s="39" t="str">
        <f aca="false">IF(B109="","",SUMIFS(Vendas!$E$5:$E$3004,Vendas!$D$5:$D$3004,B109,Vendas!$B$5:$B$3004,"&gt;="&amp;$C$4,Vendas!$B$5:$B$3004,"&lt;="&amp;EOMONTH($C$4,0)))</f>
        <v/>
      </c>
      <c r="D109" s="27" t="str">
        <f aca="false">IF(B109="","",SUMIFS(Vendas!$G$5:$G$3004,Vendas!$D$5:$D$3004,B109,Vendas!$B$5:$B$3004,"&gt;="&amp;$C$4,Vendas!$B$5:$B$3004,"&lt;="&amp;EOMONTH($C$4,0)))</f>
        <v/>
      </c>
      <c r="E109" s="27" t="str">
        <f aca="false">IF(B109="","",SUMIFS(Vendas!$I$5:$I$3004,Vendas!$D$5:$D$3004,B109,Vendas!$B$5:$B$3004,"&gt;="&amp;$C$4,Vendas!$B$5:$B$3004,"&lt;="&amp;EOMONTH($C$4,0)))</f>
        <v/>
      </c>
    </row>
    <row r="110" customFormat="false" ht="15" hidden="false" customHeight="false" outlineLevel="0" collapsed="false">
      <c r="B110" s="8" t="str">
        <f aca="false">IF(Produtos!B84="","",Produtos!B84)</f>
        <v/>
      </c>
      <c r="C110" s="39" t="str">
        <f aca="false">IF(B110="","",SUMIFS(Vendas!$E$5:$E$3004,Vendas!$D$5:$D$3004,B110,Vendas!$B$5:$B$3004,"&gt;="&amp;$C$4,Vendas!$B$5:$B$3004,"&lt;="&amp;EOMONTH($C$4,0)))</f>
        <v/>
      </c>
      <c r="D110" s="27" t="str">
        <f aca="false">IF(B110="","",SUMIFS(Vendas!$G$5:$G$3004,Vendas!$D$5:$D$3004,B110,Vendas!$B$5:$B$3004,"&gt;="&amp;$C$4,Vendas!$B$5:$B$3004,"&lt;="&amp;EOMONTH($C$4,0)))</f>
        <v/>
      </c>
      <c r="E110" s="27" t="str">
        <f aca="false">IF(B110="","",SUMIFS(Vendas!$I$5:$I$3004,Vendas!$D$5:$D$3004,B110,Vendas!$B$5:$B$3004,"&gt;="&amp;$C$4,Vendas!$B$5:$B$3004,"&lt;="&amp;EOMONTH($C$4,0)))</f>
        <v/>
      </c>
    </row>
    <row r="111" customFormat="false" ht="15" hidden="false" customHeight="false" outlineLevel="0" collapsed="false">
      <c r="B111" s="8" t="str">
        <f aca="false">IF(Produtos!B85="","",Produtos!B85)</f>
        <v/>
      </c>
      <c r="C111" s="39" t="str">
        <f aca="false">IF(B111="","",SUMIFS(Vendas!$E$5:$E$3004,Vendas!$D$5:$D$3004,B111,Vendas!$B$5:$B$3004,"&gt;="&amp;$C$4,Vendas!$B$5:$B$3004,"&lt;="&amp;EOMONTH($C$4,0)))</f>
        <v/>
      </c>
      <c r="D111" s="27" t="str">
        <f aca="false">IF(B111="","",SUMIFS(Vendas!$G$5:$G$3004,Vendas!$D$5:$D$3004,B111,Vendas!$B$5:$B$3004,"&gt;="&amp;$C$4,Vendas!$B$5:$B$3004,"&lt;="&amp;EOMONTH($C$4,0)))</f>
        <v/>
      </c>
      <c r="E111" s="27" t="str">
        <f aca="false">IF(B111="","",SUMIFS(Vendas!$I$5:$I$3004,Vendas!$D$5:$D$3004,B111,Vendas!$B$5:$B$3004,"&gt;="&amp;$C$4,Vendas!$B$5:$B$3004,"&lt;="&amp;EOMONTH($C$4,0)))</f>
        <v/>
      </c>
    </row>
    <row r="112" customFormat="false" ht="15" hidden="false" customHeight="false" outlineLevel="0" collapsed="false">
      <c r="B112" s="8" t="str">
        <f aca="false">IF(Produtos!B86="","",Produtos!B86)</f>
        <v/>
      </c>
      <c r="C112" s="39" t="str">
        <f aca="false">IF(B112="","",SUMIFS(Vendas!$E$5:$E$3004,Vendas!$D$5:$D$3004,B112,Vendas!$B$5:$B$3004,"&gt;="&amp;$C$4,Vendas!$B$5:$B$3004,"&lt;="&amp;EOMONTH($C$4,0)))</f>
        <v/>
      </c>
      <c r="D112" s="27" t="str">
        <f aca="false">IF(B112="","",SUMIFS(Vendas!$G$5:$G$3004,Vendas!$D$5:$D$3004,B112,Vendas!$B$5:$B$3004,"&gt;="&amp;$C$4,Vendas!$B$5:$B$3004,"&lt;="&amp;EOMONTH($C$4,0)))</f>
        <v/>
      </c>
      <c r="E112" s="27" t="str">
        <f aca="false">IF(B112="","",SUMIFS(Vendas!$I$5:$I$3004,Vendas!$D$5:$D$3004,B112,Vendas!$B$5:$B$3004,"&gt;="&amp;$C$4,Vendas!$B$5:$B$3004,"&lt;="&amp;EOMONTH($C$4,0)))</f>
        <v/>
      </c>
    </row>
    <row r="113" customFormat="false" ht="15" hidden="false" customHeight="false" outlineLevel="0" collapsed="false">
      <c r="B113" s="8" t="str">
        <f aca="false">IF(Produtos!B87="","",Produtos!B87)</f>
        <v/>
      </c>
      <c r="C113" s="39" t="str">
        <f aca="false">IF(B113="","",SUMIFS(Vendas!$E$5:$E$3004,Vendas!$D$5:$D$3004,B113,Vendas!$B$5:$B$3004,"&gt;="&amp;$C$4,Vendas!$B$5:$B$3004,"&lt;="&amp;EOMONTH($C$4,0)))</f>
        <v/>
      </c>
      <c r="D113" s="27" t="str">
        <f aca="false">IF(B113="","",SUMIFS(Vendas!$G$5:$G$3004,Vendas!$D$5:$D$3004,B113,Vendas!$B$5:$B$3004,"&gt;="&amp;$C$4,Vendas!$B$5:$B$3004,"&lt;="&amp;EOMONTH($C$4,0)))</f>
        <v/>
      </c>
      <c r="E113" s="27" t="str">
        <f aca="false">IF(B113="","",SUMIFS(Vendas!$I$5:$I$3004,Vendas!$D$5:$D$3004,B113,Vendas!$B$5:$B$3004,"&gt;="&amp;$C$4,Vendas!$B$5:$B$3004,"&lt;="&amp;EOMONTH($C$4,0)))</f>
        <v/>
      </c>
    </row>
    <row r="114" customFormat="false" ht="15" hidden="false" customHeight="false" outlineLevel="0" collapsed="false">
      <c r="B114" s="8" t="str">
        <f aca="false">IF(Produtos!B88="","",Produtos!B88)</f>
        <v/>
      </c>
      <c r="C114" s="39" t="str">
        <f aca="false">IF(B114="","",SUMIFS(Vendas!$E$5:$E$3004,Vendas!$D$5:$D$3004,B114,Vendas!$B$5:$B$3004,"&gt;="&amp;$C$4,Vendas!$B$5:$B$3004,"&lt;="&amp;EOMONTH($C$4,0)))</f>
        <v/>
      </c>
      <c r="D114" s="27" t="str">
        <f aca="false">IF(B114="","",SUMIFS(Vendas!$G$5:$G$3004,Vendas!$D$5:$D$3004,B114,Vendas!$B$5:$B$3004,"&gt;="&amp;$C$4,Vendas!$B$5:$B$3004,"&lt;="&amp;EOMONTH($C$4,0)))</f>
        <v/>
      </c>
      <c r="E114" s="27" t="str">
        <f aca="false">IF(B114="","",SUMIFS(Vendas!$I$5:$I$3004,Vendas!$D$5:$D$3004,B114,Vendas!$B$5:$B$3004,"&gt;="&amp;$C$4,Vendas!$B$5:$B$3004,"&lt;="&amp;EOMONTH($C$4,0)))</f>
        <v/>
      </c>
    </row>
    <row r="115" customFormat="false" ht="15" hidden="false" customHeight="false" outlineLevel="0" collapsed="false">
      <c r="B115" s="8" t="str">
        <f aca="false">IF(Produtos!B89="","",Produtos!B89)</f>
        <v/>
      </c>
      <c r="C115" s="39" t="str">
        <f aca="false">IF(B115="","",SUMIFS(Vendas!$E$5:$E$3004,Vendas!$D$5:$D$3004,B115,Vendas!$B$5:$B$3004,"&gt;="&amp;$C$4,Vendas!$B$5:$B$3004,"&lt;="&amp;EOMONTH($C$4,0)))</f>
        <v/>
      </c>
      <c r="D115" s="27" t="str">
        <f aca="false">IF(B115="","",SUMIFS(Vendas!$G$5:$G$3004,Vendas!$D$5:$D$3004,B115,Vendas!$B$5:$B$3004,"&gt;="&amp;$C$4,Vendas!$B$5:$B$3004,"&lt;="&amp;EOMONTH($C$4,0)))</f>
        <v/>
      </c>
      <c r="E115" s="27" t="str">
        <f aca="false">IF(B115="","",SUMIFS(Vendas!$I$5:$I$3004,Vendas!$D$5:$D$3004,B115,Vendas!$B$5:$B$3004,"&gt;="&amp;$C$4,Vendas!$B$5:$B$3004,"&lt;="&amp;EOMONTH($C$4,0)))</f>
        <v/>
      </c>
    </row>
    <row r="116" customFormat="false" ht="15" hidden="false" customHeight="false" outlineLevel="0" collapsed="false">
      <c r="B116" s="8" t="str">
        <f aca="false">IF(Produtos!B90="","",Produtos!B90)</f>
        <v/>
      </c>
      <c r="C116" s="39" t="str">
        <f aca="false">IF(B116="","",SUMIFS(Vendas!$E$5:$E$3004,Vendas!$D$5:$D$3004,B116,Vendas!$B$5:$B$3004,"&gt;="&amp;$C$4,Vendas!$B$5:$B$3004,"&lt;="&amp;EOMONTH($C$4,0)))</f>
        <v/>
      </c>
      <c r="D116" s="27" t="str">
        <f aca="false">IF(B116="","",SUMIFS(Vendas!$G$5:$G$3004,Vendas!$D$5:$D$3004,B116,Vendas!$B$5:$B$3004,"&gt;="&amp;$C$4,Vendas!$B$5:$B$3004,"&lt;="&amp;EOMONTH($C$4,0)))</f>
        <v/>
      </c>
      <c r="E116" s="27" t="str">
        <f aca="false">IF(B116="","",SUMIFS(Vendas!$I$5:$I$3004,Vendas!$D$5:$D$3004,B116,Vendas!$B$5:$B$3004,"&gt;="&amp;$C$4,Vendas!$B$5:$B$3004,"&lt;="&amp;EOMONTH($C$4,0)))</f>
        <v/>
      </c>
    </row>
    <row r="117" customFormat="false" ht="15" hidden="false" customHeight="false" outlineLevel="0" collapsed="false">
      <c r="B117" s="8" t="str">
        <f aca="false">IF(Produtos!B91="","",Produtos!B91)</f>
        <v/>
      </c>
      <c r="C117" s="39" t="str">
        <f aca="false">IF(B117="","",SUMIFS(Vendas!$E$5:$E$3004,Vendas!$D$5:$D$3004,B117,Vendas!$B$5:$B$3004,"&gt;="&amp;$C$4,Vendas!$B$5:$B$3004,"&lt;="&amp;EOMONTH($C$4,0)))</f>
        <v/>
      </c>
      <c r="D117" s="27" t="str">
        <f aca="false">IF(B117="","",SUMIFS(Vendas!$G$5:$G$3004,Vendas!$D$5:$D$3004,B117,Vendas!$B$5:$B$3004,"&gt;="&amp;$C$4,Vendas!$B$5:$B$3004,"&lt;="&amp;EOMONTH($C$4,0)))</f>
        <v/>
      </c>
      <c r="E117" s="27" t="str">
        <f aca="false">IF(B117="","",SUMIFS(Vendas!$I$5:$I$3004,Vendas!$D$5:$D$3004,B117,Vendas!$B$5:$B$3004,"&gt;="&amp;$C$4,Vendas!$B$5:$B$3004,"&lt;="&amp;EOMONTH($C$4,0)))</f>
        <v/>
      </c>
    </row>
    <row r="118" customFormat="false" ht="15" hidden="false" customHeight="false" outlineLevel="0" collapsed="false">
      <c r="B118" s="8" t="str">
        <f aca="false">IF(Produtos!B92="","",Produtos!B92)</f>
        <v/>
      </c>
      <c r="C118" s="39" t="str">
        <f aca="false">IF(B118="","",SUMIFS(Vendas!$E$5:$E$3004,Vendas!$D$5:$D$3004,B118,Vendas!$B$5:$B$3004,"&gt;="&amp;$C$4,Vendas!$B$5:$B$3004,"&lt;="&amp;EOMONTH($C$4,0)))</f>
        <v/>
      </c>
      <c r="D118" s="27" t="str">
        <f aca="false">IF(B118="","",SUMIFS(Vendas!$G$5:$G$3004,Vendas!$D$5:$D$3004,B118,Vendas!$B$5:$B$3004,"&gt;="&amp;$C$4,Vendas!$B$5:$B$3004,"&lt;="&amp;EOMONTH($C$4,0)))</f>
        <v/>
      </c>
      <c r="E118" s="27" t="str">
        <f aca="false">IF(B118="","",SUMIFS(Vendas!$I$5:$I$3004,Vendas!$D$5:$D$3004,B118,Vendas!$B$5:$B$3004,"&gt;="&amp;$C$4,Vendas!$B$5:$B$3004,"&lt;="&amp;EOMONTH($C$4,0)))</f>
        <v/>
      </c>
    </row>
    <row r="119" customFormat="false" ht="15" hidden="false" customHeight="false" outlineLevel="0" collapsed="false">
      <c r="B119" s="8" t="str">
        <f aca="false">IF(Produtos!B93="","",Produtos!B93)</f>
        <v/>
      </c>
      <c r="C119" s="39" t="str">
        <f aca="false">IF(B119="","",SUMIFS(Vendas!$E$5:$E$3004,Vendas!$D$5:$D$3004,B119,Vendas!$B$5:$B$3004,"&gt;="&amp;$C$4,Vendas!$B$5:$B$3004,"&lt;="&amp;EOMONTH($C$4,0)))</f>
        <v/>
      </c>
      <c r="D119" s="27" t="str">
        <f aca="false">IF(B119="","",SUMIFS(Vendas!$G$5:$G$3004,Vendas!$D$5:$D$3004,B119,Vendas!$B$5:$B$3004,"&gt;="&amp;$C$4,Vendas!$B$5:$B$3004,"&lt;="&amp;EOMONTH($C$4,0)))</f>
        <v/>
      </c>
      <c r="E119" s="27" t="str">
        <f aca="false">IF(B119="","",SUMIFS(Vendas!$I$5:$I$3004,Vendas!$D$5:$D$3004,B119,Vendas!$B$5:$B$3004,"&gt;="&amp;$C$4,Vendas!$B$5:$B$3004,"&lt;="&amp;EOMONTH($C$4,0)))</f>
        <v/>
      </c>
    </row>
    <row r="120" customFormat="false" ht="15" hidden="false" customHeight="false" outlineLevel="0" collapsed="false">
      <c r="B120" s="8" t="str">
        <f aca="false">IF(Produtos!B94="","",Produtos!B94)</f>
        <v/>
      </c>
      <c r="C120" s="39" t="str">
        <f aca="false">IF(B120="","",SUMIFS(Vendas!$E$5:$E$3004,Vendas!$D$5:$D$3004,B120,Vendas!$B$5:$B$3004,"&gt;="&amp;$C$4,Vendas!$B$5:$B$3004,"&lt;="&amp;EOMONTH($C$4,0)))</f>
        <v/>
      </c>
      <c r="D120" s="27" t="str">
        <f aca="false">IF(B120="","",SUMIFS(Vendas!$G$5:$G$3004,Vendas!$D$5:$D$3004,B120,Vendas!$B$5:$B$3004,"&gt;="&amp;$C$4,Vendas!$B$5:$B$3004,"&lt;="&amp;EOMONTH($C$4,0)))</f>
        <v/>
      </c>
      <c r="E120" s="27" t="str">
        <f aca="false">IF(B120="","",SUMIFS(Vendas!$I$5:$I$3004,Vendas!$D$5:$D$3004,B120,Vendas!$B$5:$B$3004,"&gt;="&amp;$C$4,Vendas!$B$5:$B$3004,"&lt;="&amp;EOMONTH($C$4,0)))</f>
        <v/>
      </c>
    </row>
    <row r="121" customFormat="false" ht="15" hidden="false" customHeight="false" outlineLevel="0" collapsed="false">
      <c r="B121" s="8" t="str">
        <f aca="false">IF(Produtos!B95="","",Produtos!B95)</f>
        <v/>
      </c>
      <c r="C121" s="39" t="str">
        <f aca="false">IF(B121="","",SUMIFS(Vendas!$E$5:$E$3004,Vendas!$D$5:$D$3004,B121,Vendas!$B$5:$B$3004,"&gt;="&amp;$C$4,Vendas!$B$5:$B$3004,"&lt;="&amp;EOMONTH($C$4,0)))</f>
        <v/>
      </c>
      <c r="D121" s="27" t="str">
        <f aca="false">IF(B121="","",SUMIFS(Vendas!$G$5:$G$3004,Vendas!$D$5:$D$3004,B121,Vendas!$B$5:$B$3004,"&gt;="&amp;$C$4,Vendas!$B$5:$B$3004,"&lt;="&amp;EOMONTH($C$4,0)))</f>
        <v/>
      </c>
      <c r="E121" s="27" t="str">
        <f aca="false">IF(B121="","",SUMIFS(Vendas!$I$5:$I$3004,Vendas!$D$5:$D$3004,B121,Vendas!$B$5:$B$3004,"&gt;="&amp;$C$4,Vendas!$B$5:$B$3004,"&lt;="&amp;EOMONTH($C$4,0)))</f>
        <v/>
      </c>
    </row>
    <row r="122" customFormat="false" ht="15" hidden="false" customHeight="false" outlineLevel="0" collapsed="false">
      <c r="B122" s="8" t="str">
        <f aca="false">IF(Produtos!B96="","",Produtos!B96)</f>
        <v/>
      </c>
      <c r="C122" s="39" t="str">
        <f aca="false">IF(B122="","",SUMIFS(Vendas!$E$5:$E$3004,Vendas!$D$5:$D$3004,B122,Vendas!$B$5:$B$3004,"&gt;="&amp;$C$4,Vendas!$B$5:$B$3004,"&lt;="&amp;EOMONTH($C$4,0)))</f>
        <v/>
      </c>
      <c r="D122" s="27" t="str">
        <f aca="false">IF(B122="","",SUMIFS(Vendas!$G$5:$G$3004,Vendas!$D$5:$D$3004,B122,Vendas!$B$5:$B$3004,"&gt;="&amp;$C$4,Vendas!$B$5:$B$3004,"&lt;="&amp;EOMONTH($C$4,0)))</f>
        <v/>
      </c>
      <c r="E122" s="27" t="str">
        <f aca="false">IF(B122="","",SUMIFS(Vendas!$I$5:$I$3004,Vendas!$D$5:$D$3004,B122,Vendas!$B$5:$B$3004,"&gt;="&amp;$C$4,Vendas!$B$5:$B$3004,"&lt;="&amp;EOMONTH($C$4,0)))</f>
        <v/>
      </c>
    </row>
    <row r="123" customFormat="false" ht="15" hidden="false" customHeight="false" outlineLevel="0" collapsed="false">
      <c r="B123" s="8" t="str">
        <f aca="false">IF(Produtos!B97="","",Produtos!B97)</f>
        <v/>
      </c>
      <c r="C123" s="39" t="str">
        <f aca="false">IF(B123="","",SUMIFS(Vendas!$E$5:$E$3004,Vendas!$D$5:$D$3004,B123,Vendas!$B$5:$B$3004,"&gt;="&amp;$C$4,Vendas!$B$5:$B$3004,"&lt;="&amp;EOMONTH($C$4,0)))</f>
        <v/>
      </c>
      <c r="D123" s="27" t="str">
        <f aca="false">IF(B123="","",SUMIFS(Vendas!$G$5:$G$3004,Vendas!$D$5:$D$3004,B123,Vendas!$B$5:$B$3004,"&gt;="&amp;$C$4,Vendas!$B$5:$B$3004,"&lt;="&amp;EOMONTH($C$4,0)))</f>
        <v/>
      </c>
      <c r="E123" s="27" t="str">
        <f aca="false">IF(B123="","",SUMIFS(Vendas!$I$5:$I$3004,Vendas!$D$5:$D$3004,B123,Vendas!$B$5:$B$3004,"&gt;="&amp;$C$4,Vendas!$B$5:$B$3004,"&lt;="&amp;EOMONTH($C$4,0)))</f>
        <v/>
      </c>
    </row>
    <row r="124" customFormat="false" ht="15" hidden="false" customHeight="false" outlineLevel="0" collapsed="false">
      <c r="B124" s="8" t="str">
        <f aca="false">IF(Produtos!B98="","",Produtos!B98)</f>
        <v/>
      </c>
      <c r="C124" s="39" t="str">
        <f aca="false">IF(B124="","",SUMIFS(Vendas!$E$5:$E$3004,Vendas!$D$5:$D$3004,B124,Vendas!$B$5:$B$3004,"&gt;="&amp;$C$4,Vendas!$B$5:$B$3004,"&lt;="&amp;EOMONTH($C$4,0)))</f>
        <v/>
      </c>
      <c r="D124" s="27" t="str">
        <f aca="false">IF(B124="","",SUMIFS(Vendas!$G$5:$G$3004,Vendas!$D$5:$D$3004,B124,Vendas!$B$5:$B$3004,"&gt;="&amp;$C$4,Vendas!$B$5:$B$3004,"&lt;="&amp;EOMONTH($C$4,0)))</f>
        <v/>
      </c>
      <c r="E124" s="27" t="str">
        <f aca="false">IF(B124="","",SUMIFS(Vendas!$I$5:$I$3004,Vendas!$D$5:$D$3004,B124,Vendas!$B$5:$B$3004,"&gt;="&amp;$C$4,Vendas!$B$5:$B$3004,"&lt;="&amp;EOMONTH($C$4,0)))</f>
        <v/>
      </c>
    </row>
    <row r="125" customFormat="false" ht="15" hidden="false" customHeight="false" outlineLevel="0" collapsed="false">
      <c r="B125" s="8" t="str">
        <f aca="false">IF(Produtos!B99="","",Produtos!B99)</f>
        <v/>
      </c>
      <c r="C125" s="39" t="str">
        <f aca="false">IF(B125="","",SUMIFS(Vendas!$E$5:$E$3004,Vendas!$D$5:$D$3004,B125,Vendas!$B$5:$B$3004,"&gt;="&amp;$C$4,Vendas!$B$5:$B$3004,"&lt;="&amp;EOMONTH($C$4,0)))</f>
        <v/>
      </c>
      <c r="D125" s="27" t="str">
        <f aca="false">IF(B125="","",SUMIFS(Vendas!$G$5:$G$3004,Vendas!$D$5:$D$3004,B125,Vendas!$B$5:$B$3004,"&gt;="&amp;$C$4,Vendas!$B$5:$B$3004,"&lt;="&amp;EOMONTH($C$4,0)))</f>
        <v/>
      </c>
      <c r="E125" s="27" t="str">
        <f aca="false">IF(B125="","",SUMIFS(Vendas!$I$5:$I$3004,Vendas!$D$5:$D$3004,B125,Vendas!$B$5:$B$3004,"&gt;="&amp;$C$4,Vendas!$B$5:$B$3004,"&lt;="&amp;EOMONTH($C$4,0)))</f>
        <v/>
      </c>
    </row>
    <row r="126" customFormat="false" ht="15" hidden="false" customHeight="false" outlineLevel="0" collapsed="false">
      <c r="B126" s="8" t="str">
        <f aca="false">IF(Produtos!B100="","",Produtos!B100)</f>
        <v/>
      </c>
      <c r="C126" s="39" t="str">
        <f aca="false">IF(B126="","",SUMIFS(Vendas!$E$5:$E$3004,Vendas!$D$5:$D$3004,B126,Vendas!$B$5:$B$3004,"&gt;="&amp;$C$4,Vendas!$B$5:$B$3004,"&lt;="&amp;EOMONTH($C$4,0)))</f>
        <v/>
      </c>
      <c r="D126" s="27" t="str">
        <f aca="false">IF(B126="","",SUMIFS(Vendas!$G$5:$G$3004,Vendas!$D$5:$D$3004,B126,Vendas!$B$5:$B$3004,"&gt;="&amp;$C$4,Vendas!$B$5:$B$3004,"&lt;="&amp;EOMONTH($C$4,0)))</f>
        <v/>
      </c>
      <c r="E126" s="27" t="str">
        <f aca="false">IF(B126="","",SUMIFS(Vendas!$I$5:$I$3004,Vendas!$D$5:$D$3004,B126,Vendas!$B$5:$B$3004,"&gt;="&amp;$C$4,Vendas!$B$5:$B$3004,"&lt;="&amp;EOMONTH($C$4,0)))</f>
        <v/>
      </c>
    </row>
    <row r="127" customFormat="false" ht="15" hidden="false" customHeight="false" outlineLevel="0" collapsed="false">
      <c r="B127" s="8" t="str">
        <f aca="false">IF(Produtos!B101="","",Produtos!B101)</f>
        <v/>
      </c>
      <c r="C127" s="39" t="str">
        <f aca="false">IF(B127="","",SUMIFS(Vendas!$E$5:$E$3004,Vendas!$D$5:$D$3004,B127,Vendas!$B$5:$B$3004,"&gt;="&amp;$C$4,Vendas!$B$5:$B$3004,"&lt;="&amp;EOMONTH($C$4,0)))</f>
        <v/>
      </c>
      <c r="D127" s="27" t="str">
        <f aca="false">IF(B127="","",SUMIFS(Vendas!$G$5:$G$3004,Vendas!$D$5:$D$3004,B127,Vendas!$B$5:$B$3004,"&gt;="&amp;$C$4,Vendas!$B$5:$B$3004,"&lt;="&amp;EOMONTH($C$4,0)))</f>
        <v/>
      </c>
      <c r="E127" s="27" t="str">
        <f aca="false">IF(B127="","",SUMIFS(Vendas!$I$5:$I$3004,Vendas!$D$5:$D$3004,B127,Vendas!$B$5:$B$3004,"&gt;="&amp;$C$4,Vendas!$B$5:$B$3004,"&lt;="&amp;EOMONTH($C$4,0)))</f>
        <v/>
      </c>
    </row>
    <row r="128" customFormat="false" ht="15" hidden="false" customHeight="false" outlineLevel="0" collapsed="false">
      <c r="B128" s="8" t="str">
        <f aca="false">IF(Produtos!B102="","",Produtos!B102)</f>
        <v/>
      </c>
      <c r="C128" s="39" t="str">
        <f aca="false">IF(B128="","",SUMIFS(Vendas!$E$5:$E$3004,Vendas!$D$5:$D$3004,B128,Vendas!$B$5:$B$3004,"&gt;="&amp;$C$4,Vendas!$B$5:$B$3004,"&lt;="&amp;EOMONTH($C$4,0)))</f>
        <v/>
      </c>
      <c r="D128" s="27" t="str">
        <f aca="false">IF(B128="","",SUMIFS(Vendas!$G$5:$G$3004,Vendas!$D$5:$D$3004,B128,Vendas!$B$5:$B$3004,"&gt;="&amp;$C$4,Vendas!$B$5:$B$3004,"&lt;="&amp;EOMONTH($C$4,0)))</f>
        <v/>
      </c>
      <c r="E128" s="27" t="str">
        <f aca="false">IF(B128="","",SUMIFS(Vendas!$I$5:$I$3004,Vendas!$D$5:$D$3004,B128,Vendas!$B$5:$B$3004,"&gt;="&amp;$C$4,Vendas!$B$5:$B$3004,"&lt;="&amp;EOMONTH($C$4,0)))</f>
        <v/>
      </c>
    </row>
    <row r="129" customFormat="false" ht="15" hidden="false" customHeight="false" outlineLevel="0" collapsed="false">
      <c r="B129" s="8" t="str">
        <f aca="false">IF(Produtos!B103="","",Produtos!B103)</f>
        <v/>
      </c>
      <c r="C129" s="39" t="str">
        <f aca="false">IF(B129="","",SUMIFS(Vendas!$E$5:$E$3004,Vendas!$D$5:$D$3004,B129,Vendas!$B$5:$B$3004,"&gt;="&amp;$C$4,Vendas!$B$5:$B$3004,"&lt;="&amp;EOMONTH($C$4,0)))</f>
        <v/>
      </c>
      <c r="D129" s="27" t="str">
        <f aca="false">IF(B129="","",SUMIFS(Vendas!$G$5:$G$3004,Vendas!$D$5:$D$3004,B129,Vendas!$B$5:$B$3004,"&gt;="&amp;$C$4,Vendas!$B$5:$B$3004,"&lt;="&amp;EOMONTH($C$4,0)))</f>
        <v/>
      </c>
      <c r="E129" s="27" t="str">
        <f aca="false">IF(B129="","",SUMIFS(Vendas!$I$5:$I$3004,Vendas!$D$5:$D$3004,B129,Vendas!$B$5:$B$3004,"&gt;="&amp;$C$4,Vendas!$B$5:$B$3004,"&lt;="&amp;EOMONTH($C$4,0)))</f>
        <v/>
      </c>
    </row>
    <row r="130" customFormat="false" ht="15" hidden="false" customHeight="false" outlineLevel="0" collapsed="false">
      <c r="B130" s="8" t="str">
        <f aca="false">IF(Produtos!B104="","",Produtos!B104)</f>
        <v/>
      </c>
      <c r="C130" s="39" t="str">
        <f aca="false">IF(B130="","",SUMIFS(Vendas!$E$5:$E$3004,Vendas!$D$5:$D$3004,B130,Vendas!$B$5:$B$3004,"&gt;="&amp;$C$4,Vendas!$B$5:$B$3004,"&lt;="&amp;EOMONTH($C$4,0)))</f>
        <v/>
      </c>
      <c r="D130" s="27" t="str">
        <f aca="false">IF(B130="","",SUMIFS(Vendas!$G$5:$G$3004,Vendas!$D$5:$D$3004,B130,Vendas!$B$5:$B$3004,"&gt;="&amp;$C$4,Vendas!$B$5:$B$3004,"&lt;="&amp;EOMONTH($C$4,0)))</f>
        <v/>
      </c>
      <c r="E130" s="27" t="str">
        <f aca="false">IF(B130="","",SUMIFS(Vendas!$I$5:$I$3004,Vendas!$D$5:$D$3004,B130,Vendas!$B$5:$B$3004,"&gt;="&amp;$C$4,Vendas!$B$5:$B$3004,"&lt;="&amp;EOMONTH($C$4,0)))</f>
        <v/>
      </c>
    </row>
  </sheetData>
  <mergeCells count="9">
    <mergeCell ref="B1:E1"/>
    <mergeCell ref="B2:E2"/>
    <mergeCell ref="D4:E4"/>
    <mergeCell ref="B6:E6"/>
    <mergeCell ref="B9:E9"/>
    <mergeCell ref="B17:E17"/>
    <mergeCell ref="B21:E21"/>
    <mergeCell ref="B23:E23"/>
    <mergeCell ref="B29:E29"/>
  </mergeCells>
  <conditionalFormatting sqref="C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B1:J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9" min="6" style="0" width="13"/>
    <col collapsed="false" customWidth="true" hidden="false" outlineLevel="0" max="10" min="10" style="0" width="11"/>
  </cols>
  <sheetData>
    <row r="1" customFormat="false" ht="39.75" hidden="false" customHeight="true" outlineLevel="0" collapsed="false">
      <c r="B1" s="1" t="s">
        <v>16</v>
      </c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B2" s="2" t="s">
        <v>89</v>
      </c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90</v>
      </c>
      <c r="C4" s="40" t="s">
        <v>91</v>
      </c>
      <c r="D4" s="40" t="s">
        <v>92</v>
      </c>
      <c r="E4" s="40" t="s">
        <v>93</v>
      </c>
      <c r="F4" s="40" t="s">
        <v>94</v>
      </c>
      <c r="G4" s="18" t="s">
        <v>95</v>
      </c>
      <c r="H4" s="18" t="s">
        <v>96</v>
      </c>
      <c r="I4" s="18" t="s">
        <v>88</v>
      </c>
      <c r="J4" s="40" t="s">
        <v>97</v>
      </c>
    </row>
    <row r="5" customFormat="false" ht="21" hidden="false" customHeight="true" outlineLevel="0" collapsed="false">
      <c r="B5" s="41" t="n">
        <v>46297</v>
      </c>
      <c r="C5" s="9" t="s">
        <v>98</v>
      </c>
      <c r="D5" s="9" t="s">
        <v>99</v>
      </c>
      <c r="E5" s="42" t="n">
        <v>2</v>
      </c>
      <c r="F5" s="43" t="n">
        <v>12</v>
      </c>
      <c r="G5" s="27" t="n">
        <f aca="false">IF(OR(C5="",AND(D5="",F5="")),"",IF(N(E5)=0,1,E5)*IF(F5="",IFERROR(N(INDEX(Produtos!$L$5:$L$104,MATCH(D5,Produtos!$B$5:$B$104,0))),0),F5))</f>
        <v>24</v>
      </c>
      <c r="H5" s="27" t="n">
        <f aca="false">IF(G5="","",IF(N(E5)=0,1,E5)*IFERROR(N(INDEX(Produtos!$G$5:$G$104,MATCH(D5,Produtos!$B$5:$B$104,0))),0))</f>
        <v>8.01646416666667</v>
      </c>
      <c r="I5" s="27" t="n">
        <f aca="false">IF(G5="","",G5-H5)</f>
        <v>15.9835358333333</v>
      </c>
      <c r="J5" s="42"/>
    </row>
    <row r="6" customFormat="false" ht="21" hidden="false" customHeight="true" outlineLevel="0" collapsed="false">
      <c r="B6" s="41" t="n">
        <v>46297</v>
      </c>
      <c r="C6" s="9" t="s">
        <v>100</v>
      </c>
      <c r="D6" s="9" t="s">
        <v>101</v>
      </c>
      <c r="E6" s="42" t="n">
        <v>6</v>
      </c>
      <c r="F6" s="43" t="n">
        <v>2.5</v>
      </c>
      <c r="G6" s="27" t="n">
        <f aca="false">IF(OR(C6="",AND(D6="",F6="")),"",IF(N(E6)=0,1,E6)*IF(F6="",IFERROR(N(INDEX(Produtos!$L$5:$L$104,MATCH(D6,Produtos!$B$5:$B$104,0))),0),F6))</f>
        <v>15</v>
      </c>
      <c r="H6" s="27" t="n">
        <f aca="false">IF(G6="","",IF(N(E6)=0,1,E6)*IFERROR(N(INDEX(Produtos!$G$5:$G$104,MATCH(D6,Produtos!$B$5:$B$104,0))),0))</f>
        <v>2.85894</v>
      </c>
      <c r="I6" s="27" t="n">
        <f aca="false">IF(G6="","",G6-H6)</f>
        <v>12.14106</v>
      </c>
      <c r="J6" s="42" t="s">
        <v>102</v>
      </c>
    </row>
    <row r="7" customFormat="false" ht="21" hidden="false" customHeight="true" outlineLevel="0" collapsed="false">
      <c r="B7" s="41" t="n">
        <v>46301</v>
      </c>
      <c r="C7" s="9" t="s">
        <v>103</v>
      </c>
      <c r="D7" s="9" t="s">
        <v>104</v>
      </c>
      <c r="E7" s="42" t="n">
        <v>1</v>
      </c>
      <c r="F7" s="43" t="n">
        <v>6</v>
      </c>
      <c r="G7" s="27" t="n">
        <f aca="false">IF(OR(C7="",AND(D7="",F7="")),"",IF(N(E7)=0,1,E7)*IF(F7="",IFERROR(N(INDEX(Produtos!$L$5:$L$104,MATCH(D7,Produtos!$B$5:$B$104,0))),0),F7))</f>
        <v>6</v>
      </c>
      <c r="H7" s="27" t="n">
        <f aca="false">IF(G7="","",IF(N(E7)=0,1,E7)*IFERROR(N(INDEX(Produtos!$G$5:$G$104,MATCH(D7,Produtos!$B$5:$B$104,0))),0))</f>
        <v>3.36</v>
      </c>
      <c r="I7" s="27" t="n">
        <f aca="false">IF(G7="","",G7-H7)</f>
        <v>2.64</v>
      </c>
      <c r="J7" s="42"/>
    </row>
    <row r="8" customFormat="false" ht="21" hidden="false" customHeight="true" outlineLevel="0" collapsed="false">
      <c r="B8" s="41" t="n">
        <v>46301</v>
      </c>
      <c r="C8" s="9" t="s">
        <v>103</v>
      </c>
      <c r="D8" s="9" t="s">
        <v>105</v>
      </c>
      <c r="E8" s="42" t="n">
        <v>2</v>
      </c>
      <c r="F8" s="43" t="n">
        <v>5</v>
      </c>
      <c r="G8" s="27" t="n">
        <f aca="false">IF(OR(C8="",AND(D8="",F8="")),"",IF(N(E8)=0,1,E8)*IF(F8="",IFERROR(N(INDEX(Produtos!$L$5:$L$104,MATCH(D8,Produtos!$B$5:$B$104,0))),0),F8))</f>
        <v>10</v>
      </c>
      <c r="H8" s="27" t="n">
        <f aca="false">IF(G8="","",IF(N(E8)=0,1,E8)*IFERROR(N(INDEX(Produtos!$G$5:$G$104,MATCH(D8,Produtos!$B$5:$B$104,0))),0))</f>
        <v>4.46570425</v>
      </c>
      <c r="I8" s="27" t="n">
        <f aca="false">IF(G8="","",G8-H8)</f>
        <v>5.53429575</v>
      </c>
      <c r="J8" s="42"/>
    </row>
    <row r="9" customFormat="false" ht="21" hidden="false" customHeight="true" outlineLevel="0" collapsed="false">
      <c r="B9" s="41" t="n">
        <v>46304</v>
      </c>
      <c r="C9" s="9" t="s">
        <v>106</v>
      </c>
      <c r="D9" s="9" t="s">
        <v>105</v>
      </c>
      <c r="E9" s="42" t="n">
        <v>10</v>
      </c>
      <c r="F9" s="43" t="n">
        <v>5</v>
      </c>
      <c r="G9" s="27" t="n">
        <f aca="false">IF(OR(C9="",AND(D9="",F9="")),"",IF(N(E9)=0,1,E9)*IF(F9="",IFERROR(N(INDEX(Produtos!$L$5:$L$104,MATCH(D9,Produtos!$B$5:$B$104,0))),0),F9))</f>
        <v>50</v>
      </c>
      <c r="H9" s="27" t="n">
        <f aca="false">IF(G9="","",IF(N(E9)=0,1,E9)*IFERROR(N(INDEX(Produtos!$G$5:$G$104,MATCH(D9,Produtos!$B$5:$B$104,0))),0))</f>
        <v>22.32852125</v>
      </c>
      <c r="I9" s="27" t="n">
        <f aca="false">IF(G9="","",G9-H9)</f>
        <v>27.67147875</v>
      </c>
      <c r="J9" s="42"/>
    </row>
    <row r="10" customFormat="false" ht="21" hidden="false" customHeight="true" outlineLevel="0" collapsed="false">
      <c r="B10" s="41" t="n">
        <v>46304</v>
      </c>
      <c r="C10" s="9" t="s">
        <v>106</v>
      </c>
      <c r="D10" s="9" t="s">
        <v>101</v>
      </c>
      <c r="E10" s="42" t="n">
        <v>10</v>
      </c>
      <c r="F10" s="43" t="n">
        <v>2.5</v>
      </c>
      <c r="G10" s="27" t="n">
        <f aca="false">IF(OR(C10="",AND(D10="",F10="")),"",IF(N(E10)=0,1,E10)*IF(F10="",IFERROR(N(INDEX(Produtos!$L$5:$L$104,MATCH(D10,Produtos!$B$5:$B$104,0))),0),F10))</f>
        <v>25</v>
      </c>
      <c r="H10" s="27" t="n">
        <f aca="false">IF(G10="","",IF(N(E10)=0,1,E10)*IFERROR(N(INDEX(Produtos!$G$5:$G$104,MATCH(D10,Produtos!$B$5:$B$104,0))),0))</f>
        <v>4.7649</v>
      </c>
      <c r="I10" s="27" t="n">
        <f aca="false">IF(G10="","",G10-H10)</f>
        <v>20.2351</v>
      </c>
      <c r="J10" s="42"/>
    </row>
    <row r="11" customFormat="false" ht="21" hidden="false" customHeight="true" outlineLevel="0" collapsed="false">
      <c r="B11" s="41" t="n">
        <v>46309</v>
      </c>
      <c r="C11" s="9" t="s">
        <v>98</v>
      </c>
      <c r="D11" s="9" t="s">
        <v>107</v>
      </c>
      <c r="E11" s="42" t="n">
        <v>1</v>
      </c>
      <c r="F11" s="43" t="n">
        <v>7.5</v>
      </c>
      <c r="G11" s="27" t="n">
        <f aca="false">IF(OR(C11="",AND(D11="",F11="")),"",IF(N(E11)=0,1,E11)*IF(F11="",IFERROR(N(INDEX(Produtos!$L$5:$L$104,MATCH(D11,Produtos!$B$5:$B$104,0))),0),F11))</f>
        <v>7.5</v>
      </c>
      <c r="H11" s="27" t="n">
        <f aca="false">IF(G11="","",IF(N(E11)=0,1,E11)*IFERROR(N(INDEX(Produtos!$G$5:$G$104,MATCH(D11,Produtos!$B$5:$B$104,0))),0))</f>
        <v>0</v>
      </c>
      <c r="I11" s="27" t="n">
        <f aca="false">IF(G11="","",G11-H11)</f>
        <v>7.5</v>
      </c>
      <c r="J11" s="42"/>
    </row>
    <row r="12" customFormat="false" ht="21" hidden="false" customHeight="true" outlineLevel="0" collapsed="false">
      <c r="B12" s="41" t="n">
        <v>46311</v>
      </c>
      <c r="C12" s="9" t="s">
        <v>108</v>
      </c>
      <c r="D12" s="9" t="s">
        <v>99</v>
      </c>
      <c r="E12" s="42" t="n">
        <v>1</v>
      </c>
      <c r="F12" s="43" t="n">
        <v>12</v>
      </c>
      <c r="G12" s="27" t="n">
        <f aca="false">IF(OR(C12="",AND(D12="",F12="")),"",IF(N(E12)=0,1,E12)*IF(F12="",IFERROR(N(INDEX(Produtos!$L$5:$L$104,MATCH(D12,Produtos!$B$5:$B$104,0))),0),F12))</f>
        <v>12</v>
      </c>
      <c r="H12" s="27" t="n">
        <f aca="false">IF(G12="","",IF(N(E12)=0,1,E12)*IFERROR(N(INDEX(Produtos!$G$5:$G$104,MATCH(D12,Produtos!$B$5:$B$104,0))),0))</f>
        <v>4.00823208333333</v>
      </c>
      <c r="I12" s="27" t="n">
        <f aca="false">IF(G12="","",G12-H12)</f>
        <v>7.99176791666667</v>
      </c>
      <c r="J12" s="42" t="s">
        <v>102</v>
      </c>
    </row>
    <row r="13" customFormat="false" ht="21" hidden="false" customHeight="true" outlineLevel="0" collapsed="false">
      <c r="B13" s="41" t="n">
        <v>46316</v>
      </c>
      <c r="C13" s="9" t="s">
        <v>103</v>
      </c>
      <c r="D13" s="9" t="s">
        <v>99</v>
      </c>
      <c r="E13" s="42" t="n">
        <v>2</v>
      </c>
      <c r="F13" s="43" t="n">
        <v>12</v>
      </c>
      <c r="G13" s="27" t="n">
        <f aca="false">IF(OR(C13="",AND(D13="",F13="")),"",IF(N(E13)=0,1,E13)*IF(F13="",IFERROR(N(INDEX(Produtos!$L$5:$L$104,MATCH(D13,Produtos!$B$5:$B$104,0))),0),F13))</f>
        <v>24</v>
      </c>
      <c r="H13" s="27" t="n">
        <f aca="false">IF(G13="","",IF(N(E13)=0,1,E13)*IFERROR(N(INDEX(Produtos!$G$5:$G$104,MATCH(D13,Produtos!$B$5:$B$104,0))),0))</f>
        <v>8.01646416666667</v>
      </c>
      <c r="I13" s="27" t="n">
        <f aca="false">IF(G13="","",G13-H13)</f>
        <v>15.9835358333333</v>
      </c>
      <c r="J13" s="42"/>
    </row>
    <row r="14" customFormat="false" ht="21" hidden="false" customHeight="true" outlineLevel="0" collapsed="false">
      <c r="B14" s="41" t="n">
        <v>46318</v>
      </c>
      <c r="C14" s="9" t="s">
        <v>100</v>
      </c>
      <c r="D14" s="9" t="s">
        <v>104</v>
      </c>
      <c r="E14" s="42" t="n">
        <v>2</v>
      </c>
      <c r="F14" s="43" t="n">
        <v>6</v>
      </c>
      <c r="G14" s="27" t="n">
        <f aca="false">IF(OR(C14="",AND(D14="",F14="")),"",IF(N(E14)=0,1,E14)*IF(F14="",IFERROR(N(INDEX(Produtos!$L$5:$L$104,MATCH(D14,Produtos!$B$5:$B$104,0))),0),F14))</f>
        <v>12</v>
      </c>
      <c r="H14" s="27" t="n">
        <f aca="false">IF(G14="","",IF(N(E14)=0,1,E14)*IFERROR(N(INDEX(Produtos!$G$5:$G$104,MATCH(D14,Produtos!$B$5:$B$104,0))),0))</f>
        <v>6.72</v>
      </c>
      <c r="I14" s="27" t="n">
        <f aca="false">IF(G14="","",G14-H14)</f>
        <v>5.28</v>
      </c>
      <c r="J14" s="42"/>
    </row>
    <row r="15" customFormat="false" ht="21" hidden="false" customHeight="true" outlineLevel="0" collapsed="false">
      <c r="B15" s="41" t="n">
        <v>46323</v>
      </c>
      <c r="C15" s="9" t="s">
        <v>98</v>
      </c>
      <c r="D15" s="9" t="s">
        <v>101</v>
      </c>
      <c r="E15" s="42" t="n">
        <v>4</v>
      </c>
      <c r="F15" s="43" t="n">
        <v>2.5</v>
      </c>
      <c r="G15" s="27" t="n">
        <f aca="false">IF(OR(C15="",AND(D15="",F15="")),"",IF(N(E15)=0,1,E15)*IF(F15="",IFERROR(N(INDEX(Produtos!$L$5:$L$104,MATCH(D15,Produtos!$B$5:$B$104,0))),0),F15))</f>
        <v>10</v>
      </c>
      <c r="H15" s="27" t="n">
        <f aca="false">IF(G15="","",IF(N(E15)=0,1,E15)*IFERROR(N(INDEX(Produtos!$G$5:$G$104,MATCH(D15,Produtos!$B$5:$B$104,0))),0))</f>
        <v>1.90596</v>
      </c>
      <c r="I15" s="27" t="n">
        <f aca="false">IF(G15="","",G15-H15)</f>
        <v>8.09404</v>
      </c>
      <c r="J15" s="42"/>
    </row>
    <row r="16" customFormat="false" ht="21" hidden="false" customHeight="true" outlineLevel="0" collapsed="false">
      <c r="B16" s="41"/>
      <c r="C16" s="9"/>
      <c r="D16" s="9"/>
      <c r="E16" s="42"/>
      <c r="F16" s="43"/>
      <c r="G16" s="27" t="str">
        <f aca="false">IF(OR(C16="",AND(D16="",F16="")),"",IF(N(E16)=0,1,E16)*IF(F16="",IFERROR(N(INDEX(Produtos!$L$5:$L$104,MATCH(D16,Produtos!$B$5:$B$104,0))),0),F16))</f>
        <v/>
      </c>
      <c r="H16" s="27" t="str">
        <f aca="false">IF(G16="","",IF(N(E16)=0,1,E16)*IFERROR(N(INDEX(Produtos!$G$5:$G$104,MATCH(D16,Produtos!$B$5:$B$104,0))),0))</f>
        <v/>
      </c>
      <c r="I16" s="27" t="str">
        <f aca="false">IF(G16="","",G16-H16)</f>
        <v/>
      </c>
      <c r="J16" s="42"/>
    </row>
    <row r="17" customFormat="false" ht="21" hidden="false" customHeight="true" outlineLevel="0" collapsed="false">
      <c r="B17" s="41"/>
      <c r="C17" s="9"/>
      <c r="D17" s="9"/>
      <c r="E17" s="42"/>
      <c r="F17" s="43"/>
      <c r="G17" s="27" t="str">
        <f aca="false">IF(OR(C17="",AND(D17="",F17="")),"",IF(N(E17)=0,1,E17)*IF(F17="",IFERROR(N(INDEX(Produtos!$L$5:$L$104,MATCH(D17,Produtos!$B$5:$B$104,0))),0),F17))</f>
        <v/>
      </c>
      <c r="H17" s="27" t="str">
        <f aca="false">IF(G17="","",IF(N(E17)=0,1,E17)*IFERROR(N(INDEX(Produtos!$G$5:$G$104,MATCH(D17,Produtos!$B$5:$B$104,0))),0))</f>
        <v/>
      </c>
      <c r="I17" s="27" t="str">
        <f aca="false">IF(G17="","",G17-H17)</f>
        <v/>
      </c>
      <c r="J17" s="42"/>
    </row>
    <row r="18" customFormat="false" ht="21" hidden="false" customHeight="true" outlineLevel="0" collapsed="false">
      <c r="B18" s="41"/>
      <c r="C18" s="9"/>
      <c r="D18" s="9"/>
      <c r="E18" s="42"/>
      <c r="F18" s="43"/>
      <c r="G18" s="27" t="str">
        <f aca="false">IF(OR(C18="",AND(D18="",F18="")),"",IF(N(E18)=0,1,E18)*IF(F18="",IFERROR(N(INDEX(Produtos!$L$5:$L$104,MATCH(D18,Produtos!$B$5:$B$104,0))),0),F18))</f>
        <v/>
      </c>
      <c r="H18" s="27" t="str">
        <f aca="false">IF(G18="","",IF(N(E18)=0,1,E18)*IFERROR(N(INDEX(Produtos!$G$5:$G$104,MATCH(D18,Produtos!$B$5:$B$104,0))),0))</f>
        <v/>
      </c>
      <c r="I18" s="27" t="str">
        <f aca="false">IF(G18="","",G18-H18)</f>
        <v/>
      </c>
      <c r="J18" s="42"/>
    </row>
    <row r="19" customFormat="false" ht="21" hidden="false" customHeight="true" outlineLevel="0" collapsed="false">
      <c r="B19" s="41"/>
      <c r="C19" s="9"/>
      <c r="D19" s="9"/>
      <c r="E19" s="42"/>
      <c r="F19" s="43"/>
      <c r="G19" s="27" t="str">
        <f aca="false">IF(OR(C19="",AND(D19="",F19="")),"",IF(N(E19)=0,1,E19)*IF(F19="",IFERROR(N(INDEX(Produtos!$L$5:$L$104,MATCH(D19,Produtos!$B$5:$B$104,0))),0),F19))</f>
        <v/>
      </c>
      <c r="H19" s="27" t="str">
        <f aca="false">IF(G19="","",IF(N(E19)=0,1,E19)*IFERROR(N(INDEX(Produtos!$G$5:$G$104,MATCH(D19,Produtos!$B$5:$B$104,0))),0))</f>
        <v/>
      </c>
      <c r="I19" s="27" t="str">
        <f aca="false">IF(G19="","",G19-H19)</f>
        <v/>
      </c>
      <c r="J19" s="42"/>
    </row>
    <row r="20" customFormat="false" ht="21" hidden="false" customHeight="true" outlineLevel="0" collapsed="false">
      <c r="B20" s="41"/>
      <c r="C20" s="9"/>
      <c r="D20" s="9"/>
      <c r="E20" s="42"/>
      <c r="F20" s="43"/>
      <c r="G20" s="27" t="str">
        <f aca="false">IF(OR(C20="",AND(D20="",F20="")),"",IF(N(E20)=0,1,E20)*IF(F20="",IFERROR(N(INDEX(Produtos!$L$5:$L$104,MATCH(D20,Produtos!$B$5:$B$104,0))),0),F20))</f>
        <v/>
      </c>
      <c r="H20" s="27" t="str">
        <f aca="false">IF(G20="","",IF(N(E20)=0,1,E20)*IFERROR(N(INDEX(Produtos!$G$5:$G$104,MATCH(D20,Produtos!$B$5:$B$104,0))),0))</f>
        <v/>
      </c>
      <c r="I20" s="27" t="str">
        <f aca="false">IF(G20="","",G20-H20)</f>
        <v/>
      </c>
      <c r="J20" s="42"/>
    </row>
    <row r="21" customFormat="false" ht="21" hidden="false" customHeight="true" outlineLevel="0" collapsed="false">
      <c r="B21" s="41"/>
      <c r="C21" s="9"/>
      <c r="D21" s="9"/>
      <c r="E21" s="42"/>
      <c r="F21" s="43"/>
      <c r="G21" s="27" t="str">
        <f aca="false">IF(OR(C21="",AND(D21="",F21="")),"",IF(N(E21)=0,1,E21)*IF(F21="",IFERROR(N(INDEX(Produtos!$L$5:$L$104,MATCH(D21,Produtos!$B$5:$B$104,0))),0),F21))</f>
        <v/>
      </c>
      <c r="H21" s="27" t="str">
        <f aca="false">IF(G21="","",IF(N(E21)=0,1,E21)*IFERROR(N(INDEX(Produtos!$G$5:$G$104,MATCH(D21,Produtos!$B$5:$B$104,0))),0))</f>
        <v/>
      </c>
      <c r="I21" s="27" t="str">
        <f aca="false">IF(G21="","",G21-H21)</f>
        <v/>
      </c>
      <c r="J21" s="42"/>
    </row>
    <row r="22" customFormat="false" ht="21" hidden="false" customHeight="true" outlineLevel="0" collapsed="false">
      <c r="B22" s="41"/>
      <c r="C22" s="9"/>
      <c r="D22" s="9"/>
      <c r="E22" s="42"/>
      <c r="F22" s="43"/>
      <c r="G22" s="27" t="str">
        <f aca="false">IF(OR(C22="",AND(D22="",F22="")),"",IF(N(E22)=0,1,E22)*IF(F22="",IFERROR(N(INDEX(Produtos!$L$5:$L$104,MATCH(D22,Produtos!$B$5:$B$104,0))),0),F22))</f>
        <v/>
      </c>
      <c r="H22" s="27" t="str">
        <f aca="false">IF(G22="","",IF(N(E22)=0,1,E22)*IFERROR(N(INDEX(Produtos!$G$5:$G$104,MATCH(D22,Produtos!$B$5:$B$104,0))),0))</f>
        <v/>
      </c>
      <c r="I22" s="27" t="str">
        <f aca="false">IF(G22="","",G22-H22)</f>
        <v/>
      </c>
      <c r="J22" s="42"/>
    </row>
    <row r="23" customFormat="false" ht="21" hidden="false" customHeight="true" outlineLevel="0" collapsed="false">
      <c r="B23" s="41"/>
      <c r="C23" s="9"/>
      <c r="D23" s="9"/>
      <c r="E23" s="42"/>
      <c r="F23" s="43"/>
      <c r="G23" s="27" t="str">
        <f aca="false">IF(OR(C23="",AND(D23="",F23="")),"",IF(N(E23)=0,1,E23)*IF(F23="",IFERROR(N(INDEX(Produtos!$L$5:$L$104,MATCH(D23,Produtos!$B$5:$B$104,0))),0),F23))</f>
        <v/>
      </c>
      <c r="H23" s="27" t="str">
        <f aca="false">IF(G23="","",IF(N(E23)=0,1,E23)*IFERROR(N(INDEX(Produtos!$G$5:$G$104,MATCH(D23,Produtos!$B$5:$B$104,0))),0))</f>
        <v/>
      </c>
      <c r="I23" s="27" t="str">
        <f aca="false">IF(G23="","",G23-H23)</f>
        <v/>
      </c>
      <c r="J23" s="42"/>
    </row>
    <row r="24" customFormat="false" ht="21" hidden="false" customHeight="true" outlineLevel="0" collapsed="false">
      <c r="B24" s="41"/>
      <c r="C24" s="9"/>
      <c r="D24" s="9"/>
      <c r="E24" s="42"/>
      <c r="F24" s="43"/>
      <c r="G24" s="27" t="str">
        <f aca="false">IF(OR(C24="",AND(D24="",F24="")),"",IF(N(E24)=0,1,E24)*IF(F24="",IFERROR(N(INDEX(Produtos!$L$5:$L$104,MATCH(D24,Produtos!$B$5:$B$104,0))),0),F24))</f>
        <v/>
      </c>
      <c r="H24" s="27" t="str">
        <f aca="false">IF(G24="","",IF(N(E24)=0,1,E24)*IFERROR(N(INDEX(Produtos!$G$5:$G$104,MATCH(D24,Produtos!$B$5:$B$104,0))),0))</f>
        <v/>
      </c>
      <c r="I24" s="27" t="str">
        <f aca="false">IF(G24="","",G24-H24)</f>
        <v/>
      </c>
      <c r="J24" s="42"/>
    </row>
    <row r="25" customFormat="false" ht="21" hidden="false" customHeight="true" outlineLevel="0" collapsed="false">
      <c r="B25" s="41"/>
      <c r="C25" s="9"/>
      <c r="D25" s="9"/>
      <c r="E25" s="42"/>
      <c r="F25" s="43"/>
      <c r="G25" s="27" t="str">
        <f aca="false">IF(OR(C25="",AND(D25="",F25="")),"",IF(N(E25)=0,1,E25)*IF(F25="",IFERROR(N(INDEX(Produtos!$L$5:$L$104,MATCH(D25,Produtos!$B$5:$B$104,0))),0),F25))</f>
        <v/>
      </c>
      <c r="H25" s="27" t="str">
        <f aca="false">IF(G25="","",IF(N(E25)=0,1,E25)*IFERROR(N(INDEX(Produtos!$G$5:$G$104,MATCH(D25,Produtos!$B$5:$B$104,0))),0))</f>
        <v/>
      </c>
      <c r="I25" s="27" t="str">
        <f aca="false">IF(G25="","",G25-H25)</f>
        <v/>
      </c>
      <c r="J25" s="42"/>
    </row>
    <row r="26" customFormat="false" ht="21" hidden="false" customHeight="true" outlineLevel="0" collapsed="false">
      <c r="B26" s="41"/>
      <c r="C26" s="9"/>
      <c r="D26" s="9"/>
      <c r="E26" s="42"/>
      <c r="F26" s="43"/>
      <c r="G26" s="27" t="str">
        <f aca="false">IF(OR(C26="",AND(D26="",F26="")),"",IF(N(E26)=0,1,E26)*IF(F26="",IFERROR(N(INDEX(Produtos!$L$5:$L$104,MATCH(D26,Produtos!$B$5:$B$104,0))),0),F26))</f>
        <v/>
      </c>
      <c r="H26" s="27" t="str">
        <f aca="false">IF(G26="","",IF(N(E26)=0,1,E26)*IFERROR(N(INDEX(Produtos!$G$5:$G$104,MATCH(D26,Produtos!$B$5:$B$104,0))),0))</f>
        <v/>
      </c>
      <c r="I26" s="27" t="str">
        <f aca="false">IF(G26="","",G26-H26)</f>
        <v/>
      </c>
      <c r="J26" s="42"/>
    </row>
    <row r="27" customFormat="false" ht="21" hidden="false" customHeight="true" outlineLevel="0" collapsed="false">
      <c r="B27" s="41"/>
      <c r="C27" s="9"/>
      <c r="D27" s="9"/>
      <c r="E27" s="42"/>
      <c r="F27" s="43"/>
      <c r="G27" s="27" t="str">
        <f aca="false">IF(OR(C27="",AND(D27="",F27="")),"",IF(N(E27)=0,1,E27)*IF(F27="",IFERROR(N(INDEX(Produtos!$L$5:$L$104,MATCH(D27,Produtos!$B$5:$B$104,0))),0),F27))</f>
        <v/>
      </c>
      <c r="H27" s="27" t="str">
        <f aca="false">IF(G27="","",IF(N(E27)=0,1,E27)*IFERROR(N(INDEX(Produtos!$G$5:$G$104,MATCH(D27,Produtos!$B$5:$B$104,0))),0))</f>
        <v/>
      </c>
      <c r="I27" s="27" t="str">
        <f aca="false">IF(G27="","",G27-H27)</f>
        <v/>
      </c>
      <c r="J27" s="42"/>
    </row>
    <row r="28" customFormat="false" ht="21" hidden="false" customHeight="true" outlineLevel="0" collapsed="false">
      <c r="B28" s="41"/>
      <c r="C28" s="9"/>
      <c r="D28" s="9"/>
      <c r="E28" s="42"/>
      <c r="F28" s="43"/>
      <c r="G28" s="27" t="str">
        <f aca="false">IF(OR(C28="",AND(D28="",F28="")),"",IF(N(E28)=0,1,E28)*IF(F28="",IFERROR(N(INDEX(Produtos!$L$5:$L$104,MATCH(D28,Produtos!$B$5:$B$104,0))),0),F28))</f>
        <v/>
      </c>
      <c r="H28" s="27" t="str">
        <f aca="false">IF(G28="","",IF(N(E28)=0,1,E28)*IFERROR(N(INDEX(Produtos!$G$5:$G$104,MATCH(D28,Produtos!$B$5:$B$104,0))),0))</f>
        <v/>
      </c>
      <c r="I28" s="27" t="str">
        <f aca="false">IF(G28="","",G28-H28)</f>
        <v/>
      </c>
      <c r="J28" s="42"/>
    </row>
    <row r="29" customFormat="false" ht="21" hidden="false" customHeight="true" outlineLevel="0" collapsed="false">
      <c r="B29" s="41"/>
      <c r="C29" s="9"/>
      <c r="D29" s="9"/>
      <c r="E29" s="42"/>
      <c r="F29" s="43"/>
      <c r="G29" s="27" t="str">
        <f aca="false">IF(OR(C29="",AND(D29="",F29="")),"",IF(N(E29)=0,1,E29)*IF(F29="",IFERROR(N(INDEX(Produtos!$L$5:$L$104,MATCH(D29,Produtos!$B$5:$B$104,0))),0),F29))</f>
        <v/>
      </c>
      <c r="H29" s="27" t="str">
        <f aca="false">IF(G29="","",IF(N(E29)=0,1,E29)*IFERROR(N(INDEX(Produtos!$G$5:$G$104,MATCH(D29,Produtos!$B$5:$B$104,0))),0))</f>
        <v/>
      </c>
      <c r="I29" s="27" t="str">
        <f aca="false">IF(G29="","",G29-H29)</f>
        <v/>
      </c>
      <c r="J29" s="42"/>
    </row>
    <row r="30" customFormat="false" ht="21" hidden="false" customHeight="true" outlineLevel="0" collapsed="false">
      <c r="B30" s="41"/>
      <c r="C30" s="9"/>
      <c r="D30" s="9"/>
      <c r="E30" s="42"/>
      <c r="F30" s="43"/>
      <c r="G30" s="27" t="str">
        <f aca="false">IF(OR(C30="",AND(D30="",F30="")),"",IF(N(E30)=0,1,E30)*IF(F30="",IFERROR(N(INDEX(Produtos!$L$5:$L$104,MATCH(D30,Produtos!$B$5:$B$104,0))),0),F30))</f>
        <v/>
      </c>
      <c r="H30" s="27" t="str">
        <f aca="false">IF(G30="","",IF(N(E30)=0,1,E30)*IFERROR(N(INDEX(Produtos!$G$5:$G$104,MATCH(D30,Produtos!$B$5:$B$104,0))),0))</f>
        <v/>
      </c>
      <c r="I30" s="27" t="str">
        <f aca="false">IF(G30="","",G30-H30)</f>
        <v/>
      </c>
      <c r="J30" s="42"/>
    </row>
    <row r="31" customFormat="false" ht="21" hidden="false" customHeight="true" outlineLevel="0" collapsed="false">
      <c r="B31" s="41"/>
      <c r="C31" s="9"/>
      <c r="D31" s="9"/>
      <c r="E31" s="42"/>
      <c r="F31" s="43"/>
      <c r="G31" s="27" t="str">
        <f aca="false">IF(OR(C31="",AND(D31="",F31="")),"",IF(N(E31)=0,1,E31)*IF(F31="",IFERROR(N(INDEX(Produtos!$L$5:$L$104,MATCH(D31,Produtos!$B$5:$B$104,0))),0),F31))</f>
        <v/>
      </c>
      <c r="H31" s="27" t="str">
        <f aca="false">IF(G31="","",IF(N(E31)=0,1,E31)*IFERROR(N(INDEX(Produtos!$G$5:$G$104,MATCH(D31,Produtos!$B$5:$B$104,0))),0))</f>
        <v/>
      </c>
      <c r="I31" s="27" t="str">
        <f aca="false">IF(G31="","",G31-H31)</f>
        <v/>
      </c>
      <c r="J31" s="42"/>
    </row>
    <row r="32" customFormat="false" ht="21" hidden="false" customHeight="true" outlineLevel="0" collapsed="false">
      <c r="B32" s="41"/>
      <c r="C32" s="9"/>
      <c r="D32" s="9"/>
      <c r="E32" s="42"/>
      <c r="F32" s="43"/>
      <c r="G32" s="27" t="str">
        <f aca="false">IF(OR(C32="",AND(D32="",F32="")),"",IF(N(E32)=0,1,E32)*IF(F32="",IFERROR(N(INDEX(Produtos!$L$5:$L$104,MATCH(D32,Produtos!$B$5:$B$104,0))),0),F32))</f>
        <v/>
      </c>
      <c r="H32" s="27" t="str">
        <f aca="false">IF(G32="","",IF(N(E32)=0,1,E32)*IFERROR(N(INDEX(Produtos!$G$5:$G$104,MATCH(D32,Produtos!$B$5:$B$104,0))),0))</f>
        <v/>
      </c>
      <c r="I32" s="27" t="str">
        <f aca="false">IF(G32="","",G32-H32)</f>
        <v/>
      </c>
      <c r="J32" s="42"/>
    </row>
    <row r="33" customFormat="false" ht="21" hidden="false" customHeight="true" outlineLevel="0" collapsed="false">
      <c r="B33" s="41"/>
      <c r="C33" s="9"/>
      <c r="D33" s="9"/>
      <c r="E33" s="42"/>
      <c r="F33" s="43"/>
      <c r="G33" s="27" t="str">
        <f aca="false">IF(OR(C33="",AND(D33="",F33="")),"",IF(N(E33)=0,1,E33)*IF(F33="",IFERROR(N(INDEX(Produtos!$L$5:$L$104,MATCH(D33,Produtos!$B$5:$B$104,0))),0),F33))</f>
        <v/>
      </c>
      <c r="H33" s="27" t="str">
        <f aca="false">IF(G33="","",IF(N(E33)=0,1,E33)*IFERROR(N(INDEX(Produtos!$G$5:$G$104,MATCH(D33,Produtos!$B$5:$B$104,0))),0))</f>
        <v/>
      </c>
      <c r="I33" s="27" t="str">
        <f aca="false">IF(G33="","",G33-H33)</f>
        <v/>
      </c>
      <c r="J33" s="42"/>
    </row>
    <row r="34" customFormat="false" ht="21" hidden="false" customHeight="true" outlineLevel="0" collapsed="false">
      <c r="B34" s="41"/>
      <c r="C34" s="9"/>
      <c r="D34" s="9"/>
      <c r="E34" s="42"/>
      <c r="F34" s="43"/>
      <c r="G34" s="27" t="str">
        <f aca="false">IF(OR(C34="",AND(D34="",F34="")),"",IF(N(E34)=0,1,E34)*IF(F34="",IFERROR(N(INDEX(Produtos!$L$5:$L$104,MATCH(D34,Produtos!$B$5:$B$104,0))),0),F34))</f>
        <v/>
      </c>
      <c r="H34" s="27" t="str">
        <f aca="false">IF(G34="","",IF(N(E34)=0,1,E34)*IFERROR(N(INDEX(Produtos!$G$5:$G$104,MATCH(D34,Produtos!$B$5:$B$104,0))),0))</f>
        <v/>
      </c>
      <c r="I34" s="27" t="str">
        <f aca="false">IF(G34="","",G34-H34)</f>
        <v/>
      </c>
      <c r="J34" s="42"/>
    </row>
    <row r="35" customFormat="false" ht="21" hidden="false" customHeight="true" outlineLevel="0" collapsed="false">
      <c r="B35" s="41"/>
      <c r="C35" s="9"/>
      <c r="D35" s="9"/>
      <c r="E35" s="42"/>
      <c r="F35" s="43"/>
      <c r="G35" s="27" t="str">
        <f aca="false">IF(OR(C35="",AND(D35="",F35="")),"",IF(N(E35)=0,1,E35)*IF(F35="",IFERROR(N(INDEX(Produtos!$L$5:$L$104,MATCH(D35,Produtos!$B$5:$B$104,0))),0),F35))</f>
        <v/>
      </c>
      <c r="H35" s="27" t="str">
        <f aca="false">IF(G35="","",IF(N(E35)=0,1,E35)*IFERROR(N(INDEX(Produtos!$G$5:$G$104,MATCH(D35,Produtos!$B$5:$B$104,0))),0))</f>
        <v/>
      </c>
      <c r="I35" s="27" t="str">
        <f aca="false">IF(G35="","",G35-H35)</f>
        <v/>
      </c>
      <c r="J35" s="42"/>
    </row>
    <row r="36" customFormat="false" ht="21" hidden="false" customHeight="true" outlineLevel="0" collapsed="false">
      <c r="B36" s="41"/>
      <c r="C36" s="9"/>
      <c r="D36" s="9"/>
      <c r="E36" s="42"/>
      <c r="F36" s="43"/>
      <c r="G36" s="27" t="str">
        <f aca="false">IF(OR(C36="",AND(D36="",F36="")),"",IF(N(E36)=0,1,E36)*IF(F36="",IFERROR(N(INDEX(Produtos!$L$5:$L$104,MATCH(D36,Produtos!$B$5:$B$104,0))),0),F36))</f>
        <v/>
      </c>
      <c r="H36" s="27" t="str">
        <f aca="false">IF(G36="","",IF(N(E36)=0,1,E36)*IFERROR(N(INDEX(Produtos!$G$5:$G$104,MATCH(D36,Produtos!$B$5:$B$104,0))),0))</f>
        <v/>
      </c>
      <c r="I36" s="27" t="str">
        <f aca="false">IF(G36="","",G36-H36)</f>
        <v/>
      </c>
      <c r="J36" s="42"/>
    </row>
    <row r="37" customFormat="false" ht="21" hidden="false" customHeight="true" outlineLevel="0" collapsed="false">
      <c r="B37" s="41"/>
      <c r="C37" s="9"/>
      <c r="D37" s="9"/>
      <c r="E37" s="42"/>
      <c r="F37" s="43"/>
      <c r="G37" s="27" t="str">
        <f aca="false">IF(OR(C37="",AND(D37="",F37="")),"",IF(N(E37)=0,1,E37)*IF(F37="",IFERROR(N(INDEX(Produtos!$L$5:$L$104,MATCH(D37,Produtos!$B$5:$B$104,0))),0),F37))</f>
        <v/>
      </c>
      <c r="H37" s="27" t="str">
        <f aca="false">IF(G37="","",IF(N(E37)=0,1,E37)*IFERROR(N(INDEX(Produtos!$G$5:$G$104,MATCH(D37,Produtos!$B$5:$B$104,0))),0))</f>
        <v/>
      </c>
      <c r="I37" s="27" t="str">
        <f aca="false">IF(G37="","",G37-H37)</f>
        <v/>
      </c>
      <c r="J37" s="42"/>
    </row>
    <row r="38" customFormat="false" ht="21" hidden="false" customHeight="true" outlineLevel="0" collapsed="false">
      <c r="B38" s="41"/>
      <c r="C38" s="9"/>
      <c r="D38" s="9"/>
      <c r="E38" s="42"/>
      <c r="F38" s="43"/>
      <c r="G38" s="27" t="str">
        <f aca="false">IF(OR(C38="",AND(D38="",F38="")),"",IF(N(E38)=0,1,E38)*IF(F38="",IFERROR(N(INDEX(Produtos!$L$5:$L$104,MATCH(D38,Produtos!$B$5:$B$104,0))),0),F38))</f>
        <v/>
      </c>
      <c r="H38" s="27" t="str">
        <f aca="false">IF(G38="","",IF(N(E38)=0,1,E38)*IFERROR(N(INDEX(Produtos!$G$5:$G$104,MATCH(D38,Produtos!$B$5:$B$104,0))),0))</f>
        <v/>
      </c>
      <c r="I38" s="27" t="str">
        <f aca="false">IF(G38="","",G38-H38)</f>
        <v/>
      </c>
      <c r="J38" s="42"/>
    </row>
    <row r="39" customFormat="false" ht="21" hidden="false" customHeight="true" outlineLevel="0" collapsed="false">
      <c r="B39" s="41"/>
      <c r="C39" s="9"/>
      <c r="D39" s="9"/>
      <c r="E39" s="42"/>
      <c r="F39" s="43"/>
      <c r="G39" s="27" t="str">
        <f aca="false">IF(OR(C39="",AND(D39="",F39="")),"",IF(N(E39)=0,1,E39)*IF(F39="",IFERROR(N(INDEX(Produtos!$L$5:$L$104,MATCH(D39,Produtos!$B$5:$B$104,0))),0),F39))</f>
        <v/>
      </c>
      <c r="H39" s="27" t="str">
        <f aca="false">IF(G39="","",IF(N(E39)=0,1,E39)*IFERROR(N(INDEX(Produtos!$G$5:$G$104,MATCH(D39,Produtos!$B$5:$B$104,0))),0))</f>
        <v/>
      </c>
      <c r="I39" s="27" t="str">
        <f aca="false">IF(G39="","",G39-H39)</f>
        <v/>
      </c>
      <c r="J39" s="42"/>
    </row>
    <row r="40" customFormat="false" ht="21" hidden="false" customHeight="true" outlineLevel="0" collapsed="false">
      <c r="B40" s="41"/>
      <c r="C40" s="9"/>
      <c r="D40" s="9"/>
      <c r="E40" s="42"/>
      <c r="F40" s="43"/>
      <c r="G40" s="27" t="str">
        <f aca="false">IF(OR(C40="",AND(D40="",F40="")),"",IF(N(E40)=0,1,E40)*IF(F40="",IFERROR(N(INDEX(Produtos!$L$5:$L$104,MATCH(D40,Produtos!$B$5:$B$104,0))),0),F40))</f>
        <v/>
      </c>
      <c r="H40" s="27" t="str">
        <f aca="false">IF(G40="","",IF(N(E40)=0,1,E40)*IFERROR(N(INDEX(Produtos!$G$5:$G$104,MATCH(D40,Produtos!$B$5:$B$104,0))),0))</f>
        <v/>
      </c>
      <c r="I40" s="27" t="str">
        <f aca="false">IF(G40="","",G40-H40)</f>
        <v/>
      </c>
      <c r="J40" s="42"/>
    </row>
    <row r="41" customFormat="false" ht="21" hidden="false" customHeight="true" outlineLevel="0" collapsed="false">
      <c r="B41" s="41"/>
      <c r="C41" s="9"/>
      <c r="D41" s="9"/>
      <c r="E41" s="42"/>
      <c r="F41" s="43"/>
      <c r="G41" s="27" t="str">
        <f aca="false">IF(OR(C41="",AND(D41="",F41="")),"",IF(N(E41)=0,1,E41)*IF(F41="",IFERROR(N(INDEX(Produtos!$L$5:$L$104,MATCH(D41,Produtos!$B$5:$B$104,0))),0),F41))</f>
        <v/>
      </c>
      <c r="H41" s="27" t="str">
        <f aca="false">IF(G41="","",IF(N(E41)=0,1,E41)*IFERROR(N(INDEX(Produtos!$G$5:$G$104,MATCH(D41,Produtos!$B$5:$B$104,0))),0))</f>
        <v/>
      </c>
      <c r="I41" s="27" t="str">
        <f aca="false">IF(G41="","",G41-H41)</f>
        <v/>
      </c>
      <c r="J41" s="42"/>
    </row>
    <row r="42" customFormat="false" ht="21" hidden="false" customHeight="true" outlineLevel="0" collapsed="false">
      <c r="B42" s="41"/>
      <c r="C42" s="9"/>
      <c r="D42" s="9"/>
      <c r="E42" s="42"/>
      <c r="F42" s="43"/>
      <c r="G42" s="27" t="str">
        <f aca="false">IF(OR(C42="",AND(D42="",F42="")),"",IF(N(E42)=0,1,E42)*IF(F42="",IFERROR(N(INDEX(Produtos!$L$5:$L$104,MATCH(D42,Produtos!$B$5:$B$104,0))),0),F42))</f>
        <v/>
      </c>
      <c r="H42" s="27" t="str">
        <f aca="false">IF(G42="","",IF(N(E42)=0,1,E42)*IFERROR(N(INDEX(Produtos!$G$5:$G$104,MATCH(D42,Produtos!$B$5:$B$104,0))),0))</f>
        <v/>
      </c>
      <c r="I42" s="27" t="str">
        <f aca="false">IF(G42="","",G42-H42)</f>
        <v/>
      </c>
      <c r="J42" s="42"/>
    </row>
    <row r="43" customFormat="false" ht="21" hidden="false" customHeight="true" outlineLevel="0" collapsed="false">
      <c r="B43" s="41"/>
      <c r="C43" s="9"/>
      <c r="D43" s="9"/>
      <c r="E43" s="42"/>
      <c r="F43" s="43"/>
      <c r="G43" s="27" t="str">
        <f aca="false">IF(OR(C43="",AND(D43="",F43="")),"",IF(N(E43)=0,1,E43)*IF(F43="",IFERROR(N(INDEX(Produtos!$L$5:$L$104,MATCH(D43,Produtos!$B$5:$B$104,0))),0),F43))</f>
        <v/>
      </c>
      <c r="H43" s="27" t="str">
        <f aca="false">IF(G43="","",IF(N(E43)=0,1,E43)*IFERROR(N(INDEX(Produtos!$G$5:$G$104,MATCH(D43,Produtos!$B$5:$B$104,0))),0))</f>
        <v/>
      </c>
      <c r="I43" s="27" t="str">
        <f aca="false">IF(G43="","",G43-H43)</f>
        <v/>
      </c>
      <c r="J43" s="42"/>
    </row>
    <row r="44" customFormat="false" ht="21" hidden="false" customHeight="true" outlineLevel="0" collapsed="false">
      <c r="B44" s="41"/>
      <c r="C44" s="9"/>
      <c r="D44" s="9"/>
      <c r="E44" s="42"/>
      <c r="F44" s="43"/>
      <c r="G44" s="27" t="str">
        <f aca="false">IF(OR(C44="",AND(D44="",F44="")),"",IF(N(E44)=0,1,E44)*IF(F44="",IFERROR(N(INDEX(Produtos!$L$5:$L$104,MATCH(D44,Produtos!$B$5:$B$104,0))),0),F44))</f>
        <v/>
      </c>
      <c r="H44" s="27" t="str">
        <f aca="false">IF(G44="","",IF(N(E44)=0,1,E44)*IFERROR(N(INDEX(Produtos!$G$5:$G$104,MATCH(D44,Produtos!$B$5:$B$104,0))),0))</f>
        <v/>
      </c>
      <c r="I44" s="27" t="str">
        <f aca="false">IF(G44="","",G44-H44)</f>
        <v/>
      </c>
      <c r="J44" s="42"/>
    </row>
    <row r="45" customFormat="false" ht="21" hidden="false" customHeight="true" outlineLevel="0" collapsed="false">
      <c r="B45" s="41"/>
      <c r="C45" s="9"/>
      <c r="D45" s="9"/>
      <c r="E45" s="42"/>
      <c r="F45" s="43"/>
      <c r="G45" s="27" t="str">
        <f aca="false">IF(OR(C45="",AND(D45="",F45="")),"",IF(N(E45)=0,1,E45)*IF(F45="",IFERROR(N(INDEX(Produtos!$L$5:$L$104,MATCH(D45,Produtos!$B$5:$B$104,0))),0),F45))</f>
        <v/>
      </c>
      <c r="H45" s="27" t="str">
        <f aca="false">IF(G45="","",IF(N(E45)=0,1,E45)*IFERROR(N(INDEX(Produtos!$G$5:$G$104,MATCH(D45,Produtos!$B$5:$B$104,0))),0))</f>
        <v/>
      </c>
      <c r="I45" s="27" t="str">
        <f aca="false">IF(G45="","",G45-H45)</f>
        <v/>
      </c>
      <c r="J45" s="42"/>
    </row>
    <row r="46" customFormat="false" ht="21" hidden="false" customHeight="true" outlineLevel="0" collapsed="false">
      <c r="B46" s="41"/>
      <c r="C46" s="9"/>
      <c r="D46" s="9"/>
      <c r="E46" s="42"/>
      <c r="F46" s="43"/>
      <c r="G46" s="27" t="str">
        <f aca="false">IF(OR(C46="",AND(D46="",F46="")),"",IF(N(E46)=0,1,E46)*IF(F46="",IFERROR(N(INDEX(Produtos!$L$5:$L$104,MATCH(D46,Produtos!$B$5:$B$104,0))),0),F46))</f>
        <v/>
      </c>
      <c r="H46" s="27" t="str">
        <f aca="false">IF(G46="","",IF(N(E46)=0,1,E46)*IFERROR(N(INDEX(Produtos!$G$5:$G$104,MATCH(D46,Produtos!$B$5:$B$104,0))),0))</f>
        <v/>
      </c>
      <c r="I46" s="27" t="str">
        <f aca="false">IF(G46="","",G46-H46)</f>
        <v/>
      </c>
      <c r="J46" s="42"/>
    </row>
    <row r="47" customFormat="false" ht="21" hidden="false" customHeight="true" outlineLevel="0" collapsed="false">
      <c r="B47" s="41"/>
      <c r="C47" s="9"/>
      <c r="D47" s="9"/>
      <c r="E47" s="42"/>
      <c r="F47" s="43"/>
      <c r="G47" s="27" t="str">
        <f aca="false">IF(OR(C47="",AND(D47="",F47="")),"",IF(N(E47)=0,1,E47)*IF(F47="",IFERROR(N(INDEX(Produtos!$L$5:$L$104,MATCH(D47,Produtos!$B$5:$B$104,0))),0),F47))</f>
        <v/>
      </c>
      <c r="H47" s="27" t="str">
        <f aca="false">IF(G47="","",IF(N(E47)=0,1,E47)*IFERROR(N(INDEX(Produtos!$G$5:$G$104,MATCH(D47,Produtos!$B$5:$B$104,0))),0))</f>
        <v/>
      </c>
      <c r="I47" s="27" t="str">
        <f aca="false">IF(G47="","",G47-H47)</f>
        <v/>
      </c>
      <c r="J47" s="42"/>
    </row>
    <row r="48" customFormat="false" ht="21" hidden="false" customHeight="true" outlineLevel="0" collapsed="false">
      <c r="B48" s="41"/>
      <c r="C48" s="9"/>
      <c r="D48" s="9"/>
      <c r="E48" s="42"/>
      <c r="F48" s="43"/>
      <c r="G48" s="27" t="str">
        <f aca="false">IF(OR(C48="",AND(D48="",F48="")),"",IF(N(E48)=0,1,E48)*IF(F48="",IFERROR(N(INDEX(Produtos!$L$5:$L$104,MATCH(D48,Produtos!$B$5:$B$104,0))),0),F48))</f>
        <v/>
      </c>
      <c r="H48" s="27" t="str">
        <f aca="false">IF(G48="","",IF(N(E48)=0,1,E48)*IFERROR(N(INDEX(Produtos!$G$5:$G$104,MATCH(D48,Produtos!$B$5:$B$104,0))),0))</f>
        <v/>
      </c>
      <c r="I48" s="27" t="str">
        <f aca="false">IF(G48="","",G48-H48)</f>
        <v/>
      </c>
      <c r="J48" s="42"/>
    </row>
    <row r="49" customFormat="false" ht="21" hidden="false" customHeight="true" outlineLevel="0" collapsed="false">
      <c r="B49" s="41"/>
      <c r="C49" s="9"/>
      <c r="D49" s="9"/>
      <c r="E49" s="42"/>
      <c r="F49" s="43"/>
      <c r="G49" s="27" t="str">
        <f aca="false">IF(OR(C49="",AND(D49="",F49="")),"",IF(N(E49)=0,1,E49)*IF(F49="",IFERROR(N(INDEX(Produtos!$L$5:$L$104,MATCH(D49,Produtos!$B$5:$B$104,0))),0),F49))</f>
        <v/>
      </c>
      <c r="H49" s="27" t="str">
        <f aca="false">IF(G49="","",IF(N(E49)=0,1,E49)*IFERROR(N(INDEX(Produtos!$G$5:$G$104,MATCH(D49,Produtos!$B$5:$B$104,0))),0))</f>
        <v/>
      </c>
      <c r="I49" s="27" t="str">
        <f aca="false">IF(G49="","",G49-H49)</f>
        <v/>
      </c>
      <c r="J49" s="42"/>
    </row>
    <row r="50" customFormat="false" ht="21" hidden="false" customHeight="true" outlineLevel="0" collapsed="false">
      <c r="B50" s="41"/>
      <c r="C50" s="9"/>
      <c r="D50" s="9"/>
      <c r="E50" s="42"/>
      <c r="F50" s="43"/>
      <c r="G50" s="27" t="str">
        <f aca="false">IF(OR(C50="",AND(D50="",F50="")),"",IF(N(E50)=0,1,E50)*IF(F50="",IFERROR(N(INDEX(Produtos!$L$5:$L$104,MATCH(D50,Produtos!$B$5:$B$104,0))),0),F50))</f>
        <v/>
      </c>
      <c r="H50" s="27" t="str">
        <f aca="false">IF(G50="","",IF(N(E50)=0,1,E50)*IFERROR(N(INDEX(Produtos!$G$5:$G$104,MATCH(D50,Produtos!$B$5:$B$104,0))),0))</f>
        <v/>
      </c>
      <c r="I50" s="27" t="str">
        <f aca="false">IF(G50="","",G50-H50)</f>
        <v/>
      </c>
      <c r="J50" s="42"/>
    </row>
    <row r="51" customFormat="false" ht="21" hidden="false" customHeight="true" outlineLevel="0" collapsed="false">
      <c r="B51" s="41"/>
      <c r="C51" s="9"/>
      <c r="D51" s="9"/>
      <c r="E51" s="42"/>
      <c r="F51" s="43"/>
      <c r="G51" s="27" t="str">
        <f aca="false">IF(OR(C51="",AND(D51="",F51="")),"",IF(N(E51)=0,1,E51)*IF(F51="",IFERROR(N(INDEX(Produtos!$L$5:$L$104,MATCH(D51,Produtos!$B$5:$B$104,0))),0),F51))</f>
        <v/>
      </c>
      <c r="H51" s="27" t="str">
        <f aca="false">IF(G51="","",IF(N(E51)=0,1,E51)*IFERROR(N(INDEX(Produtos!$G$5:$G$104,MATCH(D51,Produtos!$B$5:$B$104,0))),0))</f>
        <v/>
      </c>
      <c r="I51" s="27" t="str">
        <f aca="false">IF(G51="","",G51-H51)</f>
        <v/>
      </c>
      <c r="J51" s="42"/>
    </row>
    <row r="52" customFormat="false" ht="21" hidden="false" customHeight="true" outlineLevel="0" collapsed="false">
      <c r="B52" s="41"/>
      <c r="C52" s="9"/>
      <c r="D52" s="9"/>
      <c r="E52" s="42"/>
      <c r="F52" s="43"/>
      <c r="G52" s="27" t="str">
        <f aca="false">IF(OR(C52="",AND(D52="",F52="")),"",IF(N(E52)=0,1,E52)*IF(F52="",IFERROR(N(INDEX(Produtos!$L$5:$L$104,MATCH(D52,Produtos!$B$5:$B$104,0))),0),F52))</f>
        <v/>
      </c>
      <c r="H52" s="27" t="str">
        <f aca="false">IF(G52="","",IF(N(E52)=0,1,E52)*IFERROR(N(INDEX(Produtos!$G$5:$G$104,MATCH(D52,Produtos!$B$5:$B$104,0))),0))</f>
        <v/>
      </c>
      <c r="I52" s="27" t="str">
        <f aca="false">IF(G52="","",G52-H52)</f>
        <v/>
      </c>
      <c r="J52" s="42"/>
    </row>
    <row r="53" customFormat="false" ht="21" hidden="false" customHeight="true" outlineLevel="0" collapsed="false">
      <c r="B53" s="41"/>
      <c r="C53" s="9"/>
      <c r="D53" s="9"/>
      <c r="E53" s="42"/>
      <c r="F53" s="43"/>
      <c r="G53" s="27" t="str">
        <f aca="false">IF(OR(C53="",AND(D53="",F53="")),"",IF(N(E53)=0,1,E53)*IF(F53="",IFERROR(N(INDEX(Produtos!$L$5:$L$104,MATCH(D53,Produtos!$B$5:$B$104,0))),0),F53))</f>
        <v/>
      </c>
      <c r="H53" s="27" t="str">
        <f aca="false">IF(G53="","",IF(N(E53)=0,1,E53)*IFERROR(N(INDEX(Produtos!$G$5:$G$104,MATCH(D53,Produtos!$B$5:$B$104,0))),0))</f>
        <v/>
      </c>
      <c r="I53" s="27" t="str">
        <f aca="false">IF(G53="","",G53-H53)</f>
        <v/>
      </c>
      <c r="J53" s="42"/>
    </row>
    <row r="54" customFormat="false" ht="21" hidden="false" customHeight="true" outlineLevel="0" collapsed="false">
      <c r="B54" s="41"/>
      <c r="C54" s="9"/>
      <c r="D54" s="9"/>
      <c r="E54" s="42"/>
      <c r="F54" s="43"/>
      <c r="G54" s="27" t="str">
        <f aca="false">IF(OR(C54="",AND(D54="",F54="")),"",IF(N(E54)=0,1,E54)*IF(F54="",IFERROR(N(INDEX(Produtos!$L$5:$L$104,MATCH(D54,Produtos!$B$5:$B$104,0))),0),F54))</f>
        <v/>
      </c>
      <c r="H54" s="27" t="str">
        <f aca="false">IF(G54="","",IF(N(E54)=0,1,E54)*IFERROR(N(INDEX(Produtos!$G$5:$G$104,MATCH(D54,Produtos!$B$5:$B$104,0))),0))</f>
        <v/>
      </c>
      <c r="I54" s="27" t="str">
        <f aca="false">IF(G54="","",G54-H54)</f>
        <v/>
      </c>
      <c r="J54" s="42"/>
    </row>
    <row r="55" customFormat="false" ht="21" hidden="false" customHeight="true" outlineLevel="0" collapsed="false">
      <c r="B55" s="41"/>
      <c r="C55" s="9"/>
      <c r="D55" s="9"/>
      <c r="E55" s="42"/>
      <c r="F55" s="43"/>
      <c r="G55" s="27" t="str">
        <f aca="false">IF(OR(C55="",AND(D55="",F55="")),"",IF(N(E55)=0,1,E55)*IF(F55="",IFERROR(N(INDEX(Produtos!$L$5:$L$104,MATCH(D55,Produtos!$B$5:$B$104,0))),0),F55))</f>
        <v/>
      </c>
      <c r="H55" s="27" t="str">
        <f aca="false">IF(G55="","",IF(N(E55)=0,1,E55)*IFERROR(N(INDEX(Produtos!$G$5:$G$104,MATCH(D55,Produtos!$B$5:$B$104,0))),0))</f>
        <v/>
      </c>
      <c r="I55" s="27" t="str">
        <f aca="false">IF(G55="","",G55-H55)</f>
        <v/>
      </c>
      <c r="J55" s="42"/>
    </row>
    <row r="56" customFormat="false" ht="21" hidden="false" customHeight="true" outlineLevel="0" collapsed="false">
      <c r="B56" s="41"/>
      <c r="C56" s="9"/>
      <c r="D56" s="9"/>
      <c r="E56" s="42"/>
      <c r="F56" s="43"/>
      <c r="G56" s="27" t="str">
        <f aca="false">IF(OR(C56="",AND(D56="",F56="")),"",IF(N(E56)=0,1,E56)*IF(F56="",IFERROR(N(INDEX(Produtos!$L$5:$L$104,MATCH(D56,Produtos!$B$5:$B$104,0))),0),F56))</f>
        <v/>
      </c>
      <c r="H56" s="27" t="str">
        <f aca="false">IF(G56="","",IF(N(E56)=0,1,E56)*IFERROR(N(INDEX(Produtos!$G$5:$G$104,MATCH(D56,Produtos!$B$5:$B$104,0))),0))</f>
        <v/>
      </c>
      <c r="I56" s="27" t="str">
        <f aca="false">IF(G56="","",G56-H56)</f>
        <v/>
      </c>
      <c r="J56" s="42"/>
    </row>
    <row r="57" customFormat="false" ht="21" hidden="false" customHeight="true" outlineLevel="0" collapsed="false">
      <c r="B57" s="41"/>
      <c r="C57" s="9"/>
      <c r="D57" s="9"/>
      <c r="E57" s="42"/>
      <c r="F57" s="43"/>
      <c r="G57" s="27" t="str">
        <f aca="false">IF(OR(C57="",AND(D57="",F57="")),"",IF(N(E57)=0,1,E57)*IF(F57="",IFERROR(N(INDEX(Produtos!$L$5:$L$104,MATCH(D57,Produtos!$B$5:$B$104,0))),0),F57))</f>
        <v/>
      </c>
      <c r="H57" s="27" t="str">
        <f aca="false">IF(G57="","",IF(N(E57)=0,1,E57)*IFERROR(N(INDEX(Produtos!$G$5:$G$104,MATCH(D57,Produtos!$B$5:$B$104,0))),0))</f>
        <v/>
      </c>
      <c r="I57" s="27" t="str">
        <f aca="false">IF(G57="","",G57-H57)</f>
        <v/>
      </c>
      <c r="J57" s="42"/>
    </row>
    <row r="58" customFormat="false" ht="21" hidden="false" customHeight="true" outlineLevel="0" collapsed="false">
      <c r="B58" s="41"/>
      <c r="C58" s="9"/>
      <c r="D58" s="9"/>
      <c r="E58" s="42"/>
      <c r="F58" s="43"/>
      <c r="G58" s="27" t="str">
        <f aca="false">IF(OR(C58="",AND(D58="",F58="")),"",IF(N(E58)=0,1,E58)*IF(F58="",IFERROR(N(INDEX(Produtos!$L$5:$L$104,MATCH(D58,Produtos!$B$5:$B$104,0))),0),F58))</f>
        <v/>
      </c>
      <c r="H58" s="27" t="str">
        <f aca="false">IF(G58="","",IF(N(E58)=0,1,E58)*IFERROR(N(INDEX(Produtos!$G$5:$G$104,MATCH(D58,Produtos!$B$5:$B$104,0))),0))</f>
        <v/>
      </c>
      <c r="I58" s="27" t="str">
        <f aca="false">IF(G58="","",G58-H58)</f>
        <v/>
      </c>
      <c r="J58" s="42"/>
    </row>
    <row r="59" customFormat="false" ht="21" hidden="false" customHeight="true" outlineLevel="0" collapsed="false">
      <c r="B59" s="41"/>
      <c r="C59" s="9"/>
      <c r="D59" s="9"/>
      <c r="E59" s="42"/>
      <c r="F59" s="43"/>
      <c r="G59" s="27" t="str">
        <f aca="false">IF(OR(C59="",AND(D59="",F59="")),"",IF(N(E59)=0,1,E59)*IF(F59="",IFERROR(N(INDEX(Produtos!$L$5:$L$104,MATCH(D59,Produtos!$B$5:$B$104,0))),0),F59))</f>
        <v/>
      </c>
      <c r="H59" s="27" t="str">
        <f aca="false">IF(G59="","",IF(N(E59)=0,1,E59)*IFERROR(N(INDEX(Produtos!$G$5:$G$104,MATCH(D59,Produtos!$B$5:$B$104,0))),0))</f>
        <v/>
      </c>
      <c r="I59" s="27" t="str">
        <f aca="false">IF(G59="","",G59-H59)</f>
        <v/>
      </c>
      <c r="J59" s="42"/>
    </row>
    <row r="60" customFormat="false" ht="21" hidden="false" customHeight="true" outlineLevel="0" collapsed="false">
      <c r="B60" s="41"/>
      <c r="C60" s="9"/>
      <c r="D60" s="9"/>
      <c r="E60" s="42"/>
      <c r="F60" s="43"/>
      <c r="G60" s="27" t="str">
        <f aca="false">IF(OR(C60="",AND(D60="",F60="")),"",IF(N(E60)=0,1,E60)*IF(F60="",IFERROR(N(INDEX(Produtos!$L$5:$L$104,MATCH(D60,Produtos!$B$5:$B$104,0))),0),F60))</f>
        <v/>
      </c>
      <c r="H60" s="27" t="str">
        <f aca="false">IF(G60="","",IF(N(E60)=0,1,E60)*IFERROR(N(INDEX(Produtos!$G$5:$G$104,MATCH(D60,Produtos!$B$5:$B$104,0))),0))</f>
        <v/>
      </c>
      <c r="I60" s="27" t="str">
        <f aca="false">IF(G60="","",G60-H60)</f>
        <v/>
      </c>
      <c r="J60" s="42"/>
    </row>
    <row r="61" customFormat="false" ht="21" hidden="false" customHeight="true" outlineLevel="0" collapsed="false">
      <c r="B61" s="41"/>
      <c r="C61" s="9"/>
      <c r="D61" s="9"/>
      <c r="E61" s="42"/>
      <c r="F61" s="43"/>
      <c r="G61" s="27" t="str">
        <f aca="false">IF(OR(C61="",AND(D61="",F61="")),"",IF(N(E61)=0,1,E61)*IF(F61="",IFERROR(N(INDEX(Produtos!$L$5:$L$104,MATCH(D61,Produtos!$B$5:$B$104,0))),0),F61))</f>
        <v/>
      </c>
      <c r="H61" s="27" t="str">
        <f aca="false">IF(G61="","",IF(N(E61)=0,1,E61)*IFERROR(N(INDEX(Produtos!$G$5:$G$104,MATCH(D61,Produtos!$B$5:$B$104,0))),0))</f>
        <v/>
      </c>
      <c r="I61" s="27" t="str">
        <f aca="false">IF(G61="","",G61-H61)</f>
        <v/>
      </c>
      <c r="J61" s="42"/>
    </row>
    <row r="62" customFormat="false" ht="21" hidden="false" customHeight="true" outlineLevel="0" collapsed="false">
      <c r="B62" s="41"/>
      <c r="C62" s="9"/>
      <c r="D62" s="9"/>
      <c r="E62" s="42"/>
      <c r="F62" s="43"/>
      <c r="G62" s="27" t="str">
        <f aca="false">IF(OR(C62="",AND(D62="",F62="")),"",IF(N(E62)=0,1,E62)*IF(F62="",IFERROR(N(INDEX(Produtos!$L$5:$L$104,MATCH(D62,Produtos!$B$5:$B$104,0))),0),F62))</f>
        <v/>
      </c>
      <c r="H62" s="27" t="str">
        <f aca="false">IF(G62="","",IF(N(E62)=0,1,E62)*IFERROR(N(INDEX(Produtos!$G$5:$G$104,MATCH(D62,Produtos!$B$5:$B$104,0))),0))</f>
        <v/>
      </c>
      <c r="I62" s="27" t="str">
        <f aca="false">IF(G62="","",G62-H62)</f>
        <v/>
      </c>
      <c r="J62" s="42"/>
    </row>
    <row r="63" customFormat="false" ht="21" hidden="false" customHeight="true" outlineLevel="0" collapsed="false">
      <c r="B63" s="41"/>
      <c r="C63" s="9"/>
      <c r="D63" s="9"/>
      <c r="E63" s="42"/>
      <c r="F63" s="43"/>
      <c r="G63" s="27" t="str">
        <f aca="false">IF(OR(C63="",AND(D63="",F63="")),"",IF(N(E63)=0,1,E63)*IF(F63="",IFERROR(N(INDEX(Produtos!$L$5:$L$104,MATCH(D63,Produtos!$B$5:$B$104,0))),0),F63))</f>
        <v/>
      </c>
      <c r="H63" s="27" t="str">
        <f aca="false">IF(G63="","",IF(N(E63)=0,1,E63)*IFERROR(N(INDEX(Produtos!$G$5:$G$104,MATCH(D63,Produtos!$B$5:$B$104,0))),0))</f>
        <v/>
      </c>
      <c r="I63" s="27" t="str">
        <f aca="false">IF(G63="","",G63-H63)</f>
        <v/>
      </c>
      <c r="J63" s="42"/>
    </row>
    <row r="64" customFormat="false" ht="21" hidden="false" customHeight="true" outlineLevel="0" collapsed="false">
      <c r="B64" s="41"/>
      <c r="C64" s="9"/>
      <c r="D64" s="9"/>
      <c r="E64" s="42"/>
      <c r="F64" s="43"/>
      <c r="G64" s="27" t="str">
        <f aca="false">IF(OR(C64="",AND(D64="",F64="")),"",IF(N(E64)=0,1,E64)*IF(F64="",IFERROR(N(INDEX(Produtos!$L$5:$L$104,MATCH(D64,Produtos!$B$5:$B$104,0))),0),F64))</f>
        <v/>
      </c>
      <c r="H64" s="27" t="str">
        <f aca="false">IF(G64="","",IF(N(E64)=0,1,E64)*IFERROR(N(INDEX(Produtos!$G$5:$G$104,MATCH(D64,Produtos!$B$5:$B$104,0))),0))</f>
        <v/>
      </c>
      <c r="I64" s="27" t="str">
        <f aca="false">IF(G64="","",G64-H64)</f>
        <v/>
      </c>
      <c r="J64" s="42"/>
    </row>
    <row r="65" customFormat="false" ht="21" hidden="false" customHeight="true" outlineLevel="0" collapsed="false">
      <c r="B65" s="41"/>
      <c r="C65" s="9"/>
      <c r="D65" s="9"/>
      <c r="E65" s="42"/>
      <c r="F65" s="43"/>
      <c r="G65" s="27" t="str">
        <f aca="false">IF(OR(C65="",AND(D65="",F65="")),"",IF(N(E65)=0,1,E65)*IF(F65="",IFERROR(N(INDEX(Produtos!$L$5:$L$104,MATCH(D65,Produtos!$B$5:$B$104,0))),0),F65))</f>
        <v/>
      </c>
      <c r="H65" s="27" t="str">
        <f aca="false">IF(G65="","",IF(N(E65)=0,1,E65)*IFERROR(N(INDEX(Produtos!$G$5:$G$104,MATCH(D65,Produtos!$B$5:$B$104,0))),0))</f>
        <v/>
      </c>
      <c r="I65" s="27" t="str">
        <f aca="false">IF(G65="","",G65-H65)</f>
        <v/>
      </c>
      <c r="J65" s="42"/>
    </row>
    <row r="66" customFormat="false" ht="21" hidden="false" customHeight="true" outlineLevel="0" collapsed="false">
      <c r="B66" s="41"/>
      <c r="C66" s="9"/>
      <c r="D66" s="9"/>
      <c r="E66" s="42"/>
      <c r="F66" s="43"/>
      <c r="G66" s="27" t="str">
        <f aca="false">IF(OR(C66="",AND(D66="",F66="")),"",IF(N(E66)=0,1,E66)*IF(F66="",IFERROR(N(INDEX(Produtos!$L$5:$L$104,MATCH(D66,Produtos!$B$5:$B$104,0))),0),F66))</f>
        <v/>
      </c>
      <c r="H66" s="27" t="str">
        <f aca="false">IF(G66="","",IF(N(E66)=0,1,E66)*IFERROR(N(INDEX(Produtos!$G$5:$G$104,MATCH(D66,Produtos!$B$5:$B$104,0))),0))</f>
        <v/>
      </c>
      <c r="I66" s="27" t="str">
        <f aca="false">IF(G66="","",G66-H66)</f>
        <v/>
      </c>
      <c r="J66" s="42"/>
    </row>
    <row r="67" customFormat="false" ht="21" hidden="false" customHeight="true" outlineLevel="0" collapsed="false">
      <c r="B67" s="41"/>
      <c r="C67" s="9"/>
      <c r="D67" s="9"/>
      <c r="E67" s="42"/>
      <c r="F67" s="43"/>
      <c r="G67" s="27" t="str">
        <f aca="false">IF(OR(C67="",AND(D67="",F67="")),"",IF(N(E67)=0,1,E67)*IF(F67="",IFERROR(N(INDEX(Produtos!$L$5:$L$104,MATCH(D67,Produtos!$B$5:$B$104,0))),0),F67))</f>
        <v/>
      </c>
      <c r="H67" s="27" t="str">
        <f aca="false">IF(G67="","",IF(N(E67)=0,1,E67)*IFERROR(N(INDEX(Produtos!$G$5:$G$104,MATCH(D67,Produtos!$B$5:$B$104,0))),0))</f>
        <v/>
      </c>
      <c r="I67" s="27" t="str">
        <f aca="false">IF(G67="","",G67-H67)</f>
        <v/>
      </c>
      <c r="J67" s="42"/>
    </row>
    <row r="68" customFormat="false" ht="21" hidden="false" customHeight="true" outlineLevel="0" collapsed="false">
      <c r="B68" s="41"/>
      <c r="C68" s="9"/>
      <c r="D68" s="9"/>
      <c r="E68" s="42"/>
      <c r="F68" s="43"/>
      <c r="G68" s="27" t="str">
        <f aca="false">IF(OR(C68="",AND(D68="",F68="")),"",IF(N(E68)=0,1,E68)*IF(F68="",IFERROR(N(INDEX(Produtos!$L$5:$L$104,MATCH(D68,Produtos!$B$5:$B$104,0))),0),F68))</f>
        <v/>
      </c>
      <c r="H68" s="27" t="str">
        <f aca="false">IF(G68="","",IF(N(E68)=0,1,E68)*IFERROR(N(INDEX(Produtos!$G$5:$G$104,MATCH(D68,Produtos!$B$5:$B$104,0))),0))</f>
        <v/>
      </c>
      <c r="I68" s="27" t="str">
        <f aca="false">IF(G68="","",G68-H68)</f>
        <v/>
      </c>
      <c r="J68" s="42"/>
    </row>
    <row r="69" customFormat="false" ht="21" hidden="false" customHeight="true" outlineLevel="0" collapsed="false">
      <c r="B69" s="41"/>
      <c r="C69" s="9"/>
      <c r="D69" s="9"/>
      <c r="E69" s="42"/>
      <c r="F69" s="43"/>
      <c r="G69" s="27" t="str">
        <f aca="false">IF(OR(C69="",AND(D69="",F69="")),"",IF(N(E69)=0,1,E69)*IF(F69="",IFERROR(N(INDEX(Produtos!$L$5:$L$104,MATCH(D69,Produtos!$B$5:$B$104,0))),0),F69))</f>
        <v/>
      </c>
      <c r="H69" s="27" t="str">
        <f aca="false">IF(G69="","",IF(N(E69)=0,1,E69)*IFERROR(N(INDEX(Produtos!$G$5:$G$104,MATCH(D69,Produtos!$B$5:$B$104,0))),0))</f>
        <v/>
      </c>
      <c r="I69" s="27" t="str">
        <f aca="false">IF(G69="","",G69-H69)</f>
        <v/>
      </c>
      <c r="J69" s="42"/>
    </row>
    <row r="70" customFormat="false" ht="21" hidden="false" customHeight="true" outlineLevel="0" collapsed="false">
      <c r="B70" s="41"/>
      <c r="C70" s="9"/>
      <c r="D70" s="9"/>
      <c r="E70" s="42"/>
      <c r="F70" s="43"/>
      <c r="G70" s="27" t="str">
        <f aca="false">IF(OR(C70="",AND(D70="",F70="")),"",IF(N(E70)=0,1,E70)*IF(F70="",IFERROR(N(INDEX(Produtos!$L$5:$L$104,MATCH(D70,Produtos!$B$5:$B$104,0))),0),F70))</f>
        <v/>
      </c>
      <c r="H70" s="27" t="str">
        <f aca="false">IF(G70="","",IF(N(E70)=0,1,E70)*IFERROR(N(INDEX(Produtos!$G$5:$G$104,MATCH(D70,Produtos!$B$5:$B$104,0))),0))</f>
        <v/>
      </c>
      <c r="I70" s="27" t="str">
        <f aca="false">IF(G70="","",G70-H70)</f>
        <v/>
      </c>
      <c r="J70" s="42"/>
    </row>
    <row r="71" customFormat="false" ht="21" hidden="false" customHeight="true" outlineLevel="0" collapsed="false">
      <c r="B71" s="41"/>
      <c r="C71" s="9"/>
      <c r="D71" s="9"/>
      <c r="E71" s="42"/>
      <c r="F71" s="43"/>
      <c r="G71" s="27" t="str">
        <f aca="false">IF(OR(C71="",AND(D71="",F71="")),"",IF(N(E71)=0,1,E71)*IF(F71="",IFERROR(N(INDEX(Produtos!$L$5:$L$104,MATCH(D71,Produtos!$B$5:$B$104,0))),0),F71))</f>
        <v/>
      </c>
      <c r="H71" s="27" t="str">
        <f aca="false">IF(G71="","",IF(N(E71)=0,1,E71)*IFERROR(N(INDEX(Produtos!$G$5:$G$104,MATCH(D71,Produtos!$B$5:$B$104,0))),0))</f>
        <v/>
      </c>
      <c r="I71" s="27" t="str">
        <f aca="false">IF(G71="","",G71-H71)</f>
        <v/>
      </c>
      <c r="J71" s="42"/>
    </row>
    <row r="72" customFormat="false" ht="21" hidden="false" customHeight="true" outlineLevel="0" collapsed="false">
      <c r="B72" s="41"/>
      <c r="C72" s="9"/>
      <c r="D72" s="9"/>
      <c r="E72" s="42"/>
      <c r="F72" s="43"/>
      <c r="G72" s="27" t="str">
        <f aca="false">IF(OR(C72="",AND(D72="",F72="")),"",IF(N(E72)=0,1,E72)*IF(F72="",IFERROR(N(INDEX(Produtos!$L$5:$L$104,MATCH(D72,Produtos!$B$5:$B$104,0))),0),F72))</f>
        <v/>
      </c>
      <c r="H72" s="27" t="str">
        <f aca="false">IF(G72="","",IF(N(E72)=0,1,E72)*IFERROR(N(INDEX(Produtos!$G$5:$G$104,MATCH(D72,Produtos!$B$5:$B$104,0))),0))</f>
        <v/>
      </c>
      <c r="I72" s="27" t="str">
        <f aca="false">IF(G72="","",G72-H72)</f>
        <v/>
      </c>
      <c r="J72" s="42"/>
    </row>
    <row r="73" customFormat="false" ht="21" hidden="false" customHeight="true" outlineLevel="0" collapsed="false">
      <c r="B73" s="41"/>
      <c r="C73" s="9"/>
      <c r="D73" s="9"/>
      <c r="E73" s="42"/>
      <c r="F73" s="43"/>
      <c r="G73" s="27" t="str">
        <f aca="false">IF(OR(C73="",AND(D73="",F73="")),"",IF(N(E73)=0,1,E73)*IF(F73="",IFERROR(N(INDEX(Produtos!$L$5:$L$104,MATCH(D73,Produtos!$B$5:$B$104,0))),0),F73))</f>
        <v/>
      </c>
      <c r="H73" s="27" t="str">
        <f aca="false">IF(G73="","",IF(N(E73)=0,1,E73)*IFERROR(N(INDEX(Produtos!$G$5:$G$104,MATCH(D73,Produtos!$B$5:$B$104,0))),0))</f>
        <v/>
      </c>
      <c r="I73" s="27" t="str">
        <f aca="false">IF(G73="","",G73-H73)</f>
        <v/>
      </c>
      <c r="J73" s="42"/>
    </row>
    <row r="74" customFormat="false" ht="21" hidden="false" customHeight="true" outlineLevel="0" collapsed="false">
      <c r="B74" s="41"/>
      <c r="C74" s="9"/>
      <c r="D74" s="9"/>
      <c r="E74" s="42"/>
      <c r="F74" s="43"/>
      <c r="G74" s="27" t="str">
        <f aca="false">IF(OR(C74="",AND(D74="",F74="")),"",IF(N(E74)=0,1,E74)*IF(F74="",IFERROR(N(INDEX(Produtos!$L$5:$L$104,MATCH(D74,Produtos!$B$5:$B$104,0))),0),F74))</f>
        <v/>
      </c>
      <c r="H74" s="27" t="str">
        <f aca="false">IF(G74="","",IF(N(E74)=0,1,E74)*IFERROR(N(INDEX(Produtos!$G$5:$G$104,MATCH(D74,Produtos!$B$5:$B$104,0))),0))</f>
        <v/>
      </c>
      <c r="I74" s="27" t="str">
        <f aca="false">IF(G74="","",G74-H74)</f>
        <v/>
      </c>
      <c r="J74" s="42"/>
    </row>
    <row r="75" customFormat="false" ht="21" hidden="false" customHeight="true" outlineLevel="0" collapsed="false">
      <c r="B75" s="41"/>
      <c r="C75" s="9"/>
      <c r="D75" s="9"/>
      <c r="E75" s="42"/>
      <c r="F75" s="43"/>
      <c r="G75" s="27" t="str">
        <f aca="false">IF(OR(C75="",AND(D75="",F75="")),"",IF(N(E75)=0,1,E75)*IF(F75="",IFERROR(N(INDEX(Produtos!$L$5:$L$104,MATCH(D75,Produtos!$B$5:$B$104,0))),0),F75))</f>
        <v/>
      </c>
      <c r="H75" s="27" t="str">
        <f aca="false">IF(G75="","",IF(N(E75)=0,1,E75)*IFERROR(N(INDEX(Produtos!$G$5:$G$104,MATCH(D75,Produtos!$B$5:$B$104,0))),0))</f>
        <v/>
      </c>
      <c r="I75" s="27" t="str">
        <f aca="false">IF(G75="","",G75-H75)</f>
        <v/>
      </c>
      <c r="J75" s="42"/>
    </row>
    <row r="76" customFormat="false" ht="21" hidden="false" customHeight="true" outlineLevel="0" collapsed="false">
      <c r="B76" s="41"/>
      <c r="C76" s="9"/>
      <c r="D76" s="9"/>
      <c r="E76" s="42"/>
      <c r="F76" s="43"/>
      <c r="G76" s="27" t="str">
        <f aca="false">IF(OR(C76="",AND(D76="",F76="")),"",IF(N(E76)=0,1,E76)*IF(F76="",IFERROR(N(INDEX(Produtos!$L$5:$L$104,MATCH(D76,Produtos!$B$5:$B$104,0))),0),F76))</f>
        <v/>
      </c>
      <c r="H76" s="27" t="str">
        <f aca="false">IF(G76="","",IF(N(E76)=0,1,E76)*IFERROR(N(INDEX(Produtos!$G$5:$G$104,MATCH(D76,Produtos!$B$5:$B$104,0))),0))</f>
        <v/>
      </c>
      <c r="I76" s="27" t="str">
        <f aca="false">IF(G76="","",G76-H76)</f>
        <v/>
      </c>
      <c r="J76" s="42"/>
    </row>
    <row r="77" customFormat="false" ht="21" hidden="false" customHeight="true" outlineLevel="0" collapsed="false">
      <c r="B77" s="41"/>
      <c r="C77" s="9"/>
      <c r="D77" s="9"/>
      <c r="E77" s="42"/>
      <c r="F77" s="43"/>
      <c r="G77" s="27" t="str">
        <f aca="false">IF(OR(C77="",AND(D77="",F77="")),"",IF(N(E77)=0,1,E77)*IF(F77="",IFERROR(N(INDEX(Produtos!$L$5:$L$104,MATCH(D77,Produtos!$B$5:$B$104,0))),0),F77))</f>
        <v/>
      </c>
      <c r="H77" s="27" t="str">
        <f aca="false">IF(G77="","",IF(N(E77)=0,1,E77)*IFERROR(N(INDEX(Produtos!$G$5:$G$104,MATCH(D77,Produtos!$B$5:$B$104,0))),0))</f>
        <v/>
      </c>
      <c r="I77" s="27" t="str">
        <f aca="false">IF(G77="","",G77-H77)</f>
        <v/>
      </c>
      <c r="J77" s="42"/>
    </row>
    <row r="78" customFormat="false" ht="21" hidden="false" customHeight="true" outlineLevel="0" collapsed="false">
      <c r="B78" s="41"/>
      <c r="C78" s="9"/>
      <c r="D78" s="9"/>
      <c r="E78" s="42"/>
      <c r="F78" s="43"/>
      <c r="G78" s="27" t="str">
        <f aca="false">IF(OR(C78="",AND(D78="",F78="")),"",IF(N(E78)=0,1,E78)*IF(F78="",IFERROR(N(INDEX(Produtos!$L$5:$L$104,MATCH(D78,Produtos!$B$5:$B$104,0))),0),F78))</f>
        <v/>
      </c>
      <c r="H78" s="27" t="str">
        <f aca="false">IF(G78="","",IF(N(E78)=0,1,E78)*IFERROR(N(INDEX(Produtos!$G$5:$G$104,MATCH(D78,Produtos!$B$5:$B$104,0))),0))</f>
        <v/>
      </c>
      <c r="I78" s="27" t="str">
        <f aca="false">IF(G78="","",G78-H78)</f>
        <v/>
      </c>
      <c r="J78" s="42"/>
    </row>
    <row r="79" customFormat="false" ht="21" hidden="false" customHeight="true" outlineLevel="0" collapsed="false">
      <c r="B79" s="41"/>
      <c r="C79" s="9"/>
      <c r="D79" s="9"/>
      <c r="E79" s="42"/>
      <c r="F79" s="43"/>
      <c r="G79" s="27" t="str">
        <f aca="false">IF(OR(C79="",AND(D79="",F79="")),"",IF(N(E79)=0,1,E79)*IF(F79="",IFERROR(N(INDEX(Produtos!$L$5:$L$104,MATCH(D79,Produtos!$B$5:$B$104,0))),0),F79))</f>
        <v/>
      </c>
      <c r="H79" s="27" t="str">
        <f aca="false">IF(G79="","",IF(N(E79)=0,1,E79)*IFERROR(N(INDEX(Produtos!$G$5:$G$104,MATCH(D79,Produtos!$B$5:$B$104,0))),0))</f>
        <v/>
      </c>
      <c r="I79" s="27" t="str">
        <f aca="false">IF(G79="","",G79-H79)</f>
        <v/>
      </c>
      <c r="J79" s="42"/>
    </row>
    <row r="80" customFormat="false" ht="21" hidden="false" customHeight="true" outlineLevel="0" collapsed="false">
      <c r="B80" s="41"/>
      <c r="C80" s="9"/>
      <c r="D80" s="9"/>
      <c r="E80" s="42"/>
      <c r="F80" s="43"/>
      <c r="G80" s="27" t="str">
        <f aca="false">IF(OR(C80="",AND(D80="",F80="")),"",IF(N(E80)=0,1,E80)*IF(F80="",IFERROR(N(INDEX(Produtos!$L$5:$L$104,MATCH(D80,Produtos!$B$5:$B$104,0))),0),F80))</f>
        <v/>
      </c>
      <c r="H80" s="27" t="str">
        <f aca="false">IF(G80="","",IF(N(E80)=0,1,E80)*IFERROR(N(INDEX(Produtos!$G$5:$G$104,MATCH(D80,Produtos!$B$5:$B$104,0))),0))</f>
        <v/>
      </c>
      <c r="I80" s="27" t="str">
        <f aca="false">IF(G80="","",G80-H80)</f>
        <v/>
      </c>
      <c r="J80" s="42"/>
    </row>
    <row r="81" customFormat="false" ht="21" hidden="false" customHeight="true" outlineLevel="0" collapsed="false">
      <c r="B81" s="41"/>
      <c r="C81" s="9"/>
      <c r="D81" s="9"/>
      <c r="E81" s="42"/>
      <c r="F81" s="43"/>
      <c r="G81" s="27" t="str">
        <f aca="false">IF(OR(C81="",AND(D81="",F81="")),"",IF(N(E81)=0,1,E81)*IF(F81="",IFERROR(N(INDEX(Produtos!$L$5:$L$104,MATCH(D81,Produtos!$B$5:$B$104,0))),0),F81))</f>
        <v/>
      </c>
      <c r="H81" s="27" t="str">
        <f aca="false">IF(G81="","",IF(N(E81)=0,1,E81)*IFERROR(N(INDEX(Produtos!$G$5:$G$104,MATCH(D81,Produtos!$B$5:$B$104,0))),0))</f>
        <v/>
      </c>
      <c r="I81" s="27" t="str">
        <f aca="false">IF(G81="","",G81-H81)</f>
        <v/>
      </c>
      <c r="J81" s="42"/>
    </row>
    <row r="82" customFormat="false" ht="21" hidden="false" customHeight="true" outlineLevel="0" collapsed="false">
      <c r="B82" s="41"/>
      <c r="C82" s="9"/>
      <c r="D82" s="9"/>
      <c r="E82" s="42"/>
      <c r="F82" s="43"/>
      <c r="G82" s="27" t="str">
        <f aca="false">IF(OR(C82="",AND(D82="",F82="")),"",IF(N(E82)=0,1,E82)*IF(F82="",IFERROR(N(INDEX(Produtos!$L$5:$L$104,MATCH(D82,Produtos!$B$5:$B$104,0))),0),F82))</f>
        <v/>
      </c>
      <c r="H82" s="27" t="str">
        <f aca="false">IF(G82="","",IF(N(E82)=0,1,E82)*IFERROR(N(INDEX(Produtos!$G$5:$G$104,MATCH(D82,Produtos!$B$5:$B$104,0))),0))</f>
        <v/>
      </c>
      <c r="I82" s="27" t="str">
        <f aca="false">IF(G82="","",G82-H82)</f>
        <v/>
      </c>
      <c r="J82" s="42"/>
    </row>
    <row r="83" customFormat="false" ht="21" hidden="false" customHeight="true" outlineLevel="0" collapsed="false">
      <c r="B83" s="41"/>
      <c r="C83" s="9"/>
      <c r="D83" s="9"/>
      <c r="E83" s="42"/>
      <c r="F83" s="43"/>
      <c r="G83" s="27" t="str">
        <f aca="false">IF(OR(C83="",AND(D83="",F83="")),"",IF(N(E83)=0,1,E83)*IF(F83="",IFERROR(N(INDEX(Produtos!$L$5:$L$104,MATCH(D83,Produtos!$B$5:$B$104,0))),0),F83))</f>
        <v/>
      </c>
      <c r="H83" s="27" t="str">
        <f aca="false">IF(G83="","",IF(N(E83)=0,1,E83)*IFERROR(N(INDEX(Produtos!$G$5:$G$104,MATCH(D83,Produtos!$B$5:$B$104,0))),0))</f>
        <v/>
      </c>
      <c r="I83" s="27" t="str">
        <f aca="false">IF(G83="","",G83-H83)</f>
        <v/>
      </c>
      <c r="J83" s="42"/>
    </row>
    <row r="84" customFormat="false" ht="21" hidden="false" customHeight="true" outlineLevel="0" collapsed="false">
      <c r="B84" s="41"/>
      <c r="C84" s="9"/>
      <c r="D84" s="9"/>
      <c r="E84" s="42"/>
      <c r="F84" s="43"/>
      <c r="G84" s="27" t="str">
        <f aca="false">IF(OR(C84="",AND(D84="",F84="")),"",IF(N(E84)=0,1,E84)*IF(F84="",IFERROR(N(INDEX(Produtos!$L$5:$L$104,MATCH(D84,Produtos!$B$5:$B$104,0))),0),F84))</f>
        <v/>
      </c>
      <c r="H84" s="27" t="str">
        <f aca="false">IF(G84="","",IF(N(E84)=0,1,E84)*IFERROR(N(INDEX(Produtos!$G$5:$G$104,MATCH(D84,Produtos!$B$5:$B$104,0))),0))</f>
        <v/>
      </c>
      <c r="I84" s="27" t="str">
        <f aca="false">IF(G84="","",G84-H84)</f>
        <v/>
      </c>
      <c r="J84" s="42"/>
    </row>
    <row r="85" customFormat="false" ht="21" hidden="false" customHeight="true" outlineLevel="0" collapsed="false">
      <c r="B85" s="41"/>
      <c r="C85" s="9"/>
      <c r="D85" s="9"/>
      <c r="E85" s="42"/>
      <c r="F85" s="43"/>
      <c r="G85" s="27" t="str">
        <f aca="false">IF(OR(C85="",AND(D85="",F85="")),"",IF(N(E85)=0,1,E85)*IF(F85="",IFERROR(N(INDEX(Produtos!$L$5:$L$104,MATCH(D85,Produtos!$B$5:$B$104,0))),0),F85))</f>
        <v/>
      </c>
      <c r="H85" s="27" t="str">
        <f aca="false">IF(G85="","",IF(N(E85)=0,1,E85)*IFERROR(N(INDEX(Produtos!$G$5:$G$104,MATCH(D85,Produtos!$B$5:$B$104,0))),0))</f>
        <v/>
      </c>
      <c r="I85" s="27" t="str">
        <f aca="false">IF(G85="","",G85-H85)</f>
        <v/>
      </c>
      <c r="J85" s="42"/>
    </row>
    <row r="86" customFormat="false" ht="21" hidden="false" customHeight="true" outlineLevel="0" collapsed="false">
      <c r="B86" s="41"/>
      <c r="C86" s="9"/>
      <c r="D86" s="9"/>
      <c r="E86" s="42"/>
      <c r="F86" s="43"/>
      <c r="G86" s="27" t="str">
        <f aca="false">IF(OR(C86="",AND(D86="",F86="")),"",IF(N(E86)=0,1,E86)*IF(F86="",IFERROR(N(INDEX(Produtos!$L$5:$L$104,MATCH(D86,Produtos!$B$5:$B$104,0))),0),F86))</f>
        <v/>
      </c>
      <c r="H86" s="27" t="str">
        <f aca="false">IF(G86="","",IF(N(E86)=0,1,E86)*IFERROR(N(INDEX(Produtos!$G$5:$G$104,MATCH(D86,Produtos!$B$5:$B$104,0))),0))</f>
        <v/>
      </c>
      <c r="I86" s="27" t="str">
        <f aca="false">IF(G86="","",G86-H86)</f>
        <v/>
      </c>
      <c r="J86" s="42"/>
    </row>
    <row r="87" customFormat="false" ht="21" hidden="false" customHeight="true" outlineLevel="0" collapsed="false">
      <c r="B87" s="41"/>
      <c r="C87" s="9"/>
      <c r="D87" s="9"/>
      <c r="E87" s="42"/>
      <c r="F87" s="43"/>
      <c r="G87" s="27" t="str">
        <f aca="false">IF(OR(C87="",AND(D87="",F87="")),"",IF(N(E87)=0,1,E87)*IF(F87="",IFERROR(N(INDEX(Produtos!$L$5:$L$104,MATCH(D87,Produtos!$B$5:$B$104,0))),0),F87))</f>
        <v/>
      </c>
      <c r="H87" s="27" t="str">
        <f aca="false">IF(G87="","",IF(N(E87)=0,1,E87)*IFERROR(N(INDEX(Produtos!$G$5:$G$104,MATCH(D87,Produtos!$B$5:$B$104,0))),0))</f>
        <v/>
      </c>
      <c r="I87" s="27" t="str">
        <f aca="false">IF(G87="","",G87-H87)</f>
        <v/>
      </c>
      <c r="J87" s="42"/>
    </row>
    <row r="88" customFormat="false" ht="21" hidden="false" customHeight="true" outlineLevel="0" collapsed="false">
      <c r="B88" s="41"/>
      <c r="C88" s="9"/>
      <c r="D88" s="9"/>
      <c r="E88" s="42"/>
      <c r="F88" s="43"/>
      <c r="G88" s="27" t="str">
        <f aca="false">IF(OR(C88="",AND(D88="",F88="")),"",IF(N(E88)=0,1,E88)*IF(F88="",IFERROR(N(INDEX(Produtos!$L$5:$L$104,MATCH(D88,Produtos!$B$5:$B$104,0))),0),F88))</f>
        <v/>
      </c>
      <c r="H88" s="27" t="str">
        <f aca="false">IF(G88="","",IF(N(E88)=0,1,E88)*IFERROR(N(INDEX(Produtos!$G$5:$G$104,MATCH(D88,Produtos!$B$5:$B$104,0))),0))</f>
        <v/>
      </c>
      <c r="I88" s="27" t="str">
        <f aca="false">IF(G88="","",G88-H88)</f>
        <v/>
      </c>
      <c r="J88" s="42"/>
    </row>
    <row r="89" customFormat="false" ht="21" hidden="false" customHeight="true" outlineLevel="0" collapsed="false">
      <c r="B89" s="41"/>
      <c r="C89" s="9"/>
      <c r="D89" s="9"/>
      <c r="E89" s="42"/>
      <c r="F89" s="43"/>
      <c r="G89" s="27" t="str">
        <f aca="false">IF(OR(C89="",AND(D89="",F89="")),"",IF(N(E89)=0,1,E89)*IF(F89="",IFERROR(N(INDEX(Produtos!$L$5:$L$104,MATCH(D89,Produtos!$B$5:$B$104,0))),0),F89))</f>
        <v/>
      </c>
      <c r="H89" s="27" t="str">
        <f aca="false">IF(G89="","",IF(N(E89)=0,1,E89)*IFERROR(N(INDEX(Produtos!$G$5:$G$104,MATCH(D89,Produtos!$B$5:$B$104,0))),0))</f>
        <v/>
      </c>
      <c r="I89" s="27" t="str">
        <f aca="false">IF(G89="","",G89-H89)</f>
        <v/>
      </c>
      <c r="J89" s="42"/>
    </row>
    <row r="90" customFormat="false" ht="21" hidden="false" customHeight="true" outlineLevel="0" collapsed="false">
      <c r="B90" s="41"/>
      <c r="C90" s="9"/>
      <c r="D90" s="9"/>
      <c r="E90" s="42"/>
      <c r="F90" s="43"/>
      <c r="G90" s="27" t="str">
        <f aca="false">IF(OR(C90="",AND(D90="",F90="")),"",IF(N(E90)=0,1,E90)*IF(F90="",IFERROR(N(INDEX(Produtos!$L$5:$L$104,MATCH(D90,Produtos!$B$5:$B$104,0))),0),F90))</f>
        <v/>
      </c>
      <c r="H90" s="27" t="str">
        <f aca="false">IF(G90="","",IF(N(E90)=0,1,E90)*IFERROR(N(INDEX(Produtos!$G$5:$G$104,MATCH(D90,Produtos!$B$5:$B$104,0))),0))</f>
        <v/>
      </c>
      <c r="I90" s="27" t="str">
        <f aca="false">IF(G90="","",G90-H90)</f>
        <v/>
      </c>
      <c r="J90" s="42"/>
    </row>
    <row r="91" customFormat="false" ht="21" hidden="false" customHeight="true" outlineLevel="0" collapsed="false">
      <c r="B91" s="41"/>
      <c r="C91" s="9"/>
      <c r="D91" s="9"/>
      <c r="E91" s="42"/>
      <c r="F91" s="43"/>
      <c r="G91" s="27" t="str">
        <f aca="false">IF(OR(C91="",AND(D91="",F91="")),"",IF(N(E91)=0,1,E91)*IF(F91="",IFERROR(N(INDEX(Produtos!$L$5:$L$104,MATCH(D91,Produtos!$B$5:$B$104,0))),0),F91))</f>
        <v/>
      </c>
      <c r="H91" s="27" t="str">
        <f aca="false">IF(G91="","",IF(N(E91)=0,1,E91)*IFERROR(N(INDEX(Produtos!$G$5:$G$104,MATCH(D91,Produtos!$B$5:$B$104,0))),0))</f>
        <v/>
      </c>
      <c r="I91" s="27" t="str">
        <f aca="false">IF(G91="","",G91-H91)</f>
        <v/>
      </c>
      <c r="J91" s="42"/>
    </row>
    <row r="92" customFormat="false" ht="21" hidden="false" customHeight="true" outlineLevel="0" collapsed="false">
      <c r="B92" s="41"/>
      <c r="C92" s="9"/>
      <c r="D92" s="9"/>
      <c r="E92" s="42"/>
      <c r="F92" s="43"/>
      <c r="G92" s="27" t="str">
        <f aca="false">IF(OR(C92="",AND(D92="",F92="")),"",IF(N(E92)=0,1,E92)*IF(F92="",IFERROR(N(INDEX(Produtos!$L$5:$L$104,MATCH(D92,Produtos!$B$5:$B$104,0))),0),F92))</f>
        <v/>
      </c>
      <c r="H92" s="27" t="str">
        <f aca="false">IF(G92="","",IF(N(E92)=0,1,E92)*IFERROR(N(INDEX(Produtos!$G$5:$G$104,MATCH(D92,Produtos!$B$5:$B$104,0))),0))</f>
        <v/>
      </c>
      <c r="I92" s="27" t="str">
        <f aca="false">IF(G92="","",G92-H92)</f>
        <v/>
      </c>
      <c r="J92" s="42"/>
    </row>
    <row r="93" customFormat="false" ht="21" hidden="false" customHeight="true" outlineLevel="0" collapsed="false">
      <c r="B93" s="41"/>
      <c r="C93" s="9"/>
      <c r="D93" s="9"/>
      <c r="E93" s="42"/>
      <c r="F93" s="43"/>
      <c r="G93" s="27" t="str">
        <f aca="false">IF(OR(C93="",AND(D93="",F93="")),"",IF(N(E93)=0,1,E93)*IF(F93="",IFERROR(N(INDEX(Produtos!$L$5:$L$104,MATCH(D93,Produtos!$B$5:$B$104,0))),0),F93))</f>
        <v/>
      </c>
      <c r="H93" s="27" t="str">
        <f aca="false">IF(G93="","",IF(N(E93)=0,1,E93)*IFERROR(N(INDEX(Produtos!$G$5:$G$104,MATCH(D93,Produtos!$B$5:$B$104,0))),0))</f>
        <v/>
      </c>
      <c r="I93" s="27" t="str">
        <f aca="false">IF(G93="","",G93-H93)</f>
        <v/>
      </c>
      <c r="J93" s="42"/>
    </row>
    <row r="94" customFormat="false" ht="21" hidden="false" customHeight="true" outlineLevel="0" collapsed="false">
      <c r="B94" s="41"/>
      <c r="C94" s="9"/>
      <c r="D94" s="9"/>
      <c r="E94" s="42"/>
      <c r="F94" s="43"/>
      <c r="G94" s="27" t="str">
        <f aca="false">IF(OR(C94="",AND(D94="",F94="")),"",IF(N(E94)=0,1,E94)*IF(F94="",IFERROR(N(INDEX(Produtos!$L$5:$L$104,MATCH(D94,Produtos!$B$5:$B$104,0))),0),F94))</f>
        <v/>
      </c>
      <c r="H94" s="27" t="str">
        <f aca="false">IF(G94="","",IF(N(E94)=0,1,E94)*IFERROR(N(INDEX(Produtos!$G$5:$G$104,MATCH(D94,Produtos!$B$5:$B$104,0))),0))</f>
        <v/>
      </c>
      <c r="I94" s="27" t="str">
        <f aca="false">IF(G94="","",G94-H94)</f>
        <v/>
      </c>
      <c r="J94" s="42"/>
    </row>
    <row r="95" customFormat="false" ht="21" hidden="false" customHeight="true" outlineLevel="0" collapsed="false">
      <c r="B95" s="41"/>
      <c r="C95" s="9"/>
      <c r="D95" s="9"/>
      <c r="E95" s="42"/>
      <c r="F95" s="43"/>
      <c r="G95" s="27" t="str">
        <f aca="false">IF(OR(C95="",AND(D95="",F95="")),"",IF(N(E95)=0,1,E95)*IF(F95="",IFERROR(N(INDEX(Produtos!$L$5:$L$104,MATCH(D95,Produtos!$B$5:$B$104,0))),0),F95))</f>
        <v/>
      </c>
      <c r="H95" s="27" t="str">
        <f aca="false">IF(G95="","",IF(N(E95)=0,1,E95)*IFERROR(N(INDEX(Produtos!$G$5:$G$104,MATCH(D95,Produtos!$B$5:$B$104,0))),0))</f>
        <v/>
      </c>
      <c r="I95" s="27" t="str">
        <f aca="false">IF(G95="","",G95-H95)</f>
        <v/>
      </c>
      <c r="J95" s="42"/>
    </row>
    <row r="96" customFormat="false" ht="21" hidden="false" customHeight="true" outlineLevel="0" collapsed="false">
      <c r="B96" s="41"/>
      <c r="C96" s="9"/>
      <c r="D96" s="9"/>
      <c r="E96" s="42"/>
      <c r="F96" s="43"/>
      <c r="G96" s="27" t="str">
        <f aca="false">IF(OR(C96="",AND(D96="",F96="")),"",IF(N(E96)=0,1,E96)*IF(F96="",IFERROR(N(INDEX(Produtos!$L$5:$L$104,MATCH(D96,Produtos!$B$5:$B$104,0))),0),F96))</f>
        <v/>
      </c>
      <c r="H96" s="27" t="str">
        <f aca="false">IF(G96="","",IF(N(E96)=0,1,E96)*IFERROR(N(INDEX(Produtos!$G$5:$G$104,MATCH(D96,Produtos!$B$5:$B$104,0))),0))</f>
        <v/>
      </c>
      <c r="I96" s="27" t="str">
        <f aca="false">IF(G96="","",G96-H96)</f>
        <v/>
      </c>
      <c r="J96" s="42"/>
    </row>
    <row r="97" customFormat="false" ht="21" hidden="false" customHeight="true" outlineLevel="0" collapsed="false">
      <c r="B97" s="41"/>
      <c r="C97" s="9"/>
      <c r="D97" s="9"/>
      <c r="E97" s="42"/>
      <c r="F97" s="43"/>
      <c r="G97" s="27" t="str">
        <f aca="false">IF(OR(C97="",AND(D97="",F97="")),"",IF(N(E97)=0,1,E97)*IF(F97="",IFERROR(N(INDEX(Produtos!$L$5:$L$104,MATCH(D97,Produtos!$B$5:$B$104,0))),0),F97))</f>
        <v/>
      </c>
      <c r="H97" s="27" t="str">
        <f aca="false">IF(G97="","",IF(N(E97)=0,1,E97)*IFERROR(N(INDEX(Produtos!$G$5:$G$104,MATCH(D97,Produtos!$B$5:$B$104,0))),0))</f>
        <v/>
      </c>
      <c r="I97" s="27" t="str">
        <f aca="false">IF(G97="","",G97-H97)</f>
        <v/>
      </c>
      <c r="J97" s="42"/>
    </row>
    <row r="98" customFormat="false" ht="21" hidden="false" customHeight="true" outlineLevel="0" collapsed="false">
      <c r="B98" s="41"/>
      <c r="C98" s="9"/>
      <c r="D98" s="9"/>
      <c r="E98" s="42"/>
      <c r="F98" s="43"/>
      <c r="G98" s="27" t="str">
        <f aca="false">IF(OR(C98="",AND(D98="",F98="")),"",IF(N(E98)=0,1,E98)*IF(F98="",IFERROR(N(INDEX(Produtos!$L$5:$L$104,MATCH(D98,Produtos!$B$5:$B$104,0))),0),F98))</f>
        <v/>
      </c>
      <c r="H98" s="27" t="str">
        <f aca="false">IF(G98="","",IF(N(E98)=0,1,E98)*IFERROR(N(INDEX(Produtos!$G$5:$G$104,MATCH(D98,Produtos!$B$5:$B$104,0))),0))</f>
        <v/>
      </c>
      <c r="I98" s="27" t="str">
        <f aca="false">IF(G98="","",G98-H98)</f>
        <v/>
      </c>
      <c r="J98" s="42"/>
    </row>
    <row r="99" customFormat="false" ht="21" hidden="false" customHeight="true" outlineLevel="0" collapsed="false">
      <c r="B99" s="41"/>
      <c r="C99" s="9"/>
      <c r="D99" s="9"/>
      <c r="E99" s="42"/>
      <c r="F99" s="43"/>
      <c r="G99" s="27" t="str">
        <f aca="false">IF(OR(C99="",AND(D99="",F99="")),"",IF(N(E99)=0,1,E99)*IF(F99="",IFERROR(N(INDEX(Produtos!$L$5:$L$104,MATCH(D99,Produtos!$B$5:$B$104,0))),0),F99))</f>
        <v/>
      </c>
      <c r="H99" s="27" t="str">
        <f aca="false">IF(G99="","",IF(N(E99)=0,1,E99)*IFERROR(N(INDEX(Produtos!$G$5:$G$104,MATCH(D99,Produtos!$B$5:$B$104,0))),0))</f>
        <v/>
      </c>
      <c r="I99" s="27" t="str">
        <f aca="false">IF(G99="","",G99-H99)</f>
        <v/>
      </c>
      <c r="J99" s="42"/>
    </row>
    <row r="100" customFormat="false" ht="21" hidden="false" customHeight="true" outlineLevel="0" collapsed="false">
      <c r="B100" s="41"/>
      <c r="C100" s="9"/>
      <c r="D100" s="9"/>
      <c r="E100" s="42"/>
      <c r="F100" s="43"/>
      <c r="G100" s="27" t="str">
        <f aca="false">IF(OR(C100="",AND(D100="",F100="")),"",IF(N(E100)=0,1,E100)*IF(F100="",IFERROR(N(INDEX(Produtos!$L$5:$L$104,MATCH(D100,Produtos!$B$5:$B$104,0))),0),F100))</f>
        <v/>
      </c>
      <c r="H100" s="27" t="str">
        <f aca="false">IF(G100="","",IF(N(E100)=0,1,E100)*IFERROR(N(INDEX(Produtos!$G$5:$G$104,MATCH(D100,Produtos!$B$5:$B$104,0))),0))</f>
        <v/>
      </c>
      <c r="I100" s="27" t="str">
        <f aca="false">IF(G100="","",G100-H100)</f>
        <v/>
      </c>
      <c r="J100" s="42"/>
    </row>
    <row r="101" customFormat="false" ht="21" hidden="false" customHeight="true" outlineLevel="0" collapsed="false">
      <c r="B101" s="41"/>
      <c r="C101" s="9"/>
      <c r="D101" s="9"/>
      <c r="E101" s="42"/>
      <c r="F101" s="43"/>
      <c r="G101" s="27" t="str">
        <f aca="false">IF(OR(C101="",AND(D101="",F101="")),"",IF(N(E101)=0,1,E101)*IF(F101="",IFERROR(N(INDEX(Produtos!$L$5:$L$104,MATCH(D101,Produtos!$B$5:$B$104,0))),0),F101))</f>
        <v/>
      </c>
      <c r="H101" s="27" t="str">
        <f aca="false">IF(G101="","",IF(N(E101)=0,1,E101)*IFERROR(N(INDEX(Produtos!$G$5:$G$104,MATCH(D101,Produtos!$B$5:$B$104,0))),0))</f>
        <v/>
      </c>
      <c r="I101" s="27" t="str">
        <f aca="false">IF(G101="","",G101-H101)</f>
        <v/>
      </c>
      <c r="J101" s="42"/>
    </row>
    <row r="102" customFormat="false" ht="21" hidden="false" customHeight="true" outlineLevel="0" collapsed="false">
      <c r="B102" s="41"/>
      <c r="C102" s="9"/>
      <c r="D102" s="9"/>
      <c r="E102" s="42"/>
      <c r="F102" s="43"/>
      <c r="G102" s="27" t="str">
        <f aca="false">IF(OR(C102="",AND(D102="",F102="")),"",IF(N(E102)=0,1,E102)*IF(F102="",IFERROR(N(INDEX(Produtos!$L$5:$L$104,MATCH(D102,Produtos!$B$5:$B$104,0))),0),F102))</f>
        <v/>
      </c>
      <c r="H102" s="27" t="str">
        <f aca="false">IF(G102="","",IF(N(E102)=0,1,E102)*IFERROR(N(INDEX(Produtos!$G$5:$G$104,MATCH(D102,Produtos!$B$5:$B$104,0))),0))</f>
        <v/>
      </c>
      <c r="I102" s="27" t="str">
        <f aca="false">IF(G102="","",G102-H102)</f>
        <v/>
      </c>
      <c r="J102" s="42"/>
    </row>
    <row r="103" customFormat="false" ht="21" hidden="false" customHeight="true" outlineLevel="0" collapsed="false">
      <c r="B103" s="41"/>
      <c r="C103" s="9"/>
      <c r="D103" s="9"/>
      <c r="E103" s="42"/>
      <c r="F103" s="43"/>
      <c r="G103" s="27" t="str">
        <f aca="false">IF(OR(C103="",AND(D103="",F103="")),"",IF(N(E103)=0,1,E103)*IF(F103="",IFERROR(N(INDEX(Produtos!$L$5:$L$104,MATCH(D103,Produtos!$B$5:$B$104,0))),0),F103))</f>
        <v/>
      </c>
      <c r="H103" s="27" t="str">
        <f aca="false">IF(G103="","",IF(N(E103)=0,1,E103)*IFERROR(N(INDEX(Produtos!$G$5:$G$104,MATCH(D103,Produtos!$B$5:$B$104,0))),0))</f>
        <v/>
      </c>
      <c r="I103" s="27" t="str">
        <f aca="false">IF(G103="","",G103-H103)</f>
        <v/>
      </c>
      <c r="J103" s="42"/>
    </row>
    <row r="104" customFormat="false" ht="21" hidden="false" customHeight="true" outlineLevel="0" collapsed="false">
      <c r="B104" s="41"/>
      <c r="C104" s="9"/>
      <c r="D104" s="9"/>
      <c r="E104" s="42"/>
      <c r="F104" s="43"/>
      <c r="G104" s="27" t="str">
        <f aca="false">IF(OR(C104="",AND(D104="",F104="")),"",IF(N(E104)=0,1,E104)*IF(F104="",IFERROR(N(INDEX(Produtos!$L$5:$L$104,MATCH(D104,Produtos!$B$5:$B$104,0))),0),F104))</f>
        <v/>
      </c>
      <c r="H104" s="27" t="str">
        <f aca="false">IF(G104="","",IF(N(E104)=0,1,E104)*IFERROR(N(INDEX(Produtos!$G$5:$G$104,MATCH(D104,Produtos!$B$5:$B$104,0))),0))</f>
        <v/>
      </c>
      <c r="I104" s="27" t="str">
        <f aca="false">IF(G104="","",G104-H104)</f>
        <v/>
      </c>
      <c r="J104" s="42"/>
    </row>
    <row r="105" customFormat="false" ht="21" hidden="false" customHeight="true" outlineLevel="0" collapsed="false">
      <c r="B105" s="41"/>
      <c r="C105" s="9"/>
      <c r="D105" s="9"/>
      <c r="E105" s="42"/>
      <c r="F105" s="43"/>
      <c r="G105" s="27" t="str">
        <f aca="false">IF(OR(C105="",AND(D105="",F105="")),"",IF(N(E105)=0,1,E105)*IF(F105="",IFERROR(N(INDEX(Produtos!$L$5:$L$104,MATCH(D105,Produtos!$B$5:$B$104,0))),0),F105))</f>
        <v/>
      </c>
      <c r="H105" s="27" t="str">
        <f aca="false">IF(G105="","",IF(N(E105)=0,1,E105)*IFERROR(N(INDEX(Produtos!$G$5:$G$104,MATCH(D105,Produtos!$B$5:$B$104,0))),0))</f>
        <v/>
      </c>
      <c r="I105" s="27" t="str">
        <f aca="false">IF(G105="","",G105-H105)</f>
        <v/>
      </c>
      <c r="J105" s="42"/>
    </row>
    <row r="106" customFormat="false" ht="21" hidden="false" customHeight="true" outlineLevel="0" collapsed="false">
      <c r="B106" s="41"/>
      <c r="C106" s="9"/>
      <c r="D106" s="9"/>
      <c r="E106" s="42"/>
      <c r="F106" s="43"/>
      <c r="G106" s="27" t="str">
        <f aca="false">IF(OR(C106="",AND(D106="",F106="")),"",IF(N(E106)=0,1,E106)*IF(F106="",IFERROR(N(INDEX(Produtos!$L$5:$L$104,MATCH(D106,Produtos!$B$5:$B$104,0))),0),F106))</f>
        <v/>
      </c>
      <c r="H106" s="27" t="str">
        <f aca="false">IF(G106="","",IF(N(E106)=0,1,E106)*IFERROR(N(INDEX(Produtos!$G$5:$G$104,MATCH(D106,Produtos!$B$5:$B$104,0))),0))</f>
        <v/>
      </c>
      <c r="I106" s="27" t="str">
        <f aca="false">IF(G106="","",G106-H106)</f>
        <v/>
      </c>
      <c r="J106" s="42"/>
    </row>
    <row r="107" customFormat="false" ht="21" hidden="false" customHeight="true" outlineLevel="0" collapsed="false">
      <c r="B107" s="41"/>
      <c r="C107" s="9"/>
      <c r="D107" s="9"/>
      <c r="E107" s="42"/>
      <c r="F107" s="43"/>
      <c r="G107" s="27" t="str">
        <f aca="false">IF(OR(C107="",AND(D107="",F107="")),"",IF(N(E107)=0,1,E107)*IF(F107="",IFERROR(N(INDEX(Produtos!$L$5:$L$104,MATCH(D107,Produtos!$B$5:$B$104,0))),0),F107))</f>
        <v/>
      </c>
      <c r="H107" s="27" t="str">
        <f aca="false">IF(G107="","",IF(N(E107)=0,1,E107)*IFERROR(N(INDEX(Produtos!$G$5:$G$104,MATCH(D107,Produtos!$B$5:$B$104,0))),0))</f>
        <v/>
      </c>
      <c r="I107" s="27" t="str">
        <f aca="false">IF(G107="","",G107-H107)</f>
        <v/>
      </c>
      <c r="J107" s="42"/>
    </row>
    <row r="108" customFormat="false" ht="21" hidden="false" customHeight="true" outlineLevel="0" collapsed="false">
      <c r="B108" s="41"/>
      <c r="C108" s="9"/>
      <c r="D108" s="9"/>
      <c r="E108" s="42"/>
      <c r="F108" s="43"/>
      <c r="G108" s="27" t="str">
        <f aca="false">IF(OR(C108="",AND(D108="",F108="")),"",IF(N(E108)=0,1,E108)*IF(F108="",IFERROR(N(INDEX(Produtos!$L$5:$L$104,MATCH(D108,Produtos!$B$5:$B$104,0))),0),F108))</f>
        <v/>
      </c>
      <c r="H108" s="27" t="str">
        <f aca="false">IF(G108="","",IF(N(E108)=0,1,E108)*IFERROR(N(INDEX(Produtos!$G$5:$G$104,MATCH(D108,Produtos!$B$5:$B$104,0))),0))</f>
        <v/>
      </c>
      <c r="I108" s="27" t="str">
        <f aca="false">IF(G108="","",G108-H108)</f>
        <v/>
      </c>
      <c r="J108" s="42"/>
    </row>
    <row r="109" customFormat="false" ht="21" hidden="false" customHeight="true" outlineLevel="0" collapsed="false">
      <c r="B109" s="41"/>
      <c r="C109" s="9"/>
      <c r="D109" s="9"/>
      <c r="E109" s="42"/>
      <c r="F109" s="43"/>
      <c r="G109" s="27" t="str">
        <f aca="false">IF(OR(C109="",AND(D109="",F109="")),"",IF(N(E109)=0,1,E109)*IF(F109="",IFERROR(N(INDEX(Produtos!$L$5:$L$104,MATCH(D109,Produtos!$B$5:$B$104,0))),0),F109))</f>
        <v/>
      </c>
      <c r="H109" s="27" t="str">
        <f aca="false">IF(G109="","",IF(N(E109)=0,1,E109)*IFERROR(N(INDEX(Produtos!$G$5:$G$104,MATCH(D109,Produtos!$B$5:$B$104,0))),0))</f>
        <v/>
      </c>
      <c r="I109" s="27" t="str">
        <f aca="false">IF(G109="","",G109-H109)</f>
        <v/>
      </c>
      <c r="J109" s="42"/>
    </row>
    <row r="110" customFormat="false" ht="21" hidden="false" customHeight="true" outlineLevel="0" collapsed="false">
      <c r="B110" s="41"/>
      <c r="C110" s="9"/>
      <c r="D110" s="9"/>
      <c r="E110" s="42"/>
      <c r="F110" s="43"/>
      <c r="G110" s="27" t="str">
        <f aca="false">IF(OR(C110="",AND(D110="",F110="")),"",IF(N(E110)=0,1,E110)*IF(F110="",IFERROR(N(INDEX(Produtos!$L$5:$L$104,MATCH(D110,Produtos!$B$5:$B$104,0))),0),F110))</f>
        <v/>
      </c>
      <c r="H110" s="27" t="str">
        <f aca="false">IF(G110="","",IF(N(E110)=0,1,E110)*IFERROR(N(INDEX(Produtos!$G$5:$G$104,MATCH(D110,Produtos!$B$5:$B$104,0))),0))</f>
        <v/>
      </c>
      <c r="I110" s="27" t="str">
        <f aca="false">IF(G110="","",G110-H110)</f>
        <v/>
      </c>
      <c r="J110" s="42"/>
    </row>
    <row r="111" customFormat="false" ht="21" hidden="false" customHeight="true" outlineLevel="0" collapsed="false">
      <c r="B111" s="41"/>
      <c r="C111" s="9"/>
      <c r="D111" s="9"/>
      <c r="E111" s="42"/>
      <c r="F111" s="43"/>
      <c r="G111" s="27" t="str">
        <f aca="false">IF(OR(C111="",AND(D111="",F111="")),"",IF(N(E111)=0,1,E111)*IF(F111="",IFERROR(N(INDEX(Produtos!$L$5:$L$104,MATCH(D111,Produtos!$B$5:$B$104,0))),0),F111))</f>
        <v/>
      </c>
      <c r="H111" s="27" t="str">
        <f aca="false">IF(G111="","",IF(N(E111)=0,1,E111)*IFERROR(N(INDEX(Produtos!$G$5:$G$104,MATCH(D111,Produtos!$B$5:$B$104,0))),0))</f>
        <v/>
      </c>
      <c r="I111" s="27" t="str">
        <f aca="false">IF(G111="","",G111-H111)</f>
        <v/>
      </c>
      <c r="J111" s="42"/>
    </row>
    <row r="112" customFormat="false" ht="21" hidden="false" customHeight="true" outlineLevel="0" collapsed="false">
      <c r="B112" s="41"/>
      <c r="C112" s="9"/>
      <c r="D112" s="9"/>
      <c r="E112" s="42"/>
      <c r="F112" s="43"/>
      <c r="G112" s="27" t="str">
        <f aca="false">IF(OR(C112="",AND(D112="",F112="")),"",IF(N(E112)=0,1,E112)*IF(F112="",IFERROR(N(INDEX(Produtos!$L$5:$L$104,MATCH(D112,Produtos!$B$5:$B$104,0))),0),F112))</f>
        <v/>
      </c>
      <c r="H112" s="27" t="str">
        <f aca="false">IF(G112="","",IF(N(E112)=0,1,E112)*IFERROR(N(INDEX(Produtos!$G$5:$G$104,MATCH(D112,Produtos!$B$5:$B$104,0))),0))</f>
        <v/>
      </c>
      <c r="I112" s="27" t="str">
        <f aca="false">IF(G112="","",G112-H112)</f>
        <v/>
      </c>
      <c r="J112" s="42"/>
    </row>
    <row r="113" customFormat="false" ht="21" hidden="false" customHeight="true" outlineLevel="0" collapsed="false">
      <c r="B113" s="41"/>
      <c r="C113" s="9"/>
      <c r="D113" s="9"/>
      <c r="E113" s="42"/>
      <c r="F113" s="43"/>
      <c r="G113" s="27" t="str">
        <f aca="false">IF(OR(C113="",AND(D113="",F113="")),"",IF(N(E113)=0,1,E113)*IF(F113="",IFERROR(N(INDEX(Produtos!$L$5:$L$104,MATCH(D113,Produtos!$B$5:$B$104,0))),0),F113))</f>
        <v/>
      </c>
      <c r="H113" s="27" t="str">
        <f aca="false">IF(G113="","",IF(N(E113)=0,1,E113)*IFERROR(N(INDEX(Produtos!$G$5:$G$104,MATCH(D113,Produtos!$B$5:$B$104,0))),0))</f>
        <v/>
      </c>
      <c r="I113" s="27" t="str">
        <f aca="false">IF(G113="","",G113-H113)</f>
        <v/>
      </c>
      <c r="J113" s="42"/>
    </row>
    <row r="114" customFormat="false" ht="21" hidden="false" customHeight="true" outlineLevel="0" collapsed="false">
      <c r="B114" s="41"/>
      <c r="C114" s="9"/>
      <c r="D114" s="9"/>
      <c r="E114" s="42"/>
      <c r="F114" s="43"/>
      <c r="G114" s="27" t="str">
        <f aca="false">IF(OR(C114="",AND(D114="",F114="")),"",IF(N(E114)=0,1,E114)*IF(F114="",IFERROR(N(INDEX(Produtos!$L$5:$L$104,MATCH(D114,Produtos!$B$5:$B$104,0))),0),F114))</f>
        <v/>
      </c>
      <c r="H114" s="27" t="str">
        <f aca="false">IF(G114="","",IF(N(E114)=0,1,E114)*IFERROR(N(INDEX(Produtos!$G$5:$G$104,MATCH(D114,Produtos!$B$5:$B$104,0))),0))</f>
        <v/>
      </c>
      <c r="I114" s="27" t="str">
        <f aca="false">IF(G114="","",G114-H114)</f>
        <v/>
      </c>
      <c r="J114" s="42"/>
    </row>
    <row r="115" customFormat="false" ht="21" hidden="false" customHeight="true" outlineLevel="0" collapsed="false">
      <c r="B115" s="41"/>
      <c r="C115" s="9"/>
      <c r="D115" s="9"/>
      <c r="E115" s="42"/>
      <c r="F115" s="43"/>
      <c r="G115" s="27" t="str">
        <f aca="false">IF(OR(C115="",AND(D115="",F115="")),"",IF(N(E115)=0,1,E115)*IF(F115="",IFERROR(N(INDEX(Produtos!$L$5:$L$104,MATCH(D115,Produtos!$B$5:$B$104,0))),0),F115))</f>
        <v/>
      </c>
      <c r="H115" s="27" t="str">
        <f aca="false">IF(G115="","",IF(N(E115)=0,1,E115)*IFERROR(N(INDEX(Produtos!$G$5:$G$104,MATCH(D115,Produtos!$B$5:$B$104,0))),0))</f>
        <v/>
      </c>
      <c r="I115" s="27" t="str">
        <f aca="false">IF(G115="","",G115-H115)</f>
        <v/>
      </c>
      <c r="J115" s="42"/>
    </row>
    <row r="116" customFormat="false" ht="21" hidden="false" customHeight="true" outlineLevel="0" collapsed="false">
      <c r="B116" s="41"/>
      <c r="C116" s="9"/>
      <c r="D116" s="9"/>
      <c r="E116" s="42"/>
      <c r="F116" s="43"/>
      <c r="G116" s="27" t="str">
        <f aca="false">IF(OR(C116="",AND(D116="",F116="")),"",IF(N(E116)=0,1,E116)*IF(F116="",IFERROR(N(INDEX(Produtos!$L$5:$L$104,MATCH(D116,Produtos!$B$5:$B$104,0))),0),F116))</f>
        <v/>
      </c>
      <c r="H116" s="27" t="str">
        <f aca="false">IF(G116="","",IF(N(E116)=0,1,E116)*IFERROR(N(INDEX(Produtos!$G$5:$G$104,MATCH(D116,Produtos!$B$5:$B$104,0))),0))</f>
        <v/>
      </c>
      <c r="I116" s="27" t="str">
        <f aca="false">IF(G116="","",G116-H116)</f>
        <v/>
      </c>
      <c r="J116" s="42"/>
    </row>
    <row r="117" customFormat="false" ht="21" hidden="false" customHeight="true" outlineLevel="0" collapsed="false">
      <c r="B117" s="41"/>
      <c r="C117" s="9"/>
      <c r="D117" s="9"/>
      <c r="E117" s="42"/>
      <c r="F117" s="43"/>
      <c r="G117" s="27" t="str">
        <f aca="false">IF(OR(C117="",AND(D117="",F117="")),"",IF(N(E117)=0,1,E117)*IF(F117="",IFERROR(N(INDEX(Produtos!$L$5:$L$104,MATCH(D117,Produtos!$B$5:$B$104,0))),0),F117))</f>
        <v/>
      </c>
      <c r="H117" s="27" t="str">
        <f aca="false">IF(G117="","",IF(N(E117)=0,1,E117)*IFERROR(N(INDEX(Produtos!$G$5:$G$104,MATCH(D117,Produtos!$B$5:$B$104,0))),0))</f>
        <v/>
      </c>
      <c r="I117" s="27" t="str">
        <f aca="false">IF(G117="","",G117-H117)</f>
        <v/>
      </c>
      <c r="J117" s="42"/>
    </row>
    <row r="118" customFormat="false" ht="21" hidden="false" customHeight="true" outlineLevel="0" collapsed="false">
      <c r="B118" s="41"/>
      <c r="C118" s="9"/>
      <c r="D118" s="9"/>
      <c r="E118" s="42"/>
      <c r="F118" s="43"/>
      <c r="G118" s="27" t="str">
        <f aca="false">IF(OR(C118="",AND(D118="",F118="")),"",IF(N(E118)=0,1,E118)*IF(F118="",IFERROR(N(INDEX(Produtos!$L$5:$L$104,MATCH(D118,Produtos!$B$5:$B$104,0))),0),F118))</f>
        <v/>
      </c>
      <c r="H118" s="27" t="str">
        <f aca="false">IF(G118="","",IF(N(E118)=0,1,E118)*IFERROR(N(INDEX(Produtos!$G$5:$G$104,MATCH(D118,Produtos!$B$5:$B$104,0))),0))</f>
        <v/>
      </c>
      <c r="I118" s="27" t="str">
        <f aca="false">IF(G118="","",G118-H118)</f>
        <v/>
      </c>
      <c r="J118" s="42"/>
    </row>
    <row r="119" customFormat="false" ht="21" hidden="false" customHeight="true" outlineLevel="0" collapsed="false">
      <c r="B119" s="41"/>
      <c r="C119" s="9"/>
      <c r="D119" s="9"/>
      <c r="E119" s="42"/>
      <c r="F119" s="43"/>
      <c r="G119" s="27" t="str">
        <f aca="false">IF(OR(C119="",AND(D119="",F119="")),"",IF(N(E119)=0,1,E119)*IF(F119="",IFERROR(N(INDEX(Produtos!$L$5:$L$104,MATCH(D119,Produtos!$B$5:$B$104,0))),0),F119))</f>
        <v/>
      </c>
      <c r="H119" s="27" t="str">
        <f aca="false">IF(G119="","",IF(N(E119)=0,1,E119)*IFERROR(N(INDEX(Produtos!$G$5:$G$104,MATCH(D119,Produtos!$B$5:$B$104,0))),0))</f>
        <v/>
      </c>
      <c r="I119" s="27" t="str">
        <f aca="false">IF(G119="","",G119-H119)</f>
        <v/>
      </c>
      <c r="J119" s="42"/>
    </row>
    <row r="120" customFormat="false" ht="21" hidden="false" customHeight="true" outlineLevel="0" collapsed="false">
      <c r="B120" s="41"/>
      <c r="C120" s="9"/>
      <c r="D120" s="9"/>
      <c r="E120" s="42"/>
      <c r="F120" s="43"/>
      <c r="G120" s="27" t="str">
        <f aca="false">IF(OR(C120="",AND(D120="",F120="")),"",IF(N(E120)=0,1,E120)*IF(F120="",IFERROR(N(INDEX(Produtos!$L$5:$L$104,MATCH(D120,Produtos!$B$5:$B$104,0))),0),F120))</f>
        <v/>
      </c>
      <c r="H120" s="27" t="str">
        <f aca="false">IF(G120="","",IF(N(E120)=0,1,E120)*IFERROR(N(INDEX(Produtos!$G$5:$G$104,MATCH(D120,Produtos!$B$5:$B$104,0))),0))</f>
        <v/>
      </c>
      <c r="I120" s="27" t="str">
        <f aca="false">IF(G120="","",G120-H120)</f>
        <v/>
      </c>
      <c r="J120" s="42"/>
    </row>
    <row r="121" customFormat="false" ht="21" hidden="false" customHeight="true" outlineLevel="0" collapsed="false">
      <c r="B121" s="41"/>
      <c r="C121" s="9"/>
      <c r="D121" s="9"/>
      <c r="E121" s="42"/>
      <c r="F121" s="43"/>
      <c r="G121" s="27" t="str">
        <f aca="false">IF(OR(C121="",AND(D121="",F121="")),"",IF(N(E121)=0,1,E121)*IF(F121="",IFERROR(N(INDEX(Produtos!$L$5:$L$104,MATCH(D121,Produtos!$B$5:$B$104,0))),0),F121))</f>
        <v/>
      </c>
      <c r="H121" s="27" t="str">
        <f aca="false">IF(G121="","",IF(N(E121)=0,1,E121)*IFERROR(N(INDEX(Produtos!$G$5:$G$104,MATCH(D121,Produtos!$B$5:$B$104,0))),0))</f>
        <v/>
      </c>
      <c r="I121" s="27" t="str">
        <f aca="false">IF(G121="","",G121-H121)</f>
        <v/>
      </c>
      <c r="J121" s="42"/>
    </row>
    <row r="122" customFormat="false" ht="21" hidden="false" customHeight="true" outlineLevel="0" collapsed="false">
      <c r="B122" s="41"/>
      <c r="C122" s="9"/>
      <c r="D122" s="9"/>
      <c r="E122" s="42"/>
      <c r="F122" s="43"/>
      <c r="G122" s="27" t="str">
        <f aca="false">IF(OR(C122="",AND(D122="",F122="")),"",IF(N(E122)=0,1,E122)*IF(F122="",IFERROR(N(INDEX(Produtos!$L$5:$L$104,MATCH(D122,Produtos!$B$5:$B$104,0))),0),F122))</f>
        <v/>
      </c>
      <c r="H122" s="27" t="str">
        <f aca="false">IF(G122="","",IF(N(E122)=0,1,E122)*IFERROR(N(INDEX(Produtos!$G$5:$G$104,MATCH(D122,Produtos!$B$5:$B$104,0))),0))</f>
        <v/>
      </c>
      <c r="I122" s="27" t="str">
        <f aca="false">IF(G122="","",G122-H122)</f>
        <v/>
      </c>
      <c r="J122" s="42"/>
    </row>
    <row r="123" customFormat="false" ht="21" hidden="false" customHeight="true" outlineLevel="0" collapsed="false">
      <c r="B123" s="41"/>
      <c r="C123" s="9"/>
      <c r="D123" s="9"/>
      <c r="E123" s="42"/>
      <c r="F123" s="43"/>
      <c r="G123" s="27" t="str">
        <f aca="false">IF(OR(C123="",AND(D123="",F123="")),"",IF(N(E123)=0,1,E123)*IF(F123="",IFERROR(N(INDEX(Produtos!$L$5:$L$104,MATCH(D123,Produtos!$B$5:$B$104,0))),0),F123))</f>
        <v/>
      </c>
      <c r="H123" s="27" t="str">
        <f aca="false">IF(G123="","",IF(N(E123)=0,1,E123)*IFERROR(N(INDEX(Produtos!$G$5:$G$104,MATCH(D123,Produtos!$B$5:$B$104,0))),0))</f>
        <v/>
      </c>
      <c r="I123" s="27" t="str">
        <f aca="false">IF(G123="","",G123-H123)</f>
        <v/>
      </c>
      <c r="J123" s="42"/>
    </row>
    <row r="124" customFormat="false" ht="21" hidden="false" customHeight="true" outlineLevel="0" collapsed="false">
      <c r="B124" s="41"/>
      <c r="C124" s="9"/>
      <c r="D124" s="9"/>
      <c r="E124" s="42"/>
      <c r="F124" s="43"/>
      <c r="G124" s="27" t="str">
        <f aca="false">IF(OR(C124="",AND(D124="",F124="")),"",IF(N(E124)=0,1,E124)*IF(F124="",IFERROR(N(INDEX(Produtos!$L$5:$L$104,MATCH(D124,Produtos!$B$5:$B$104,0))),0),F124))</f>
        <v/>
      </c>
      <c r="H124" s="27" t="str">
        <f aca="false">IF(G124="","",IF(N(E124)=0,1,E124)*IFERROR(N(INDEX(Produtos!$G$5:$G$104,MATCH(D124,Produtos!$B$5:$B$104,0))),0))</f>
        <v/>
      </c>
      <c r="I124" s="27" t="str">
        <f aca="false">IF(G124="","",G124-H124)</f>
        <v/>
      </c>
      <c r="J124" s="42"/>
    </row>
    <row r="125" customFormat="false" ht="21" hidden="false" customHeight="true" outlineLevel="0" collapsed="false">
      <c r="B125" s="41"/>
      <c r="C125" s="9"/>
      <c r="D125" s="9"/>
      <c r="E125" s="42"/>
      <c r="F125" s="43"/>
      <c r="G125" s="27" t="str">
        <f aca="false">IF(OR(C125="",AND(D125="",F125="")),"",IF(N(E125)=0,1,E125)*IF(F125="",IFERROR(N(INDEX(Produtos!$L$5:$L$104,MATCH(D125,Produtos!$B$5:$B$104,0))),0),F125))</f>
        <v/>
      </c>
      <c r="H125" s="27" t="str">
        <f aca="false">IF(G125="","",IF(N(E125)=0,1,E125)*IFERROR(N(INDEX(Produtos!$G$5:$G$104,MATCH(D125,Produtos!$B$5:$B$104,0))),0))</f>
        <v/>
      </c>
      <c r="I125" s="27" t="str">
        <f aca="false">IF(G125="","",G125-H125)</f>
        <v/>
      </c>
      <c r="J125" s="42"/>
    </row>
    <row r="126" customFormat="false" ht="21" hidden="false" customHeight="true" outlineLevel="0" collapsed="false">
      <c r="B126" s="41"/>
      <c r="C126" s="9"/>
      <c r="D126" s="9"/>
      <c r="E126" s="42"/>
      <c r="F126" s="43"/>
      <c r="G126" s="27" t="str">
        <f aca="false">IF(OR(C126="",AND(D126="",F126="")),"",IF(N(E126)=0,1,E126)*IF(F126="",IFERROR(N(INDEX(Produtos!$L$5:$L$104,MATCH(D126,Produtos!$B$5:$B$104,0))),0),F126))</f>
        <v/>
      </c>
      <c r="H126" s="27" t="str">
        <f aca="false">IF(G126="","",IF(N(E126)=0,1,E126)*IFERROR(N(INDEX(Produtos!$G$5:$G$104,MATCH(D126,Produtos!$B$5:$B$104,0))),0))</f>
        <v/>
      </c>
      <c r="I126" s="27" t="str">
        <f aca="false">IF(G126="","",G126-H126)</f>
        <v/>
      </c>
      <c r="J126" s="42"/>
    </row>
    <row r="127" customFormat="false" ht="21" hidden="false" customHeight="true" outlineLevel="0" collapsed="false">
      <c r="B127" s="41"/>
      <c r="C127" s="9"/>
      <c r="D127" s="9"/>
      <c r="E127" s="42"/>
      <c r="F127" s="43"/>
      <c r="G127" s="27" t="str">
        <f aca="false">IF(OR(C127="",AND(D127="",F127="")),"",IF(N(E127)=0,1,E127)*IF(F127="",IFERROR(N(INDEX(Produtos!$L$5:$L$104,MATCH(D127,Produtos!$B$5:$B$104,0))),0),F127))</f>
        <v/>
      </c>
      <c r="H127" s="27" t="str">
        <f aca="false">IF(G127="","",IF(N(E127)=0,1,E127)*IFERROR(N(INDEX(Produtos!$G$5:$G$104,MATCH(D127,Produtos!$B$5:$B$104,0))),0))</f>
        <v/>
      </c>
      <c r="I127" s="27" t="str">
        <f aca="false">IF(G127="","",G127-H127)</f>
        <v/>
      </c>
      <c r="J127" s="42"/>
    </row>
    <row r="128" customFormat="false" ht="21" hidden="false" customHeight="true" outlineLevel="0" collapsed="false">
      <c r="B128" s="41"/>
      <c r="C128" s="9"/>
      <c r="D128" s="9"/>
      <c r="E128" s="42"/>
      <c r="F128" s="43"/>
      <c r="G128" s="27" t="str">
        <f aca="false">IF(OR(C128="",AND(D128="",F128="")),"",IF(N(E128)=0,1,E128)*IF(F128="",IFERROR(N(INDEX(Produtos!$L$5:$L$104,MATCH(D128,Produtos!$B$5:$B$104,0))),0),F128))</f>
        <v/>
      </c>
      <c r="H128" s="27" t="str">
        <f aca="false">IF(G128="","",IF(N(E128)=0,1,E128)*IFERROR(N(INDEX(Produtos!$G$5:$G$104,MATCH(D128,Produtos!$B$5:$B$104,0))),0))</f>
        <v/>
      </c>
      <c r="I128" s="27" t="str">
        <f aca="false">IF(G128="","",G128-H128)</f>
        <v/>
      </c>
      <c r="J128" s="42"/>
    </row>
    <row r="129" customFormat="false" ht="21" hidden="false" customHeight="true" outlineLevel="0" collapsed="false">
      <c r="B129" s="41"/>
      <c r="C129" s="9"/>
      <c r="D129" s="9"/>
      <c r="E129" s="42"/>
      <c r="F129" s="43"/>
      <c r="G129" s="27" t="str">
        <f aca="false">IF(OR(C129="",AND(D129="",F129="")),"",IF(N(E129)=0,1,E129)*IF(F129="",IFERROR(N(INDEX(Produtos!$L$5:$L$104,MATCH(D129,Produtos!$B$5:$B$104,0))),0),F129))</f>
        <v/>
      </c>
      <c r="H129" s="27" t="str">
        <f aca="false">IF(G129="","",IF(N(E129)=0,1,E129)*IFERROR(N(INDEX(Produtos!$G$5:$G$104,MATCH(D129,Produtos!$B$5:$B$104,0))),0))</f>
        <v/>
      </c>
      <c r="I129" s="27" t="str">
        <f aca="false">IF(G129="","",G129-H129)</f>
        <v/>
      </c>
      <c r="J129" s="42"/>
    </row>
    <row r="130" customFormat="false" ht="21" hidden="false" customHeight="true" outlineLevel="0" collapsed="false">
      <c r="B130" s="41"/>
      <c r="C130" s="9"/>
      <c r="D130" s="9"/>
      <c r="E130" s="42"/>
      <c r="F130" s="43"/>
      <c r="G130" s="27" t="str">
        <f aca="false">IF(OR(C130="",AND(D130="",F130="")),"",IF(N(E130)=0,1,E130)*IF(F130="",IFERROR(N(INDEX(Produtos!$L$5:$L$104,MATCH(D130,Produtos!$B$5:$B$104,0))),0),F130))</f>
        <v/>
      </c>
      <c r="H130" s="27" t="str">
        <f aca="false">IF(G130="","",IF(N(E130)=0,1,E130)*IFERROR(N(INDEX(Produtos!$G$5:$G$104,MATCH(D130,Produtos!$B$5:$B$104,0))),0))</f>
        <v/>
      </c>
      <c r="I130" s="27" t="str">
        <f aca="false">IF(G130="","",G130-H130)</f>
        <v/>
      </c>
      <c r="J130" s="42"/>
    </row>
    <row r="131" customFormat="false" ht="21" hidden="false" customHeight="true" outlineLevel="0" collapsed="false">
      <c r="B131" s="41"/>
      <c r="C131" s="9"/>
      <c r="D131" s="9"/>
      <c r="E131" s="42"/>
      <c r="F131" s="43"/>
      <c r="G131" s="27" t="str">
        <f aca="false">IF(OR(C131="",AND(D131="",F131="")),"",IF(N(E131)=0,1,E131)*IF(F131="",IFERROR(N(INDEX(Produtos!$L$5:$L$104,MATCH(D131,Produtos!$B$5:$B$104,0))),0),F131))</f>
        <v/>
      </c>
      <c r="H131" s="27" t="str">
        <f aca="false">IF(G131="","",IF(N(E131)=0,1,E131)*IFERROR(N(INDEX(Produtos!$G$5:$G$104,MATCH(D131,Produtos!$B$5:$B$104,0))),0))</f>
        <v/>
      </c>
      <c r="I131" s="27" t="str">
        <f aca="false">IF(G131="","",G131-H131)</f>
        <v/>
      </c>
      <c r="J131" s="42"/>
    </row>
    <row r="132" customFormat="false" ht="21" hidden="false" customHeight="true" outlineLevel="0" collapsed="false">
      <c r="B132" s="41"/>
      <c r="C132" s="9"/>
      <c r="D132" s="9"/>
      <c r="E132" s="42"/>
      <c r="F132" s="43"/>
      <c r="G132" s="27" t="str">
        <f aca="false">IF(OR(C132="",AND(D132="",F132="")),"",IF(N(E132)=0,1,E132)*IF(F132="",IFERROR(N(INDEX(Produtos!$L$5:$L$104,MATCH(D132,Produtos!$B$5:$B$104,0))),0),F132))</f>
        <v/>
      </c>
      <c r="H132" s="27" t="str">
        <f aca="false">IF(G132="","",IF(N(E132)=0,1,E132)*IFERROR(N(INDEX(Produtos!$G$5:$G$104,MATCH(D132,Produtos!$B$5:$B$104,0))),0))</f>
        <v/>
      </c>
      <c r="I132" s="27" t="str">
        <f aca="false">IF(G132="","",G132-H132)</f>
        <v/>
      </c>
      <c r="J132" s="42"/>
    </row>
    <row r="133" customFormat="false" ht="21" hidden="false" customHeight="true" outlineLevel="0" collapsed="false">
      <c r="B133" s="41"/>
      <c r="C133" s="9"/>
      <c r="D133" s="9"/>
      <c r="E133" s="42"/>
      <c r="F133" s="43"/>
      <c r="G133" s="27" t="str">
        <f aca="false">IF(OR(C133="",AND(D133="",F133="")),"",IF(N(E133)=0,1,E133)*IF(F133="",IFERROR(N(INDEX(Produtos!$L$5:$L$104,MATCH(D133,Produtos!$B$5:$B$104,0))),0),F133))</f>
        <v/>
      </c>
      <c r="H133" s="27" t="str">
        <f aca="false">IF(G133="","",IF(N(E133)=0,1,E133)*IFERROR(N(INDEX(Produtos!$G$5:$G$104,MATCH(D133,Produtos!$B$5:$B$104,0))),0))</f>
        <v/>
      </c>
      <c r="I133" s="27" t="str">
        <f aca="false">IF(G133="","",G133-H133)</f>
        <v/>
      </c>
      <c r="J133" s="42"/>
    </row>
    <row r="134" customFormat="false" ht="21" hidden="false" customHeight="true" outlineLevel="0" collapsed="false">
      <c r="B134" s="41"/>
      <c r="C134" s="9"/>
      <c r="D134" s="9"/>
      <c r="E134" s="42"/>
      <c r="F134" s="43"/>
      <c r="G134" s="27" t="str">
        <f aca="false">IF(OR(C134="",AND(D134="",F134="")),"",IF(N(E134)=0,1,E134)*IF(F134="",IFERROR(N(INDEX(Produtos!$L$5:$L$104,MATCH(D134,Produtos!$B$5:$B$104,0))),0),F134))</f>
        <v/>
      </c>
      <c r="H134" s="27" t="str">
        <f aca="false">IF(G134="","",IF(N(E134)=0,1,E134)*IFERROR(N(INDEX(Produtos!$G$5:$G$104,MATCH(D134,Produtos!$B$5:$B$104,0))),0))</f>
        <v/>
      </c>
      <c r="I134" s="27" t="str">
        <f aca="false">IF(G134="","",G134-H134)</f>
        <v/>
      </c>
      <c r="J134" s="42"/>
    </row>
    <row r="135" customFormat="false" ht="21" hidden="false" customHeight="true" outlineLevel="0" collapsed="false">
      <c r="B135" s="41"/>
      <c r="C135" s="9"/>
      <c r="D135" s="9"/>
      <c r="E135" s="42"/>
      <c r="F135" s="43"/>
      <c r="G135" s="27" t="str">
        <f aca="false">IF(OR(C135="",AND(D135="",F135="")),"",IF(N(E135)=0,1,E135)*IF(F135="",IFERROR(N(INDEX(Produtos!$L$5:$L$104,MATCH(D135,Produtos!$B$5:$B$104,0))),0),F135))</f>
        <v/>
      </c>
      <c r="H135" s="27" t="str">
        <f aca="false">IF(G135="","",IF(N(E135)=0,1,E135)*IFERROR(N(INDEX(Produtos!$G$5:$G$104,MATCH(D135,Produtos!$B$5:$B$104,0))),0))</f>
        <v/>
      </c>
      <c r="I135" s="27" t="str">
        <f aca="false">IF(G135="","",G135-H135)</f>
        <v/>
      </c>
      <c r="J135" s="42"/>
    </row>
    <row r="136" customFormat="false" ht="21" hidden="false" customHeight="true" outlineLevel="0" collapsed="false">
      <c r="B136" s="41"/>
      <c r="C136" s="9"/>
      <c r="D136" s="9"/>
      <c r="E136" s="42"/>
      <c r="F136" s="43"/>
      <c r="G136" s="27" t="str">
        <f aca="false">IF(OR(C136="",AND(D136="",F136="")),"",IF(N(E136)=0,1,E136)*IF(F136="",IFERROR(N(INDEX(Produtos!$L$5:$L$104,MATCH(D136,Produtos!$B$5:$B$104,0))),0),F136))</f>
        <v/>
      </c>
      <c r="H136" s="27" t="str">
        <f aca="false">IF(G136="","",IF(N(E136)=0,1,E136)*IFERROR(N(INDEX(Produtos!$G$5:$G$104,MATCH(D136,Produtos!$B$5:$B$104,0))),0))</f>
        <v/>
      </c>
      <c r="I136" s="27" t="str">
        <f aca="false">IF(G136="","",G136-H136)</f>
        <v/>
      </c>
      <c r="J136" s="42"/>
    </row>
    <row r="137" customFormat="false" ht="21" hidden="false" customHeight="true" outlineLevel="0" collapsed="false">
      <c r="B137" s="41"/>
      <c r="C137" s="9"/>
      <c r="D137" s="9"/>
      <c r="E137" s="42"/>
      <c r="F137" s="43"/>
      <c r="G137" s="27" t="str">
        <f aca="false">IF(OR(C137="",AND(D137="",F137="")),"",IF(N(E137)=0,1,E137)*IF(F137="",IFERROR(N(INDEX(Produtos!$L$5:$L$104,MATCH(D137,Produtos!$B$5:$B$104,0))),0),F137))</f>
        <v/>
      </c>
      <c r="H137" s="27" t="str">
        <f aca="false">IF(G137="","",IF(N(E137)=0,1,E137)*IFERROR(N(INDEX(Produtos!$G$5:$G$104,MATCH(D137,Produtos!$B$5:$B$104,0))),0))</f>
        <v/>
      </c>
      <c r="I137" s="27" t="str">
        <f aca="false">IF(G137="","",G137-H137)</f>
        <v/>
      </c>
      <c r="J137" s="42"/>
    </row>
    <row r="138" customFormat="false" ht="21" hidden="false" customHeight="true" outlineLevel="0" collapsed="false">
      <c r="B138" s="41"/>
      <c r="C138" s="9"/>
      <c r="D138" s="9"/>
      <c r="E138" s="42"/>
      <c r="F138" s="43"/>
      <c r="G138" s="27" t="str">
        <f aca="false">IF(OR(C138="",AND(D138="",F138="")),"",IF(N(E138)=0,1,E138)*IF(F138="",IFERROR(N(INDEX(Produtos!$L$5:$L$104,MATCH(D138,Produtos!$B$5:$B$104,0))),0),F138))</f>
        <v/>
      </c>
      <c r="H138" s="27" t="str">
        <f aca="false">IF(G138="","",IF(N(E138)=0,1,E138)*IFERROR(N(INDEX(Produtos!$G$5:$G$104,MATCH(D138,Produtos!$B$5:$B$104,0))),0))</f>
        <v/>
      </c>
      <c r="I138" s="27" t="str">
        <f aca="false">IF(G138="","",G138-H138)</f>
        <v/>
      </c>
      <c r="J138" s="42"/>
    </row>
    <row r="139" customFormat="false" ht="21" hidden="false" customHeight="true" outlineLevel="0" collapsed="false">
      <c r="B139" s="41"/>
      <c r="C139" s="9"/>
      <c r="D139" s="9"/>
      <c r="E139" s="42"/>
      <c r="F139" s="43"/>
      <c r="G139" s="27" t="str">
        <f aca="false">IF(OR(C139="",AND(D139="",F139="")),"",IF(N(E139)=0,1,E139)*IF(F139="",IFERROR(N(INDEX(Produtos!$L$5:$L$104,MATCH(D139,Produtos!$B$5:$B$104,0))),0),F139))</f>
        <v/>
      </c>
      <c r="H139" s="27" t="str">
        <f aca="false">IF(G139="","",IF(N(E139)=0,1,E139)*IFERROR(N(INDEX(Produtos!$G$5:$G$104,MATCH(D139,Produtos!$B$5:$B$104,0))),0))</f>
        <v/>
      </c>
      <c r="I139" s="27" t="str">
        <f aca="false">IF(G139="","",G139-H139)</f>
        <v/>
      </c>
      <c r="J139" s="42"/>
    </row>
    <row r="140" customFormat="false" ht="21" hidden="false" customHeight="true" outlineLevel="0" collapsed="false">
      <c r="B140" s="41"/>
      <c r="C140" s="9"/>
      <c r="D140" s="9"/>
      <c r="E140" s="42"/>
      <c r="F140" s="43"/>
      <c r="G140" s="27" t="str">
        <f aca="false">IF(OR(C140="",AND(D140="",F140="")),"",IF(N(E140)=0,1,E140)*IF(F140="",IFERROR(N(INDEX(Produtos!$L$5:$L$104,MATCH(D140,Produtos!$B$5:$B$104,0))),0),F140))</f>
        <v/>
      </c>
      <c r="H140" s="27" t="str">
        <f aca="false">IF(G140="","",IF(N(E140)=0,1,E140)*IFERROR(N(INDEX(Produtos!$G$5:$G$104,MATCH(D140,Produtos!$B$5:$B$104,0))),0))</f>
        <v/>
      </c>
      <c r="I140" s="27" t="str">
        <f aca="false">IF(G140="","",G140-H140)</f>
        <v/>
      </c>
      <c r="J140" s="42"/>
    </row>
    <row r="141" customFormat="false" ht="21" hidden="false" customHeight="true" outlineLevel="0" collapsed="false">
      <c r="B141" s="41"/>
      <c r="C141" s="9"/>
      <c r="D141" s="9"/>
      <c r="E141" s="42"/>
      <c r="F141" s="43"/>
      <c r="G141" s="27" t="str">
        <f aca="false">IF(OR(C141="",AND(D141="",F141="")),"",IF(N(E141)=0,1,E141)*IF(F141="",IFERROR(N(INDEX(Produtos!$L$5:$L$104,MATCH(D141,Produtos!$B$5:$B$104,0))),0),F141))</f>
        <v/>
      </c>
      <c r="H141" s="27" t="str">
        <f aca="false">IF(G141="","",IF(N(E141)=0,1,E141)*IFERROR(N(INDEX(Produtos!$G$5:$G$104,MATCH(D141,Produtos!$B$5:$B$104,0))),0))</f>
        <v/>
      </c>
      <c r="I141" s="27" t="str">
        <f aca="false">IF(G141="","",G141-H141)</f>
        <v/>
      </c>
      <c r="J141" s="42"/>
    </row>
    <row r="142" customFormat="false" ht="21" hidden="false" customHeight="true" outlineLevel="0" collapsed="false">
      <c r="B142" s="41"/>
      <c r="C142" s="9"/>
      <c r="D142" s="9"/>
      <c r="E142" s="42"/>
      <c r="F142" s="43"/>
      <c r="G142" s="27" t="str">
        <f aca="false">IF(OR(C142="",AND(D142="",F142="")),"",IF(N(E142)=0,1,E142)*IF(F142="",IFERROR(N(INDEX(Produtos!$L$5:$L$104,MATCH(D142,Produtos!$B$5:$B$104,0))),0),F142))</f>
        <v/>
      </c>
      <c r="H142" s="27" t="str">
        <f aca="false">IF(G142="","",IF(N(E142)=0,1,E142)*IFERROR(N(INDEX(Produtos!$G$5:$G$104,MATCH(D142,Produtos!$B$5:$B$104,0))),0))</f>
        <v/>
      </c>
      <c r="I142" s="27" t="str">
        <f aca="false">IF(G142="","",G142-H142)</f>
        <v/>
      </c>
      <c r="J142" s="42"/>
    </row>
    <row r="143" customFormat="false" ht="21" hidden="false" customHeight="true" outlineLevel="0" collapsed="false">
      <c r="B143" s="41"/>
      <c r="C143" s="9"/>
      <c r="D143" s="9"/>
      <c r="E143" s="42"/>
      <c r="F143" s="43"/>
      <c r="G143" s="27" t="str">
        <f aca="false">IF(OR(C143="",AND(D143="",F143="")),"",IF(N(E143)=0,1,E143)*IF(F143="",IFERROR(N(INDEX(Produtos!$L$5:$L$104,MATCH(D143,Produtos!$B$5:$B$104,0))),0),F143))</f>
        <v/>
      </c>
      <c r="H143" s="27" t="str">
        <f aca="false">IF(G143="","",IF(N(E143)=0,1,E143)*IFERROR(N(INDEX(Produtos!$G$5:$G$104,MATCH(D143,Produtos!$B$5:$B$104,0))),0))</f>
        <v/>
      </c>
      <c r="I143" s="27" t="str">
        <f aca="false">IF(G143="","",G143-H143)</f>
        <v/>
      </c>
      <c r="J143" s="42"/>
    </row>
    <row r="144" customFormat="false" ht="21" hidden="false" customHeight="true" outlineLevel="0" collapsed="false">
      <c r="B144" s="41"/>
      <c r="C144" s="9"/>
      <c r="D144" s="9"/>
      <c r="E144" s="42"/>
      <c r="F144" s="43"/>
      <c r="G144" s="27" t="str">
        <f aca="false">IF(OR(C144="",AND(D144="",F144="")),"",IF(N(E144)=0,1,E144)*IF(F144="",IFERROR(N(INDEX(Produtos!$L$5:$L$104,MATCH(D144,Produtos!$B$5:$B$104,0))),0),F144))</f>
        <v/>
      </c>
      <c r="H144" s="27" t="str">
        <f aca="false">IF(G144="","",IF(N(E144)=0,1,E144)*IFERROR(N(INDEX(Produtos!$G$5:$G$104,MATCH(D144,Produtos!$B$5:$B$104,0))),0))</f>
        <v/>
      </c>
      <c r="I144" s="27" t="str">
        <f aca="false">IF(G144="","",G144-H144)</f>
        <v/>
      </c>
      <c r="J144" s="42"/>
    </row>
    <row r="145" customFormat="false" ht="21" hidden="false" customHeight="true" outlineLevel="0" collapsed="false">
      <c r="B145" s="41"/>
      <c r="C145" s="9"/>
      <c r="D145" s="9"/>
      <c r="E145" s="42"/>
      <c r="F145" s="43"/>
      <c r="G145" s="27" t="str">
        <f aca="false">IF(OR(C145="",AND(D145="",F145="")),"",IF(N(E145)=0,1,E145)*IF(F145="",IFERROR(N(INDEX(Produtos!$L$5:$L$104,MATCH(D145,Produtos!$B$5:$B$104,0))),0),F145))</f>
        <v/>
      </c>
      <c r="H145" s="27" t="str">
        <f aca="false">IF(G145="","",IF(N(E145)=0,1,E145)*IFERROR(N(INDEX(Produtos!$G$5:$G$104,MATCH(D145,Produtos!$B$5:$B$104,0))),0))</f>
        <v/>
      </c>
      <c r="I145" s="27" t="str">
        <f aca="false">IF(G145="","",G145-H145)</f>
        <v/>
      </c>
      <c r="J145" s="42"/>
    </row>
    <row r="146" customFormat="false" ht="21" hidden="false" customHeight="true" outlineLevel="0" collapsed="false">
      <c r="B146" s="41"/>
      <c r="C146" s="9"/>
      <c r="D146" s="9"/>
      <c r="E146" s="42"/>
      <c r="F146" s="43"/>
      <c r="G146" s="27" t="str">
        <f aca="false">IF(OR(C146="",AND(D146="",F146="")),"",IF(N(E146)=0,1,E146)*IF(F146="",IFERROR(N(INDEX(Produtos!$L$5:$L$104,MATCH(D146,Produtos!$B$5:$B$104,0))),0),F146))</f>
        <v/>
      </c>
      <c r="H146" s="27" t="str">
        <f aca="false">IF(G146="","",IF(N(E146)=0,1,E146)*IFERROR(N(INDEX(Produtos!$G$5:$G$104,MATCH(D146,Produtos!$B$5:$B$104,0))),0))</f>
        <v/>
      </c>
      <c r="I146" s="27" t="str">
        <f aca="false">IF(G146="","",G146-H146)</f>
        <v/>
      </c>
      <c r="J146" s="42"/>
    </row>
    <row r="147" customFormat="false" ht="21" hidden="false" customHeight="true" outlineLevel="0" collapsed="false">
      <c r="B147" s="41"/>
      <c r="C147" s="9"/>
      <c r="D147" s="9"/>
      <c r="E147" s="42"/>
      <c r="F147" s="43"/>
      <c r="G147" s="27" t="str">
        <f aca="false">IF(OR(C147="",AND(D147="",F147="")),"",IF(N(E147)=0,1,E147)*IF(F147="",IFERROR(N(INDEX(Produtos!$L$5:$L$104,MATCH(D147,Produtos!$B$5:$B$104,0))),0),F147))</f>
        <v/>
      </c>
      <c r="H147" s="27" t="str">
        <f aca="false">IF(G147="","",IF(N(E147)=0,1,E147)*IFERROR(N(INDEX(Produtos!$G$5:$G$104,MATCH(D147,Produtos!$B$5:$B$104,0))),0))</f>
        <v/>
      </c>
      <c r="I147" s="27" t="str">
        <f aca="false">IF(G147="","",G147-H147)</f>
        <v/>
      </c>
      <c r="J147" s="42"/>
    </row>
    <row r="148" customFormat="false" ht="21" hidden="false" customHeight="true" outlineLevel="0" collapsed="false">
      <c r="B148" s="41"/>
      <c r="C148" s="9"/>
      <c r="D148" s="9"/>
      <c r="E148" s="42"/>
      <c r="F148" s="43"/>
      <c r="G148" s="27" t="str">
        <f aca="false">IF(OR(C148="",AND(D148="",F148="")),"",IF(N(E148)=0,1,E148)*IF(F148="",IFERROR(N(INDEX(Produtos!$L$5:$L$104,MATCH(D148,Produtos!$B$5:$B$104,0))),0),F148))</f>
        <v/>
      </c>
      <c r="H148" s="27" t="str">
        <f aca="false">IF(G148="","",IF(N(E148)=0,1,E148)*IFERROR(N(INDEX(Produtos!$G$5:$G$104,MATCH(D148,Produtos!$B$5:$B$104,0))),0))</f>
        <v/>
      </c>
      <c r="I148" s="27" t="str">
        <f aca="false">IF(G148="","",G148-H148)</f>
        <v/>
      </c>
      <c r="J148" s="42"/>
    </row>
    <row r="149" customFormat="false" ht="21" hidden="false" customHeight="true" outlineLevel="0" collapsed="false">
      <c r="B149" s="41"/>
      <c r="C149" s="9"/>
      <c r="D149" s="9"/>
      <c r="E149" s="42"/>
      <c r="F149" s="43"/>
      <c r="G149" s="27" t="str">
        <f aca="false">IF(OR(C149="",AND(D149="",F149="")),"",IF(N(E149)=0,1,E149)*IF(F149="",IFERROR(N(INDEX(Produtos!$L$5:$L$104,MATCH(D149,Produtos!$B$5:$B$104,0))),0),F149))</f>
        <v/>
      </c>
      <c r="H149" s="27" t="str">
        <f aca="false">IF(G149="","",IF(N(E149)=0,1,E149)*IFERROR(N(INDEX(Produtos!$G$5:$G$104,MATCH(D149,Produtos!$B$5:$B$104,0))),0))</f>
        <v/>
      </c>
      <c r="I149" s="27" t="str">
        <f aca="false">IF(G149="","",G149-H149)</f>
        <v/>
      </c>
      <c r="J149" s="42"/>
    </row>
    <row r="150" customFormat="false" ht="21" hidden="false" customHeight="true" outlineLevel="0" collapsed="false">
      <c r="B150" s="41"/>
      <c r="C150" s="9"/>
      <c r="D150" s="9"/>
      <c r="E150" s="42"/>
      <c r="F150" s="43"/>
      <c r="G150" s="27" t="str">
        <f aca="false">IF(OR(C150="",AND(D150="",F150="")),"",IF(N(E150)=0,1,E150)*IF(F150="",IFERROR(N(INDEX(Produtos!$L$5:$L$104,MATCH(D150,Produtos!$B$5:$B$104,0))),0),F150))</f>
        <v/>
      </c>
      <c r="H150" s="27" t="str">
        <f aca="false">IF(G150="","",IF(N(E150)=0,1,E150)*IFERROR(N(INDEX(Produtos!$G$5:$G$104,MATCH(D150,Produtos!$B$5:$B$104,0))),0))</f>
        <v/>
      </c>
      <c r="I150" s="27" t="str">
        <f aca="false">IF(G150="","",G150-H150)</f>
        <v/>
      </c>
      <c r="J150" s="42"/>
    </row>
    <row r="151" customFormat="false" ht="21" hidden="false" customHeight="true" outlineLevel="0" collapsed="false">
      <c r="B151" s="41"/>
      <c r="C151" s="9"/>
      <c r="D151" s="9"/>
      <c r="E151" s="42"/>
      <c r="F151" s="43"/>
      <c r="G151" s="27" t="str">
        <f aca="false">IF(OR(C151="",AND(D151="",F151="")),"",IF(N(E151)=0,1,E151)*IF(F151="",IFERROR(N(INDEX(Produtos!$L$5:$L$104,MATCH(D151,Produtos!$B$5:$B$104,0))),0),F151))</f>
        <v/>
      </c>
      <c r="H151" s="27" t="str">
        <f aca="false">IF(G151="","",IF(N(E151)=0,1,E151)*IFERROR(N(INDEX(Produtos!$G$5:$G$104,MATCH(D151,Produtos!$B$5:$B$104,0))),0))</f>
        <v/>
      </c>
      <c r="I151" s="27" t="str">
        <f aca="false">IF(G151="","",G151-H151)</f>
        <v/>
      </c>
      <c r="J151" s="42"/>
    </row>
    <row r="152" customFormat="false" ht="21" hidden="false" customHeight="true" outlineLevel="0" collapsed="false">
      <c r="B152" s="41"/>
      <c r="C152" s="9"/>
      <c r="D152" s="9"/>
      <c r="E152" s="42"/>
      <c r="F152" s="43"/>
      <c r="G152" s="27" t="str">
        <f aca="false">IF(OR(C152="",AND(D152="",F152="")),"",IF(N(E152)=0,1,E152)*IF(F152="",IFERROR(N(INDEX(Produtos!$L$5:$L$104,MATCH(D152,Produtos!$B$5:$B$104,0))),0),F152))</f>
        <v/>
      </c>
      <c r="H152" s="27" t="str">
        <f aca="false">IF(G152="","",IF(N(E152)=0,1,E152)*IFERROR(N(INDEX(Produtos!$G$5:$G$104,MATCH(D152,Produtos!$B$5:$B$104,0))),0))</f>
        <v/>
      </c>
      <c r="I152" s="27" t="str">
        <f aca="false">IF(G152="","",G152-H152)</f>
        <v/>
      </c>
      <c r="J152" s="42"/>
    </row>
    <row r="153" customFormat="false" ht="21" hidden="false" customHeight="true" outlineLevel="0" collapsed="false">
      <c r="B153" s="41"/>
      <c r="C153" s="9"/>
      <c r="D153" s="9"/>
      <c r="E153" s="42"/>
      <c r="F153" s="43"/>
      <c r="G153" s="27" t="str">
        <f aca="false">IF(OR(C153="",AND(D153="",F153="")),"",IF(N(E153)=0,1,E153)*IF(F153="",IFERROR(N(INDEX(Produtos!$L$5:$L$104,MATCH(D153,Produtos!$B$5:$B$104,0))),0),F153))</f>
        <v/>
      </c>
      <c r="H153" s="27" t="str">
        <f aca="false">IF(G153="","",IF(N(E153)=0,1,E153)*IFERROR(N(INDEX(Produtos!$G$5:$G$104,MATCH(D153,Produtos!$B$5:$B$104,0))),0))</f>
        <v/>
      </c>
      <c r="I153" s="27" t="str">
        <f aca="false">IF(G153="","",G153-H153)</f>
        <v/>
      </c>
      <c r="J153" s="42"/>
    </row>
    <row r="154" customFormat="false" ht="21" hidden="false" customHeight="true" outlineLevel="0" collapsed="false">
      <c r="B154" s="41"/>
      <c r="C154" s="9"/>
      <c r="D154" s="9"/>
      <c r="E154" s="42"/>
      <c r="F154" s="43"/>
      <c r="G154" s="27" t="str">
        <f aca="false">IF(OR(C154="",AND(D154="",F154="")),"",IF(N(E154)=0,1,E154)*IF(F154="",IFERROR(N(INDEX(Produtos!$L$5:$L$104,MATCH(D154,Produtos!$B$5:$B$104,0))),0),F154))</f>
        <v/>
      </c>
      <c r="H154" s="27" t="str">
        <f aca="false">IF(G154="","",IF(N(E154)=0,1,E154)*IFERROR(N(INDEX(Produtos!$G$5:$G$104,MATCH(D154,Produtos!$B$5:$B$104,0))),0))</f>
        <v/>
      </c>
      <c r="I154" s="27" t="str">
        <f aca="false">IF(G154="","",G154-H154)</f>
        <v/>
      </c>
      <c r="J154" s="42"/>
    </row>
    <row r="155" customFormat="false" ht="21" hidden="false" customHeight="true" outlineLevel="0" collapsed="false">
      <c r="B155" s="41"/>
      <c r="C155" s="9"/>
      <c r="D155" s="9"/>
      <c r="E155" s="42"/>
      <c r="F155" s="43"/>
      <c r="G155" s="27" t="str">
        <f aca="false">IF(OR(C155="",AND(D155="",F155="")),"",IF(N(E155)=0,1,E155)*IF(F155="",IFERROR(N(INDEX(Produtos!$L$5:$L$104,MATCH(D155,Produtos!$B$5:$B$104,0))),0),F155))</f>
        <v/>
      </c>
      <c r="H155" s="27" t="str">
        <f aca="false">IF(G155="","",IF(N(E155)=0,1,E155)*IFERROR(N(INDEX(Produtos!$G$5:$G$104,MATCH(D155,Produtos!$B$5:$B$104,0))),0))</f>
        <v/>
      </c>
      <c r="I155" s="27" t="str">
        <f aca="false">IF(G155="","",G155-H155)</f>
        <v/>
      </c>
      <c r="J155" s="42"/>
    </row>
    <row r="156" customFormat="false" ht="21" hidden="false" customHeight="true" outlineLevel="0" collapsed="false">
      <c r="B156" s="41"/>
      <c r="C156" s="9"/>
      <c r="D156" s="9"/>
      <c r="E156" s="42"/>
      <c r="F156" s="43"/>
      <c r="G156" s="27" t="str">
        <f aca="false">IF(OR(C156="",AND(D156="",F156="")),"",IF(N(E156)=0,1,E156)*IF(F156="",IFERROR(N(INDEX(Produtos!$L$5:$L$104,MATCH(D156,Produtos!$B$5:$B$104,0))),0),F156))</f>
        <v/>
      </c>
      <c r="H156" s="27" t="str">
        <f aca="false">IF(G156="","",IF(N(E156)=0,1,E156)*IFERROR(N(INDEX(Produtos!$G$5:$G$104,MATCH(D156,Produtos!$B$5:$B$104,0))),0))</f>
        <v/>
      </c>
      <c r="I156" s="27" t="str">
        <f aca="false">IF(G156="","",G156-H156)</f>
        <v/>
      </c>
      <c r="J156" s="42"/>
    </row>
    <row r="157" customFormat="false" ht="21" hidden="false" customHeight="true" outlineLevel="0" collapsed="false">
      <c r="B157" s="41"/>
      <c r="C157" s="9"/>
      <c r="D157" s="9"/>
      <c r="E157" s="42"/>
      <c r="F157" s="43"/>
      <c r="G157" s="27" t="str">
        <f aca="false">IF(OR(C157="",AND(D157="",F157="")),"",IF(N(E157)=0,1,E157)*IF(F157="",IFERROR(N(INDEX(Produtos!$L$5:$L$104,MATCH(D157,Produtos!$B$5:$B$104,0))),0),F157))</f>
        <v/>
      </c>
      <c r="H157" s="27" t="str">
        <f aca="false">IF(G157="","",IF(N(E157)=0,1,E157)*IFERROR(N(INDEX(Produtos!$G$5:$G$104,MATCH(D157,Produtos!$B$5:$B$104,0))),0))</f>
        <v/>
      </c>
      <c r="I157" s="27" t="str">
        <f aca="false">IF(G157="","",G157-H157)</f>
        <v/>
      </c>
      <c r="J157" s="42"/>
    </row>
    <row r="158" customFormat="false" ht="21" hidden="false" customHeight="true" outlineLevel="0" collapsed="false">
      <c r="B158" s="41"/>
      <c r="C158" s="9"/>
      <c r="D158" s="9"/>
      <c r="E158" s="42"/>
      <c r="F158" s="43"/>
      <c r="G158" s="27" t="str">
        <f aca="false">IF(OR(C158="",AND(D158="",F158="")),"",IF(N(E158)=0,1,E158)*IF(F158="",IFERROR(N(INDEX(Produtos!$L$5:$L$104,MATCH(D158,Produtos!$B$5:$B$104,0))),0),F158))</f>
        <v/>
      </c>
      <c r="H158" s="27" t="str">
        <f aca="false">IF(G158="","",IF(N(E158)=0,1,E158)*IFERROR(N(INDEX(Produtos!$G$5:$G$104,MATCH(D158,Produtos!$B$5:$B$104,0))),0))</f>
        <v/>
      </c>
      <c r="I158" s="27" t="str">
        <f aca="false">IF(G158="","",G158-H158)</f>
        <v/>
      </c>
      <c r="J158" s="42"/>
    </row>
    <row r="159" customFormat="false" ht="21" hidden="false" customHeight="true" outlineLevel="0" collapsed="false">
      <c r="B159" s="41"/>
      <c r="C159" s="9"/>
      <c r="D159" s="9"/>
      <c r="E159" s="42"/>
      <c r="F159" s="43"/>
      <c r="G159" s="27" t="str">
        <f aca="false">IF(OR(C159="",AND(D159="",F159="")),"",IF(N(E159)=0,1,E159)*IF(F159="",IFERROR(N(INDEX(Produtos!$L$5:$L$104,MATCH(D159,Produtos!$B$5:$B$104,0))),0),F159))</f>
        <v/>
      </c>
      <c r="H159" s="27" t="str">
        <f aca="false">IF(G159="","",IF(N(E159)=0,1,E159)*IFERROR(N(INDEX(Produtos!$G$5:$G$104,MATCH(D159,Produtos!$B$5:$B$104,0))),0))</f>
        <v/>
      </c>
      <c r="I159" s="27" t="str">
        <f aca="false">IF(G159="","",G159-H159)</f>
        <v/>
      </c>
      <c r="J159" s="42"/>
    </row>
    <row r="160" customFormat="false" ht="21" hidden="false" customHeight="true" outlineLevel="0" collapsed="false">
      <c r="B160" s="41"/>
      <c r="C160" s="9"/>
      <c r="D160" s="9"/>
      <c r="E160" s="42"/>
      <c r="F160" s="43"/>
      <c r="G160" s="27" t="str">
        <f aca="false">IF(OR(C160="",AND(D160="",F160="")),"",IF(N(E160)=0,1,E160)*IF(F160="",IFERROR(N(INDEX(Produtos!$L$5:$L$104,MATCH(D160,Produtos!$B$5:$B$104,0))),0),F160))</f>
        <v/>
      </c>
      <c r="H160" s="27" t="str">
        <f aca="false">IF(G160="","",IF(N(E160)=0,1,E160)*IFERROR(N(INDEX(Produtos!$G$5:$G$104,MATCH(D160,Produtos!$B$5:$B$104,0))),0))</f>
        <v/>
      </c>
      <c r="I160" s="27" t="str">
        <f aca="false">IF(G160="","",G160-H160)</f>
        <v/>
      </c>
      <c r="J160" s="42"/>
    </row>
    <row r="161" customFormat="false" ht="21" hidden="false" customHeight="true" outlineLevel="0" collapsed="false">
      <c r="B161" s="41"/>
      <c r="C161" s="9"/>
      <c r="D161" s="9"/>
      <c r="E161" s="42"/>
      <c r="F161" s="43"/>
      <c r="G161" s="27" t="str">
        <f aca="false">IF(OR(C161="",AND(D161="",F161="")),"",IF(N(E161)=0,1,E161)*IF(F161="",IFERROR(N(INDEX(Produtos!$L$5:$L$104,MATCH(D161,Produtos!$B$5:$B$104,0))),0),F161))</f>
        <v/>
      </c>
      <c r="H161" s="27" t="str">
        <f aca="false">IF(G161="","",IF(N(E161)=0,1,E161)*IFERROR(N(INDEX(Produtos!$G$5:$G$104,MATCH(D161,Produtos!$B$5:$B$104,0))),0))</f>
        <v/>
      </c>
      <c r="I161" s="27" t="str">
        <f aca="false">IF(G161="","",G161-H161)</f>
        <v/>
      </c>
      <c r="J161" s="42"/>
    </row>
    <row r="162" customFormat="false" ht="21" hidden="false" customHeight="true" outlineLevel="0" collapsed="false">
      <c r="B162" s="41"/>
      <c r="C162" s="9"/>
      <c r="D162" s="9"/>
      <c r="E162" s="42"/>
      <c r="F162" s="43"/>
      <c r="G162" s="27" t="str">
        <f aca="false">IF(OR(C162="",AND(D162="",F162="")),"",IF(N(E162)=0,1,E162)*IF(F162="",IFERROR(N(INDEX(Produtos!$L$5:$L$104,MATCH(D162,Produtos!$B$5:$B$104,0))),0),F162))</f>
        <v/>
      </c>
      <c r="H162" s="27" t="str">
        <f aca="false">IF(G162="","",IF(N(E162)=0,1,E162)*IFERROR(N(INDEX(Produtos!$G$5:$G$104,MATCH(D162,Produtos!$B$5:$B$104,0))),0))</f>
        <v/>
      </c>
      <c r="I162" s="27" t="str">
        <f aca="false">IF(G162="","",G162-H162)</f>
        <v/>
      </c>
      <c r="J162" s="42"/>
    </row>
    <row r="163" customFormat="false" ht="21" hidden="false" customHeight="true" outlineLevel="0" collapsed="false">
      <c r="B163" s="41"/>
      <c r="C163" s="9"/>
      <c r="D163" s="9"/>
      <c r="E163" s="42"/>
      <c r="F163" s="43"/>
      <c r="G163" s="27" t="str">
        <f aca="false">IF(OR(C163="",AND(D163="",F163="")),"",IF(N(E163)=0,1,E163)*IF(F163="",IFERROR(N(INDEX(Produtos!$L$5:$L$104,MATCH(D163,Produtos!$B$5:$B$104,0))),0),F163))</f>
        <v/>
      </c>
      <c r="H163" s="27" t="str">
        <f aca="false">IF(G163="","",IF(N(E163)=0,1,E163)*IFERROR(N(INDEX(Produtos!$G$5:$G$104,MATCH(D163,Produtos!$B$5:$B$104,0))),0))</f>
        <v/>
      </c>
      <c r="I163" s="27" t="str">
        <f aca="false">IF(G163="","",G163-H163)</f>
        <v/>
      </c>
      <c r="J163" s="42"/>
    </row>
    <row r="164" customFormat="false" ht="21" hidden="false" customHeight="true" outlineLevel="0" collapsed="false">
      <c r="B164" s="41"/>
      <c r="C164" s="9"/>
      <c r="D164" s="9"/>
      <c r="E164" s="42"/>
      <c r="F164" s="43"/>
      <c r="G164" s="27" t="str">
        <f aca="false">IF(OR(C164="",AND(D164="",F164="")),"",IF(N(E164)=0,1,E164)*IF(F164="",IFERROR(N(INDEX(Produtos!$L$5:$L$104,MATCH(D164,Produtos!$B$5:$B$104,0))),0),F164))</f>
        <v/>
      </c>
      <c r="H164" s="27" t="str">
        <f aca="false">IF(G164="","",IF(N(E164)=0,1,E164)*IFERROR(N(INDEX(Produtos!$G$5:$G$104,MATCH(D164,Produtos!$B$5:$B$104,0))),0))</f>
        <v/>
      </c>
      <c r="I164" s="27" t="str">
        <f aca="false">IF(G164="","",G164-H164)</f>
        <v/>
      </c>
      <c r="J164" s="42"/>
    </row>
    <row r="165" customFormat="false" ht="21" hidden="false" customHeight="true" outlineLevel="0" collapsed="false">
      <c r="B165" s="41"/>
      <c r="C165" s="9"/>
      <c r="D165" s="9"/>
      <c r="E165" s="42"/>
      <c r="F165" s="43"/>
      <c r="G165" s="27" t="str">
        <f aca="false">IF(OR(C165="",AND(D165="",F165="")),"",IF(N(E165)=0,1,E165)*IF(F165="",IFERROR(N(INDEX(Produtos!$L$5:$L$104,MATCH(D165,Produtos!$B$5:$B$104,0))),0),F165))</f>
        <v/>
      </c>
      <c r="H165" s="27" t="str">
        <f aca="false">IF(G165="","",IF(N(E165)=0,1,E165)*IFERROR(N(INDEX(Produtos!$G$5:$G$104,MATCH(D165,Produtos!$B$5:$B$104,0))),0))</f>
        <v/>
      </c>
      <c r="I165" s="27" t="str">
        <f aca="false">IF(G165="","",G165-H165)</f>
        <v/>
      </c>
      <c r="J165" s="42"/>
    </row>
    <row r="166" customFormat="false" ht="21" hidden="false" customHeight="true" outlineLevel="0" collapsed="false">
      <c r="B166" s="41"/>
      <c r="C166" s="9"/>
      <c r="D166" s="9"/>
      <c r="E166" s="42"/>
      <c r="F166" s="43"/>
      <c r="G166" s="27" t="str">
        <f aca="false">IF(OR(C166="",AND(D166="",F166="")),"",IF(N(E166)=0,1,E166)*IF(F166="",IFERROR(N(INDEX(Produtos!$L$5:$L$104,MATCH(D166,Produtos!$B$5:$B$104,0))),0),F166))</f>
        <v/>
      </c>
      <c r="H166" s="27" t="str">
        <f aca="false">IF(G166="","",IF(N(E166)=0,1,E166)*IFERROR(N(INDEX(Produtos!$G$5:$G$104,MATCH(D166,Produtos!$B$5:$B$104,0))),0))</f>
        <v/>
      </c>
      <c r="I166" s="27" t="str">
        <f aca="false">IF(G166="","",G166-H166)</f>
        <v/>
      </c>
      <c r="J166" s="42"/>
    </row>
    <row r="167" customFormat="false" ht="21" hidden="false" customHeight="true" outlineLevel="0" collapsed="false">
      <c r="B167" s="41"/>
      <c r="C167" s="9"/>
      <c r="D167" s="9"/>
      <c r="E167" s="42"/>
      <c r="F167" s="43"/>
      <c r="G167" s="27" t="str">
        <f aca="false">IF(OR(C167="",AND(D167="",F167="")),"",IF(N(E167)=0,1,E167)*IF(F167="",IFERROR(N(INDEX(Produtos!$L$5:$L$104,MATCH(D167,Produtos!$B$5:$B$104,0))),0),F167))</f>
        <v/>
      </c>
      <c r="H167" s="27" t="str">
        <f aca="false">IF(G167="","",IF(N(E167)=0,1,E167)*IFERROR(N(INDEX(Produtos!$G$5:$G$104,MATCH(D167,Produtos!$B$5:$B$104,0))),0))</f>
        <v/>
      </c>
      <c r="I167" s="27" t="str">
        <f aca="false">IF(G167="","",G167-H167)</f>
        <v/>
      </c>
      <c r="J167" s="42"/>
    </row>
    <row r="168" customFormat="false" ht="21" hidden="false" customHeight="true" outlineLevel="0" collapsed="false">
      <c r="B168" s="41"/>
      <c r="C168" s="9"/>
      <c r="D168" s="9"/>
      <c r="E168" s="42"/>
      <c r="F168" s="43"/>
      <c r="G168" s="27" t="str">
        <f aca="false">IF(OR(C168="",AND(D168="",F168="")),"",IF(N(E168)=0,1,E168)*IF(F168="",IFERROR(N(INDEX(Produtos!$L$5:$L$104,MATCH(D168,Produtos!$B$5:$B$104,0))),0),F168))</f>
        <v/>
      </c>
      <c r="H168" s="27" t="str">
        <f aca="false">IF(G168="","",IF(N(E168)=0,1,E168)*IFERROR(N(INDEX(Produtos!$G$5:$G$104,MATCH(D168,Produtos!$B$5:$B$104,0))),0))</f>
        <v/>
      </c>
      <c r="I168" s="27" t="str">
        <f aca="false">IF(G168="","",G168-H168)</f>
        <v/>
      </c>
      <c r="J168" s="42"/>
    </row>
    <row r="169" customFormat="false" ht="21" hidden="false" customHeight="true" outlineLevel="0" collapsed="false">
      <c r="B169" s="41"/>
      <c r="C169" s="9"/>
      <c r="D169" s="9"/>
      <c r="E169" s="42"/>
      <c r="F169" s="43"/>
      <c r="G169" s="27" t="str">
        <f aca="false">IF(OR(C169="",AND(D169="",F169="")),"",IF(N(E169)=0,1,E169)*IF(F169="",IFERROR(N(INDEX(Produtos!$L$5:$L$104,MATCH(D169,Produtos!$B$5:$B$104,0))),0),F169))</f>
        <v/>
      </c>
      <c r="H169" s="27" t="str">
        <f aca="false">IF(G169="","",IF(N(E169)=0,1,E169)*IFERROR(N(INDEX(Produtos!$G$5:$G$104,MATCH(D169,Produtos!$B$5:$B$104,0))),0))</f>
        <v/>
      </c>
      <c r="I169" s="27" t="str">
        <f aca="false">IF(G169="","",G169-H169)</f>
        <v/>
      </c>
      <c r="J169" s="42"/>
    </row>
    <row r="170" customFormat="false" ht="21" hidden="false" customHeight="true" outlineLevel="0" collapsed="false">
      <c r="B170" s="41"/>
      <c r="C170" s="9"/>
      <c r="D170" s="9"/>
      <c r="E170" s="42"/>
      <c r="F170" s="43"/>
      <c r="G170" s="27" t="str">
        <f aca="false">IF(OR(C170="",AND(D170="",F170="")),"",IF(N(E170)=0,1,E170)*IF(F170="",IFERROR(N(INDEX(Produtos!$L$5:$L$104,MATCH(D170,Produtos!$B$5:$B$104,0))),0),F170))</f>
        <v/>
      </c>
      <c r="H170" s="27" t="str">
        <f aca="false">IF(G170="","",IF(N(E170)=0,1,E170)*IFERROR(N(INDEX(Produtos!$G$5:$G$104,MATCH(D170,Produtos!$B$5:$B$104,0))),0))</f>
        <v/>
      </c>
      <c r="I170" s="27" t="str">
        <f aca="false">IF(G170="","",G170-H170)</f>
        <v/>
      </c>
      <c r="J170" s="42"/>
    </row>
    <row r="171" customFormat="false" ht="21" hidden="false" customHeight="true" outlineLevel="0" collapsed="false">
      <c r="B171" s="41"/>
      <c r="C171" s="9"/>
      <c r="D171" s="9"/>
      <c r="E171" s="42"/>
      <c r="F171" s="43"/>
      <c r="G171" s="27" t="str">
        <f aca="false">IF(OR(C171="",AND(D171="",F171="")),"",IF(N(E171)=0,1,E171)*IF(F171="",IFERROR(N(INDEX(Produtos!$L$5:$L$104,MATCH(D171,Produtos!$B$5:$B$104,0))),0),F171))</f>
        <v/>
      </c>
      <c r="H171" s="27" t="str">
        <f aca="false">IF(G171="","",IF(N(E171)=0,1,E171)*IFERROR(N(INDEX(Produtos!$G$5:$G$104,MATCH(D171,Produtos!$B$5:$B$104,0))),0))</f>
        <v/>
      </c>
      <c r="I171" s="27" t="str">
        <f aca="false">IF(G171="","",G171-H171)</f>
        <v/>
      </c>
      <c r="J171" s="42"/>
    </row>
    <row r="172" customFormat="false" ht="21" hidden="false" customHeight="true" outlineLevel="0" collapsed="false">
      <c r="B172" s="41"/>
      <c r="C172" s="9"/>
      <c r="D172" s="9"/>
      <c r="E172" s="42"/>
      <c r="F172" s="43"/>
      <c r="G172" s="27" t="str">
        <f aca="false">IF(OR(C172="",AND(D172="",F172="")),"",IF(N(E172)=0,1,E172)*IF(F172="",IFERROR(N(INDEX(Produtos!$L$5:$L$104,MATCH(D172,Produtos!$B$5:$B$104,0))),0),F172))</f>
        <v/>
      </c>
      <c r="H172" s="27" t="str">
        <f aca="false">IF(G172="","",IF(N(E172)=0,1,E172)*IFERROR(N(INDEX(Produtos!$G$5:$G$104,MATCH(D172,Produtos!$B$5:$B$104,0))),0))</f>
        <v/>
      </c>
      <c r="I172" s="27" t="str">
        <f aca="false">IF(G172="","",G172-H172)</f>
        <v/>
      </c>
      <c r="J172" s="42"/>
    </row>
    <row r="173" customFormat="false" ht="21" hidden="false" customHeight="true" outlineLevel="0" collapsed="false">
      <c r="B173" s="41"/>
      <c r="C173" s="9"/>
      <c r="D173" s="9"/>
      <c r="E173" s="42"/>
      <c r="F173" s="43"/>
      <c r="G173" s="27" t="str">
        <f aca="false">IF(OR(C173="",AND(D173="",F173="")),"",IF(N(E173)=0,1,E173)*IF(F173="",IFERROR(N(INDEX(Produtos!$L$5:$L$104,MATCH(D173,Produtos!$B$5:$B$104,0))),0),F173))</f>
        <v/>
      </c>
      <c r="H173" s="27" t="str">
        <f aca="false">IF(G173="","",IF(N(E173)=0,1,E173)*IFERROR(N(INDEX(Produtos!$G$5:$G$104,MATCH(D173,Produtos!$B$5:$B$104,0))),0))</f>
        <v/>
      </c>
      <c r="I173" s="27" t="str">
        <f aca="false">IF(G173="","",G173-H173)</f>
        <v/>
      </c>
      <c r="J173" s="42"/>
    </row>
    <row r="174" customFormat="false" ht="21" hidden="false" customHeight="true" outlineLevel="0" collapsed="false">
      <c r="B174" s="41"/>
      <c r="C174" s="9"/>
      <c r="D174" s="9"/>
      <c r="E174" s="42"/>
      <c r="F174" s="43"/>
      <c r="G174" s="27" t="str">
        <f aca="false">IF(OR(C174="",AND(D174="",F174="")),"",IF(N(E174)=0,1,E174)*IF(F174="",IFERROR(N(INDEX(Produtos!$L$5:$L$104,MATCH(D174,Produtos!$B$5:$B$104,0))),0),F174))</f>
        <v/>
      </c>
      <c r="H174" s="27" t="str">
        <f aca="false">IF(G174="","",IF(N(E174)=0,1,E174)*IFERROR(N(INDEX(Produtos!$G$5:$G$104,MATCH(D174,Produtos!$B$5:$B$104,0))),0))</f>
        <v/>
      </c>
      <c r="I174" s="27" t="str">
        <f aca="false">IF(G174="","",G174-H174)</f>
        <v/>
      </c>
      <c r="J174" s="42"/>
    </row>
    <row r="175" customFormat="false" ht="21" hidden="false" customHeight="true" outlineLevel="0" collapsed="false">
      <c r="B175" s="41"/>
      <c r="C175" s="9"/>
      <c r="D175" s="9"/>
      <c r="E175" s="42"/>
      <c r="F175" s="43"/>
      <c r="G175" s="27" t="str">
        <f aca="false">IF(OR(C175="",AND(D175="",F175="")),"",IF(N(E175)=0,1,E175)*IF(F175="",IFERROR(N(INDEX(Produtos!$L$5:$L$104,MATCH(D175,Produtos!$B$5:$B$104,0))),0),F175))</f>
        <v/>
      </c>
      <c r="H175" s="27" t="str">
        <f aca="false">IF(G175="","",IF(N(E175)=0,1,E175)*IFERROR(N(INDEX(Produtos!$G$5:$G$104,MATCH(D175,Produtos!$B$5:$B$104,0))),0))</f>
        <v/>
      </c>
      <c r="I175" s="27" t="str">
        <f aca="false">IF(G175="","",G175-H175)</f>
        <v/>
      </c>
      <c r="J175" s="42"/>
    </row>
    <row r="176" customFormat="false" ht="21" hidden="false" customHeight="true" outlineLevel="0" collapsed="false">
      <c r="B176" s="41"/>
      <c r="C176" s="9"/>
      <c r="D176" s="9"/>
      <c r="E176" s="42"/>
      <c r="F176" s="43"/>
      <c r="G176" s="27" t="str">
        <f aca="false">IF(OR(C176="",AND(D176="",F176="")),"",IF(N(E176)=0,1,E176)*IF(F176="",IFERROR(N(INDEX(Produtos!$L$5:$L$104,MATCH(D176,Produtos!$B$5:$B$104,0))),0),F176))</f>
        <v/>
      </c>
      <c r="H176" s="27" t="str">
        <f aca="false">IF(G176="","",IF(N(E176)=0,1,E176)*IFERROR(N(INDEX(Produtos!$G$5:$G$104,MATCH(D176,Produtos!$B$5:$B$104,0))),0))</f>
        <v/>
      </c>
      <c r="I176" s="27" t="str">
        <f aca="false">IF(G176="","",G176-H176)</f>
        <v/>
      </c>
      <c r="J176" s="42"/>
    </row>
    <row r="177" customFormat="false" ht="21" hidden="false" customHeight="true" outlineLevel="0" collapsed="false">
      <c r="B177" s="41"/>
      <c r="C177" s="9"/>
      <c r="D177" s="9"/>
      <c r="E177" s="42"/>
      <c r="F177" s="43"/>
      <c r="G177" s="27" t="str">
        <f aca="false">IF(OR(C177="",AND(D177="",F177="")),"",IF(N(E177)=0,1,E177)*IF(F177="",IFERROR(N(INDEX(Produtos!$L$5:$L$104,MATCH(D177,Produtos!$B$5:$B$104,0))),0),F177))</f>
        <v/>
      </c>
      <c r="H177" s="27" t="str">
        <f aca="false">IF(G177="","",IF(N(E177)=0,1,E177)*IFERROR(N(INDEX(Produtos!$G$5:$G$104,MATCH(D177,Produtos!$B$5:$B$104,0))),0))</f>
        <v/>
      </c>
      <c r="I177" s="27" t="str">
        <f aca="false">IF(G177="","",G177-H177)</f>
        <v/>
      </c>
      <c r="J177" s="42"/>
    </row>
    <row r="178" customFormat="false" ht="21" hidden="false" customHeight="true" outlineLevel="0" collapsed="false">
      <c r="B178" s="41"/>
      <c r="C178" s="9"/>
      <c r="D178" s="9"/>
      <c r="E178" s="42"/>
      <c r="F178" s="43"/>
      <c r="G178" s="27" t="str">
        <f aca="false">IF(OR(C178="",AND(D178="",F178="")),"",IF(N(E178)=0,1,E178)*IF(F178="",IFERROR(N(INDEX(Produtos!$L$5:$L$104,MATCH(D178,Produtos!$B$5:$B$104,0))),0),F178))</f>
        <v/>
      </c>
      <c r="H178" s="27" t="str">
        <f aca="false">IF(G178="","",IF(N(E178)=0,1,E178)*IFERROR(N(INDEX(Produtos!$G$5:$G$104,MATCH(D178,Produtos!$B$5:$B$104,0))),0))</f>
        <v/>
      </c>
      <c r="I178" s="27" t="str">
        <f aca="false">IF(G178="","",G178-H178)</f>
        <v/>
      </c>
      <c r="J178" s="42"/>
    </row>
    <row r="179" customFormat="false" ht="21" hidden="false" customHeight="true" outlineLevel="0" collapsed="false">
      <c r="B179" s="41"/>
      <c r="C179" s="9"/>
      <c r="D179" s="9"/>
      <c r="E179" s="42"/>
      <c r="F179" s="43"/>
      <c r="G179" s="27" t="str">
        <f aca="false">IF(OR(C179="",AND(D179="",F179="")),"",IF(N(E179)=0,1,E179)*IF(F179="",IFERROR(N(INDEX(Produtos!$L$5:$L$104,MATCH(D179,Produtos!$B$5:$B$104,0))),0),F179))</f>
        <v/>
      </c>
      <c r="H179" s="27" t="str">
        <f aca="false">IF(G179="","",IF(N(E179)=0,1,E179)*IFERROR(N(INDEX(Produtos!$G$5:$G$104,MATCH(D179,Produtos!$B$5:$B$104,0))),0))</f>
        <v/>
      </c>
      <c r="I179" s="27" t="str">
        <f aca="false">IF(G179="","",G179-H179)</f>
        <v/>
      </c>
      <c r="J179" s="42"/>
    </row>
    <row r="180" customFormat="false" ht="21" hidden="false" customHeight="true" outlineLevel="0" collapsed="false">
      <c r="B180" s="41"/>
      <c r="C180" s="9"/>
      <c r="D180" s="9"/>
      <c r="E180" s="42"/>
      <c r="F180" s="43"/>
      <c r="G180" s="27" t="str">
        <f aca="false">IF(OR(C180="",AND(D180="",F180="")),"",IF(N(E180)=0,1,E180)*IF(F180="",IFERROR(N(INDEX(Produtos!$L$5:$L$104,MATCH(D180,Produtos!$B$5:$B$104,0))),0),F180))</f>
        <v/>
      </c>
      <c r="H180" s="27" t="str">
        <f aca="false">IF(G180="","",IF(N(E180)=0,1,E180)*IFERROR(N(INDEX(Produtos!$G$5:$G$104,MATCH(D180,Produtos!$B$5:$B$104,0))),0))</f>
        <v/>
      </c>
      <c r="I180" s="27" t="str">
        <f aca="false">IF(G180="","",G180-H180)</f>
        <v/>
      </c>
      <c r="J180" s="42"/>
    </row>
    <row r="181" customFormat="false" ht="21" hidden="false" customHeight="true" outlineLevel="0" collapsed="false">
      <c r="B181" s="41"/>
      <c r="C181" s="9"/>
      <c r="D181" s="9"/>
      <c r="E181" s="42"/>
      <c r="F181" s="43"/>
      <c r="G181" s="27" t="str">
        <f aca="false">IF(OR(C181="",AND(D181="",F181="")),"",IF(N(E181)=0,1,E181)*IF(F181="",IFERROR(N(INDEX(Produtos!$L$5:$L$104,MATCH(D181,Produtos!$B$5:$B$104,0))),0),F181))</f>
        <v/>
      </c>
      <c r="H181" s="27" t="str">
        <f aca="false">IF(G181="","",IF(N(E181)=0,1,E181)*IFERROR(N(INDEX(Produtos!$G$5:$G$104,MATCH(D181,Produtos!$B$5:$B$104,0))),0))</f>
        <v/>
      </c>
      <c r="I181" s="27" t="str">
        <f aca="false">IF(G181="","",G181-H181)</f>
        <v/>
      </c>
      <c r="J181" s="42"/>
    </row>
    <row r="182" customFormat="false" ht="21" hidden="false" customHeight="true" outlineLevel="0" collapsed="false">
      <c r="B182" s="41"/>
      <c r="C182" s="9"/>
      <c r="D182" s="9"/>
      <c r="E182" s="42"/>
      <c r="F182" s="43"/>
      <c r="G182" s="27" t="str">
        <f aca="false">IF(OR(C182="",AND(D182="",F182="")),"",IF(N(E182)=0,1,E182)*IF(F182="",IFERROR(N(INDEX(Produtos!$L$5:$L$104,MATCH(D182,Produtos!$B$5:$B$104,0))),0),F182))</f>
        <v/>
      </c>
      <c r="H182" s="27" t="str">
        <f aca="false">IF(G182="","",IF(N(E182)=0,1,E182)*IFERROR(N(INDEX(Produtos!$G$5:$G$104,MATCH(D182,Produtos!$B$5:$B$104,0))),0))</f>
        <v/>
      </c>
      <c r="I182" s="27" t="str">
        <f aca="false">IF(G182="","",G182-H182)</f>
        <v/>
      </c>
      <c r="J182" s="42"/>
    </row>
    <row r="183" customFormat="false" ht="21" hidden="false" customHeight="true" outlineLevel="0" collapsed="false">
      <c r="B183" s="41"/>
      <c r="C183" s="9"/>
      <c r="D183" s="9"/>
      <c r="E183" s="42"/>
      <c r="F183" s="43"/>
      <c r="G183" s="27" t="str">
        <f aca="false">IF(OR(C183="",AND(D183="",F183="")),"",IF(N(E183)=0,1,E183)*IF(F183="",IFERROR(N(INDEX(Produtos!$L$5:$L$104,MATCH(D183,Produtos!$B$5:$B$104,0))),0),F183))</f>
        <v/>
      </c>
      <c r="H183" s="27" t="str">
        <f aca="false">IF(G183="","",IF(N(E183)=0,1,E183)*IFERROR(N(INDEX(Produtos!$G$5:$G$104,MATCH(D183,Produtos!$B$5:$B$104,0))),0))</f>
        <v/>
      </c>
      <c r="I183" s="27" t="str">
        <f aca="false">IF(G183="","",G183-H183)</f>
        <v/>
      </c>
      <c r="J183" s="42"/>
    </row>
    <row r="184" customFormat="false" ht="21" hidden="false" customHeight="true" outlineLevel="0" collapsed="false">
      <c r="B184" s="41"/>
      <c r="C184" s="9"/>
      <c r="D184" s="9"/>
      <c r="E184" s="42"/>
      <c r="F184" s="43"/>
      <c r="G184" s="27" t="str">
        <f aca="false">IF(OR(C184="",AND(D184="",F184="")),"",IF(N(E184)=0,1,E184)*IF(F184="",IFERROR(N(INDEX(Produtos!$L$5:$L$104,MATCH(D184,Produtos!$B$5:$B$104,0))),0),F184))</f>
        <v/>
      </c>
      <c r="H184" s="27" t="str">
        <f aca="false">IF(G184="","",IF(N(E184)=0,1,E184)*IFERROR(N(INDEX(Produtos!$G$5:$G$104,MATCH(D184,Produtos!$B$5:$B$104,0))),0))</f>
        <v/>
      </c>
      <c r="I184" s="27" t="str">
        <f aca="false">IF(G184="","",G184-H184)</f>
        <v/>
      </c>
      <c r="J184" s="42"/>
    </row>
    <row r="185" customFormat="false" ht="21" hidden="false" customHeight="true" outlineLevel="0" collapsed="false">
      <c r="B185" s="41"/>
      <c r="C185" s="9"/>
      <c r="D185" s="9"/>
      <c r="E185" s="42"/>
      <c r="F185" s="43"/>
      <c r="G185" s="27" t="str">
        <f aca="false">IF(OR(C185="",AND(D185="",F185="")),"",IF(N(E185)=0,1,E185)*IF(F185="",IFERROR(N(INDEX(Produtos!$L$5:$L$104,MATCH(D185,Produtos!$B$5:$B$104,0))),0),F185))</f>
        <v/>
      </c>
      <c r="H185" s="27" t="str">
        <f aca="false">IF(G185="","",IF(N(E185)=0,1,E185)*IFERROR(N(INDEX(Produtos!$G$5:$G$104,MATCH(D185,Produtos!$B$5:$B$104,0))),0))</f>
        <v/>
      </c>
      <c r="I185" s="27" t="str">
        <f aca="false">IF(G185="","",G185-H185)</f>
        <v/>
      </c>
      <c r="J185" s="42"/>
    </row>
    <row r="186" customFormat="false" ht="21" hidden="false" customHeight="true" outlineLevel="0" collapsed="false">
      <c r="B186" s="41"/>
      <c r="C186" s="9"/>
      <c r="D186" s="9"/>
      <c r="E186" s="42"/>
      <c r="F186" s="43"/>
      <c r="G186" s="27" t="str">
        <f aca="false">IF(OR(C186="",AND(D186="",F186="")),"",IF(N(E186)=0,1,E186)*IF(F186="",IFERROR(N(INDEX(Produtos!$L$5:$L$104,MATCH(D186,Produtos!$B$5:$B$104,0))),0),F186))</f>
        <v/>
      </c>
      <c r="H186" s="27" t="str">
        <f aca="false">IF(G186="","",IF(N(E186)=0,1,E186)*IFERROR(N(INDEX(Produtos!$G$5:$G$104,MATCH(D186,Produtos!$B$5:$B$104,0))),0))</f>
        <v/>
      </c>
      <c r="I186" s="27" t="str">
        <f aca="false">IF(G186="","",G186-H186)</f>
        <v/>
      </c>
      <c r="J186" s="42"/>
    </row>
    <row r="187" customFormat="false" ht="21" hidden="false" customHeight="true" outlineLevel="0" collapsed="false">
      <c r="B187" s="41"/>
      <c r="C187" s="9"/>
      <c r="D187" s="9"/>
      <c r="E187" s="42"/>
      <c r="F187" s="43"/>
      <c r="G187" s="27" t="str">
        <f aca="false">IF(OR(C187="",AND(D187="",F187="")),"",IF(N(E187)=0,1,E187)*IF(F187="",IFERROR(N(INDEX(Produtos!$L$5:$L$104,MATCH(D187,Produtos!$B$5:$B$104,0))),0),F187))</f>
        <v/>
      </c>
      <c r="H187" s="27" t="str">
        <f aca="false">IF(G187="","",IF(N(E187)=0,1,E187)*IFERROR(N(INDEX(Produtos!$G$5:$G$104,MATCH(D187,Produtos!$B$5:$B$104,0))),0))</f>
        <v/>
      </c>
      <c r="I187" s="27" t="str">
        <f aca="false">IF(G187="","",G187-H187)</f>
        <v/>
      </c>
      <c r="J187" s="42"/>
    </row>
    <row r="188" customFormat="false" ht="21" hidden="false" customHeight="true" outlineLevel="0" collapsed="false">
      <c r="B188" s="41"/>
      <c r="C188" s="9"/>
      <c r="D188" s="9"/>
      <c r="E188" s="42"/>
      <c r="F188" s="43"/>
      <c r="G188" s="27" t="str">
        <f aca="false">IF(OR(C188="",AND(D188="",F188="")),"",IF(N(E188)=0,1,E188)*IF(F188="",IFERROR(N(INDEX(Produtos!$L$5:$L$104,MATCH(D188,Produtos!$B$5:$B$104,0))),0),F188))</f>
        <v/>
      </c>
      <c r="H188" s="27" t="str">
        <f aca="false">IF(G188="","",IF(N(E188)=0,1,E188)*IFERROR(N(INDEX(Produtos!$G$5:$G$104,MATCH(D188,Produtos!$B$5:$B$104,0))),0))</f>
        <v/>
      </c>
      <c r="I188" s="27" t="str">
        <f aca="false">IF(G188="","",G188-H188)</f>
        <v/>
      </c>
      <c r="J188" s="42"/>
    </row>
    <row r="189" customFormat="false" ht="21" hidden="false" customHeight="true" outlineLevel="0" collapsed="false">
      <c r="B189" s="41"/>
      <c r="C189" s="9"/>
      <c r="D189" s="9"/>
      <c r="E189" s="42"/>
      <c r="F189" s="43"/>
      <c r="G189" s="27" t="str">
        <f aca="false">IF(OR(C189="",AND(D189="",F189="")),"",IF(N(E189)=0,1,E189)*IF(F189="",IFERROR(N(INDEX(Produtos!$L$5:$L$104,MATCH(D189,Produtos!$B$5:$B$104,0))),0),F189))</f>
        <v/>
      </c>
      <c r="H189" s="27" t="str">
        <f aca="false">IF(G189="","",IF(N(E189)=0,1,E189)*IFERROR(N(INDEX(Produtos!$G$5:$G$104,MATCH(D189,Produtos!$B$5:$B$104,0))),0))</f>
        <v/>
      </c>
      <c r="I189" s="27" t="str">
        <f aca="false">IF(G189="","",G189-H189)</f>
        <v/>
      </c>
      <c r="J189" s="42"/>
    </row>
    <row r="190" customFormat="false" ht="21" hidden="false" customHeight="true" outlineLevel="0" collapsed="false">
      <c r="B190" s="41"/>
      <c r="C190" s="9"/>
      <c r="D190" s="9"/>
      <c r="E190" s="42"/>
      <c r="F190" s="43"/>
      <c r="G190" s="27" t="str">
        <f aca="false">IF(OR(C190="",AND(D190="",F190="")),"",IF(N(E190)=0,1,E190)*IF(F190="",IFERROR(N(INDEX(Produtos!$L$5:$L$104,MATCH(D190,Produtos!$B$5:$B$104,0))),0),F190))</f>
        <v/>
      </c>
      <c r="H190" s="27" t="str">
        <f aca="false">IF(G190="","",IF(N(E190)=0,1,E190)*IFERROR(N(INDEX(Produtos!$G$5:$G$104,MATCH(D190,Produtos!$B$5:$B$104,0))),0))</f>
        <v/>
      </c>
      <c r="I190" s="27" t="str">
        <f aca="false">IF(G190="","",G190-H190)</f>
        <v/>
      </c>
      <c r="J190" s="42"/>
    </row>
    <row r="191" customFormat="false" ht="21" hidden="false" customHeight="true" outlineLevel="0" collapsed="false">
      <c r="B191" s="41"/>
      <c r="C191" s="9"/>
      <c r="D191" s="9"/>
      <c r="E191" s="42"/>
      <c r="F191" s="43"/>
      <c r="G191" s="27" t="str">
        <f aca="false">IF(OR(C191="",AND(D191="",F191="")),"",IF(N(E191)=0,1,E191)*IF(F191="",IFERROR(N(INDEX(Produtos!$L$5:$L$104,MATCH(D191,Produtos!$B$5:$B$104,0))),0),F191))</f>
        <v/>
      </c>
      <c r="H191" s="27" t="str">
        <f aca="false">IF(G191="","",IF(N(E191)=0,1,E191)*IFERROR(N(INDEX(Produtos!$G$5:$G$104,MATCH(D191,Produtos!$B$5:$B$104,0))),0))</f>
        <v/>
      </c>
      <c r="I191" s="27" t="str">
        <f aca="false">IF(G191="","",G191-H191)</f>
        <v/>
      </c>
      <c r="J191" s="42"/>
    </row>
    <row r="192" customFormat="false" ht="21" hidden="false" customHeight="true" outlineLevel="0" collapsed="false">
      <c r="B192" s="41"/>
      <c r="C192" s="9"/>
      <c r="D192" s="9"/>
      <c r="E192" s="42"/>
      <c r="F192" s="43"/>
      <c r="G192" s="27" t="str">
        <f aca="false">IF(OR(C192="",AND(D192="",F192="")),"",IF(N(E192)=0,1,E192)*IF(F192="",IFERROR(N(INDEX(Produtos!$L$5:$L$104,MATCH(D192,Produtos!$B$5:$B$104,0))),0),F192))</f>
        <v/>
      </c>
      <c r="H192" s="27" t="str">
        <f aca="false">IF(G192="","",IF(N(E192)=0,1,E192)*IFERROR(N(INDEX(Produtos!$G$5:$G$104,MATCH(D192,Produtos!$B$5:$B$104,0))),0))</f>
        <v/>
      </c>
      <c r="I192" s="27" t="str">
        <f aca="false">IF(G192="","",G192-H192)</f>
        <v/>
      </c>
      <c r="J192" s="42"/>
    </row>
    <row r="193" customFormat="false" ht="21" hidden="false" customHeight="true" outlineLevel="0" collapsed="false">
      <c r="B193" s="41"/>
      <c r="C193" s="9"/>
      <c r="D193" s="9"/>
      <c r="E193" s="42"/>
      <c r="F193" s="43"/>
      <c r="G193" s="27" t="str">
        <f aca="false">IF(OR(C193="",AND(D193="",F193="")),"",IF(N(E193)=0,1,E193)*IF(F193="",IFERROR(N(INDEX(Produtos!$L$5:$L$104,MATCH(D193,Produtos!$B$5:$B$104,0))),0),F193))</f>
        <v/>
      </c>
      <c r="H193" s="27" t="str">
        <f aca="false">IF(G193="","",IF(N(E193)=0,1,E193)*IFERROR(N(INDEX(Produtos!$G$5:$G$104,MATCH(D193,Produtos!$B$5:$B$104,0))),0))</f>
        <v/>
      </c>
      <c r="I193" s="27" t="str">
        <f aca="false">IF(G193="","",G193-H193)</f>
        <v/>
      </c>
      <c r="J193" s="42"/>
    </row>
    <row r="194" customFormat="false" ht="21" hidden="false" customHeight="true" outlineLevel="0" collapsed="false">
      <c r="B194" s="41"/>
      <c r="C194" s="9"/>
      <c r="D194" s="9"/>
      <c r="E194" s="42"/>
      <c r="F194" s="43"/>
      <c r="G194" s="27" t="str">
        <f aca="false">IF(OR(C194="",AND(D194="",F194="")),"",IF(N(E194)=0,1,E194)*IF(F194="",IFERROR(N(INDEX(Produtos!$L$5:$L$104,MATCH(D194,Produtos!$B$5:$B$104,0))),0),F194))</f>
        <v/>
      </c>
      <c r="H194" s="27" t="str">
        <f aca="false">IF(G194="","",IF(N(E194)=0,1,E194)*IFERROR(N(INDEX(Produtos!$G$5:$G$104,MATCH(D194,Produtos!$B$5:$B$104,0))),0))</f>
        <v/>
      </c>
      <c r="I194" s="27" t="str">
        <f aca="false">IF(G194="","",G194-H194)</f>
        <v/>
      </c>
      <c r="J194" s="42"/>
    </row>
    <row r="195" customFormat="false" ht="21" hidden="false" customHeight="true" outlineLevel="0" collapsed="false">
      <c r="B195" s="41"/>
      <c r="C195" s="9"/>
      <c r="D195" s="9"/>
      <c r="E195" s="42"/>
      <c r="F195" s="43"/>
      <c r="G195" s="27" t="str">
        <f aca="false">IF(OR(C195="",AND(D195="",F195="")),"",IF(N(E195)=0,1,E195)*IF(F195="",IFERROR(N(INDEX(Produtos!$L$5:$L$104,MATCH(D195,Produtos!$B$5:$B$104,0))),0),F195))</f>
        <v/>
      </c>
      <c r="H195" s="27" t="str">
        <f aca="false">IF(G195="","",IF(N(E195)=0,1,E195)*IFERROR(N(INDEX(Produtos!$G$5:$G$104,MATCH(D195,Produtos!$B$5:$B$104,0))),0))</f>
        <v/>
      </c>
      <c r="I195" s="27" t="str">
        <f aca="false">IF(G195="","",G195-H195)</f>
        <v/>
      </c>
      <c r="J195" s="42"/>
    </row>
    <row r="196" customFormat="false" ht="21" hidden="false" customHeight="true" outlineLevel="0" collapsed="false">
      <c r="B196" s="41"/>
      <c r="C196" s="9"/>
      <c r="D196" s="9"/>
      <c r="E196" s="42"/>
      <c r="F196" s="43"/>
      <c r="G196" s="27" t="str">
        <f aca="false">IF(OR(C196="",AND(D196="",F196="")),"",IF(N(E196)=0,1,E196)*IF(F196="",IFERROR(N(INDEX(Produtos!$L$5:$L$104,MATCH(D196,Produtos!$B$5:$B$104,0))),0),F196))</f>
        <v/>
      </c>
      <c r="H196" s="27" t="str">
        <f aca="false">IF(G196="","",IF(N(E196)=0,1,E196)*IFERROR(N(INDEX(Produtos!$G$5:$G$104,MATCH(D196,Produtos!$B$5:$B$104,0))),0))</f>
        <v/>
      </c>
      <c r="I196" s="27" t="str">
        <f aca="false">IF(G196="","",G196-H196)</f>
        <v/>
      </c>
      <c r="J196" s="42"/>
    </row>
    <row r="197" customFormat="false" ht="21" hidden="false" customHeight="true" outlineLevel="0" collapsed="false">
      <c r="B197" s="41"/>
      <c r="C197" s="9"/>
      <c r="D197" s="9"/>
      <c r="E197" s="42"/>
      <c r="F197" s="43"/>
      <c r="G197" s="27" t="str">
        <f aca="false">IF(OR(C197="",AND(D197="",F197="")),"",IF(N(E197)=0,1,E197)*IF(F197="",IFERROR(N(INDEX(Produtos!$L$5:$L$104,MATCH(D197,Produtos!$B$5:$B$104,0))),0),F197))</f>
        <v/>
      </c>
      <c r="H197" s="27" t="str">
        <f aca="false">IF(G197="","",IF(N(E197)=0,1,E197)*IFERROR(N(INDEX(Produtos!$G$5:$G$104,MATCH(D197,Produtos!$B$5:$B$104,0))),0))</f>
        <v/>
      </c>
      <c r="I197" s="27" t="str">
        <f aca="false">IF(G197="","",G197-H197)</f>
        <v/>
      </c>
      <c r="J197" s="42"/>
    </row>
    <row r="198" customFormat="false" ht="21" hidden="false" customHeight="true" outlineLevel="0" collapsed="false">
      <c r="B198" s="41"/>
      <c r="C198" s="9"/>
      <c r="D198" s="9"/>
      <c r="E198" s="42"/>
      <c r="F198" s="43"/>
      <c r="G198" s="27" t="str">
        <f aca="false">IF(OR(C198="",AND(D198="",F198="")),"",IF(N(E198)=0,1,E198)*IF(F198="",IFERROR(N(INDEX(Produtos!$L$5:$L$104,MATCH(D198,Produtos!$B$5:$B$104,0))),0),F198))</f>
        <v/>
      </c>
      <c r="H198" s="27" t="str">
        <f aca="false">IF(G198="","",IF(N(E198)=0,1,E198)*IFERROR(N(INDEX(Produtos!$G$5:$G$104,MATCH(D198,Produtos!$B$5:$B$104,0))),0))</f>
        <v/>
      </c>
      <c r="I198" s="27" t="str">
        <f aca="false">IF(G198="","",G198-H198)</f>
        <v/>
      </c>
      <c r="J198" s="42"/>
    </row>
    <row r="199" customFormat="false" ht="21" hidden="false" customHeight="true" outlineLevel="0" collapsed="false">
      <c r="B199" s="41"/>
      <c r="C199" s="9"/>
      <c r="D199" s="9"/>
      <c r="E199" s="42"/>
      <c r="F199" s="43"/>
      <c r="G199" s="27" t="str">
        <f aca="false">IF(OR(C199="",AND(D199="",F199="")),"",IF(N(E199)=0,1,E199)*IF(F199="",IFERROR(N(INDEX(Produtos!$L$5:$L$104,MATCH(D199,Produtos!$B$5:$B$104,0))),0),F199))</f>
        <v/>
      </c>
      <c r="H199" s="27" t="str">
        <f aca="false">IF(G199="","",IF(N(E199)=0,1,E199)*IFERROR(N(INDEX(Produtos!$G$5:$G$104,MATCH(D199,Produtos!$B$5:$B$104,0))),0))</f>
        <v/>
      </c>
      <c r="I199" s="27" t="str">
        <f aca="false">IF(G199="","",G199-H199)</f>
        <v/>
      </c>
      <c r="J199" s="42"/>
    </row>
    <row r="200" customFormat="false" ht="21" hidden="false" customHeight="true" outlineLevel="0" collapsed="false">
      <c r="B200" s="41"/>
      <c r="C200" s="9"/>
      <c r="D200" s="9"/>
      <c r="E200" s="42"/>
      <c r="F200" s="43"/>
      <c r="G200" s="27" t="str">
        <f aca="false">IF(OR(C200="",AND(D200="",F200="")),"",IF(N(E200)=0,1,E200)*IF(F200="",IFERROR(N(INDEX(Produtos!$L$5:$L$104,MATCH(D200,Produtos!$B$5:$B$104,0))),0),F200))</f>
        <v/>
      </c>
      <c r="H200" s="27" t="str">
        <f aca="false">IF(G200="","",IF(N(E200)=0,1,E200)*IFERROR(N(INDEX(Produtos!$G$5:$G$104,MATCH(D200,Produtos!$B$5:$B$104,0))),0))</f>
        <v/>
      </c>
      <c r="I200" s="27" t="str">
        <f aca="false">IF(G200="","",G200-H200)</f>
        <v/>
      </c>
      <c r="J200" s="42"/>
    </row>
    <row r="201" customFormat="false" ht="21" hidden="false" customHeight="true" outlineLevel="0" collapsed="false">
      <c r="B201" s="41"/>
      <c r="C201" s="9"/>
      <c r="D201" s="9"/>
      <c r="E201" s="42"/>
      <c r="F201" s="43"/>
      <c r="G201" s="27" t="str">
        <f aca="false">IF(OR(C201="",AND(D201="",F201="")),"",IF(N(E201)=0,1,E201)*IF(F201="",IFERROR(N(INDEX(Produtos!$L$5:$L$104,MATCH(D201,Produtos!$B$5:$B$104,0))),0),F201))</f>
        <v/>
      </c>
      <c r="H201" s="27" t="str">
        <f aca="false">IF(G201="","",IF(N(E201)=0,1,E201)*IFERROR(N(INDEX(Produtos!$G$5:$G$104,MATCH(D201,Produtos!$B$5:$B$104,0))),0))</f>
        <v/>
      </c>
      <c r="I201" s="27" t="str">
        <f aca="false">IF(G201="","",G201-H201)</f>
        <v/>
      </c>
      <c r="J201" s="42"/>
    </row>
    <row r="202" customFormat="false" ht="21" hidden="false" customHeight="true" outlineLevel="0" collapsed="false">
      <c r="B202" s="41"/>
      <c r="C202" s="9"/>
      <c r="D202" s="9"/>
      <c r="E202" s="42"/>
      <c r="F202" s="43"/>
      <c r="G202" s="27" t="str">
        <f aca="false">IF(OR(C202="",AND(D202="",F202="")),"",IF(N(E202)=0,1,E202)*IF(F202="",IFERROR(N(INDEX(Produtos!$L$5:$L$104,MATCH(D202,Produtos!$B$5:$B$104,0))),0),F202))</f>
        <v/>
      </c>
      <c r="H202" s="27" t="str">
        <f aca="false">IF(G202="","",IF(N(E202)=0,1,E202)*IFERROR(N(INDEX(Produtos!$G$5:$G$104,MATCH(D202,Produtos!$B$5:$B$104,0))),0))</f>
        <v/>
      </c>
      <c r="I202" s="27" t="str">
        <f aca="false">IF(G202="","",G202-H202)</f>
        <v/>
      </c>
      <c r="J202" s="42"/>
    </row>
    <row r="203" customFormat="false" ht="21" hidden="false" customHeight="true" outlineLevel="0" collapsed="false">
      <c r="B203" s="41"/>
      <c r="C203" s="9"/>
      <c r="D203" s="9"/>
      <c r="E203" s="42"/>
      <c r="F203" s="43"/>
      <c r="G203" s="27" t="str">
        <f aca="false">IF(OR(C203="",AND(D203="",F203="")),"",IF(N(E203)=0,1,E203)*IF(F203="",IFERROR(N(INDEX(Produtos!$L$5:$L$104,MATCH(D203,Produtos!$B$5:$B$104,0))),0),F203))</f>
        <v/>
      </c>
      <c r="H203" s="27" t="str">
        <f aca="false">IF(G203="","",IF(N(E203)=0,1,E203)*IFERROR(N(INDEX(Produtos!$G$5:$G$104,MATCH(D203,Produtos!$B$5:$B$104,0))),0))</f>
        <v/>
      </c>
      <c r="I203" s="27" t="str">
        <f aca="false">IF(G203="","",G203-H203)</f>
        <v/>
      </c>
      <c r="J203" s="42"/>
    </row>
    <row r="204" customFormat="false" ht="21" hidden="false" customHeight="true" outlineLevel="0" collapsed="false">
      <c r="B204" s="41"/>
      <c r="C204" s="9"/>
      <c r="D204" s="9"/>
      <c r="E204" s="42"/>
      <c r="F204" s="43"/>
      <c r="G204" s="27" t="str">
        <f aca="false">IF(OR(C204="",AND(D204="",F204="")),"",IF(N(E204)=0,1,E204)*IF(F204="",IFERROR(N(INDEX(Produtos!$L$5:$L$104,MATCH(D204,Produtos!$B$5:$B$104,0))),0),F204))</f>
        <v/>
      </c>
      <c r="H204" s="27" t="str">
        <f aca="false">IF(G204="","",IF(N(E204)=0,1,E204)*IFERROR(N(INDEX(Produtos!$G$5:$G$104,MATCH(D204,Produtos!$B$5:$B$104,0))),0))</f>
        <v/>
      </c>
      <c r="I204" s="27" t="str">
        <f aca="false">IF(G204="","",G204-H204)</f>
        <v/>
      </c>
      <c r="J204" s="42"/>
    </row>
    <row r="205" customFormat="false" ht="21" hidden="false" customHeight="true" outlineLevel="0" collapsed="false">
      <c r="B205" s="41"/>
      <c r="C205" s="9"/>
      <c r="D205" s="9"/>
      <c r="E205" s="42"/>
      <c r="F205" s="43"/>
      <c r="G205" s="27" t="str">
        <f aca="false">IF(OR(C205="",AND(D205="",F205="")),"",IF(N(E205)=0,1,E205)*IF(F205="",IFERROR(N(INDEX(Produtos!$L$5:$L$104,MATCH(D205,Produtos!$B$5:$B$104,0))),0),F205))</f>
        <v/>
      </c>
      <c r="H205" s="27" t="str">
        <f aca="false">IF(G205="","",IF(N(E205)=0,1,E205)*IFERROR(N(INDEX(Produtos!$G$5:$G$104,MATCH(D205,Produtos!$B$5:$B$104,0))),0))</f>
        <v/>
      </c>
      <c r="I205" s="27" t="str">
        <f aca="false">IF(G205="","",G205-H205)</f>
        <v/>
      </c>
      <c r="J205" s="42"/>
    </row>
    <row r="206" customFormat="false" ht="21" hidden="false" customHeight="true" outlineLevel="0" collapsed="false">
      <c r="B206" s="41"/>
      <c r="C206" s="9"/>
      <c r="D206" s="9"/>
      <c r="E206" s="42"/>
      <c r="F206" s="43"/>
      <c r="G206" s="27" t="str">
        <f aca="false">IF(OR(C206="",AND(D206="",F206="")),"",IF(N(E206)=0,1,E206)*IF(F206="",IFERROR(N(INDEX(Produtos!$L$5:$L$104,MATCH(D206,Produtos!$B$5:$B$104,0))),0),F206))</f>
        <v/>
      </c>
      <c r="H206" s="27" t="str">
        <f aca="false">IF(G206="","",IF(N(E206)=0,1,E206)*IFERROR(N(INDEX(Produtos!$G$5:$G$104,MATCH(D206,Produtos!$B$5:$B$104,0))),0))</f>
        <v/>
      </c>
      <c r="I206" s="27" t="str">
        <f aca="false">IF(G206="","",G206-H206)</f>
        <v/>
      </c>
      <c r="J206" s="42"/>
    </row>
    <row r="207" customFormat="false" ht="21" hidden="false" customHeight="true" outlineLevel="0" collapsed="false">
      <c r="B207" s="41"/>
      <c r="C207" s="9"/>
      <c r="D207" s="9"/>
      <c r="E207" s="42"/>
      <c r="F207" s="43"/>
      <c r="G207" s="27" t="str">
        <f aca="false">IF(OR(C207="",AND(D207="",F207="")),"",IF(N(E207)=0,1,E207)*IF(F207="",IFERROR(N(INDEX(Produtos!$L$5:$L$104,MATCH(D207,Produtos!$B$5:$B$104,0))),0),F207))</f>
        <v/>
      </c>
      <c r="H207" s="27" t="str">
        <f aca="false">IF(G207="","",IF(N(E207)=0,1,E207)*IFERROR(N(INDEX(Produtos!$G$5:$G$104,MATCH(D207,Produtos!$B$5:$B$104,0))),0))</f>
        <v/>
      </c>
      <c r="I207" s="27" t="str">
        <f aca="false">IF(G207="","",G207-H207)</f>
        <v/>
      </c>
      <c r="J207" s="42"/>
    </row>
    <row r="208" customFormat="false" ht="21" hidden="false" customHeight="true" outlineLevel="0" collapsed="false">
      <c r="B208" s="41"/>
      <c r="C208" s="9"/>
      <c r="D208" s="9"/>
      <c r="E208" s="42"/>
      <c r="F208" s="43"/>
      <c r="G208" s="27" t="str">
        <f aca="false">IF(OR(C208="",AND(D208="",F208="")),"",IF(N(E208)=0,1,E208)*IF(F208="",IFERROR(N(INDEX(Produtos!$L$5:$L$104,MATCH(D208,Produtos!$B$5:$B$104,0))),0),F208))</f>
        <v/>
      </c>
      <c r="H208" s="27" t="str">
        <f aca="false">IF(G208="","",IF(N(E208)=0,1,E208)*IFERROR(N(INDEX(Produtos!$G$5:$G$104,MATCH(D208,Produtos!$B$5:$B$104,0))),0))</f>
        <v/>
      </c>
      <c r="I208" s="27" t="str">
        <f aca="false">IF(G208="","",G208-H208)</f>
        <v/>
      </c>
      <c r="J208" s="42"/>
    </row>
    <row r="209" customFormat="false" ht="21" hidden="false" customHeight="true" outlineLevel="0" collapsed="false">
      <c r="B209" s="41"/>
      <c r="C209" s="9"/>
      <c r="D209" s="9"/>
      <c r="E209" s="42"/>
      <c r="F209" s="43"/>
      <c r="G209" s="27" t="str">
        <f aca="false">IF(OR(C209="",AND(D209="",F209="")),"",IF(N(E209)=0,1,E209)*IF(F209="",IFERROR(N(INDEX(Produtos!$L$5:$L$104,MATCH(D209,Produtos!$B$5:$B$104,0))),0),F209))</f>
        <v/>
      </c>
      <c r="H209" s="27" t="str">
        <f aca="false">IF(G209="","",IF(N(E209)=0,1,E209)*IFERROR(N(INDEX(Produtos!$G$5:$G$104,MATCH(D209,Produtos!$B$5:$B$104,0))),0))</f>
        <v/>
      </c>
      <c r="I209" s="27" t="str">
        <f aca="false">IF(G209="","",G209-H209)</f>
        <v/>
      </c>
      <c r="J209" s="42"/>
    </row>
    <row r="210" customFormat="false" ht="21" hidden="false" customHeight="true" outlineLevel="0" collapsed="false">
      <c r="B210" s="41"/>
      <c r="C210" s="9"/>
      <c r="D210" s="9"/>
      <c r="E210" s="42"/>
      <c r="F210" s="43"/>
      <c r="G210" s="27" t="str">
        <f aca="false">IF(OR(C210="",AND(D210="",F210="")),"",IF(N(E210)=0,1,E210)*IF(F210="",IFERROR(N(INDEX(Produtos!$L$5:$L$104,MATCH(D210,Produtos!$B$5:$B$104,0))),0),F210))</f>
        <v/>
      </c>
      <c r="H210" s="27" t="str">
        <f aca="false">IF(G210="","",IF(N(E210)=0,1,E210)*IFERROR(N(INDEX(Produtos!$G$5:$G$104,MATCH(D210,Produtos!$B$5:$B$104,0))),0))</f>
        <v/>
      </c>
      <c r="I210" s="27" t="str">
        <f aca="false">IF(G210="","",G210-H210)</f>
        <v/>
      </c>
      <c r="J210" s="42"/>
    </row>
    <row r="211" customFormat="false" ht="21" hidden="false" customHeight="true" outlineLevel="0" collapsed="false">
      <c r="B211" s="41"/>
      <c r="C211" s="9"/>
      <c r="D211" s="9"/>
      <c r="E211" s="42"/>
      <c r="F211" s="43"/>
      <c r="G211" s="27" t="str">
        <f aca="false">IF(OR(C211="",AND(D211="",F211="")),"",IF(N(E211)=0,1,E211)*IF(F211="",IFERROR(N(INDEX(Produtos!$L$5:$L$104,MATCH(D211,Produtos!$B$5:$B$104,0))),0),F211))</f>
        <v/>
      </c>
      <c r="H211" s="27" t="str">
        <f aca="false">IF(G211="","",IF(N(E211)=0,1,E211)*IFERROR(N(INDEX(Produtos!$G$5:$G$104,MATCH(D211,Produtos!$B$5:$B$104,0))),0))</f>
        <v/>
      </c>
      <c r="I211" s="27" t="str">
        <f aca="false">IF(G211="","",G211-H211)</f>
        <v/>
      </c>
      <c r="J211" s="42"/>
    </row>
    <row r="212" customFormat="false" ht="21" hidden="false" customHeight="true" outlineLevel="0" collapsed="false">
      <c r="B212" s="41"/>
      <c r="C212" s="9"/>
      <c r="D212" s="9"/>
      <c r="E212" s="42"/>
      <c r="F212" s="43"/>
      <c r="G212" s="27" t="str">
        <f aca="false">IF(OR(C212="",AND(D212="",F212="")),"",IF(N(E212)=0,1,E212)*IF(F212="",IFERROR(N(INDEX(Produtos!$L$5:$L$104,MATCH(D212,Produtos!$B$5:$B$104,0))),0),F212))</f>
        <v/>
      </c>
      <c r="H212" s="27" t="str">
        <f aca="false">IF(G212="","",IF(N(E212)=0,1,E212)*IFERROR(N(INDEX(Produtos!$G$5:$G$104,MATCH(D212,Produtos!$B$5:$B$104,0))),0))</f>
        <v/>
      </c>
      <c r="I212" s="27" t="str">
        <f aca="false">IF(G212="","",G212-H212)</f>
        <v/>
      </c>
      <c r="J212" s="42"/>
    </row>
    <row r="213" customFormat="false" ht="21" hidden="false" customHeight="true" outlineLevel="0" collapsed="false">
      <c r="B213" s="41"/>
      <c r="C213" s="9"/>
      <c r="D213" s="9"/>
      <c r="E213" s="42"/>
      <c r="F213" s="43"/>
      <c r="G213" s="27" t="str">
        <f aca="false">IF(OR(C213="",AND(D213="",F213="")),"",IF(N(E213)=0,1,E213)*IF(F213="",IFERROR(N(INDEX(Produtos!$L$5:$L$104,MATCH(D213,Produtos!$B$5:$B$104,0))),0),F213))</f>
        <v/>
      </c>
      <c r="H213" s="27" t="str">
        <f aca="false">IF(G213="","",IF(N(E213)=0,1,E213)*IFERROR(N(INDEX(Produtos!$G$5:$G$104,MATCH(D213,Produtos!$B$5:$B$104,0))),0))</f>
        <v/>
      </c>
      <c r="I213" s="27" t="str">
        <f aca="false">IF(G213="","",G213-H213)</f>
        <v/>
      </c>
      <c r="J213" s="42"/>
    </row>
    <row r="214" customFormat="false" ht="21" hidden="false" customHeight="true" outlineLevel="0" collapsed="false">
      <c r="B214" s="41"/>
      <c r="C214" s="9"/>
      <c r="D214" s="9"/>
      <c r="E214" s="42"/>
      <c r="F214" s="43"/>
      <c r="G214" s="27" t="str">
        <f aca="false">IF(OR(C214="",AND(D214="",F214="")),"",IF(N(E214)=0,1,E214)*IF(F214="",IFERROR(N(INDEX(Produtos!$L$5:$L$104,MATCH(D214,Produtos!$B$5:$B$104,0))),0),F214))</f>
        <v/>
      </c>
      <c r="H214" s="27" t="str">
        <f aca="false">IF(G214="","",IF(N(E214)=0,1,E214)*IFERROR(N(INDEX(Produtos!$G$5:$G$104,MATCH(D214,Produtos!$B$5:$B$104,0))),0))</f>
        <v/>
      </c>
      <c r="I214" s="27" t="str">
        <f aca="false">IF(G214="","",G214-H214)</f>
        <v/>
      </c>
      <c r="J214" s="42"/>
    </row>
    <row r="215" customFormat="false" ht="21" hidden="false" customHeight="true" outlineLevel="0" collapsed="false">
      <c r="B215" s="41"/>
      <c r="C215" s="9"/>
      <c r="D215" s="9"/>
      <c r="E215" s="42"/>
      <c r="F215" s="43"/>
      <c r="G215" s="27" t="str">
        <f aca="false">IF(OR(C215="",AND(D215="",F215="")),"",IF(N(E215)=0,1,E215)*IF(F215="",IFERROR(N(INDEX(Produtos!$L$5:$L$104,MATCH(D215,Produtos!$B$5:$B$104,0))),0),F215))</f>
        <v/>
      </c>
      <c r="H215" s="27" t="str">
        <f aca="false">IF(G215="","",IF(N(E215)=0,1,E215)*IFERROR(N(INDEX(Produtos!$G$5:$G$104,MATCH(D215,Produtos!$B$5:$B$104,0))),0))</f>
        <v/>
      </c>
      <c r="I215" s="27" t="str">
        <f aca="false">IF(G215="","",G215-H215)</f>
        <v/>
      </c>
      <c r="J215" s="42"/>
    </row>
    <row r="216" customFormat="false" ht="21" hidden="false" customHeight="true" outlineLevel="0" collapsed="false">
      <c r="B216" s="41"/>
      <c r="C216" s="9"/>
      <c r="D216" s="9"/>
      <c r="E216" s="42"/>
      <c r="F216" s="43"/>
      <c r="G216" s="27" t="str">
        <f aca="false">IF(OR(C216="",AND(D216="",F216="")),"",IF(N(E216)=0,1,E216)*IF(F216="",IFERROR(N(INDEX(Produtos!$L$5:$L$104,MATCH(D216,Produtos!$B$5:$B$104,0))),0),F216))</f>
        <v/>
      </c>
      <c r="H216" s="27" t="str">
        <f aca="false">IF(G216="","",IF(N(E216)=0,1,E216)*IFERROR(N(INDEX(Produtos!$G$5:$G$104,MATCH(D216,Produtos!$B$5:$B$104,0))),0))</f>
        <v/>
      </c>
      <c r="I216" s="27" t="str">
        <f aca="false">IF(G216="","",G216-H216)</f>
        <v/>
      </c>
      <c r="J216" s="42"/>
    </row>
    <row r="217" customFormat="false" ht="21" hidden="false" customHeight="true" outlineLevel="0" collapsed="false">
      <c r="B217" s="41"/>
      <c r="C217" s="9"/>
      <c r="D217" s="9"/>
      <c r="E217" s="42"/>
      <c r="F217" s="43"/>
      <c r="G217" s="27" t="str">
        <f aca="false">IF(OR(C217="",AND(D217="",F217="")),"",IF(N(E217)=0,1,E217)*IF(F217="",IFERROR(N(INDEX(Produtos!$L$5:$L$104,MATCH(D217,Produtos!$B$5:$B$104,0))),0),F217))</f>
        <v/>
      </c>
      <c r="H217" s="27" t="str">
        <f aca="false">IF(G217="","",IF(N(E217)=0,1,E217)*IFERROR(N(INDEX(Produtos!$G$5:$G$104,MATCH(D217,Produtos!$B$5:$B$104,0))),0))</f>
        <v/>
      </c>
      <c r="I217" s="27" t="str">
        <f aca="false">IF(G217="","",G217-H217)</f>
        <v/>
      </c>
      <c r="J217" s="42"/>
    </row>
    <row r="218" customFormat="false" ht="21" hidden="false" customHeight="true" outlineLevel="0" collapsed="false">
      <c r="B218" s="41"/>
      <c r="C218" s="9"/>
      <c r="D218" s="9"/>
      <c r="E218" s="42"/>
      <c r="F218" s="43"/>
      <c r="G218" s="27" t="str">
        <f aca="false">IF(OR(C218="",AND(D218="",F218="")),"",IF(N(E218)=0,1,E218)*IF(F218="",IFERROR(N(INDEX(Produtos!$L$5:$L$104,MATCH(D218,Produtos!$B$5:$B$104,0))),0),F218))</f>
        <v/>
      </c>
      <c r="H218" s="27" t="str">
        <f aca="false">IF(G218="","",IF(N(E218)=0,1,E218)*IFERROR(N(INDEX(Produtos!$G$5:$G$104,MATCH(D218,Produtos!$B$5:$B$104,0))),0))</f>
        <v/>
      </c>
      <c r="I218" s="27" t="str">
        <f aca="false">IF(G218="","",G218-H218)</f>
        <v/>
      </c>
      <c r="J218" s="42"/>
    </row>
    <row r="219" customFormat="false" ht="21" hidden="false" customHeight="true" outlineLevel="0" collapsed="false">
      <c r="B219" s="41"/>
      <c r="C219" s="9"/>
      <c r="D219" s="9"/>
      <c r="E219" s="42"/>
      <c r="F219" s="43"/>
      <c r="G219" s="27" t="str">
        <f aca="false">IF(OR(C219="",AND(D219="",F219="")),"",IF(N(E219)=0,1,E219)*IF(F219="",IFERROR(N(INDEX(Produtos!$L$5:$L$104,MATCH(D219,Produtos!$B$5:$B$104,0))),0),F219))</f>
        <v/>
      </c>
      <c r="H219" s="27" t="str">
        <f aca="false">IF(G219="","",IF(N(E219)=0,1,E219)*IFERROR(N(INDEX(Produtos!$G$5:$G$104,MATCH(D219,Produtos!$B$5:$B$104,0))),0))</f>
        <v/>
      </c>
      <c r="I219" s="27" t="str">
        <f aca="false">IF(G219="","",G219-H219)</f>
        <v/>
      </c>
      <c r="J219" s="42"/>
    </row>
    <row r="220" customFormat="false" ht="21" hidden="false" customHeight="true" outlineLevel="0" collapsed="false">
      <c r="B220" s="41"/>
      <c r="C220" s="9"/>
      <c r="D220" s="9"/>
      <c r="E220" s="42"/>
      <c r="F220" s="43"/>
      <c r="G220" s="27" t="str">
        <f aca="false">IF(OR(C220="",AND(D220="",F220="")),"",IF(N(E220)=0,1,E220)*IF(F220="",IFERROR(N(INDEX(Produtos!$L$5:$L$104,MATCH(D220,Produtos!$B$5:$B$104,0))),0),F220))</f>
        <v/>
      </c>
      <c r="H220" s="27" t="str">
        <f aca="false">IF(G220="","",IF(N(E220)=0,1,E220)*IFERROR(N(INDEX(Produtos!$G$5:$G$104,MATCH(D220,Produtos!$B$5:$B$104,0))),0))</f>
        <v/>
      </c>
      <c r="I220" s="27" t="str">
        <f aca="false">IF(G220="","",G220-H220)</f>
        <v/>
      </c>
      <c r="J220" s="42"/>
    </row>
    <row r="221" customFormat="false" ht="21" hidden="false" customHeight="true" outlineLevel="0" collapsed="false">
      <c r="B221" s="41"/>
      <c r="C221" s="9"/>
      <c r="D221" s="9"/>
      <c r="E221" s="42"/>
      <c r="F221" s="43"/>
      <c r="G221" s="27" t="str">
        <f aca="false">IF(OR(C221="",AND(D221="",F221="")),"",IF(N(E221)=0,1,E221)*IF(F221="",IFERROR(N(INDEX(Produtos!$L$5:$L$104,MATCH(D221,Produtos!$B$5:$B$104,0))),0),F221))</f>
        <v/>
      </c>
      <c r="H221" s="27" t="str">
        <f aca="false">IF(G221="","",IF(N(E221)=0,1,E221)*IFERROR(N(INDEX(Produtos!$G$5:$G$104,MATCH(D221,Produtos!$B$5:$B$104,0))),0))</f>
        <v/>
      </c>
      <c r="I221" s="27" t="str">
        <f aca="false">IF(G221="","",G221-H221)</f>
        <v/>
      </c>
      <c r="J221" s="42"/>
    </row>
    <row r="222" customFormat="false" ht="21" hidden="false" customHeight="true" outlineLevel="0" collapsed="false">
      <c r="B222" s="41"/>
      <c r="C222" s="9"/>
      <c r="D222" s="9"/>
      <c r="E222" s="42"/>
      <c r="F222" s="43"/>
      <c r="G222" s="27" t="str">
        <f aca="false">IF(OR(C222="",AND(D222="",F222="")),"",IF(N(E222)=0,1,E222)*IF(F222="",IFERROR(N(INDEX(Produtos!$L$5:$L$104,MATCH(D222,Produtos!$B$5:$B$104,0))),0),F222))</f>
        <v/>
      </c>
      <c r="H222" s="27" t="str">
        <f aca="false">IF(G222="","",IF(N(E222)=0,1,E222)*IFERROR(N(INDEX(Produtos!$G$5:$G$104,MATCH(D222,Produtos!$B$5:$B$104,0))),0))</f>
        <v/>
      </c>
      <c r="I222" s="27" t="str">
        <f aca="false">IF(G222="","",G222-H222)</f>
        <v/>
      </c>
      <c r="J222" s="42"/>
    </row>
    <row r="223" customFormat="false" ht="21" hidden="false" customHeight="true" outlineLevel="0" collapsed="false">
      <c r="B223" s="41"/>
      <c r="C223" s="9"/>
      <c r="D223" s="9"/>
      <c r="E223" s="42"/>
      <c r="F223" s="43"/>
      <c r="G223" s="27" t="str">
        <f aca="false">IF(OR(C223="",AND(D223="",F223="")),"",IF(N(E223)=0,1,E223)*IF(F223="",IFERROR(N(INDEX(Produtos!$L$5:$L$104,MATCH(D223,Produtos!$B$5:$B$104,0))),0),F223))</f>
        <v/>
      </c>
      <c r="H223" s="27" t="str">
        <f aca="false">IF(G223="","",IF(N(E223)=0,1,E223)*IFERROR(N(INDEX(Produtos!$G$5:$G$104,MATCH(D223,Produtos!$B$5:$B$104,0))),0))</f>
        <v/>
      </c>
      <c r="I223" s="27" t="str">
        <f aca="false">IF(G223="","",G223-H223)</f>
        <v/>
      </c>
      <c r="J223" s="42"/>
    </row>
    <row r="224" customFormat="false" ht="21" hidden="false" customHeight="true" outlineLevel="0" collapsed="false">
      <c r="B224" s="41"/>
      <c r="C224" s="9"/>
      <c r="D224" s="9"/>
      <c r="E224" s="42"/>
      <c r="F224" s="43"/>
      <c r="G224" s="27" t="str">
        <f aca="false">IF(OR(C224="",AND(D224="",F224="")),"",IF(N(E224)=0,1,E224)*IF(F224="",IFERROR(N(INDEX(Produtos!$L$5:$L$104,MATCH(D224,Produtos!$B$5:$B$104,0))),0),F224))</f>
        <v/>
      </c>
      <c r="H224" s="27" t="str">
        <f aca="false">IF(G224="","",IF(N(E224)=0,1,E224)*IFERROR(N(INDEX(Produtos!$G$5:$G$104,MATCH(D224,Produtos!$B$5:$B$104,0))),0))</f>
        <v/>
      </c>
      <c r="I224" s="27" t="str">
        <f aca="false">IF(G224="","",G224-H224)</f>
        <v/>
      </c>
      <c r="J224" s="42"/>
    </row>
    <row r="225" customFormat="false" ht="21" hidden="false" customHeight="true" outlineLevel="0" collapsed="false">
      <c r="B225" s="41"/>
      <c r="C225" s="9"/>
      <c r="D225" s="9"/>
      <c r="E225" s="42"/>
      <c r="F225" s="43"/>
      <c r="G225" s="27" t="str">
        <f aca="false">IF(OR(C225="",AND(D225="",F225="")),"",IF(N(E225)=0,1,E225)*IF(F225="",IFERROR(N(INDEX(Produtos!$L$5:$L$104,MATCH(D225,Produtos!$B$5:$B$104,0))),0),F225))</f>
        <v/>
      </c>
      <c r="H225" s="27" t="str">
        <f aca="false">IF(G225="","",IF(N(E225)=0,1,E225)*IFERROR(N(INDEX(Produtos!$G$5:$G$104,MATCH(D225,Produtos!$B$5:$B$104,0))),0))</f>
        <v/>
      </c>
      <c r="I225" s="27" t="str">
        <f aca="false">IF(G225="","",G225-H225)</f>
        <v/>
      </c>
      <c r="J225" s="42"/>
    </row>
    <row r="226" customFormat="false" ht="21" hidden="false" customHeight="true" outlineLevel="0" collapsed="false">
      <c r="B226" s="41"/>
      <c r="C226" s="9"/>
      <c r="D226" s="9"/>
      <c r="E226" s="42"/>
      <c r="F226" s="43"/>
      <c r="G226" s="27" t="str">
        <f aca="false">IF(OR(C226="",AND(D226="",F226="")),"",IF(N(E226)=0,1,E226)*IF(F226="",IFERROR(N(INDEX(Produtos!$L$5:$L$104,MATCH(D226,Produtos!$B$5:$B$104,0))),0),F226))</f>
        <v/>
      </c>
      <c r="H226" s="27" t="str">
        <f aca="false">IF(G226="","",IF(N(E226)=0,1,E226)*IFERROR(N(INDEX(Produtos!$G$5:$G$104,MATCH(D226,Produtos!$B$5:$B$104,0))),0))</f>
        <v/>
      </c>
      <c r="I226" s="27" t="str">
        <f aca="false">IF(G226="","",G226-H226)</f>
        <v/>
      </c>
      <c r="J226" s="42"/>
    </row>
    <row r="227" customFormat="false" ht="21" hidden="false" customHeight="true" outlineLevel="0" collapsed="false">
      <c r="B227" s="41"/>
      <c r="C227" s="9"/>
      <c r="D227" s="9"/>
      <c r="E227" s="42"/>
      <c r="F227" s="43"/>
      <c r="G227" s="27" t="str">
        <f aca="false">IF(OR(C227="",AND(D227="",F227="")),"",IF(N(E227)=0,1,E227)*IF(F227="",IFERROR(N(INDEX(Produtos!$L$5:$L$104,MATCH(D227,Produtos!$B$5:$B$104,0))),0),F227))</f>
        <v/>
      </c>
      <c r="H227" s="27" t="str">
        <f aca="false">IF(G227="","",IF(N(E227)=0,1,E227)*IFERROR(N(INDEX(Produtos!$G$5:$G$104,MATCH(D227,Produtos!$B$5:$B$104,0))),0))</f>
        <v/>
      </c>
      <c r="I227" s="27" t="str">
        <f aca="false">IF(G227="","",G227-H227)</f>
        <v/>
      </c>
      <c r="J227" s="42"/>
    </row>
    <row r="228" customFormat="false" ht="21" hidden="false" customHeight="true" outlineLevel="0" collapsed="false">
      <c r="B228" s="41"/>
      <c r="C228" s="9"/>
      <c r="D228" s="9"/>
      <c r="E228" s="42"/>
      <c r="F228" s="43"/>
      <c r="G228" s="27" t="str">
        <f aca="false">IF(OR(C228="",AND(D228="",F228="")),"",IF(N(E228)=0,1,E228)*IF(F228="",IFERROR(N(INDEX(Produtos!$L$5:$L$104,MATCH(D228,Produtos!$B$5:$B$104,0))),0),F228))</f>
        <v/>
      </c>
      <c r="H228" s="27" t="str">
        <f aca="false">IF(G228="","",IF(N(E228)=0,1,E228)*IFERROR(N(INDEX(Produtos!$G$5:$G$104,MATCH(D228,Produtos!$B$5:$B$104,0))),0))</f>
        <v/>
      </c>
      <c r="I228" s="27" t="str">
        <f aca="false">IF(G228="","",G228-H228)</f>
        <v/>
      </c>
      <c r="J228" s="42"/>
    </row>
    <row r="229" customFormat="false" ht="21" hidden="false" customHeight="true" outlineLevel="0" collapsed="false">
      <c r="B229" s="41"/>
      <c r="C229" s="9"/>
      <c r="D229" s="9"/>
      <c r="E229" s="42"/>
      <c r="F229" s="43"/>
      <c r="G229" s="27" t="str">
        <f aca="false">IF(OR(C229="",AND(D229="",F229="")),"",IF(N(E229)=0,1,E229)*IF(F229="",IFERROR(N(INDEX(Produtos!$L$5:$L$104,MATCH(D229,Produtos!$B$5:$B$104,0))),0),F229))</f>
        <v/>
      </c>
      <c r="H229" s="27" t="str">
        <f aca="false">IF(G229="","",IF(N(E229)=0,1,E229)*IFERROR(N(INDEX(Produtos!$G$5:$G$104,MATCH(D229,Produtos!$B$5:$B$104,0))),0))</f>
        <v/>
      </c>
      <c r="I229" s="27" t="str">
        <f aca="false">IF(G229="","",G229-H229)</f>
        <v/>
      </c>
      <c r="J229" s="42"/>
    </row>
    <row r="230" customFormat="false" ht="21" hidden="false" customHeight="true" outlineLevel="0" collapsed="false">
      <c r="B230" s="41"/>
      <c r="C230" s="9"/>
      <c r="D230" s="9"/>
      <c r="E230" s="42"/>
      <c r="F230" s="43"/>
      <c r="G230" s="27" t="str">
        <f aca="false">IF(OR(C230="",AND(D230="",F230="")),"",IF(N(E230)=0,1,E230)*IF(F230="",IFERROR(N(INDEX(Produtos!$L$5:$L$104,MATCH(D230,Produtos!$B$5:$B$104,0))),0),F230))</f>
        <v/>
      </c>
      <c r="H230" s="27" t="str">
        <f aca="false">IF(G230="","",IF(N(E230)=0,1,E230)*IFERROR(N(INDEX(Produtos!$G$5:$G$104,MATCH(D230,Produtos!$B$5:$B$104,0))),0))</f>
        <v/>
      </c>
      <c r="I230" s="27" t="str">
        <f aca="false">IF(G230="","",G230-H230)</f>
        <v/>
      </c>
      <c r="J230" s="42"/>
    </row>
    <row r="231" customFormat="false" ht="21" hidden="false" customHeight="true" outlineLevel="0" collapsed="false">
      <c r="B231" s="41"/>
      <c r="C231" s="9"/>
      <c r="D231" s="9"/>
      <c r="E231" s="42"/>
      <c r="F231" s="43"/>
      <c r="G231" s="27" t="str">
        <f aca="false">IF(OR(C231="",AND(D231="",F231="")),"",IF(N(E231)=0,1,E231)*IF(F231="",IFERROR(N(INDEX(Produtos!$L$5:$L$104,MATCH(D231,Produtos!$B$5:$B$104,0))),0),F231))</f>
        <v/>
      </c>
      <c r="H231" s="27" t="str">
        <f aca="false">IF(G231="","",IF(N(E231)=0,1,E231)*IFERROR(N(INDEX(Produtos!$G$5:$G$104,MATCH(D231,Produtos!$B$5:$B$104,0))),0))</f>
        <v/>
      </c>
      <c r="I231" s="27" t="str">
        <f aca="false">IF(G231="","",G231-H231)</f>
        <v/>
      </c>
      <c r="J231" s="42"/>
    </row>
    <row r="232" customFormat="false" ht="21" hidden="false" customHeight="true" outlineLevel="0" collapsed="false">
      <c r="B232" s="41"/>
      <c r="C232" s="9"/>
      <c r="D232" s="9"/>
      <c r="E232" s="42"/>
      <c r="F232" s="43"/>
      <c r="G232" s="27" t="str">
        <f aca="false">IF(OR(C232="",AND(D232="",F232="")),"",IF(N(E232)=0,1,E232)*IF(F232="",IFERROR(N(INDEX(Produtos!$L$5:$L$104,MATCH(D232,Produtos!$B$5:$B$104,0))),0),F232))</f>
        <v/>
      </c>
      <c r="H232" s="27" t="str">
        <f aca="false">IF(G232="","",IF(N(E232)=0,1,E232)*IFERROR(N(INDEX(Produtos!$G$5:$G$104,MATCH(D232,Produtos!$B$5:$B$104,0))),0))</f>
        <v/>
      </c>
      <c r="I232" s="27" t="str">
        <f aca="false">IF(G232="","",G232-H232)</f>
        <v/>
      </c>
      <c r="J232" s="42"/>
    </row>
    <row r="233" customFormat="false" ht="21" hidden="false" customHeight="true" outlineLevel="0" collapsed="false">
      <c r="B233" s="41"/>
      <c r="C233" s="9"/>
      <c r="D233" s="9"/>
      <c r="E233" s="42"/>
      <c r="F233" s="43"/>
      <c r="G233" s="27" t="str">
        <f aca="false">IF(OR(C233="",AND(D233="",F233="")),"",IF(N(E233)=0,1,E233)*IF(F233="",IFERROR(N(INDEX(Produtos!$L$5:$L$104,MATCH(D233,Produtos!$B$5:$B$104,0))),0),F233))</f>
        <v/>
      </c>
      <c r="H233" s="27" t="str">
        <f aca="false">IF(G233="","",IF(N(E233)=0,1,E233)*IFERROR(N(INDEX(Produtos!$G$5:$G$104,MATCH(D233,Produtos!$B$5:$B$104,0))),0))</f>
        <v/>
      </c>
      <c r="I233" s="27" t="str">
        <f aca="false">IF(G233="","",G233-H233)</f>
        <v/>
      </c>
      <c r="J233" s="42"/>
    </row>
    <row r="234" customFormat="false" ht="21" hidden="false" customHeight="true" outlineLevel="0" collapsed="false">
      <c r="B234" s="41"/>
      <c r="C234" s="9"/>
      <c r="D234" s="9"/>
      <c r="E234" s="42"/>
      <c r="F234" s="43"/>
      <c r="G234" s="27" t="str">
        <f aca="false">IF(OR(C234="",AND(D234="",F234="")),"",IF(N(E234)=0,1,E234)*IF(F234="",IFERROR(N(INDEX(Produtos!$L$5:$L$104,MATCH(D234,Produtos!$B$5:$B$104,0))),0),F234))</f>
        <v/>
      </c>
      <c r="H234" s="27" t="str">
        <f aca="false">IF(G234="","",IF(N(E234)=0,1,E234)*IFERROR(N(INDEX(Produtos!$G$5:$G$104,MATCH(D234,Produtos!$B$5:$B$104,0))),0))</f>
        <v/>
      </c>
      <c r="I234" s="27" t="str">
        <f aca="false">IF(G234="","",G234-H234)</f>
        <v/>
      </c>
      <c r="J234" s="42"/>
    </row>
    <row r="235" customFormat="false" ht="21" hidden="false" customHeight="true" outlineLevel="0" collapsed="false">
      <c r="B235" s="41"/>
      <c r="C235" s="9"/>
      <c r="D235" s="9"/>
      <c r="E235" s="42"/>
      <c r="F235" s="43"/>
      <c r="G235" s="27" t="str">
        <f aca="false">IF(OR(C235="",AND(D235="",F235="")),"",IF(N(E235)=0,1,E235)*IF(F235="",IFERROR(N(INDEX(Produtos!$L$5:$L$104,MATCH(D235,Produtos!$B$5:$B$104,0))),0),F235))</f>
        <v/>
      </c>
      <c r="H235" s="27" t="str">
        <f aca="false">IF(G235="","",IF(N(E235)=0,1,E235)*IFERROR(N(INDEX(Produtos!$G$5:$G$104,MATCH(D235,Produtos!$B$5:$B$104,0))),0))</f>
        <v/>
      </c>
      <c r="I235" s="27" t="str">
        <f aca="false">IF(G235="","",G235-H235)</f>
        <v/>
      </c>
      <c r="J235" s="42"/>
    </row>
    <row r="236" customFormat="false" ht="21" hidden="false" customHeight="true" outlineLevel="0" collapsed="false">
      <c r="B236" s="41"/>
      <c r="C236" s="9"/>
      <c r="D236" s="9"/>
      <c r="E236" s="42"/>
      <c r="F236" s="43"/>
      <c r="G236" s="27" t="str">
        <f aca="false">IF(OR(C236="",AND(D236="",F236="")),"",IF(N(E236)=0,1,E236)*IF(F236="",IFERROR(N(INDEX(Produtos!$L$5:$L$104,MATCH(D236,Produtos!$B$5:$B$104,0))),0),F236))</f>
        <v/>
      </c>
      <c r="H236" s="27" t="str">
        <f aca="false">IF(G236="","",IF(N(E236)=0,1,E236)*IFERROR(N(INDEX(Produtos!$G$5:$G$104,MATCH(D236,Produtos!$B$5:$B$104,0))),0))</f>
        <v/>
      </c>
      <c r="I236" s="27" t="str">
        <f aca="false">IF(G236="","",G236-H236)</f>
        <v/>
      </c>
      <c r="J236" s="42"/>
    </row>
    <row r="237" customFormat="false" ht="21" hidden="false" customHeight="true" outlineLevel="0" collapsed="false">
      <c r="B237" s="41"/>
      <c r="C237" s="9"/>
      <c r="D237" s="9"/>
      <c r="E237" s="42"/>
      <c r="F237" s="43"/>
      <c r="G237" s="27" t="str">
        <f aca="false">IF(OR(C237="",AND(D237="",F237="")),"",IF(N(E237)=0,1,E237)*IF(F237="",IFERROR(N(INDEX(Produtos!$L$5:$L$104,MATCH(D237,Produtos!$B$5:$B$104,0))),0),F237))</f>
        <v/>
      </c>
      <c r="H237" s="27" t="str">
        <f aca="false">IF(G237="","",IF(N(E237)=0,1,E237)*IFERROR(N(INDEX(Produtos!$G$5:$G$104,MATCH(D237,Produtos!$B$5:$B$104,0))),0))</f>
        <v/>
      </c>
      <c r="I237" s="27" t="str">
        <f aca="false">IF(G237="","",G237-H237)</f>
        <v/>
      </c>
      <c r="J237" s="42"/>
    </row>
    <row r="238" customFormat="false" ht="21" hidden="false" customHeight="true" outlineLevel="0" collapsed="false">
      <c r="B238" s="41"/>
      <c r="C238" s="9"/>
      <c r="D238" s="9"/>
      <c r="E238" s="42"/>
      <c r="F238" s="43"/>
      <c r="G238" s="27" t="str">
        <f aca="false">IF(OR(C238="",AND(D238="",F238="")),"",IF(N(E238)=0,1,E238)*IF(F238="",IFERROR(N(INDEX(Produtos!$L$5:$L$104,MATCH(D238,Produtos!$B$5:$B$104,0))),0),F238))</f>
        <v/>
      </c>
      <c r="H238" s="27" t="str">
        <f aca="false">IF(G238="","",IF(N(E238)=0,1,E238)*IFERROR(N(INDEX(Produtos!$G$5:$G$104,MATCH(D238,Produtos!$B$5:$B$104,0))),0))</f>
        <v/>
      </c>
      <c r="I238" s="27" t="str">
        <f aca="false">IF(G238="","",G238-H238)</f>
        <v/>
      </c>
      <c r="J238" s="42"/>
    </row>
    <row r="239" customFormat="false" ht="21" hidden="false" customHeight="true" outlineLevel="0" collapsed="false">
      <c r="B239" s="41"/>
      <c r="C239" s="9"/>
      <c r="D239" s="9"/>
      <c r="E239" s="42"/>
      <c r="F239" s="43"/>
      <c r="G239" s="27" t="str">
        <f aca="false">IF(OR(C239="",AND(D239="",F239="")),"",IF(N(E239)=0,1,E239)*IF(F239="",IFERROR(N(INDEX(Produtos!$L$5:$L$104,MATCH(D239,Produtos!$B$5:$B$104,0))),0),F239))</f>
        <v/>
      </c>
      <c r="H239" s="27" t="str">
        <f aca="false">IF(G239="","",IF(N(E239)=0,1,E239)*IFERROR(N(INDEX(Produtos!$G$5:$G$104,MATCH(D239,Produtos!$B$5:$B$104,0))),0))</f>
        <v/>
      </c>
      <c r="I239" s="27" t="str">
        <f aca="false">IF(G239="","",G239-H239)</f>
        <v/>
      </c>
      <c r="J239" s="42"/>
    </row>
    <row r="240" customFormat="false" ht="21" hidden="false" customHeight="true" outlineLevel="0" collapsed="false">
      <c r="B240" s="41"/>
      <c r="C240" s="9"/>
      <c r="D240" s="9"/>
      <c r="E240" s="42"/>
      <c r="F240" s="43"/>
      <c r="G240" s="27" t="str">
        <f aca="false">IF(OR(C240="",AND(D240="",F240="")),"",IF(N(E240)=0,1,E240)*IF(F240="",IFERROR(N(INDEX(Produtos!$L$5:$L$104,MATCH(D240,Produtos!$B$5:$B$104,0))),0),F240))</f>
        <v/>
      </c>
      <c r="H240" s="27" t="str">
        <f aca="false">IF(G240="","",IF(N(E240)=0,1,E240)*IFERROR(N(INDEX(Produtos!$G$5:$G$104,MATCH(D240,Produtos!$B$5:$B$104,0))),0))</f>
        <v/>
      </c>
      <c r="I240" s="27" t="str">
        <f aca="false">IF(G240="","",G240-H240)</f>
        <v/>
      </c>
      <c r="J240" s="42"/>
    </row>
    <row r="241" customFormat="false" ht="21" hidden="false" customHeight="true" outlineLevel="0" collapsed="false">
      <c r="B241" s="41"/>
      <c r="C241" s="9"/>
      <c r="D241" s="9"/>
      <c r="E241" s="42"/>
      <c r="F241" s="43"/>
      <c r="G241" s="27" t="str">
        <f aca="false">IF(OR(C241="",AND(D241="",F241="")),"",IF(N(E241)=0,1,E241)*IF(F241="",IFERROR(N(INDEX(Produtos!$L$5:$L$104,MATCH(D241,Produtos!$B$5:$B$104,0))),0),F241))</f>
        <v/>
      </c>
      <c r="H241" s="27" t="str">
        <f aca="false">IF(G241="","",IF(N(E241)=0,1,E241)*IFERROR(N(INDEX(Produtos!$G$5:$G$104,MATCH(D241,Produtos!$B$5:$B$104,0))),0))</f>
        <v/>
      </c>
      <c r="I241" s="27" t="str">
        <f aca="false">IF(G241="","",G241-H241)</f>
        <v/>
      </c>
      <c r="J241" s="42"/>
    </row>
    <row r="242" customFormat="false" ht="21" hidden="false" customHeight="true" outlineLevel="0" collapsed="false">
      <c r="B242" s="41"/>
      <c r="C242" s="9"/>
      <c r="D242" s="9"/>
      <c r="E242" s="42"/>
      <c r="F242" s="43"/>
      <c r="G242" s="27" t="str">
        <f aca="false">IF(OR(C242="",AND(D242="",F242="")),"",IF(N(E242)=0,1,E242)*IF(F242="",IFERROR(N(INDEX(Produtos!$L$5:$L$104,MATCH(D242,Produtos!$B$5:$B$104,0))),0),F242))</f>
        <v/>
      </c>
      <c r="H242" s="27" t="str">
        <f aca="false">IF(G242="","",IF(N(E242)=0,1,E242)*IFERROR(N(INDEX(Produtos!$G$5:$G$104,MATCH(D242,Produtos!$B$5:$B$104,0))),0))</f>
        <v/>
      </c>
      <c r="I242" s="27" t="str">
        <f aca="false">IF(G242="","",G242-H242)</f>
        <v/>
      </c>
      <c r="J242" s="42"/>
    </row>
    <row r="243" customFormat="false" ht="21" hidden="false" customHeight="true" outlineLevel="0" collapsed="false">
      <c r="B243" s="41"/>
      <c r="C243" s="9"/>
      <c r="D243" s="9"/>
      <c r="E243" s="42"/>
      <c r="F243" s="43"/>
      <c r="G243" s="27" t="str">
        <f aca="false">IF(OR(C243="",AND(D243="",F243="")),"",IF(N(E243)=0,1,E243)*IF(F243="",IFERROR(N(INDEX(Produtos!$L$5:$L$104,MATCH(D243,Produtos!$B$5:$B$104,0))),0),F243))</f>
        <v/>
      </c>
      <c r="H243" s="27" t="str">
        <f aca="false">IF(G243="","",IF(N(E243)=0,1,E243)*IFERROR(N(INDEX(Produtos!$G$5:$G$104,MATCH(D243,Produtos!$B$5:$B$104,0))),0))</f>
        <v/>
      </c>
      <c r="I243" s="27" t="str">
        <f aca="false">IF(G243="","",G243-H243)</f>
        <v/>
      </c>
      <c r="J243" s="42"/>
    </row>
    <row r="244" customFormat="false" ht="21" hidden="false" customHeight="true" outlineLevel="0" collapsed="false">
      <c r="B244" s="41"/>
      <c r="C244" s="9"/>
      <c r="D244" s="9"/>
      <c r="E244" s="42"/>
      <c r="F244" s="43"/>
      <c r="G244" s="27" t="str">
        <f aca="false">IF(OR(C244="",AND(D244="",F244="")),"",IF(N(E244)=0,1,E244)*IF(F244="",IFERROR(N(INDEX(Produtos!$L$5:$L$104,MATCH(D244,Produtos!$B$5:$B$104,0))),0),F244))</f>
        <v/>
      </c>
      <c r="H244" s="27" t="str">
        <f aca="false">IF(G244="","",IF(N(E244)=0,1,E244)*IFERROR(N(INDEX(Produtos!$G$5:$G$104,MATCH(D244,Produtos!$B$5:$B$104,0))),0))</f>
        <v/>
      </c>
      <c r="I244" s="27" t="str">
        <f aca="false">IF(G244="","",G244-H244)</f>
        <v/>
      </c>
      <c r="J244" s="42"/>
    </row>
    <row r="245" customFormat="false" ht="21" hidden="false" customHeight="true" outlineLevel="0" collapsed="false">
      <c r="B245" s="41"/>
      <c r="C245" s="9"/>
      <c r="D245" s="9"/>
      <c r="E245" s="42"/>
      <c r="F245" s="43"/>
      <c r="G245" s="27" t="str">
        <f aca="false">IF(OR(C245="",AND(D245="",F245="")),"",IF(N(E245)=0,1,E245)*IF(F245="",IFERROR(N(INDEX(Produtos!$L$5:$L$104,MATCH(D245,Produtos!$B$5:$B$104,0))),0),F245))</f>
        <v/>
      </c>
      <c r="H245" s="27" t="str">
        <f aca="false">IF(G245="","",IF(N(E245)=0,1,E245)*IFERROR(N(INDEX(Produtos!$G$5:$G$104,MATCH(D245,Produtos!$B$5:$B$104,0))),0))</f>
        <v/>
      </c>
      <c r="I245" s="27" t="str">
        <f aca="false">IF(G245="","",G245-H245)</f>
        <v/>
      </c>
      <c r="J245" s="42"/>
    </row>
    <row r="246" customFormat="false" ht="21" hidden="false" customHeight="true" outlineLevel="0" collapsed="false">
      <c r="B246" s="41"/>
      <c r="C246" s="9"/>
      <c r="D246" s="9"/>
      <c r="E246" s="42"/>
      <c r="F246" s="43"/>
      <c r="G246" s="27" t="str">
        <f aca="false">IF(OR(C246="",AND(D246="",F246="")),"",IF(N(E246)=0,1,E246)*IF(F246="",IFERROR(N(INDEX(Produtos!$L$5:$L$104,MATCH(D246,Produtos!$B$5:$B$104,0))),0),F246))</f>
        <v/>
      </c>
      <c r="H246" s="27" t="str">
        <f aca="false">IF(G246="","",IF(N(E246)=0,1,E246)*IFERROR(N(INDEX(Produtos!$G$5:$G$104,MATCH(D246,Produtos!$B$5:$B$104,0))),0))</f>
        <v/>
      </c>
      <c r="I246" s="27" t="str">
        <f aca="false">IF(G246="","",G246-H246)</f>
        <v/>
      </c>
      <c r="J246" s="42"/>
    </row>
    <row r="247" customFormat="false" ht="21" hidden="false" customHeight="true" outlineLevel="0" collapsed="false">
      <c r="B247" s="41"/>
      <c r="C247" s="9"/>
      <c r="D247" s="9"/>
      <c r="E247" s="42"/>
      <c r="F247" s="43"/>
      <c r="G247" s="27" t="str">
        <f aca="false">IF(OR(C247="",AND(D247="",F247="")),"",IF(N(E247)=0,1,E247)*IF(F247="",IFERROR(N(INDEX(Produtos!$L$5:$L$104,MATCH(D247,Produtos!$B$5:$B$104,0))),0),F247))</f>
        <v/>
      </c>
      <c r="H247" s="27" t="str">
        <f aca="false">IF(G247="","",IF(N(E247)=0,1,E247)*IFERROR(N(INDEX(Produtos!$G$5:$G$104,MATCH(D247,Produtos!$B$5:$B$104,0))),0))</f>
        <v/>
      </c>
      <c r="I247" s="27" t="str">
        <f aca="false">IF(G247="","",G247-H247)</f>
        <v/>
      </c>
      <c r="J247" s="42"/>
    </row>
    <row r="248" customFormat="false" ht="21" hidden="false" customHeight="true" outlineLevel="0" collapsed="false">
      <c r="B248" s="41"/>
      <c r="C248" s="9"/>
      <c r="D248" s="9"/>
      <c r="E248" s="42"/>
      <c r="F248" s="43"/>
      <c r="G248" s="27" t="str">
        <f aca="false">IF(OR(C248="",AND(D248="",F248="")),"",IF(N(E248)=0,1,E248)*IF(F248="",IFERROR(N(INDEX(Produtos!$L$5:$L$104,MATCH(D248,Produtos!$B$5:$B$104,0))),0),F248))</f>
        <v/>
      </c>
      <c r="H248" s="27" t="str">
        <f aca="false">IF(G248="","",IF(N(E248)=0,1,E248)*IFERROR(N(INDEX(Produtos!$G$5:$G$104,MATCH(D248,Produtos!$B$5:$B$104,0))),0))</f>
        <v/>
      </c>
      <c r="I248" s="27" t="str">
        <f aca="false">IF(G248="","",G248-H248)</f>
        <v/>
      </c>
      <c r="J248" s="42"/>
    </row>
    <row r="249" customFormat="false" ht="21" hidden="false" customHeight="true" outlineLevel="0" collapsed="false">
      <c r="B249" s="41"/>
      <c r="C249" s="9"/>
      <c r="D249" s="9"/>
      <c r="E249" s="42"/>
      <c r="F249" s="43"/>
      <c r="G249" s="27" t="str">
        <f aca="false">IF(OR(C249="",AND(D249="",F249="")),"",IF(N(E249)=0,1,E249)*IF(F249="",IFERROR(N(INDEX(Produtos!$L$5:$L$104,MATCH(D249,Produtos!$B$5:$B$104,0))),0),F249))</f>
        <v/>
      </c>
      <c r="H249" s="27" t="str">
        <f aca="false">IF(G249="","",IF(N(E249)=0,1,E249)*IFERROR(N(INDEX(Produtos!$G$5:$G$104,MATCH(D249,Produtos!$B$5:$B$104,0))),0))</f>
        <v/>
      </c>
      <c r="I249" s="27" t="str">
        <f aca="false">IF(G249="","",G249-H249)</f>
        <v/>
      </c>
      <c r="J249" s="42"/>
    </row>
    <row r="250" customFormat="false" ht="21" hidden="false" customHeight="true" outlineLevel="0" collapsed="false">
      <c r="B250" s="41"/>
      <c r="C250" s="9"/>
      <c r="D250" s="9"/>
      <c r="E250" s="42"/>
      <c r="F250" s="43"/>
      <c r="G250" s="27" t="str">
        <f aca="false">IF(OR(C250="",AND(D250="",F250="")),"",IF(N(E250)=0,1,E250)*IF(F250="",IFERROR(N(INDEX(Produtos!$L$5:$L$104,MATCH(D250,Produtos!$B$5:$B$104,0))),0),F250))</f>
        <v/>
      </c>
      <c r="H250" s="27" t="str">
        <f aca="false">IF(G250="","",IF(N(E250)=0,1,E250)*IFERROR(N(INDEX(Produtos!$G$5:$G$104,MATCH(D250,Produtos!$B$5:$B$104,0))),0))</f>
        <v/>
      </c>
      <c r="I250" s="27" t="str">
        <f aca="false">IF(G250="","",G250-H250)</f>
        <v/>
      </c>
      <c r="J250" s="42"/>
    </row>
    <row r="251" customFormat="false" ht="21" hidden="false" customHeight="true" outlineLevel="0" collapsed="false">
      <c r="B251" s="41"/>
      <c r="C251" s="9"/>
      <c r="D251" s="9"/>
      <c r="E251" s="42"/>
      <c r="F251" s="43"/>
      <c r="G251" s="27" t="str">
        <f aca="false">IF(OR(C251="",AND(D251="",F251="")),"",IF(N(E251)=0,1,E251)*IF(F251="",IFERROR(N(INDEX(Produtos!$L$5:$L$104,MATCH(D251,Produtos!$B$5:$B$104,0))),0),F251))</f>
        <v/>
      </c>
      <c r="H251" s="27" t="str">
        <f aca="false">IF(G251="","",IF(N(E251)=0,1,E251)*IFERROR(N(INDEX(Produtos!$G$5:$G$104,MATCH(D251,Produtos!$B$5:$B$104,0))),0))</f>
        <v/>
      </c>
      <c r="I251" s="27" t="str">
        <f aca="false">IF(G251="","",G251-H251)</f>
        <v/>
      </c>
      <c r="J251" s="42"/>
    </row>
    <row r="252" customFormat="false" ht="21" hidden="false" customHeight="true" outlineLevel="0" collapsed="false">
      <c r="B252" s="41"/>
      <c r="C252" s="9"/>
      <c r="D252" s="9"/>
      <c r="E252" s="42"/>
      <c r="F252" s="43"/>
      <c r="G252" s="27" t="str">
        <f aca="false">IF(OR(C252="",AND(D252="",F252="")),"",IF(N(E252)=0,1,E252)*IF(F252="",IFERROR(N(INDEX(Produtos!$L$5:$L$104,MATCH(D252,Produtos!$B$5:$B$104,0))),0),F252))</f>
        <v/>
      </c>
      <c r="H252" s="27" t="str">
        <f aca="false">IF(G252="","",IF(N(E252)=0,1,E252)*IFERROR(N(INDEX(Produtos!$G$5:$G$104,MATCH(D252,Produtos!$B$5:$B$104,0))),0))</f>
        <v/>
      </c>
      <c r="I252" s="27" t="str">
        <f aca="false">IF(G252="","",G252-H252)</f>
        <v/>
      </c>
      <c r="J252" s="42"/>
    </row>
    <row r="253" customFormat="false" ht="21" hidden="false" customHeight="true" outlineLevel="0" collapsed="false">
      <c r="B253" s="41"/>
      <c r="C253" s="9"/>
      <c r="D253" s="9"/>
      <c r="E253" s="42"/>
      <c r="F253" s="43"/>
      <c r="G253" s="27" t="str">
        <f aca="false">IF(OR(C253="",AND(D253="",F253="")),"",IF(N(E253)=0,1,E253)*IF(F253="",IFERROR(N(INDEX(Produtos!$L$5:$L$104,MATCH(D253,Produtos!$B$5:$B$104,0))),0),F253))</f>
        <v/>
      </c>
      <c r="H253" s="27" t="str">
        <f aca="false">IF(G253="","",IF(N(E253)=0,1,E253)*IFERROR(N(INDEX(Produtos!$G$5:$G$104,MATCH(D253,Produtos!$B$5:$B$104,0))),0))</f>
        <v/>
      </c>
      <c r="I253" s="27" t="str">
        <f aca="false">IF(G253="","",G253-H253)</f>
        <v/>
      </c>
      <c r="J253" s="42"/>
    </row>
    <row r="254" customFormat="false" ht="21" hidden="false" customHeight="true" outlineLevel="0" collapsed="false">
      <c r="B254" s="41"/>
      <c r="C254" s="9"/>
      <c r="D254" s="9"/>
      <c r="E254" s="42"/>
      <c r="F254" s="43"/>
      <c r="G254" s="27" t="str">
        <f aca="false">IF(OR(C254="",AND(D254="",F254="")),"",IF(N(E254)=0,1,E254)*IF(F254="",IFERROR(N(INDEX(Produtos!$L$5:$L$104,MATCH(D254,Produtos!$B$5:$B$104,0))),0),F254))</f>
        <v/>
      </c>
      <c r="H254" s="27" t="str">
        <f aca="false">IF(G254="","",IF(N(E254)=0,1,E254)*IFERROR(N(INDEX(Produtos!$G$5:$G$104,MATCH(D254,Produtos!$B$5:$B$104,0))),0))</f>
        <v/>
      </c>
      <c r="I254" s="27" t="str">
        <f aca="false">IF(G254="","",G254-H254)</f>
        <v/>
      </c>
      <c r="J254" s="42"/>
    </row>
    <row r="255" customFormat="false" ht="21" hidden="false" customHeight="true" outlineLevel="0" collapsed="false">
      <c r="B255" s="41"/>
      <c r="C255" s="9"/>
      <c r="D255" s="9"/>
      <c r="E255" s="42"/>
      <c r="F255" s="43"/>
      <c r="G255" s="27" t="str">
        <f aca="false">IF(OR(C255="",AND(D255="",F255="")),"",IF(N(E255)=0,1,E255)*IF(F255="",IFERROR(N(INDEX(Produtos!$L$5:$L$104,MATCH(D255,Produtos!$B$5:$B$104,0))),0),F255))</f>
        <v/>
      </c>
      <c r="H255" s="27" t="str">
        <f aca="false">IF(G255="","",IF(N(E255)=0,1,E255)*IFERROR(N(INDEX(Produtos!$G$5:$G$104,MATCH(D255,Produtos!$B$5:$B$104,0))),0))</f>
        <v/>
      </c>
      <c r="I255" s="27" t="str">
        <f aca="false">IF(G255="","",G255-H255)</f>
        <v/>
      </c>
      <c r="J255" s="42"/>
    </row>
    <row r="256" customFormat="false" ht="21" hidden="false" customHeight="true" outlineLevel="0" collapsed="false">
      <c r="B256" s="41"/>
      <c r="C256" s="9"/>
      <c r="D256" s="9"/>
      <c r="E256" s="42"/>
      <c r="F256" s="43"/>
      <c r="G256" s="27" t="str">
        <f aca="false">IF(OR(C256="",AND(D256="",F256="")),"",IF(N(E256)=0,1,E256)*IF(F256="",IFERROR(N(INDEX(Produtos!$L$5:$L$104,MATCH(D256,Produtos!$B$5:$B$104,0))),0),F256))</f>
        <v/>
      </c>
      <c r="H256" s="27" t="str">
        <f aca="false">IF(G256="","",IF(N(E256)=0,1,E256)*IFERROR(N(INDEX(Produtos!$G$5:$G$104,MATCH(D256,Produtos!$B$5:$B$104,0))),0))</f>
        <v/>
      </c>
      <c r="I256" s="27" t="str">
        <f aca="false">IF(G256="","",G256-H256)</f>
        <v/>
      </c>
      <c r="J256" s="42"/>
    </row>
    <row r="257" customFormat="false" ht="21" hidden="false" customHeight="true" outlineLevel="0" collapsed="false">
      <c r="B257" s="41"/>
      <c r="C257" s="9"/>
      <c r="D257" s="9"/>
      <c r="E257" s="42"/>
      <c r="F257" s="43"/>
      <c r="G257" s="27" t="str">
        <f aca="false">IF(OR(C257="",AND(D257="",F257="")),"",IF(N(E257)=0,1,E257)*IF(F257="",IFERROR(N(INDEX(Produtos!$L$5:$L$104,MATCH(D257,Produtos!$B$5:$B$104,0))),0),F257))</f>
        <v/>
      </c>
      <c r="H257" s="27" t="str">
        <f aca="false">IF(G257="","",IF(N(E257)=0,1,E257)*IFERROR(N(INDEX(Produtos!$G$5:$G$104,MATCH(D257,Produtos!$B$5:$B$104,0))),0))</f>
        <v/>
      </c>
      <c r="I257" s="27" t="str">
        <f aca="false">IF(G257="","",G257-H257)</f>
        <v/>
      </c>
      <c r="J257" s="42"/>
    </row>
    <row r="258" customFormat="false" ht="21" hidden="false" customHeight="true" outlineLevel="0" collapsed="false">
      <c r="B258" s="41"/>
      <c r="C258" s="9"/>
      <c r="D258" s="9"/>
      <c r="E258" s="42"/>
      <c r="F258" s="43"/>
      <c r="G258" s="27" t="str">
        <f aca="false">IF(OR(C258="",AND(D258="",F258="")),"",IF(N(E258)=0,1,E258)*IF(F258="",IFERROR(N(INDEX(Produtos!$L$5:$L$104,MATCH(D258,Produtos!$B$5:$B$104,0))),0),F258))</f>
        <v/>
      </c>
      <c r="H258" s="27" t="str">
        <f aca="false">IF(G258="","",IF(N(E258)=0,1,E258)*IFERROR(N(INDEX(Produtos!$G$5:$G$104,MATCH(D258,Produtos!$B$5:$B$104,0))),0))</f>
        <v/>
      </c>
      <c r="I258" s="27" t="str">
        <f aca="false">IF(G258="","",G258-H258)</f>
        <v/>
      </c>
      <c r="J258" s="42"/>
    </row>
    <row r="259" customFormat="false" ht="21" hidden="false" customHeight="true" outlineLevel="0" collapsed="false">
      <c r="B259" s="41"/>
      <c r="C259" s="9"/>
      <c r="D259" s="9"/>
      <c r="E259" s="42"/>
      <c r="F259" s="43"/>
      <c r="G259" s="27" t="str">
        <f aca="false">IF(OR(C259="",AND(D259="",F259="")),"",IF(N(E259)=0,1,E259)*IF(F259="",IFERROR(N(INDEX(Produtos!$L$5:$L$104,MATCH(D259,Produtos!$B$5:$B$104,0))),0),F259))</f>
        <v/>
      </c>
      <c r="H259" s="27" t="str">
        <f aca="false">IF(G259="","",IF(N(E259)=0,1,E259)*IFERROR(N(INDEX(Produtos!$G$5:$G$104,MATCH(D259,Produtos!$B$5:$B$104,0))),0))</f>
        <v/>
      </c>
      <c r="I259" s="27" t="str">
        <f aca="false">IF(G259="","",G259-H259)</f>
        <v/>
      </c>
      <c r="J259" s="42"/>
    </row>
    <row r="260" customFormat="false" ht="21" hidden="false" customHeight="true" outlineLevel="0" collapsed="false">
      <c r="B260" s="41"/>
      <c r="C260" s="9"/>
      <c r="D260" s="9"/>
      <c r="E260" s="42"/>
      <c r="F260" s="43"/>
      <c r="G260" s="27" t="str">
        <f aca="false">IF(OR(C260="",AND(D260="",F260="")),"",IF(N(E260)=0,1,E260)*IF(F260="",IFERROR(N(INDEX(Produtos!$L$5:$L$104,MATCH(D260,Produtos!$B$5:$B$104,0))),0),F260))</f>
        <v/>
      </c>
      <c r="H260" s="27" t="str">
        <f aca="false">IF(G260="","",IF(N(E260)=0,1,E260)*IFERROR(N(INDEX(Produtos!$G$5:$G$104,MATCH(D260,Produtos!$B$5:$B$104,0))),0))</f>
        <v/>
      </c>
      <c r="I260" s="27" t="str">
        <f aca="false">IF(G260="","",G260-H260)</f>
        <v/>
      </c>
      <c r="J260" s="42"/>
    </row>
    <row r="261" customFormat="false" ht="21" hidden="false" customHeight="true" outlineLevel="0" collapsed="false">
      <c r="B261" s="41"/>
      <c r="C261" s="9"/>
      <c r="D261" s="9"/>
      <c r="E261" s="42"/>
      <c r="F261" s="43"/>
      <c r="G261" s="27" t="str">
        <f aca="false">IF(OR(C261="",AND(D261="",F261="")),"",IF(N(E261)=0,1,E261)*IF(F261="",IFERROR(N(INDEX(Produtos!$L$5:$L$104,MATCH(D261,Produtos!$B$5:$B$104,0))),0),F261))</f>
        <v/>
      </c>
      <c r="H261" s="27" t="str">
        <f aca="false">IF(G261="","",IF(N(E261)=0,1,E261)*IFERROR(N(INDEX(Produtos!$G$5:$G$104,MATCH(D261,Produtos!$B$5:$B$104,0))),0))</f>
        <v/>
      </c>
      <c r="I261" s="27" t="str">
        <f aca="false">IF(G261="","",G261-H261)</f>
        <v/>
      </c>
      <c r="J261" s="42"/>
    </row>
    <row r="262" customFormat="false" ht="21" hidden="false" customHeight="true" outlineLevel="0" collapsed="false">
      <c r="B262" s="41"/>
      <c r="C262" s="9"/>
      <c r="D262" s="9"/>
      <c r="E262" s="42"/>
      <c r="F262" s="43"/>
      <c r="G262" s="27" t="str">
        <f aca="false">IF(OR(C262="",AND(D262="",F262="")),"",IF(N(E262)=0,1,E262)*IF(F262="",IFERROR(N(INDEX(Produtos!$L$5:$L$104,MATCH(D262,Produtos!$B$5:$B$104,0))),0),F262))</f>
        <v/>
      </c>
      <c r="H262" s="27" t="str">
        <f aca="false">IF(G262="","",IF(N(E262)=0,1,E262)*IFERROR(N(INDEX(Produtos!$G$5:$G$104,MATCH(D262,Produtos!$B$5:$B$104,0))),0))</f>
        <v/>
      </c>
      <c r="I262" s="27" t="str">
        <f aca="false">IF(G262="","",G262-H262)</f>
        <v/>
      </c>
      <c r="J262" s="42"/>
    </row>
    <row r="263" customFormat="false" ht="21" hidden="false" customHeight="true" outlineLevel="0" collapsed="false">
      <c r="B263" s="41"/>
      <c r="C263" s="9"/>
      <c r="D263" s="9"/>
      <c r="E263" s="42"/>
      <c r="F263" s="43"/>
      <c r="G263" s="27" t="str">
        <f aca="false">IF(OR(C263="",AND(D263="",F263="")),"",IF(N(E263)=0,1,E263)*IF(F263="",IFERROR(N(INDEX(Produtos!$L$5:$L$104,MATCH(D263,Produtos!$B$5:$B$104,0))),0),F263))</f>
        <v/>
      </c>
      <c r="H263" s="27" t="str">
        <f aca="false">IF(G263="","",IF(N(E263)=0,1,E263)*IFERROR(N(INDEX(Produtos!$G$5:$G$104,MATCH(D263,Produtos!$B$5:$B$104,0))),0))</f>
        <v/>
      </c>
      <c r="I263" s="27" t="str">
        <f aca="false">IF(G263="","",G263-H263)</f>
        <v/>
      </c>
      <c r="J263" s="42"/>
    </row>
    <row r="264" customFormat="false" ht="21" hidden="false" customHeight="true" outlineLevel="0" collapsed="false">
      <c r="B264" s="41"/>
      <c r="C264" s="9"/>
      <c r="D264" s="9"/>
      <c r="E264" s="42"/>
      <c r="F264" s="43"/>
      <c r="G264" s="27" t="str">
        <f aca="false">IF(OR(C264="",AND(D264="",F264="")),"",IF(N(E264)=0,1,E264)*IF(F264="",IFERROR(N(INDEX(Produtos!$L$5:$L$104,MATCH(D264,Produtos!$B$5:$B$104,0))),0),F264))</f>
        <v/>
      </c>
      <c r="H264" s="27" t="str">
        <f aca="false">IF(G264="","",IF(N(E264)=0,1,E264)*IFERROR(N(INDEX(Produtos!$G$5:$G$104,MATCH(D264,Produtos!$B$5:$B$104,0))),0))</f>
        <v/>
      </c>
      <c r="I264" s="27" t="str">
        <f aca="false">IF(G264="","",G264-H264)</f>
        <v/>
      </c>
      <c r="J264" s="42"/>
    </row>
    <row r="265" customFormat="false" ht="21" hidden="false" customHeight="true" outlineLevel="0" collapsed="false">
      <c r="B265" s="41"/>
      <c r="C265" s="9"/>
      <c r="D265" s="9"/>
      <c r="E265" s="42"/>
      <c r="F265" s="43"/>
      <c r="G265" s="27" t="str">
        <f aca="false">IF(OR(C265="",AND(D265="",F265="")),"",IF(N(E265)=0,1,E265)*IF(F265="",IFERROR(N(INDEX(Produtos!$L$5:$L$104,MATCH(D265,Produtos!$B$5:$B$104,0))),0),F265))</f>
        <v/>
      </c>
      <c r="H265" s="27" t="str">
        <f aca="false">IF(G265="","",IF(N(E265)=0,1,E265)*IFERROR(N(INDEX(Produtos!$G$5:$G$104,MATCH(D265,Produtos!$B$5:$B$104,0))),0))</f>
        <v/>
      </c>
      <c r="I265" s="27" t="str">
        <f aca="false">IF(G265="","",G265-H265)</f>
        <v/>
      </c>
      <c r="J265" s="42"/>
    </row>
    <row r="266" customFormat="false" ht="21" hidden="false" customHeight="true" outlineLevel="0" collapsed="false">
      <c r="B266" s="41"/>
      <c r="C266" s="9"/>
      <c r="D266" s="9"/>
      <c r="E266" s="42"/>
      <c r="F266" s="43"/>
      <c r="G266" s="27" t="str">
        <f aca="false">IF(OR(C266="",AND(D266="",F266="")),"",IF(N(E266)=0,1,E266)*IF(F266="",IFERROR(N(INDEX(Produtos!$L$5:$L$104,MATCH(D266,Produtos!$B$5:$B$104,0))),0),F266))</f>
        <v/>
      </c>
      <c r="H266" s="27" t="str">
        <f aca="false">IF(G266="","",IF(N(E266)=0,1,E266)*IFERROR(N(INDEX(Produtos!$G$5:$G$104,MATCH(D266,Produtos!$B$5:$B$104,0))),0))</f>
        <v/>
      </c>
      <c r="I266" s="27" t="str">
        <f aca="false">IF(G266="","",G266-H266)</f>
        <v/>
      </c>
      <c r="J266" s="42"/>
    </row>
    <row r="267" customFormat="false" ht="21" hidden="false" customHeight="true" outlineLevel="0" collapsed="false">
      <c r="B267" s="41"/>
      <c r="C267" s="9"/>
      <c r="D267" s="9"/>
      <c r="E267" s="42"/>
      <c r="F267" s="43"/>
      <c r="G267" s="27" t="str">
        <f aca="false">IF(OR(C267="",AND(D267="",F267="")),"",IF(N(E267)=0,1,E267)*IF(F267="",IFERROR(N(INDEX(Produtos!$L$5:$L$104,MATCH(D267,Produtos!$B$5:$B$104,0))),0),F267))</f>
        <v/>
      </c>
      <c r="H267" s="27" t="str">
        <f aca="false">IF(G267="","",IF(N(E267)=0,1,E267)*IFERROR(N(INDEX(Produtos!$G$5:$G$104,MATCH(D267,Produtos!$B$5:$B$104,0))),0))</f>
        <v/>
      </c>
      <c r="I267" s="27" t="str">
        <f aca="false">IF(G267="","",G267-H267)</f>
        <v/>
      </c>
      <c r="J267" s="42"/>
    </row>
    <row r="268" customFormat="false" ht="21" hidden="false" customHeight="true" outlineLevel="0" collapsed="false">
      <c r="B268" s="41"/>
      <c r="C268" s="9"/>
      <c r="D268" s="9"/>
      <c r="E268" s="42"/>
      <c r="F268" s="43"/>
      <c r="G268" s="27" t="str">
        <f aca="false">IF(OR(C268="",AND(D268="",F268="")),"",IF(N(E268)=0,1,E268)*IF(F268="",IFERROR(N(INDEX(Produtos!$L$5:$L$104,MATCH(D268,Produtos!$B$5:$B$104,0))),0),F268))</f>
        <v/>
      </c>
      <c r="H268" s="27" t="str">
        <f aca="false">IF(G268="","",IF(N(E268)=0,1,E268)*IFERROR(N(INDEX(Produtos!$G$5:$G$104,MATCH(D268,Produtos!$B$5:$B$104,0))),0))</f>
        <v/>
      </c>
      <c r="I268" s="27" t="str">
        <f aca="false">IF(G268="","",G268-H268)</f>
        <v/>
      </c>
      <c r="J268" s="42"/>
    </row>
    <row r="269" customFormat="false" ht="21" hidden="false" customHeight="true" outlineLevel="0" collapsed="false">
      <c r="B269" s="41"/>
      <c r="C269" s="9"/>
      <c r="D269" s="9"/>
      <c r="E269" s="42"/>
      <c r="F269" s="43"/>
      <c r="G269" s="27" t="str">
        <f aca="false">IF(OR(C269="",AND(D269="",F269="")),"",IF(N(E269)=0,1,E269)*IF(F269="",IFERROR(N(INDEX(Produtos!$L$5:$L$104,MATCH(D269,Produtos!$B$5:$B$104,0))),0),F269))</f>
        <v/>
      </c>
      <c r="H269" s="27" t="str">
        <f aca="false">IF(G269="","",IF(N(E269)=0,1,E269)*IFERROR(N(INDEX(Produtos!$G$5:$G$104,MATCH(D269,Produtos!$B$5:$B$104,0))),0))</f>
        <v/>
      </c>
      <c r="I269" s="27" t="str">
        <f aca="false">IF(G269="","",G269-H269)</f>
        <v/>
      </c>
      <c r="J269" s="42"/>
    </row>
    <row r="270" customFormat="false" ht="21" hidden="false" customHeight="true" outlineLevel="0" collapsed="false">
      <c r="B270" s="41"/>
      <c r="C270" s="9"/>
      <c r="D270" s="9"/>
      <c r="E270" s="42"/>
      <c r="F270" s="43"/>
      <c r="G270" s="27" t="str">
        <f aca="false">IF(OR(C270="",AND(D270="",F270="")),"",IF(N(E270)=0,1,E270)*IF(F270="",IFERROR(N(INDEX(Produtos!$L$5:$L$104,MATCH(D270,Produtos!$B$5:$B$104,0))),0),F270))</f>
        <v/>
      </c>
      <c r="H270" s="27" t="str">
        <f aca="false">IF(G270="","",IF(N(E270)=0,1,E270)*IFERROR(N(INDEX(Produtos!$G$5:$G$104,MATCH(D270,Produtos!$B$5:$B$104,0))),0))</f>
        <v/>
      </c>
      <c r="I270" s="27" t="str">
        <f aca="false">IF(G270="","",G270-H270)</f>
        <v/>
      </c>
      <c r="J270" s="42"/>
    </row>
    <row r="271" customFormat="false" ht="21" hidden="false" customHeight="true" outlineLevel="0" collapsed="false">
      <c r="B271" s="41"/>
      <c r="C271" s="9"/>
      <c r="D271" s="9"/>
      <c r="E271" s="42"/>
      <c r="F271" s="43"/>
      <c r="G271" s="27" t="str">
        <f aca="false">IF(OR(C271="",AND(D271="",F271="")),"",IF(N(E271)=0,1,E271)*IF(F271="",IFERROR(N(INDEX(Produtos!$L$5:$L$104,MATCH(D271,Produtos!$B$5:$B$104,0))),0),F271))</f>
        <v/>
      </c>
      <c r="H271" s="27" t="str">
        <f aca="false">IF(G271="","",IF(N(E271)=0,1,E271)*IFERROR(N(INDEX(Produtos!$G$5:$G$104,MATCH(D271,Produtos!$B$5:$B$104,0))),0))</f>
        <v/>
      </c>
      <c r="I271" s="27" t="str">
        <f aca="false">IF(G271="","",G271-H271)</f>
        <v/>
      </c>
      <c r="J271" s="42"/>
    </row>
    <row r="272" customFormat="false" ht="21" hidden="false" customHeight="true" outlineLevel="0" collapsed="false">
      <c r="B272" s="41"/>
      <c r="C272" s="9"/>
      <c r="D272" s="9"/>
      <c r="E272" s="42"/>
      <c r="F272" s="43"/>
      <c r="G272" s="27" t="str">
        <f aca="false">IF(OR(C272="",AND(D272="",F272="")),"",IF(N(E272)=0,1,E272)*IF(F272="",IFERROR(N(INDEX(Produtos!$L$5:$L$104,MATCH(D272,Produtos!$B$5:$B$104,0))),0),F272))</f>
        <v/>
      </c>
      <c r="H272" s="27" t="str">
        <f aca="false">IF(G272="","",IF(N(E272)=0,1,E272)*IFERROR(N(INDEX(Produtos!$G$5:$G$104,MATCH(D272,Produtos!$B$5:$B$104,0))),0))</f>
        <v/>
      </c>
      <c r="I272" s="27" t="str">
        <f aca="false">IF(G272="","",G272-H272)</f>
        <v/>
      </c>
      <c r="J272" s="42"/>
    </row>
    <row r="273" customFormat="false" ht="21" hidden="false" customHeight="true" outlineLevel="0" collapsed="false">
      <c r="B273" s="41"/>
      <c r="C273" s="9"/>
      <c r="D273" s="9"/>
      <c r="E273" s="42"/>
      <c r="F273" s="43"/>
      <c r="G273" s="27" t="str">
        <f aca="false">IF(OR(C273="",AND(D273="",F273="")),"",IF(N(E273)=0,1,E273)*IF(F273="",IFERROR(N(INDEX(Produtos!$L$5:$L$104,MATCH(D273,Produtos!$B$5:$B$104,0))),0),F273))</f>
        <v/>
      </c>
      <c r="H273" s="27" t="str">
        <f aca="false">IF(G273="","",IF(N(E273)=0,1,E273)*IFERROR(N(INDEX(Produtos!$G$5:$G$104,MATCH(D273,Produtos!$B$5:$B$104,0))),0))</f>
        <v/>
      </c>
      <c r="I273" s="27" t="str">
        <f aca="false">IF(G273="","",G273-H273)</f>
        <v/>
      </c>
      <c r="J273" s="42"/>
    </row>
    <row r="274" customFormat="false" ht="21" hidden="false" customHeight="true" outlineLevel="0" collapsed="false">
      <c r="B274" s="41"/>
      <c r="C274" s="9"/>
      <c r="D274" s="9"/>
      <c r="E274" s="42"/>
      <c r="F274" s="43"/>
      <c r="G274" s="27" t="str">
        <f aca="false">IF(OR(C274="",AND(D274="",F274="")),"",IF(N(E274)=0,1,E274)*IF(F274="",IFERROR(N(INDEX(Produtos!$L$5:$L$104,MATCH(D274,Produtos!$B$5:$B$104,0))),0),F274))</f>
        <v/>
      </c>
      <c r="H274" s="27" t="str">
        <f aca="false">IF(G274="","",IF(N(E274)=0,1,E274)*IFERROR(N(INDEX(Produtos!$G$5:$G$104,MATCH(D274,Produtos!$B$5:$B$104,0))),0))</f>
        <v/>
      </c>
      <c r="I274" s="27" t="str">
        <f aca="false">IF(G274="","",G274-H274)</f>
        <v/>
      </c>
      <c r="J274" s="42"/>
    </row>
    <row r="275" customFormat="false" ht="21" hidden="false" customHeight="true" outlineLevel="0" collapsed="false">
      <c r="B275" s="41"/>
      <c r="C275" s="9"/>
      <c r="D275" s="9"/>
      <c r="E275" s="42"/>
      <c r="F275" s="43"/>
      <c r="G275" s="27" t="str">
        <f aca="false">IF(OR(C275="",AND(D275="",F275="")),"",IF(N(E275)=0,1,E275)*IF(F275="",IFERROR(N(INDEX(Produtos!$L$5:$L$104,MATCH(D275,Produtos!$B$5:$B$104,0))),0),F275))</f>
        <v/>
      </c>
      <c r="H275" s="27" t="str">
        <f aca="false">IF(G275="","",IF(N(E275)=0,1,E275)*IFERROR(N(INDEX(Produtos!$G$5:$G$104,MATCH(D275,Produtos!$B$5:$B$104,0))),0))</f>
        <v/>
      </c>
      <c r="I275" s="27" t="str">
        <f aca="false">IF(G275="","",G275-H275)</f>
        <v/>
      </c>
      <c r="J275" s="42"/>
    </row>
    <row r="276" customFormat="false" ht="21" hidden="false" customHeight="true" outlineLevel="0" collapsed="false">
      <c r="B276" s="41"/>
      <c r="C276" s="9"/>
      <c r="D276" s="9"/>
      <c r="E276" s="42"/>
      <c r="F276" s="43"/>
      <c r="G276" s="27" t="str">
        <f aca="false">IF(OR(C276="",AND(D276="",F276="")),"",IF(N(E276)=0,1,E276)*IF(F276="",IFERROR(N(INDEX(Produtos!$L$5:$L$104,MATCH(D276,Produtos!$B$5:$B$104,0))),0),F276))</f>
        <v/>
      </c>
      <c r="H276" s="27" t="str">
        <f aca="false">IF(G276="","",IF(N(E276)=0,1,E276)*IFERROR(N(INDEX(Produtos!$G$5:$G$104,MATCH(D276,Produtos!$B$5:$B$104,0))),0))</f>
        <v/>
      </c>
      <c r="I276" s="27" t="str">
        <f aca="false">IF(G276="","",G276-H276)</f>
        <v/>
      </c>
      <c r="J276" s="42"/>
    </row>
    <row r="277" customFormat="false" ht="21" hidden="false" customHeight="true" outlineLevel="0" collapsed="false">
      <c r="B277" s="41"/>
      <c r="C277" s="9"/>
      <c r="D277" s="9"/>
      <c r="E277" s="42"/>
      <c r="F277" s="43"/>
      <c r="G277" s="27" t="str">
        <f aca="false">IF(OR(C277="",AND(D277="",F277="")),"",IF(N(E277)=0,1,E277)*IF(F277="",IFERROR(N(INDEX(Produtos!$L$5:$L$104,MATCH(D277,Produtos!$B$5:$B$104,0))),0),F277))</f>
        <v/>
      </c>
      <c r="H277" s="27" t="str">
        <f aca="false">IF(G277="","",IF(N(E277)=0,1,E277)*IFERROR(N(INDEX(Produtos!$G$5:$G$104,MATCH(D277,Produtos!$B$5:$B$104,0))),0))</f>
        <v/>
      </c>
      <c r="I277" s="27" t="str">
        <f aca="false">IF(G277="","",G277-H277)</f>
        <v/>
      </c>
      <c r="J277" s="42"/>
    </row>
    <row r="278" customFormat="false" ht="21" hidden="false" customHeight="true" outlineLevel="0" collapsed="false">
      <c r="B278" s="41"/>
      <c r="C278" s="9"/>
      <c r="D278" s="9"/>
      <c r="E278" s="42"/>
      <c r="F278" s="43"/>
      <c r="G278" s="27" t="str">
        <f aca="false">IF(OR(C278="",AND(D278="",F278="")),"",IF(N(E278)=0,1,E278)*IF(F278="",IFERROR(N(INDEX(Produtos!$L$5:$L$104,MATCH(D278,Produtos!$B$5:$B$104,0))),0),F278))</f>
        <v/>
      </c>
      <c r="H278" s="27" t="str">
        <f aca="false">IF(G278="","",IF(N(E278)=0,1,E278)*IFERROR(N(INDEX(Produtos!$G$5:$G$104,MATCH(D278,Produtos!$B$5:$B$104,0))),0))</f>
        <v/>
      </c>
      <c r="I278" s="27" t="str">
        <f aca="false">IF(G278="","",G278-H278)</f>
        <v/>
      </c>
      <c r="J278" s="42"/>
    </row>
    <row r="279" customFormat="false" ht="21" hidden="false" customHeight="true" outlineLevel="0" collapsed="false">
      <c r="B279" s="41"/>
      <c r="C279" s="9"/>
      <c r="D279" s="9"/>
      <c r="E279" s="42"/>
      <c r="F279" s="43"/>
      <c r="G279" s="27" t="str">
        <f aca="false">IF(OR(C279="",AND(D279="",F279="")),"",IF(N(E279)=0,1,E279)*IF(F279="",IFERROR(N(INDEX(Produtos!$L$5:$L$104,MATCH(D279,Produtos!$B$5:$B$104,0))),0),F279))</f>
        <v/>
      </c>
      <c r="H279" s="27" t="str">
        <f aca="false">IF(G279="","",IF(N(E279)=0,1,E279)*IFERROR(N(INDEX(Produtos!$G$5:$G$104,MATCH(D279,Produtos!$B$5:$B$104,0))),0))</f>
        <v/>
      </c>
      <c r="I279" s="27" t="str">
        <f aca="false">IF(G279="","",G279-H279)</f>
        <v/>
      </c>
      <c r="J279" s="42"/>
    </row>
    <row r="280" customFormat="false" ht="21" hidden="false" customHeight="true" outlineLevel="0" collapsed="false">
      <c r="B280" s="41"/>
      <c r="C280" s="9"/>
      <c r="D280" s="9"/>
      <c r="E280" s="42"/>
      <c r="F280" s="43"/>
      <c r="G280" s="27" t="str">
        <f aca="false">IF(OR(C280="",AND(D280="",F280="")),"",IF(N(E280)=0,1,E280)*IF(F280="",IFERROR(N(INDEX(Produtos!$L$5:$L$104,MATCH(D280,Produtos!$B$5:$B$104,0))),0),F280))</f>
        <v/>
      </c>
      <c r="H280" s="27" t="str">
        <f aca="false">IF(G280="","",IF(N(E280)=0,1,E280)*IFERROR(N(INDEX(Produtos!$G$5:$G$104,MATCH(D280,Produtos!$B$5:$B$104,0))),0))</f>
        <v/>
      </c>
      <c r="I280" s="27" t="str">
        <f aca="false">IF(G280="","",G280-H280)</f>
        <v/>
      </c>
      <c r="J280" s="42"/>
    </row>
    <row r="281" customFormat="false" ht="21" hidden="false" customHeight="true" outlineLevel="0" collapsed="false">
      <c r="B281" s="41"/>
      <c r="C281" s="9"/>
      <c r="D281" s="9"/>
      <c r="E281" s="42"/>
      <c r="F281" s="43"/>
      <c r="G281" s="27" t="str">
        <f aca="false">IF(OR(C281="",AND(D281="",F281="")),"",IF(N(E281)=0,1,E281)*IF(F281="",IFERROR(N(INDEX(Produtos!$L$5:$L$104,MATCH(D281,Produtos!$B$5:$B$104,0))),0),F281))</f>
        <v/>
      </c>
      <c r="H281" s="27" t="str">
        <f aca="false">IF(G281="","",IF(N(E281)=0,1,E281)*IFERROR(N(INDEX(Produtos!$G$5:$G$104,MATCH(D281,Produtos!$B$5:$B$104,0))),0))</f>
        <v/>
      </c>
      <c r="I281" s="27" t="str">
        <f aca="false">IF(G281="","",G281-H281)</f>
        <v/>
      </c>
      <c r="J281" s="42"/>
    </row>
    <row r="282" customFormat="false" ht="21" hidden="false" customHeight="true" outlineLevel="0" collapsed="false">
      <c r="B282" s="41"/>
      <c r="C282" s="9"/>
      <c r="D282" s="9"/>
      <c r="E282" s="42"/>
      <c r="F282" s="43"/>
      <c r="G282" s="27" t="str">
        <f aca="false">IF(OR(C282="",AND(D282="",F282="")),"",IF(N(E282)=0,1,E282)*IF(F282="",IFERROR(N(INDEX(Produtos!$L$5:$L$104,MATCH(D282,Produtos!$B$5:$B$104,0))),0),F282))</f>
        <v/>
      </c>
      <c r="H282" s="27" t="str">
        <f aca="false">IF(G282="","",IF(N(E282)=0,1,E282)*IFERROR(N(INDEX(Produtos!$G$5:$G$104,MATCH(D282,Produtos!$B$5:$B$104,0))),0))</f>
        <v/>
      </c>
      <c r="I282" s="27" t="str">
        <f aca="false">IF(G282="","",G282-H282)</f>
        <v/>
      </c>
      <c r="J282" s="42"/>
    </row>
    <row r="283" customFormat="false" ht="21" hidden="false" customHeight="true" outlineLevel="0" collapsed="false">
      <c r="B283" s="41"/>
      <c r="C283" s="9"/>
      <c r="D283" s="9"/>
      <c r="E283" s="42"/>
      <c r="F283" s="43"/>
      <c r="G283" s="27" t="str">
        <f aca="false">IF(OR(C283="",AND(D283="",F283="")),"",IF(N(E283)=0,1,E283)*IF(F283="",IFERROR(N(INDEX(Produtos!$L$5:$L$104,MATCH(D283,Produtos!$B$5:$B$104,0))),0),F283))</f>
        <v/>
      </c>
      <c r="H283" s="27" t="str">
        <f aca="false">IF(G283="","",IF(N(E283)=0,1,E283)*IFERROR(N(INDEX(Produtos!$G$5:$G$104,MATCH(D283,Produtos!$B$5:$B$104,0))),0))</f>
        <v/>
      </c>
      <c r="I283" s="27" t="str">
        <f aca="false">IF(G283="","",G283-H283)</f>
        <v/>
      </c>
      <c r="J283" s="42"/>
    </row>
    <row r="284" customFormat="false" ht="21" hidden="false" customHeight="true" outlineLevel="0" collapsed="false">
      <c r="B284" s="41"/>
      <c r="C284" s="9"/>
      <c r="D284" s="9"/>
      <c r="E284" s="42"/>
      <c r="F284" s="43"/>
      <c r="G284" s="27" t="str">
        <f aca="false">IF(OR(C284="",AND(D284="",F284="")),"",IF(N(E284)=0,1,E284)*IF(F284="",IFERROR(N(INDEX(Produtos!$L$5:$L$104,MATCH(D284,Produtos!$B$5:$B$104,0))),0),F284))</f>
        <v/>
      </c>
      <c r="H284" s="27" t="str">
        <f aca="false">IF(G284="","",IF(N(E284)=0,1,E284)*IFERROR(N(INDEX(Produtos!$G$5:$G$104,MATCH(D284,Produtos!$B$5:$B$104,0))),0))</f>
        <v/>
      </c>
      <c r="I284" s="27" t="str">
        <f aca="false">IF(G284="","",G284-H284)</f>
        <v/>
      </c>
      <c r="J284" s="42"/>
    </row>
    <row r="285" customFormat="false" ht="21" hidden="false" customHeight="true" outlineLevel="0" collapsed="false">
      <c r="B285" s="41"/>
      <c r="C285" s="9"/>
      <c r="D285" s="9"/>
      <c r="E285" s="42"/>
      <c r="F285" s="43"/>
      <c r="G285" s="27" t="str">
        <f aca="false">IF(OR(C285="",AND(D285="",F285="")),"",IF(N(E285)=0,1,E285)*IF(F285="",IFERROR(N(INDEX(Produtos!$L$5:$L$104,MATCH(D285,Produtos!$B$5:$B$104,0))),0),F285))</f>
        <v/>
      </c>
      <c r="H285" s="27" t="str">
        <f aca="false">IF(G285="","",IF(N(E285)=0,1,E285)*IFERROR(N(INDEX(Produtos!$G$5:$G$104,MATCH(D285,Produtos!$B$5:$B$104,0))),0))</f>
        <v/>
      </c>
      <c r="I285" s="27" t="str">
        <f aca="false">IF(G285="","",G285-H285)</f>
        <v/>
      </c>
      <c r="J285" s="42"/>
    </row>
    <row r="286" customFormat="false" ht="21" hidden="false" customHeight="true" outlineLevel="0" collapsed="false">
      <c r="B286" s="41"/>
      <c r="C286" s="9"/>
      <c r="D286" s="9"/>
      <c r="E286" s="42"/>
      <c r="F286" s="43"/>
      <c r="G286" s="27" t="str">
        <f aca="false">IF(OR(C286="",AND(D286="",F286="")),"",IF(N(E286)=0,1,E286)*IF(F286="",IFERROR(N(INDEX(Produtos!$L$5:$L$104,MATCH(D286,Produtos!$B$5:$B$104,0))),0),F286))</f>
        <v/>
      </c>
      <c r="H286" s="27" t="str">
        <f aca="false">IF(G286="","",IF(N(E286)=0,1,E286)*IFERROR(N(INDEX(Produtos!$G$5:$G$104,MATCH(D286,Produtos!$B$5:$B$104,0))),0))</f>
        <v/>
      </c>
      <c r="I286" s="27" t="str">
        <f aca="false">IF(G286="","",G286-H286)</f>
        <v/>
      </c>
      <c r="J286" s="42"/>
    </row>
    <row r="287" customFormat="false" ht="21" hidden="false" customHeight="true" outlineLevel="0" collapsed="false">
      <c r="B287" s="41"/>
      <c r="C287" s="9"/>
      <c r="D287" s="9"/>
      <c r="E287" s="42"/>
      <c r="F287" s="43"/>
      <c r="G287" s="27" t="str">
        <f aca="false">IF(OR(C287="",AND(D287="",F287="")),"",IF(N(E287)=0,1,E287)*IF(F287="",IFERROR(N(INDEX(Produtos!$L$5:$L$104,MATCH(D287,Produtos!$B$5:$B$104,0))),0),F287))</f>
        <v/>
      </c>
      <c r="H287" s="27" t="str">
        <f aca="false">IF(G287="","",IF(N(E287)=0,1,E287)*IFERROR(N(INDEX(Produtos!$G$5:$G$104,MATCH(D287,Produtos!$B$5:$B$104,0))),0))</f>
        <v/>
      </c>
      <c r="I287" s="27" t="str">
        <f aca="false">IF(G287="","",G287-H287)</f>
        <v/>
      </c>
      <c r="J287" s="42"/>
    </row>
    <row r="288" customFormat="false" ht="21" hidden="false" customHeight="true" outlineLevel="0" collapsed="false">
      <c r="B288" s="41"/>
      <c r="C288" s="9"/>
      <c r="D288" s="9"/>
      <c r="E288" s="42"/>
      <c r="F288" s="43"/>
      <c r="G288" s="27" t="str">
        <f aca="false">IF(OR(C288="",AND(D288="",F288="")),"",IF(N(E288)=0,1,E288)*IF(F288="",IFERROR(N(INDEX(Produtos!$L$5:$L$104,MATCH(D288,Produtos!$B$5:$B$104,0))),0),F288))</f>
        <v/>
      </c>
      <c r="H288" s="27" t="str">
        <f aca="false">IF(G288="","",IF(N(E288)=0,1,E288)*IFERROR(N(INDEX(Produtos!$G$5:$G$104,MATCH(D288,Produtos!$B$5:$B$104,0))),0))</f>
        <v/>
      </c>
      <c r="I288" s="27" t="str">
        <f aca="false">IF(G288="","",G288-H288)</f>
        <v/>
      </c>
      <c r="J288" s="42"/>
    </row>
    <row r="289" customFormat="false" ht="21" hidden="false" customHeight="true" outlineLevel="0" collapsed="false">
      <c r="B289" s="41"/>
      <c r="C289" s="9"/>
      <c r="D289" s="9"/>
      <c r="E289" s="42"/>
      <c r="F289" s="43"/>
      <c r="G289" s="27" t="str">
        <f aca="false">IF(OR(C289="",AND(D289="",F289="")),"",IF(N(E289)=0,1,E289)*IF(F289="",IFERROR(N(INDEX(Produtos!$L$5:$L$104,MATCH(D289,Produtos!$B$5:$B$104,0))),0),F289))</f>
        <v/>
      </c>
      <c r="H289" s="27" t="str">
        <f aca="false">IF(G289="","",IF(N(E289)=0,1,E289)*IFERROR(N(INDEX(Produtos!$G$5:$G$104,MATCH(D289,Produtos!$B$5:$B$104,0))),0))</f>
        <v/>
      </c>
      <c r="I289" s="27" t="str">
        <f aca="false">IF(G289="","",G289-H289)</f>
        <v/>
      </c>
      <c r="J289" s="42"/>
    </row>
    <row r="290" customFormat="false" ht="21" hidden="false" customHeight="true" outlineLevel="0" collapsed="false">
      <c r="B290" s="41"/>
      <c r="C290" s="9"/>
      <c r="D290" s="9"/>
      <c r="E290" s="42"/>
      <c r="F290" s="43"/>
      <c r="G290" s="27" t="str">
        <f aca="false">IF(OR(C290="",AND(D290="",F290="")),"",IF(N(E290)=0,1,E290)*IF(F290="",IFERROR(N(INDEX(Produtos!$L$5:$L$104,MATCH(D290,Produtos!$B$5:$B$104,0))),0),F290))</f>
        <v/>
      </c>
      <c r="H290" s="27" t="str">
        <f aca="false">IF(G290="","",IF(N(E290)=0,1,E290)*IFERROR(N(INDEX(Produtos!$G$5:$G$104,MATCH(D290,Produtos!$B$5:$B$104,0))),0))</f>
        <v/>
      </c>
      <c r="I290" s="27" t="str">
        <f aca="false">IF(G290="","",G290-H290)</f>
        <v/>
      </c>
      <c r="J290" s="42"/>
    </row>
    <row r="291" customFormat="false" ht="21" hidden="false" customHeight="true" outlineLevel="0" collapsed="false">
      <c r="B291" s="41"/>
      <c r="C291" s="9"/>
      <c r="D291" s="9"/>
      <c r="E291" s="42"/>
      <c r="F291" s="43"/>
      <c r="G291" s="27" t="str">
        <f aca="false">IF(OR(C291="",AND(D291="",F291="")),"",IF(N(E291)=0,1,E291)*IF(F291="",IFERROR(N(INDEX(Produtos!$L$5:$L$104,MATCH(D291,Produtos!$B$5:$B$104,0))),0),F291))</f>
        <v/>
      </c>
      <c r="H291" s="27" t="str">
        <f aca="false">IF(G291="","",IF(N(E291)=0,1,E291)*IFERROR(N(INDEX(Produtos!$G$5:$G$104,MATCH(D291,Produtos!$B$5:$B$104,0))),0))</f>
        <v/>
      </c>
      <c r="I291" s="27" t="str">
        <f aca="false">IF(G291="","",G291-H291)</f>
        <v/>
      </c>
      <c r="J291" s="42"/>
    </row>
    <row r="292" customFormat="false" ht="21" hidden="false" customHeight="true" outlineLevel="0" collapsed="false">
      <c r="B292" s="41"/>
      <c r="C292" s="9"/>
      <c r="D292" s="9"/>
      <c r="E292" s="42"/>
      <c r="F292" s="43"/>
      <c r="G292" s="27" t="str">
        <f aca="false">IF(OR(C292="",AND(D292="",F292="")),"",IF(N(E292)=0,1,E292)*IF(F292="",IFERROR(N(INDEX(Produtos!$L$5:$L$104,MATCH(D292,Produtos!$B$5:$B$104,0))),0),F292))</f>
        <v/>
      </c>
      <c r="H292" s="27" t="str">
        <f aca="false">IF(G292="","",IF(N(E292)=0,1,E292)*IFERROR(N(INDEX(Produtos!$G$5:$G$104,MATCH(D292,Produtos!$B$5:$B$104,0))),0))</f>
        <v/>
      </c>
      <c r="I292" s="27" t="str">
        <f aca="false">IF(G292="","",G292-H292)</f>
        <v/>
      </c>
      <c r="J292" s="42"/>
    </row>
    <row r="293" customFormat="false" ht="21" hidden="false" customHeight="true" outlineLevel="0" collapsed="false">
      <c r="B293" s="41"/>
      <c r="C293" s="9"/>
      <c r="D293" s="9"/>
      <c r="E293" s="42"/>
      <c r="F293" s="43"/>
      <c r="G293" s="27" t="str">
        <f aca="false">IF(OR(C293="",AND(D293="",F293="")),"",IF(N(E293)=0,1,E293)*IF(F293="",IFERROR(N(INDEX(Produtos!$L$5:$L$104,MATCH(D293,Produtos!$B$5:$B$104,0))),0),F293))</f>
        <v/>
      </c>
      <c r="H293" s="27" t="str">
        <f aca="false">IF(G293="","",IF(N(E293)=0,1,E293)*IFERROR(N(INDEX(Produtos!$G$5:$G$104,MATCH(D293,Produtos!$B$5:$B$104,0))),0))</f>
        <v/>
      </c>
      <c r="I293" s="27" t="str">
        <f aca="false">IF(G293="","",G293-H293)</f>
        <v/>
      </c>
      <c r="J293" s="42"/>
    </row>
    <row r="294" customFormat="false" ht="21" hidden="false" customHeight="true" outlineLevel="0" collapsed="false">
      <c r="B294" s="41"/>
      <c r="C294" s="9"/>
      <c r="D294" s="9"/>
      <c r="E294" s="42"/>
      <c r="F294" s="43"/>
      <c r="G294" s="27" t="str">
        <f aca="false">IF(OR(C294="",AND(D294="",F294="")),"",IF(N(E294)=0,1,E294)*IF(F294="",IFERROR(N(INDEX(Produtos!$L$5:$L$104,MATCH(D294,Produtos!$B$5:$B$104,0))),0),F294))</f>
        <v/>
      </c>
      <c r="H294" s="27" t="str">
        <f aca="false">IF(G294="","",IF(N(E294)=0,1,E294)*IFERROR(N(INDEX(Produtos!$G$5:$G$104,MATCH(D294,Produtos!$B$5:$B$104,0))),0))</f>
        <v/>
      </c>
      <c r="I294" s="27" t="str">
        <f aca="false">IF(G294="","",G294-H294)</f>
        <v/>
      </c>
      <c r="J294" s="42"/>
    </row>
    <row r="295" customFormat="false" ht="21" hidden="false" customHeight="true" outlineLevel="0" collapsed="false">
      <c r="B295" s="41"/>
      <c r="C295" s="9"/>
      <c r="D295" s="9"/>
      <c r="E295" s="42"/>
      <c r="F295" s="43"/>
      <c r="G295" s="27" t="str">
        <f aca="false">IF(OR(C295="",AND(D295="",F295="")),"",IF(N(E295)=0,1,E295)*IF(F295="",IFERROR(N(INDEX(Produtos!$L$5:$L$104,MATCH(D295,Produtos!$B$5:$B$104,0))),0),F295))</f>
        <v/>
      </c>
      <c r="H295" s="27" t="str">
        <f aca="false">IF(G295="","",IF(N(E295)=0,1,E295)*IFERROR(N(INDEX(Produtos!$G$5:$G$104,MATCH(D295,Produtos!$B$5:$B$104,0))),0))</f>
        <v/>
      </c>
      <c r="I295" s="27" t="str">
        <f aca="false">IF(G295="","",G295-H295)</f>
        <v/>
      </c>
      <c r="J295" s="42"/>
    </row>
    <row r="296" customFormat="false" ht="21" hidden="false" customHeight="true" outlineLevel="0" collapsed="false">
      <c r="B296" s="41"/>
      <c r="C296" s="9"/>
      <c r="D296" s="9"/>
      <c r="E296" s="42"/>
      <c r="F296" s="43"/>
      <c r="G296" s="27" t="str">
        <f aca="false">IF(OR(C296="",AND(D296="",F296="")),"",IF(N(E296)=0,1,E296)*IF(F296="",IFERROR(N(INDEX(Produtos!$L$5:$L$104,MATCH(D296,Produtos!$B$5:$B$104,0))),0),F296))</f>
        <v/>
      </c>
      <c r="H296" s="27" t="str">
        <f aca="false">IF(G296="","",IF(N(E296)=0,1,E296)*IFERROR(N(INDEX(Produtos!$G$5:$G$104,MATCH(D296,Produtos!$B$5:$B$104,0))),0))</f>
        <v/>
      </c>
      <c r="I296" s="27" t="str">
        <f aca="false">IF(G296="","",G296-H296)</f>
        <v/>
      </c>
      <c r="J296" s="42"/>
    </row>
    <row r="297" customFormat="false" ht="21" hidden="false" customHeight="true" outlineLevel="0" collapsed="false">
      <c r="B297" s="41"/>
      <c r="C297" s="9"/>
      <c r="D297" s="9"/>
      <c r="E297" s="42"/>
      <c r="F297" s="43"/>
      <c r="G297" s="27" t="str">
        <f aca="false">IF(OR(C297="",AND(D297="",F297="")),"",IF(N(E297)=0,1,E297)*IF(F297="",IFERROR(N(INDEX(Produtos!$L$5:$L$104,MATCH(D297,Produtos!$B$5:$B$104,0))),0),F297))</f>
        <v/>
      </c>
      <c r="H297" s="27" t="str">
        <f aca="false">IF(G297="","",IF(N(E297)=0,1,E297)*IFERROR(N(INDEX(Produtos!$G$5:$G$104,MATCH(D297,Produtos!$B$5:$B$104,0))),0))</f>
        <v/>
      </c>
      <c r="I297" s="27" t="str">
        <f aca="false">IF(G297="","",G297-H297)</f>
        <v/>
      </c>
      <c r="J297" s="42"/>
    </row>
    <row r="298" customFormat="false" ht="21" hidden="false" customHeight="true" outlineLevel="0" collapsed="false">
      <c r="B298" s="41"/>
      <c r="C298" s="9"/>
      <c r="D298" s="9"/>
      <c r="E298" s="42"/>
      <c r="F298" s="43"/>
      <c r="G298" s="27" t="str">
        <f aca="false">IF(OR(C298="",AND(D298="",F298="")),"",IF(N(E298)=0,1,E298)*IF(F298="",IFERROR(N(INDEX(Produtos!$L$5:$L$104,MATCH(D298,Produtos!$B$5:$B$104,0))),0),F298))</f>
        <v/>
      </c>
      <c r="H298" s="27" t="str">
        <f aca="false">IF(G298="","",IF(N(E298)=0,1,E298)*IFERROR(N(INDEX(Produtos!$G$5:$G$104,MATCH(D298,Produtos!$B$5:$B$104,0))),0))</f>
        <v/>
      </c>
      <c r="I298" s="27" t="str">
        <f aca="false">IF(G298="","",G298-H298)</f>
        <v/>
      </c>
      <c r="J298" s="42"/>
    </row>
    <row r="299" customFormat="false" ht="21" hidden="false" customHeight="true" outlineLevel="0" collapsed="false">
      <c r="B299" s="41"/>
      <c r="C299" s="9"/>
      <c r="D299" s="9"/>
      <c r="E299" s="42"/>
      <c r="F299" s="43"/>
      <c r="G299" s="27" t="str">
        <f aca="false">IF(OR(C299="",AND(D299="",F299="")),"",IF(N(E299)=0,1,E299)*IF(F299="",IFERROR(N(INDEX(Produtos!$L$5:$L$104,MATCH(D299,Produtos!$B$5:$B$104,0))),0),F299))</f>
        <v/>
      </c>
      <c r="H299" s="27" t="str">
        <f aca="false">IF(G299="","",IF(N(E299)=0,1,E299)*IFERROR(N(INDEX(Produtos!$G$5:$G$104,MATCH(D299,Produtos!$B$5:$B$104,0))),0))</f>
        <v/>
      </c>
      <c r="I299" s="27" t="str">
        <f aca="false">IF(G299="","",G299-H299)</f>
        <v/>
      </c>
      <c r="J299" s="42"/>
    </row>
    <row r="300" customFormat="false" ht="21" hidden="false" customHeight="true" outlineLevel="0" collapsed="false">
      <c r="B300" s="41"/>
      <c r="C300" s="9"/>
      <c r="D300" s="9"/>
      <c r="E300" s="42"/>
      <c r="F300" s="43"/>
      <c r="G300" s="27" t="str">
        <f aca="false">IF(OR(C300="",AND(D300="",F300="")),"",IF(N(E300)=0,1,E300)*IF(F300="",IFERROR(N(INDEX(Produtos!$L$5:$L$104,MATCH(D300,Produtos!$B$5:$B$104,0))),0),F300))</f>
        <v/>
      </c>
      <c r="H300" s="27" t="str">
        <f aca="false">IF(G300="","",IF(N(E300)=0,1,E300)*IFERROR(N(INDEX(Produtos!$G$5:$G$104,MATCH(D300,Produtos!$B$5:$B$104,0))),0))</f>
        <v/>
      </c>
      <c r="I300" s="27" t="str">
        <f aca="false">IF(G300="","",G300-H300)</f>
        <v/>
      </c>
      <c r="J300" s="42"/>
    </row>
    <row r="301" customFormat="false" ht="21" hidden="false" customHeight="true" outlineLevel="0" collapsed="false">
      <c r="B301" s="41"/>
      <c r="C301" s="9"/>
      <c r="D301" s="9"/>
      <c r="E301" s="42"/>
      <c r="F301" s="43"/>
      <c r="G301" s="27" t="str">
        <f aca="false">IF(OR(C301="",AND(D301="",F301="")),"",IF(N(E301)=0,1,E301)*IF(F301="",IFERROR(N(INDEX(Produtos!$L$5:$L$104,MATCH(D301,Produtos!$B$5:$B$104,0))),0),F301))</f>
        <v/>
      </c>
      <c r="H301" s="27" t="str">
        <f aca="false">IF(G301="","",IF(N(E301)=0,1,E301)*IFERROR(N(INDEX(Produtos!$G$5:$G$104,MATCH(D301,Produtos!$B$5:$B$104,0))),0))</f>
        <v/>
      </c>
      <c r="I301" s="27" t="str">
        <f aca="false">IF(G301="","",G301-H301)</f>
        <v/>
      </c>
      <c r="J301" s="42"/>
    </row>
    <row r="302" customFormat="false" ht="21" hidden="false" customHeight="true" outlineLevel="0" collapsed="false">
      <c r="B302" s="41"/>
      <c r="C302" s="9"/>
      <c r="D302" s="9"/>
      <c r="E302" s="42"/>
      <c r="F302" s="43"/>
      <c r="G302" s="27" t="str">
        <f aca="false">IF(OR(C302="",AND(D302="",F302="")),"",IF(N(E302)=0,1,E302)*IF(F302="",IFERROR(N(INDEX(Produtos!$L$5:$L$104,MATCH(D302,Produtos!$B$5:$B$104,0))),0),F302))</f>
        <v/>
      </c>
      <c r="H302" s="27" t="str">
        <f aca="false">IF(G302="","",IF(N(E302)=0,1,E302)*IFERROR(N(INDEX(Produtos!$G$5:$G$104,MATCH(D302,Produtos!$B$5:$B$104,0))),0))</f>
        <v/>
      </c>
      <c r="I302" s="27" t="str">
        <f aca="false">IF(G302="","",G302-H302)</f>
        <v/>
      </c>
      <c r="J302" s="42"/>
    </row>
    <row r="303" customFormat="false" ht="21" hidden="false" customHeight="true" outlineLevel="0" collapsed="false">
      <c r="B303" s="41"/>
      <c r="C303" s="9"/>
      <c r="D303" s="9"/>
      <c r="E303" s="42"/>
      <c r="F303" s="43"/>
      <c r="G303" s="27" t="str">
        <f aca="false">IF(OR(C303="",AND(D303="",F303="")),"",IF(N(E303)=0,1,E303)*IF(F303="",IFERROR(N(INDEX(Produtos!$L$5:$L$104,MATCH(D303,Produtos!$B$5:$B$104,0))),0),F303))</f>
        <v/>
      </c>
      <c r="H303" s="27" t="str">
        <f aca="false">IF(G303="","",IF(N(E303)=0,1,E303)*IFERROR(N(INDEX(Produtos!$G$5:$G$104,MATCH(D303,Produtos!$B$5:$B$104,0))),0))</f>
        <v/>
      </c>
      <c r="I303" s="27" t="str">
        <f aca="false">IF(G303="","",G303-H303)</f>
        <v/>
      </c>
      <c r="J303" s="42"/>
    </row>
    <row r="304" customFormat="false" ht="21" hidden="false" customHeight="true" outlineLevel="0" collapsed="false">
      <c r="B304" s="41"/>
      <c r="C304" s="9"/>
      <c r="D304" s="9"/>
      <c r="E304" s="42"/>
      <c r="F304" s="43"/>
      <c r="G304" s="27" t="str">
        <f aca="false">IF(OR(C304="",AND(D304="",F304="")),"",IF(N(E304)=0,1,E304)*IF(F304="",IFERROR(N(INDEX(Produtos!$L$5:$L$104,MATCH(D304,Produtos!$B$5:$B$104,0))),0),F304))</f>
        <v/>
      </c>
      <c r="H304" s="27" t="str">
        <f aca="false">IF(G304="","",IF(N(E304)=0,1,E304)*IFERROR(N(INDEX(Produtos!$G$5:$G$104,MATCH(D304,Produtos!$B$5:$B$104,0))),0))</f>
        <v/>
      </c>
      <c r="I304" s="27" t="str">
        <f aca="false">IF(G304="","",G304-H304)</f>
        <v/>
      </c>
      <c r="J304" s="42"/>
    </row>
    <row r="305" customFormat="false" ht="21" hidden="false" customHeight="true" outlineLevel="0" collapsed="false">
      <c r="B305" s="41"/>
      <c r="C305" s="9"/>
      <c r="D305" s="9"/>
      <c r="E305" s="42"/>
      <c r="F305" s="43"/>
      <c r="G305" s="27" t="str">
        <f aca="false">IF(OR(C305="",AND(D305="",F305="")),"",IF(N(E305)=0,1,E305)*IF(F305="",IFERROR(N(INDEX(Produtos!$L$5:$L$104,MATCH(D305,Produtos!$B$5:$B$104,0))),0),F305))</f>
        <v/>
      </c>
      <c r="H305" s="27" t="str">
        <f aca="false">IF(G305="","",IF(N(E305)=0,1,E305)*IFERROR(N(INDEX(Produtos!$G$5:$G$104,MATCH(D305,Produtos!$B$5:$B$104,0))),0))</f>
        <v/>
      </c>
      <c r="I305" s="27" t="str">
        <f aca="false">IF(G305="","",G305-H305)</f>
        <v/>
      </c>
      <c r="J305" s="42"/>
    </row>
    <row r="306" customFormat="false" ht="21" hidden="false" customHeight="true" outlineLevel="0" collapsed="false">
      <c r="B306" s="41"/>
      <c r="C306" s="9"/>
      <c r="D306" s="9"/>
      <c r="E306" s="42"/>
      <c r="F306" s="43"/>
      <c r="G306" s="27" t="str">
        <f aca="false">IF(OR(C306="",AND(D306="",F306="")),"",IF(N(E306)=0,1,E306)*IF(F306="",IFERROR(N(INDEX(Produtos!$L$5:$L$104,MATCH(D306,Produtos!$B$5:$B$104,0))),0),F306))</f>
        <v/>
      </c>
      <c r="H306" s="27" t="str">
        <f aca="false">IF(G306="","",IF(N(E306)=0,1,E306)*IFERROR(N(INDEX(Produtos!$G$5:$G$104,MATCH(D306,Produtos!$B$5:$B$104,0))),0))</f>
        <v/>
      </c>
      <c r="I306" s="27" t="str">
        <f aca="false">IF(G306="","",G306-H306)</f>
        <v/>
      </c>
      <c r="J306" s="42"/>
    </row>
    <row r="307" customFormat="false" ht="21" hidden="false" customHeight="true" outlineLevel="0" collapsed="false">
      <c r="B307" s="41"/>
      <c r="C307" s="9"/>
      <c r="D307" s="9"/>
      <c r="E307" s="42"/>
      <c r="F307" s="43"/>
      <c r="G307" s="27" t="str">
        <f aca="false">IF(OR(C307="",AND(D307="",F307="")),"",IF(N(E307)=0,1,E307)*IF(F307="",IFERROR(N(INDEX(Produtos!$L$5:$L$104,MATCH(D307,Produtos!$B$5:$B$104,0))),0),F307))</f>
        <v/>
      </c>
      <c r="H307" s="27" t="str">
        <f aca="false">IF(G307="","",IF(N(E307)=0,1,E307)*IFERROR(N(INDEX(Produtos!$G$5:$G$104,MATCH(D307,Produtos!$B$5:$B$104,0))),0))</f>
        <v/>
      </c>
      <c r="I307" s="27" t="str">
        <f aca="false">IF(G307="","",G307-H307)</f>
        <v/>
      </c>
      <c r="J307" s="42"/>
    </row>
    <row r="308" customFormat="false" ht="21" hidden="false" customHeight="true" outlineLevel="0" collapsed="false">
      <c r="B308" s="41"/>
      <c r="C308" s="9"/>
      <c r="D308" s="9"/>
      <c r="E308" s="42"/>
      <c r="F308" s="43"/>
      <c r="G308" s="27" t="str">
        <f aca="false">IF(OR(C308="",AND(D308="",F308="")),"",IF(N(E308)=0,1,E308)*IF(F308="",IFERROR(N(INDEX(Produtos!$L$5:$L$104,MATCH(D308,Produtos!$B$5:$B$104,0))),0),F308))</f>
        <v/>
      </c>
      <c r="H308" s="27" t="str">
        <f aca="false">IF(G308="","",IF(N(E308)=0,1,E308)*IFERROR(N(INDEX(Produtos!$G$5:$G$104,MATCH(D308,Produtos!$B$5:$B$104,0))),0))</f>
        <v/>
      </c>
      <c r="I308" s="27" t="str">
        <f aca="false">IF(G308="","",G308-H308)</f>
        <v/>
      </c>
      <c r="J308" s="42"/>
    </row>
    <row r="309" customFormat="false" ht="21" hidden="false" customHeight="true" outlineLevel="0" collapsed="false">
      <c r="B309" s="41"/>
      <c r="C309" s="9"/>
      <c r="D309" s="9"/>
      <c r="E309" s="42"/>
      <c r="F309" s="43"/>
      <c r="G309" s="27" t="str">
        <f aca="false">IF(OR(C309="",AND(D309="",F309="")),"",IF(N(E309)=0,1,E309)*IF(F309="",IFERROR(N(INDEX(Produtos!$L$5:$L$104,MATCH(D309,Produtos!$B$5:$B$104,0))),0),F309))</f>
        <v/>
      </c>
      <c r="H309" s="27" t="str">
        <f aca="false">IF(G309="","",IF(N(E309)=0,1,E309)*IFERROR(N(INDEX(Produtos!$G$5:$G$104,MATCH(D309,Produtos!$B$5:$B$104,0))),0))</f>
        <v/>
      </c>
      <c r="I309" s="27" t="str">
        <f aca="false">IF(G309="","",G309-H309)</f>
        <v/>
      </c>
      <c r="J309" s="42"/>
    </row>
    <row r="310" customFormat="false" ht="21" hidden="false" customHeight="true" outlineLevel="0" collapsed="false">
      <c r="B310" s="41"/>
      <c r="C310" s="9"/>
      <c r="D310" s="9"/>
      <c r="E310" s="42"/>
      <c r="F310" s="43"/>
      <c r="G310" s="27" t="str">
        <f aca="false">IF(OR(C310="",AND(D310="",F310="")),"",IF(N(E310)=0,1,E310)*IF(F310="",IFERROR(N(INDEX(Produtos!$L$5:$L$104,MATCH(D310,Produtos!$B$5:$B$104,0))),0),F310))</f>
        <v/>
      </c>
      <c r="H310" s="27" t="str">
        <f aca="false">IF(G310="","",IF(N(E310)=0,1,E310)*IFERROR(N(INDEX(Produtos!$G$5:$G$104,MATCH(D310,Produtos!$B$5:$B$104,0))),0))</f>
        <v/>
      </c>
      <c r="I310" s="27" t="str">
        <f aca="false">IF(G310="","",G310-H310)</f>
        <v/>
      </c>
      <c r="J310" s="42"/>
    </row>
    <row r="311" customFormat="false" ht="21" hidden="false" customHeight="true" outlineLevel="0" collapsed="false">
      <c r="B311" s="41"/>
      <c r="C311" s="9"/>
      <c r="D311" s="9"/>
      <c r="E311" s="42"/>
      <c r="F311" s="43"/>
      <c r="G311" s="27" t="str">
        <f aca="false">IF(OR(C311="",AND(D311="",F311="")),"",IF(N(E311)=0,1,E311)*IF(F311="",IFERROR(N(INDEX(Produtos!$L$5:$L$104,MATCH(D311,Produtos!$B$5:$B$104,0))),0),F311))</f>
        <v/>
      </c>
      <c r="H311" s="27" t="str">
        <f aca="false">IF(G311="","",IF(N(E311)=0,1,E311)*IFERROR(N(INDEX(Produtos!$G$5:$G$104,MATCH(D311,Produtos!$B$5:$B$104,0))),0))</f>
        <v/>
      </c>
      <c r="I311" s="27" t="str">
        <f aca="false">IF(G311="","",G311-H311)</f>
        <v/>
      </c>
      <c r="J311" s="42"/>
    </row>
    <row r="312" customFormat="false" ht="21" hidden="false" customHeight="true" outlineLevel="0" collapsed="false">
      <c r="B312" s="41"/>
      <c r="C312" s="9"/>
      <c r="D312" s="9"/>
      <c r="E312" s="42"/>
      <c r="F312" s="43"/>
      <c r="G312" s="27" t="str">
        <f aca="false">IF(OR(C312="",AND(D312="",F312="")),"",IF(N(E312)=0,1,E312)*IF(F312="",IFERROR(N(INDEX(Produtos!$L$5:$L$104,MATCH(D312,Produtos!$B$5:$B$104,0))),0),F312))</f>
        <v/>
      </c>
      <c r="H312" s="27" t="str">
        <f aca="false">IF(G312="","",IF(N(E312)=0,1,E312)*IFERROR(N(INDEX(Produtos!$G$5:$G$104,MATCH(D312,Produtos!$B$5:$B$104,0))),0))</f>
        <v/>
      </c>
      <c r="I312" s="27" t="str">
        <f aca="false">IF(G312="","",G312-H312)</f>
        <v/>
      </c>
      <c r="J312" s="42"/>
    </row>
    <row r="313" customFormat="false" ht="21" hidden="false" customHeight="true" outlineLevel="0" collapsed="false">
      <c r="B313" s="41"/>
      <c r="C313" s="9"/>
      <c r="D313" s="9"/>
      <c r="E313" s="42"/>
      <c r="F313" s="43"/>
      <c r="G313" s="27" t="str">
        <f aca="false">IF(OR(C313="",AND(D313="",F313="")),"",IF(N(E313)=0,1,E313)*IF(F313="",IFERROR(N(INDEX(Produtos!$L$5:$L$104,MATCH(D313,Produtos!$B$5:$B$104,0))),0),F313))</f>
        <v/>
      </c>
      <c r="H313" s="27" t="str">
        <f aca="false">IF(G313="","",IF(N(E313)=0,1,E313)*IFERROR(N(INDEX(Produtos!$G$5:$G$104,MATCH(D313,Produtos!$B$5:$B$104,0))),0))</f>
        <v/>
      </c>
      <c r="I313" s="27" t="str">
        <f aca="false">IF(G313="","",G313-H313)</f>
        <v/>
      </c>
      <c r="J313" s="42"/>
    </row>
    <row r="314" customFormat="false" ht="21" hidden="false" customHeight="true" outlineLevel="0" collapsed="false">
      <c r="B314" s="41"/>
      <c r="C314" s="9"/>
      <c r="D314" s="9"/>
      <c r="E314" s="42"/>
      <c r="F314" s="43"/>
      <c r="G314" s="27" t="str">
        <f aca="false">IF(OR(C314="",AND(D314="",F314="")),"",IF(N(E314)=0,1,E314)*IF(F314="",IFERROR(N(INDEX(Produtos!$L$5:$L$104,MATCH(D314,Produtos!$B$5:$B$104,0))),0),F314))</f>
        <v/>
      </c>
      <c r="H314" s="27" t="str">
        <f aca="false">IF(G314="","",IF(N(E314)=0,1,E314)*IFERROR(N(INDEX(Produtos!$G$5:$G$104,MATCH(D314,Produtos!$B$5:$B$104,0))),0))</f>
        <v/>
      </c>
      <c r="I314" s="27" t="str">
        <f aca="false">IF(G314="","",G314-H314)</f>
        <v/>
      </c>
      <c r="J314" s="42"/>
    </row>
    <row r="315" customFormat="false" ht="21" hidden="false" customHeight="true" outlineLevel="0" collapsed="false">
      <c r="B315" s="41"/>
      <c r="C315" s="9"/>
      <c r="D315" s="9"/>
      <c r="E315" s="42"/>
      <c r="F315" s="43"/>
      <c r="G315" s="27" t="str">
        <f aca="false">IF(OR(C315="",AND(D315="",F315="")),"",IF(N(E315)=0,1,E315)*IF(F315="",IFERROR(N(INDEX(Produtos!$L$5:$L$104,MATCH(D315,Produtos!$B$5:$B$104,0))),0),F315))</f>
        <v/>
      </c>
      <c r="H315" s="27" t="str">
        <f aca="false">IF(G315="","",IF(N(E315)=0,1,E315)*IFERROR(N(INDEX(Produtos!$G$5:$G$104,MATCH(D315,Produtos!$B$5:$B$104,0))),0))</f>
        <v/>
      </c>
      <c r="I315" s="27" t="str">
        <f aca="false">IF(G315="","",G315-H315)</f>
        <v/>
      </c>
      <c r="J315" s="42"/>
    </row>
    <row r="316" customFormat="false" ht="21" hidden="false" customHeight="true" outlineLevel="0" collapsed="false">
      <c r="B316" s="41"/>
      <c r="C316" s="9"/>
      <c r="D316" s="9"/>
      <c r="E316" s="42"/>
      <c r="F316" s="43"/>
      <c r="G316" s="27" t="str">
        <f aca="false">IF(OR(C316="",AND(D316="",F316="")),"",IF(N(E316)=0,1,E316)*IF(F316="",IFERROR(N(INDEX(Produtos!$L$5:$L$104,MATCH(D316,Produtos!$B$5:$B$104,0))),0),F316))</f>
        <v/>
      </c>
      <c r="H316" s="27" t="str">
        <f aca="false">IF(G316="","",IF(N(E316)=0,1,E316)*IFERROR(N(INDEX(Produtos!$G$5:$G$104,MATCH(D316,Produtos!$B$5:$B$104,0))),0))</f>
        <v/>
      </c>
      <c r="I316" s="27" t="str">
        <f aca="false">IF(G316="","",G316-H316)</f>
        <v/>
      </c>
      <c r="J316" s="42"/>
    </row>
    <row r="317" customFormat="false" ht="21" hidden="false" customHeight="true" outlineLevel="0" collapsed="false">
      <c r="B317" s="41"/>
      <c r="C317" s="9"/>
      <c r="D317" s="9"/>
      <c r="E317" s="42"/>
      <c r="F317" s="43"/>
      <c r="G317" s="27" t="str">
        <f aca="false">IF(OR(C317="",AND(D317="",F317="")),"",IF(N(E317)=0,1,E317)*IF(F317="",IFERROR(N(INDEX(Produtos!$L$5:$L$104,MATCH(D317,Produtos!$B$5:$B$104,0))),0),F317))</f>
        <v/>
      </c>
      <c r="H317" s="27" t="str">
        <f aca="false">IF(G317="","",IF(N(E317)=0,1,E317)*IFERROR(N(INDEX(Produtos!$G$5:$G$104,MATCH(D317,Produtos!$B$5:$B$104,0))),0))</f>
        <v/>
      </c>
      <c r="I317" s="27" t="str">
        <f aca="false">IF(G317="","",G317-H317)</f>
        <v/>
      </c>
      <c r="J317" s="42"/>
    </row>
    <row r="318" customFormat="false" ht="21" hidden="false" customHeight="true" outlineLevel="0" collapsed="false">
      <c r="B318" s="41"/>
      <c r="C318" s="9"/>
      <c r="D318" s="9"/>
      <c r="E318" s="42"/>
      <c r="F318" s="43"/>
      <c r="G318" s="27" t="str">
        <f aca="false">IF(OR(C318="",AND(D318="",F318="")),"",IF(N(E318)=0,1,E318)*IF(F318="",IFERROR(N(INDEX(Produtos!$L$5:$L$104,MATCH(D318,Produtos!$B$5:$B$104,0))),0),F318))</f>
        <v/>
      </c>
      <c r="H318" s="27" t="str">
        <f aca="false">IF(G318="","",IF(N(E318)=0,1,E318)*IFERROR(N(INDEX(Produtos!$G$5:$G$104,MATCH(D318,Produtos!$B$5:$B$104,0))),0))</f>
        <v/>
      </c>
      <c r="I318" s="27" t="str">
        <f aca="false">IF(G318="","",G318-H318)</f>
        <v/>
      </c>
      <c r="J318" s="42"/>
    </row>
    <row r="319" customFormat="false" ht="21" hidden="false" customHeight="true" outlineLevel="0" collapsed="false">
      <c r="B319" s="41"/>
      <c r="C319" s="9"/>
      <c r="D319" s="9"/>
      <c r="E319" s="42"/>
      <c r="F319" s="43"/>
      <c r="G319" s="27" t="str">
        <f aca="false">IF(OR(C319="",AND(D319="",F319="")),"",IF(N(E319)=0,1,E319)*IF(F319="",IFERROR(N(INDEX(Produtos!$L$5:$L$104,MATCH(D319,Produtos!$B$5:$B$104,0))),0),F319))</f>
        <v/>
      </c>
      <c r="H319" s="27" t="str">
        <f aca="false">IF(G319="","",IF(N(E319)=0,1,E319)*IFERROR(N(INDEX(Produtos!$G$5:$G$104,MATCH(D319,Produtos!$B$5:$B$104,0))),0))</f>
        <v/>
      </c>
      <c r="I319" s="27" t="str">
        <f aca="false">IF(G319="","",G319-H319)</f>
        <v/>
      </c>
      <c r="J319" s="42"/>
    </row>
    <row r="320" customFormat="false" ht="21" hidden="false" customHeight="true" outlineLevel="0" collapsed="false">
      <c r="B320" s="41"/>
      <c r="C320" s="9"/>
      <c r="D320" s="9"/>
      <c r="E320" s="42"/>
      <c r="F320" s="43"/>
      <c r="G320" s="27" t="str">
        <f aca="false">IF(OR(C320="",AND(D320="",F320="")),"",IF(N(E320)=0,1,E320)*IF(F320="",IFERROR(N(INDEX(Produtos!$L$5:$L$104,MATCH(D320,Produtos!$B$5:$B$104,0))),0),F320))</f>
        <v/>
      </c>
      <c r="H320" s="27" t="str">
        <f aca="false">IF(G320="","",IF(N(E320)=0,1,E320)*IFERROR(N(INDEX(Produtos!$G$5:$G$104,MATCH(D320,Produtos!$B$5:$B$104,0))),0))</f>
        <v/>
      </c>
      <c r="I320" s="27" t="str">
        <f aca="false">IF(G320="","",G320-H320)</f>
        <v/>
      </c>
      <c r="J320" s="42"/>
    </row>
    <row r="321" customFormat="false" ht="21" hidden="false" customHeight="true" outlineLevel="0" collapsed="false">
      <c r="B321" s="41"/>
      <c r="C321" s="9"/>
      <c r="D321" s="9"/>
      <c r="E321" s="42"/>
      <c r="F321" s="43"/>
      <c r="G321" s="27" t="str">
        <f aca="false">IF(OR(C321="",AND(D321="",F321="")),"",IF(N(E321)=0,1,E321)*IF(F321="",IFERROR(N(INDEX(Produtos!$L$5:$L$104,MATCH(D321,Produtos!$B$5:$B$104,0))),0),F321))</f>
        <v/>
      </c>
      <c r="H321" s="27" t="str">
        <f aca="false">IF(G321="","",IF(N(E321)=0,1,E321)*IFERROR(N(INDEX(Produtos!$G$5:$G$104,MATCH(D321,Produtos!$B$5:$B$104,0))),0))</f>
        <v/>
      </c>
      <c r="I321" s="27" t="str">
        <f aca="false">IF(G321="","",G321-H321)</f>
        <v/>
      </c>
      <c r="J321" s="42"/>
    </row>
    <row r="322" customFormat="false" ht="21" hidden="false" customHeight="true" outlineLevel="0" collapsed="false">
      <c r="B322" s="41"/>
      <c r="C322" s="9"/>
      <c r="D322" s="9"/>
      <c r="E322" s="42"/>
      <c r="F322" s="43"/>
      <c r="G322" s="27" t="str">
        <f aca="false">IF(OR(C322="",AND(D322="",F322="")),"",IF(N(E322)=0,1,E322)*IF(F322="",IFERROR(N(INDEX(Produtos!$L$5:$L$104,MATCH(D322,Produtos!$B$5:$B$104,0))),0),F322))</f>
        <v/>
      </c>
      <c r="H322" s="27" t="str">
        <f aca="false">IF(G322="","",IF(N(E322)=0,1,E322)*IFERROR(N(INDEX(Produtos!$G$5:$G$104,MATCH(D322,Produtos!$B$5:$B$104,0))),0))</f>
        <v/>
      </c>
      <c r="I322" s="27" t="str">
        <f aca="false">IF(G322="","",G322-H322)</f>
        <v/>
      </c>
      <c r="J322" s="42"/>
    </row>
    <row r="323" customFormat="false" ht="21" hidden="false" customHeight="true" outlineLevel="0" collapsed="false">
      <c r="B323" s="41"/>
      <c r="C323" s="9"/>
      <c r="D323" s="9"/>
      <c r="E323" s="42"/>
      <c r="F323" s="43"/>
      <c r="G323" s="27" t="str">
        <f aca="false">IF(OR(C323="",AND(D323="",F323="")),"",IF(N(E323)=0,1,E323)*IF(F323="",IFERROR(N(INDEX(Produtos!$L$5:$L$104,MATCH(D323,Produtos!$B$5:$B$104,0))),0),F323))</f>
        <v/>
      </c>
      <c r="H323" s="27" t="str">
        <f aca="false">IF(G323="","",IF(N(E323)=0,1,E323)*IFERROR(N(INDEX(Produtos!$G$5:$G$104,MATCH(D323,Produtos!$B$5:$B$104,0))),0))</f>
        <v/>
      </c>
      <c r="I323" s="27" t="str">
        <f aca="false">IF(G323="","",G323-H323)</f>
        <v/>
      </c>
      <c r="J323" s="42"/>
    </row>
    <row r="324" customFormat="false" ht="21" hidden="false" customHeight="true" outlineLevel="0" collapsed="false">
      <c r="B324" s="41"/>
      <c r="C324" s="9"/>
      <c r="D324" s="9"/>
      <c r="E324" s="42"/>
      <c r="F324" s="43"/>
      <c r="G324" s="27" t="str">
        <f aca="false">IF(OR(C324="",AND(D324="",F324="")),"",IF(N(E324)=0,1,E324)*IF(F324="",IFERROR(N(INDEX(Produtos!$L$5:$L$104,MATCH(D324,Produtos!$B$5:$B$104,0))),0),F324))</f>
        <v/>
      </c>
      <c r="H324" s="27" t="str">
        <f aca="false">IF(G324="","",IF(N(E324)=0,1,E324)*IFERROR(N(INDEX(Produtos!$G$5:$G$104,MATCH(D324,Produtos!$B$5:$B$104,0))),0))</f>
        <v/>
      </c>
      <c r="I324" s="27" t="str">
        <f aca="false">IF(G324="","",G324-H324)</f>
        <v/>
      </c>
      <c r="J324" s="42"/>
    </row>
    <row r="325" customFormat="false" ht="21" hidden="false" customHeight="true" outlineLevel="0" collapsed="false">
      <c r="B325" s="41"/>
      <c r="C325" s="9"/>
      <c r="D325" s="9"/>
      <c r="E325" s="42"/>
      <c r="F325" s="43"/>
      <c r="G325" s="27" t="str">
        <f aca="false">IF(OR(C325="",AND(D325="",F325="")),"",IF(N(E325)=0,1,E325)*IF(F325="",IFERROR(N(INDEX(Produtos!$L$5:$L$104,MATCH(D325,Produtos!$B$5:$B$104,0))),0),F325))</f>
        <v/>
      </c>
      <c r="H325" s="27" t="str">
        <f aca="false">IF(G325="","",IF(N(E325)=0,1,E325)*IFERROR(N(INDEX(Produtos!$G$5:$G$104,MATCH(D325,Produtos!$B$5:$B$104,0))),0))</f>
        <v/>
      </c>
      <c r="I325" s="27" t="str">
        <f aca="false">IF(G325="","",G325-H325)</f>
        <v/>
      </c>
      <c r="J325" s="42"/>
    </row>
    <row r="326" customFormat="false" ht="21" hidden="false" customHeight="true" outlineLevel="0" collapsed="false">
      <c r="B326" s="41"/>
      <c r="C326" s="9"/>
      <c r="D326" s="9"/>
      <c r="E326" s="42"/>
      <c r="F326" s="43"/>
      <c r="G326" s="27" t="str">
        <f aca="false">IF(OR(C326="",AND(D326="",F326="")),"",IF(N(E326)=0,1,E326)*IF(F326="",IFERROR(N(INDEX(Produtos!$L$5:$L$104,MATCH(D326,Produtos!$B$5:$B$104,0))),0),F326))</f>
        <v/>
      </c>
      <c r="H326" s="27" t="str">
        <f aca="false">IF(G326="","",IF(N(E326)=0,1,E326)*IFERROR(N(INDEX(Produtos!$G$5:$G$104,MATCH(D326,Produtos!$B$5:$B$104,0))),0))</f>
        <v/>
      </c>
      <c r="I326" s="27" t="str">
        <f aca="false">IF(G326="","",G326-H326)</f>
        <v/>
      </c>
      <c r="J326" s="42"/>
    </row>
    <row r="327" customFormat="false" ht="21" hidden="false" customHeight="true" outlineLevel="0" collapsed="false">
      <c r="B327" s="41"/>
      <c r="C327" s="9"/>
      <c r="D327" s="9"/>
      <c r="E327" s="42"/>
      <c r="F327" s="43"/>
      <c r="G327" s="27" t="str">
        <f aca="false">IF(OR(C327="",AND(D327="",F327="")),"",IF(N(E327)=0,1,E327)*IF(F327="",IFERROR(N(INDEX(Produtos!$L$5:$L$104,MATCH(D327,Produtos!$B$5:$B$104,0))),0),F327))</f>
        <v/>
      </c>
      <c r="H327" s="27" t="str">
        <f aca="false">IF(G327="","",IF(N(E327)=0,1,E327)*IFERROR(N(INDEX(Produtos!$G$5:$G$104,MATCH(D327,Produtos!$B$5:$B$104,0))),0))</f>
        <v/>
      </c>
      <c r="I327" s="27" t="str">
        <f aca="false">IF(G327="","",G327-H327)</f>
        <v/>
      </c>
      <c r="J327" s="42"/>
    </row>
    <row r="328" customFormat="false" ht="21" hidden="false" customHeight="true" outlineLevel="0" collapsed="false">
      <c r="B328" s="41"/>
      <c r="C328" s="9"/>
      <c r="D328" s="9"/>
      <c r="E328" s="42"/>
      <c r="F328" s="43"/>
      <c r="G328" s="27" t="str">
        <f aca="false">IF(OR(C328="",AND(D328="",F328="")),"",IF(N(E328)=0,1,E328)*IF(F328="",IFERROR(N(INDEX(Produtos!$L$5:$L$104,MATCH(D328,Produtos!$B$5:$B$104,0))),0),F328))</f>
        <v/>
      </c>
      <c r="H328" s="27" t="str">
        <f aca="false">IF(G328="","",IF(N(E328)=0,1,E328)*IFERROR(N(INDEX(Produtos!$G$5:$G$104,MATCH(D328,Produtos!$B$5:$B$104,0))),0))</f>
        <v/>
      </c>
      <c r="I328" s="27" t="str">
        <f aca="false">IF(G328="","",G328-H328)</f>
        <v/>
      </c>
      <c r="J328" s="42"/>
    </row>
    <row r="329" customFormat="false" ht="21" hidden="false" customHeight="true" outlineLevel="0" collapsed="false">
      <c r="B329" s="41"/>
      <c r="C329" s="9"/>
      <c r="D329" s="9"/>
      <c r="E329" s="42"/>
      <c r="F329" s="43"/>
      <c r="G329" s="27" t="str">
        <f aca="false">IF(OR(C329="",AND(D329="",F329="")),"",IF(N(E329)=0,1,E329)*IF(F329="",IFERROR(N(INDEX(Produtos!$L$5:$L$104,MATCH(D329,Produtos!$B$5:$B$104,0))),0),F329))</f>
        <v/>
      </c>
      <c r="H329" s="27" t="str">
        <f aca="false">IF(G329="","",IF(N(E329)=0,1,E329)*IFERROR(N(INDEX(Produtos!$G$5:$G$104,MATCH(D329,Produtos!$B$5:$B$104,0))),0))</f>
        <v/>
      </c>
      <c r="I329" s="27" t="str">
        <f aca="false">IF(G329="","",G329-H329)</f>
        <v/>
      </c>
      <c r="J329" s="42"/>
    </row>
    <row r="330" customFormat="false" ht="21" hidden="false" customHeight="true" outlineLevel="0" collapsed="false">
      <c r="B330" s="41"/>
      <c r="C330" s="9"/>
      <c r="D330" s="9"/>
      <c r="E330" s="42"/>
      <c r="F330" s="43"/>
      <c r="G330" s="27" t="str">
        <f aca="false">IF(OR(C330="",AND(D330="",F330="")),"",IF(N(E330)=0,1,E330)*IF(F330="",IFERROR(N(INDEX(Produtos!$L$5:$L$104,MATCH(D330,Produtos!$B$5:$B$104,0))),0),F330))</f>
        <v/>
      </c>
      <c r="H330" s="27" t="str">
        <f aca="false">IF(G330="","",IF(N(E330)=0,1,E330)*IFERROR(N(INDEX(Produtos!$G$5:$G$104,MATCH(D330,Produtos!$B$5:$B$104,0))),0))</f>
        <v/>
      </c>
      <c r="I330" s="27" t="str">
        <f aca="false">IF(G330="","",G330-H330)</f>
        <v/>
      </c>
      <c r="J330" s="42"/>
    </row>
    <row r="331" customFormat="false" ht="21" hidden="false" customHeight="true" outlineLevel="0" collapsed="false">
      <c r="B331" s="41"/>
      <c r="C331" s="9"/>
      <c r="D331" s="9"/>
      <c r="E331" s="42"/>
      <c r="F331" s="43"/>
      <c r="G331" s="27" t="str">
        <f aca="false">IF(OR(C331="",AND(D331="",F331="")),"",IF(N(E331)=0,1,E331)*IF(F331="",IFERROR(N(INDEX(Produtos!$L$5:$L$104,MATCH(D331,Produtos!$B$5:$B$104,0))),0),F331))</f>
        <v/>
      </c>
      <c r="H331" s="27" t="str">
        <f aca="false">IF(G331="","",IF(N(E331)=0,1,E331)*IFERROR(N(INDEX(Produtos!$G$5:$G$104,MATCH(D331,Produtos!$B$5:$B$104,0))),0))</f>
        <v/>
      </c>
      <c r="I331" s="27" t="str">
        <f aca="false">IF(G331="","",G331-H331)</f>
        <v/>
      </c>
      <c r="J331" s="42"/>
    </row>
    <row r="332" customFormat="false" ht="21" hidden="false" customHeight="true" outlineLevel="0" collapsed="false">
      <c r="B332" s="41"/>
      <c r="C332" s="9"/>
      <c r="D332" s="9"/>
      <c r="E332" s="42"/>
      <c r="F332" s="43"/>
      <c r="G332" s="27" t="str">
        <f aca="false">IF(OR(C332="",AND(D332="",F332="")),"",IF(N(E332)=0,1,E332)*IF(F332="",IFERROR(N(INDEX(Produtos!$L$5:$L$104,MATCH(D332,Produtos!$B$5:$B$104,0))),0),F332))</f>
        <v/>
      </c>
      <c r="H332" s="27" t="str">
        <f aca="false">IF(G332="","",IF(N(E332)=0,1,E332)*IFERROR(N(INDEX(Produtos!$G$5:$G$104,MATCH(D332,Produtos!$B$5:$B$104,0))),0))</f>
        <v/>
      </c>
      <c r="I332" s="27" t="str">
        <f aca="false">IF(G332="","",G332-H332)</f>
        <v/>
      </c>
      <c r="J332" s="42"/>
    </row>
    <row r="333" customFormat="false" ht="21" hidden="false" customHeight="true" outlineLevel="0" collapsed="false">
      <c r="B333" s="41"/>
      <c r="C333" s="9"/>
      <c r="D333" s="9"/>
      <c r="E333" s="42"/>
      <c r="F333" s="43"/>
      <c r="G333" s="27" t="str">
        <f aca="false">IF(OR(C333="",AND(D333="",F333="")),"",IF(N(E333)=0,1,E333)*IF(F333="",IFERROR(N(INDEX(Produtos!$L$5:$L$104,MATCH(D333,Produtos!$B$5:$B$104,0))),0),F333))</f>
        <v/>
      </c>
      <c r="H333" s="27" t="str">
        <f aca="false">IF(G333="","",IF(N(E333)=0,1,E333)*IFERROR(N(INDEX(Produtos!$G$5:$G$104,MATCH(D333,Produtos!$B$5:$B$104,0))),0))</f>
        <v/>
      </c>
      <c r="I333" s="27" t="str">
        <f aca="false">IF(G333="","",G333-H333)</f>
        <v/>
      </c>
      <c r="J333" s="42"/>
    </row>
    <row r="334" customFormat="false" ht="21" hidden="false" customHeight="true" outlineLevel="0" collapsed="false">
      <c r="B334" s="41"/>
      <c r="C334" s="9"/>
      <c r="D334" s="9"/>
      <c r="E334" s="42"/>
      <c r="F334" s="43"/>
      <c r="G334" s="27" t="str">
        <f aca="false">IF(OR(C334="",AND(D334="",F334="")),"",IF(N(E334)=0,1,E334)*IF(F334="",IFERROR(N(INDEX(Produtos!$L$5:$L$104,MATCH(D334,Produtos!$B$5:$B$104,0))),0),F334))</f>
        <v/>
      </c>
      <c r="H334" s="27" t="str">
        <f aca="false">IF(G334="","",IF(N(E334)=0,1,E334)*IFERROR(N(INDEX(Produtos!$G$5:$G$104,MATCH(D334,Produtos!$B$5:$B$104,0))),0))</f>
        <v/>
      </c>
      <c r="I334" s="27" t="str">
        <f aca="false">IF(G334="","",G334-H334)</f>
        <v/>
      </c>
      <c r="J334" s="42"/>
    </row>
    <row r="335" customFormat="false" ht="21" hidden="false" customHeight="true" outlineLevel="0" collapsed="false">
      <c r="B335" s="41"/>
      <c r="C335" s="9"/>
      <c r="D335" s="9"/>
      <c r="E335" s="42"/>
      <c r="F335" s="43"/>
      <c r="G335" s="27" t="str">
        <f aca="false">IF(OR(C335="",AND(D335="",F335="")),"",IF(N(E335)=0,1,E335)*IF(F335="",IFERROR(N(INDEX(Produtos!$L$5:$L$104,MATCH(D335,Produtos!$B$5:$B$104,0))),0),F335))</f>
        <v/>
      </c>
      <c r="H335" s="27" t="str">
        <f aca="false">IF(G335="","",IF(N(E335)=0,1,E335)*IFERROR(N(INDEX(Produtos!$G$5:$G$104,MATCH(D335,Produtos!$B$5:$B$104,0))),0))</f>
        <v/>
      </c>
      <c r="I335" s="27" t="str">
        <f aca="false">IF(G335="","",G335-H335)</f>
        <v/>
      </c>
      <c r="J335" s="42"/>
    </row>
    <row r="336" customFormat="false" ht="21" hidden="false" customHeight="true" outlineLevel="0" collapsed="false">
      <c r="B336" s="41"/>
      <c r="C336" s="9"/>
      <c r="D336" s="9"/>
      <c r="E336" s="42"/>
      <c r="F336" s="43"/>
      <c r="G336" s="27" t="str">
        <f aca="false">IF(OR(C336="",AND(D336="",F336="")),"",IF(N(E336)=0,1,E336)*IF(F336="",IFERROR(N(INDEX(Produtos!$L$5:$L$104,MATCH(D336,Produtos!$B$5:$B$104,0))),0),F336))</f>
        <v/>
      </c>
      <c r="H336" s="27" t="str">
        <f aca="false">IF(G336="","",IF(N(E336)=0,1,E336)*IFERROR(N(INDEX(Produtos!$G$5:$G$104,MATCH(D336,Produtos!$B$5:$B$104,0))),0))</f>
        <v/>
      </c>
      <c r="I336" s="27" t="str">
        <f aca="false">IF(G336="","",G336-H336)</f>
        <v/>
      </c>
      <c r="J336" s="42"/>
    </row>
    <row r="337" customFormat="false" ht="21" hidden="false" customHeight="true" outlineLevel="0" collapsed="false">
      <c r="B337" s="41"/>
      <c r="C337" s="9"/>
      <c r="D337" s="9"/>
      <c r="E337" s="42"/>
      <c r="F337" s="43"/>
      <c r="G337" s="27" t="str">
        <f aca="false">IF(OR(C337="",AND(D337="",F337="")),"",IF(N(E337)=0,1,E337)*IF(F337="",IFERROR(N(INDEX(Produtos!$L$5:$L$104,MATCH(D337,Produtos!$B$5:$B$104,0))),0),F337))</f>
        <v/>
      </c>
      <c r="H337" s="27" t="str">
        <f aca="false">IF(G337="","",IF(N(E337)=0,1,E337)*IFERROR(N(INDEX(Produtos!$G$5:$G$104,MATCH(D337,Produtos!$B$5:$B$104,0))),0))</f>
        <v/>
      </c>
      <c r="I337" s="27" t="str">
        <f aca="false">IF(G337="","",G337-H337)</f>
        <v/>
      </c>
      <c r="J337" s="42"/>
    </row>
    <row r="338" customFormat="false" ht="21" hidden="false" customHeight="true" outlineLevel="0" collapsed="false">
      <c r="B338" s="41"/>
      <c r="C338" s="9"/>
      <c r="D338" s="9"/>
      <c r="E338" s="42"/>
      <c r="F338" s="43"/>
      <c r="G338" s="27" t="str">
        <f aca="false">IF(OR(C338="",AND(D338="",F338="")),"",IF(N(E338)=0,1,E338)*IF(F338="",IFERROR(N(INDEX(Produtos!$L$5:$L$104,MATCH(D338,Produtos!$B$5:$B$104,0))),0),F338))</f>
        <v/>
      </c>
      <c r="H338" s="27" t="str">
        <f aca="false">IF(G338="","",IF(N(E338)=0,1,E338)*IFERROR(N(INDEX(Produtos!$G$5:$G$104,MATCH(D338,Produtos!$B$5:$B$104,0))),0))</f>
        <v/>
      </c>
      <c r="I338" s="27" t="str">
        <f aca="false">IF(G338="","",G338-H338)</f>
        <v/>
      </c>
      <c r="J338" s="42"/>
    </row>
    <row r="339" customFormat="false" ht="21" hidden="false" customHeight="true" outlineLevel="0" collapsed="false">
      <c r="B339" s="41"/>
      <c r="C339" s="9"/>
      <c r="D339" s="9"/>
      <c r="E339" s="42"/>
      <c r="F339" s="43"/>
      <c r="G339" s="27" t="str">
        <f aca="false">IF(OR(C339="",AND(D339="",F339="")),"",IF(N(E339)=0,1,E339)*IF(F339="",IFERROR(N(INDEX(Produtos!$L$5:$L$104,MATCH(D339,Produtos!$B$5:$B$104,0))),0),F339))</f>
        <v/>
      </c>
      <c r="H339" s="27" t="str">
        <f aca="false">IF(G339="","",IF(N(E339)=0,1,E339)*IFERROR(N(INDEX(Produtos!$G$5:$G$104,MATCH(D339,Produtos!$B$5:$B$104,0))),0))</f>
        <v/>
      </c>
      <c r="I339" s="27" t="str">
        <f aca="false">IF(G339="","",G339-H339)</f>
        <v/>
      </c>
      <c r="J339" s="42"/>
    </row>
    <row r="340" customFormat="false" ht="21" hidden="false" customHeight="true" outlineLevel="0" collapsed="false">
      <c r="B340" s="41"/>
      <c r="C340" s="9"/>
      <c r="D340" s="9"/>
      <c r="E340" s="42"/>
      <c r="F340" s="43"/>
      <c r="G340" s="27" t="str">
        <f aca="false">IF(OR(C340="",AND(D340="",F340="")),"",IF(N(E340)=0,1,E340)*IF(F340="",IFERROR(N(INDEX(Produtos!$L$5:$L$104,MATCH(D340,Produtos!$B$5:$B$104,0))),0),F340))</f>
        <v/>
      </c>
      <c r="H340" s="27" t="str">
        <f aca="false">IF(G340="","",IF(N(E340)=0,1,E340)*IFERROR(N(INDEX(Produtos!$G$5:$G$104,MATCH(D340,Produtos!$B$5:$B$104,0))),0))</f>
        <v/>
      </c>
      <c r="I340" s="27" t="str">
        <f aca="false">IF(G340="","",G340-H340)</f>
        <v/>
      </c>
      <c r="J340" s="42"/>
    </row>
    <row r="341" customFormat="false" ht="21" hidden="false" customHeight="true" outlineLevel="0" collapsed="false">
      <c r="B341" s="41"/>
      <c r="C341" s="9"/>
      <c r="D341" s="9"/>
      <c r="E341" s="42"/>
      <c r="F341" s="43"/>
      <c r="G341" s="27" t="str">
        <f aca="false">IF(OR(C341="",AND(D341="",F341="")),"",IF(N(E341)=0,1,E341)*IF(F341="",IFERROR(N(INDEX(Produtos!$L$5:$L$104,MATCH(D341,Produtos!$B$5:$B$104,0))),0),F341))</f>
        <v/>
      </c>
      <c r="H341" s="27" t="str">
        <f aca="false">IF(G341="","",IF(N(E341)=0,1,E341)*IFERROR(N(INDEX(Produtos!$G$5:$G$104,MATCH(D341,Produtos!$B$5:$B$104,0))),0))</f>
        <v/>
      </c>
      <c r="I341" s="27" t="str">
        <f aca="false">IF(G341="","",G341-H341)</f>
        <v/>
      </c>
      <c r="J341" s="42"/>
    </row>
    <row r="342" customFormat="false" ht="21" hidden="false" customHeight="true" outlineLevel="0" collapsed="false">
      <c r="B342" s="41"/>
      <c r="C342" s="9"/>
      <c r="D342" s="9"/>
      <c r="E342" s="42"/>
      <c r="F342" s="43"/>
      <c r="G342" s="27" t="str">
        <f aca="false">IF(OR(C342="",AND(D342="",F342="")),"",IF(N(E342)=0,1,E342)*IF(F342="",IFERROR(N(INDEX(Produtos!$L$5:$L$104,MATCH(D342,Produtos!$B$5:$B$104,0))),0),F342))</f>
        <v/>
      </c>
      <c r="H342" s="27" t="str">
        <f aca="false">IF(G342="","",IF(N(E342)=0,1,E342)*IFERROR(N(INDEX(Produtos!$G$5:$G$104,MATCH(D342,Produtos!$B$5:$B$104,0))),0))</f>
        <v/>
      </c>
      <c r="I342" s="27" t="str">
        <f aca="false">IF(G342="","",G342-H342)</f>
        <v/>
      </c>
      <c r="J342" s="42"/>
    </row>
    <row r="343" customFormat="false" ht="21" hidden="false" customHeight="true" outlineLevel="0" collapsed="false">
      <c r="B343" s="41"/>
      <c r="C343" s="9"/>
      <c r="D343" s="9"/>
      <c r="E343" s="42"/>
      <c r="F343" s="43"/>
      <c r="G343" s="27" t="str">
        <f aca="false">IF(OR(C343="",AND(D343="",F343="")),"",IF(N(E343)=0,1,E343)*IF(F343="",IFERROR(N(INDEX(Produtos!$L$5:$L$104,MATCH(D343,Produtos!$B$5:$B$104,0))),0),F343))</f>
        <v/>
      </c>
      <c r="H343" s="27" t="str">
        <f aca="false">IF(G343="","",IF(N(E343)=0,1,E343)*IFERROR(N(INDEX(Produtos!$G$5:$G$104,MATCH(D343,Produtos!$B$5:$B$104,0))),0))</f>
        <v/>
      </c>
      <c r="I343" s="27" t="str">
        <f aca="false">IF(G343="","",G343-H343)</f>
        <v/>
      </c>
      <c r="J343" s="42"/>
    </row>
    <row r="344" customFormat="false" ht="21" hidden="false" customHeight="true" outlineLevel="0" collapsed="false">
      <c r="B344" s="41"/>
      <c r="C344" s="9"/>
      <c r="D344" s="9"/>
      <c r="E344" s="42"/>
      <c r="F344" s="43"/>
      <c r="G344" s="27" t="str">
        <f aca="false">IF(OR(C344="",AND(D344="",F344="")),"",IF(N(E344)=0,1,E344)*IF(F344="",IFERROR(N(INDEX(Produtos!$L$5:$L$104,MATCH(D344,Produtos!$B$5:$B$104,0))),0),F344))</f>
        <v/>
      </c>
      <c r="H344" s="27" t="str">
        <f aca="false">IF(G344="","",IF(N(E344)=0,1,E344)*IFERROR(N(INDEX(Produtos!$G$5:$G$104,MATCH(D344,Produtos!$B$5:$B$104,0))),0))</f>
        <v/>
      </c>
      <c r="I344" s="27" t="str">
        <f aca="false">IF(G344="","",G344-H344)</f>
        <v/>
      </c>
      <c r="J344" s="42"/>
    </row>
    <row r="345" customFormat="false" ht="21" hidden="false" customHeight="true" outlineLevel="0" collapsed="false">
      <c r="B345" s="41"/>
      <c r="C345" s="9"/>
      <c r="D345" s="9"/>
      <c r="E345" s="42"/>
      <c r="F345" s="43"/>
      <c r="G345" s="27" t="str">
        <f aca="false">IF(OR(C345="",AND(D345="",F345="")),"",IF(N(E345)=0,1,E345)*IF(F345="",IFERROR(N(INDEX(Produtos!$L$5:$L$104,MATCH(D345,Produtos!$B$5:$B$104,0))),0),F345))</f>
        <v/>
      </c>
      <c r="H345" s="27" t="str">
        <f aca="false">IF(G345="","",IF(N(E345)=0,1,E345)*IFERROR(N(INDEX(Produtos!$G$5:$G$104,MATCH(D345,Produtos!$B$5:$B$104,0))),0))</f>
        <v/>
      </c>
      <c r="I345" s="27" t="str">
        <f aca="false">IF(G345="","",G345-H345)</f>
        <v/>
      </c>
      <c r="J345" s="42"/>
    </row>
    <row r="346" customFormat="false" ht="21" hidden="false" customHeight="true" outlineLevel="0" collapsed="false">
      <c r="B346" s="41"/>
      <c r="C346" s="9"/>
      <c r="D346" s="9"/>
      <c r="E346" s="42"/>
      <c r="F346" s="43"/>
      <c r="G346" s="27" t="str">
        <f aca="false">IF(OR(C346="",AND(D346="",F346="")),"",IF(N(E346)=0,1,E346)*IF(F346="",IFERROR(N(INDEX(Produtos!$L$5:$L$104,MATCH(D346,Produtos!$B$5:$B$104,0))),0),F346))</f>
        <v/>
      </c>
      <c r="H346" s="27" t="str">
        <f aca="false">IF(G346="","",IF(N(E346)=0,1,E346)*IFERROR(N(INDEX(Produtos!$G$5:$G$104,MATCH(D346,Produtos!$B$5:$B$104,0))),0))</f>
        <v/>
      </c>
      <c r="I346" s="27" t="str">
        <f aca="false">IF(G346="","",G346-H346)</f>
        <v/>
      </c>
      <c r="J346" s="42"/>
    </row>
    <row r="347" customFormat="false" ht="21" hidden="false" customHeight="true" outlineLevel="0" collapsed="false">
      <c r="B347" s="41"/>
      <c r="C347" s="9"/>
      <c r="D347" s="9"/>
      <c r="E347" s="42"/>
      <c r="F347" s="43"/>
      <c r="G347" s="27" t="str">
        <f aca="false">IF(OR(C347="",AND(D347="",F347="")),"",IF(N(E347)=0,1,E347)*IF(F347="",IFERROR(N(INDEX(Produtos!$L$5:$L$104,MATCH(D347,Produtos!$B$5:$B$104,0))),0),F347))</f>
        <v/>
      </c>
      <c r="H347" s="27" t="str">
        <f aca="false">IF(G347="","",IF(N(E347)=0,1,E347)*IFERROR(N(INDEX(Produtos!$G$5:$G$104,MATCH(D347,Produtos!$B$5:$B$104,0))),0))</f>
        <v/>
      </c>
      <c r="I347" s="27" t="str">
        <f aca="false">IF(G347="","",G347-H347)</f>
        <v/>
      </c>
      <c r="J347" s="42"/>
    </row>
    <row r="348" customFormat="false" ht="21" hidden="false" customHeight="true" outlineLevel="0" collapsed="false">
      <c r="B348" s="41"/>
      <c r="C348" s="9"/>
      <c r="D348" s="9"/>
      <c r="E348" s="42"/>
      <c r="F348" s="43"/>
      <c r="G348" s="27" t="str">
        <f aca="false">IF(OR(C348="",AND(D348="",F348="")),"",IF(N(E348)=0,1,E348)*IF(F348="",IFERROR(N(INDEX(Produtos!$L$5:$L$104,MATCH(D348,Produtos!$B$5:$B$104,0))),0),F348))</f>
        <v/>
      </c>
      <c r="H348" s="27" t="str">
        <f aca="false">IF(G348="","",IF(N(E348)=0,1,E348)*IFERROR(N(INDEX(Produtos!$G$5:$G$104,MATCH(D348,Produtos!$B$5:$B$104,0))),0))</f>
        <v/>
      </c>
      <c r="I348" s="27" t="str">
        <f aca="false">IF(G348="","",G348-H348)</f>
        <v/>
      </c>
      <c r="J348" s="42"/>
    </row>
    <row r="349" customFormat="false" ht="21" hidden="false" customHeight="true" outlineLevel="0" collapsed="false">
      <c r="B349" s="41"/>
      <c r="C349" s="9"/>
      <c r="D349" s="9"/>
      <c r="E349" s="42"/>
      <c r="F349" s="43"/>
      <c r="G349" s="27" t="str">
        <f aca="false">IF(OR(C349="",AND(D349="",F349="")),"",IF(N(E349)=0,1,E349)*IF(F349="",IFERROR(N(INDEX(Produtos!$L$5:$L$104,MATCH(D349,Produtos!$B$5:$B$104,0))),0),F349))</f>
        <v/>
      </c>
      <c r="H349" s="27" t="str">
        <f aca="false">IF(G349="","",IF(N(E349)=0,1,E349)*IFERROR(N(INDEX(Produtos!$G$5:$G$104,MATCH(D349,Produtos!$B$5:$B$104,0))),0))</f>
        <v/>
      </c>
      <c r="I349" s="27" t="str">
        <f aca="false">IF(G349="","",G349-H349)</f>
        <v/>
      </c>
      <c r="J349" s="42"/>
    </row>
    <row r="350" customFormat="false" ht="21" hidden="false" customHeight="true" outlineLevel="0" collapsed="false">
      <c r="B350" s="41"/>
      <c r="C350" s="9"/>
      <c r="D350" s="9"/>
      <c r="E350" s="42"/>
      <c r="F350" s="43"/>
      <c r="G350" s="27" t="str">
        <f aca="false">IF(OR(C350="",AND(D350="",F350="")),"",IF(N(E350)=0,1,E350)*IF(F350="",IFERROR(N(INDEX(Produtos!$L$5:$L$104,MATCH(D350,Produtos!$B$5:$B$104,0))),0),F350))</f>
        <v/>
      </c>
      <c r="H350" s="27" t="str">
        <f aca="false">IF(G350="","",IF(N(E350)=0,1,E350)*IFERROR(N(INDEX(Produtos!$G$5:$G$104,MATCH(D350,Produtos!$B$5:$B$104,0))),0))</f>
        <v/>
      </c>
      <c r="I350" s="27" t="str">
        <f aca="false">IF(G350="","",G350-H350)</f>
        <v/>
      </c>
      <c r="J350" s="42"/>
    </row>
    <row r="351" customFormat="false" ht="21" hidden="false" customHeight="true" outlineLevel="0" collapsed="false">
      <c r="B351" s="41"/>
      <c r="C351" s="9"/>
      <c r="D351" s="9"/>
      <c r="E351" s="42"/>
      <c r="F351" s="43"/>
      <c r="G351" s="27" t="str">
        <f aca="false">IF(OR(C351="",AND(D351="",F351="")),"",IF(N(E351)=0,1,E351)*IF(F351="",IFERROR(N(INDEX(Produtos!$L$5:$L$104,MATCH(D351,Produtos!$B$5:$B$104,0))),0),F351))</f>
        <v/>
      </c>
      <c r="H351" s="27" t="str">
        <f aca="false">IF(G351="","",IF(N(E351)=0,1,E351)*IFERROR(N(INDEX(Produtos!$G$5:$G$104,MATCH(D351,Produtos!$B$5:$B$104,0))),0))</f>
        <v/>
      </c>
      <c r="I351" s="27" t="str">
        <f aca="false">IF(G351="","",G351-H351)</f>
        <v/>
      </c>
      <c r="J351" s="42"/>
    </row>
    <row r="352" customFormat="false" ht="21" hidden="false" customHeight="true" outlineLevel="0" collapsed="false">
      <c r="B352" s="41"/>
      <c r="C352" s="9"/>
      <c r="D352" s="9"/>
      <c r="E352" s="42"/>
      <c r="F352" s="43"/>
      <c r="G352" s="27" t="str">
        <f aca="false">IF(OR(C352="",AND(D352="",F352="")),"",IF(N(E352)=0,1,E352)*IF(F352="",IFERROR(N(INDEX(Produtos!$L$5:$L$104,MATCH(D352,Produtos!$B$5:$B$104,0))),0),F352))</f>
        <v/>
      </c>
      <c r="H352" s="27" t="str">
        <f aca="false">IF(G352="","",IF(N(E352)=0,1,E352)*IFERROR(N(INDEX(Produtos!$G$5:$G$104,MATCH(D352,Produtos!$B$5:$B$104,0))),0))</f>
        <v/>
      </c>
      <c r="I352" s="27" t="str">
        <f aca="false">IF(G352="","",G352-H352)</f>
        <v/>
      </c>
      <c r="J352" s="42"/>
    </row>
    <row r="353" customFormat="false" ht="21" hidden="false" customHeight="true" outlineLevel="0" collapsed="false">
      <c r="B353" s="41"/>
      <c r="C353" s="9"/>
      <c r="D353" s="9"/>
      <c r="E353" s="42"/>
      <c r="F353" s="43"/>
      <c r="G353" s="27" t="str">
        <f aca="false">IF(OR(C353="",AND(D353="",F353="")),"",IF(N(E353)=0,1,E353)*IF(F353="",IFERROR(N(INDEX(Produtos!$L$5:$L$104,MATCH(D353,Produtos!$B$5:$B$104,0))),0),F353))</f>
        <v/>
      </c>
      <c r="H353" s="27" t="str">
        <f aca="false">IF(G353="","",IF(N(E353)=0,1,E353)*IFERROR(N(INDEX(Produtos!$G$5:$G$104,MATCH(D353,Produtos!$B$5:$B$104,0))),0))</f>
        <v/>
      </c>
      <c r="I353" s="27" t="str">
        <f aca="false">IF(G353="","",G353-H353)</f>
        <v/>
      </c>
      <c r="J353" s="42"/>
    </row>
    <row r="354" customFormat="false" ht="21" hidden="false" customHeight="true" outlineLevel="0" collapsed="false">
      <c r="B354" s="41"/>
      <c r="C354" s="9"/>
      <c r="D354" s="9"/>
      <c r="E354" s="42"/>
      <c r="F354" s="43"/>
      <c r="G354" s="27" t="str">
        <f aca="false">IF(OR(C354="",AND(D354="",F354="")),"",IF(N(E354)=0,1,E354)*IF(F354="",IFERROR(N(INDEX(Produtos!$L$5:$L$104,MATCH(D354,Produtos!$B$5:$B$104,0))),0),F354))</f>
        <v/>
      </c>
      <c r="H354" s="27" t="str">
        <f aca="false">IF(G354="","",IF(N(E354)=0,1,E354)*IFERROR(N(INDEX(Produtos!$G$5:$G$104,MATCH(D354,Produtos!$B$5:$B$104,0))),0))</f>
        <v/>
      </c>
      <c r="I354" s="27" t="str">
        <f aca="false">IF(G354="","",G354-H354)</f>
        <v/>
      </c>
      <c r="J354" s="42"/>
    </row>
    <row r="355" customFormat="false" ht="21" hidden="false" customHeight="true" outlineLevel="0" collapsed="false">
      <c r="B355" s="41"/>
      <c r="C355" s="9"/>
      <c r="D355" s="9"/>
      <c r="E355" s="42"/>
      <c r="F355" s="43"/>
      <c r="G355" s="27" t="str">
        <f aca="false">IF(OR(C355="",AND(D355="",F355="")),"",IF(N(E355)=0,1,E355)*IF(F355="",IFERROR(N(INDEX(Produtos!$L$5:$L$104,MATCH(D355,Produtos!$B$5:$B$104,0))),0),F355))</f>
        <v/>
      </c>
      <c r="H355" s="27" t="str">
        <f aca="false">IF(G355="","",IF(N(E355)=0,1,E355)*IFERROR(N(INDEX(Produtos!$G$5:$G$104,MATCH(D355,Produtos!$B$5:$B$104,0))),0))</f>
        <v/>
      </c>
      <c r="I355" s="27" t="str">
        <f aca="false">IF(G355="","",G355-H355)</f>
        <v/>
      </c>
      <c r="J355" s="42"/>
    </row>
    <row r="356" customFormat="false" ht="21" hidden="false" customHeight="true" outlineLevel="0" collapsed="false">
      <c r="B356" s="41"/>
      <c r="C356" s="9"/>
      <c r="D356" s="9"/>
      <c r="E356" s="42"/>
      <c r="F356" s="43"/>
      <c r="G356" s="27" t="str">
        <f aca="false">IF(OR(C356="",AND(D356="",F356="")),"",IF(N(E356)=0,1,E356)*IF(F356="",IFERROR(N(INDEX(Produtos!$L$5:$L$104,MATCH(D356,Produtos!$B$5:$B$104,0))),0),F356))</f>
        <v/>
      </c>
      <c r="H356" s="27" t="str">
        <f aca="false">IF(G356="","",IF(N(E356)=0,1,E356)*IFERROR(N(INDEX(Produtos!$G$5:$G$104,MATCH(D356,Produtos!$B$5:$B$104,0))),0))</f>
        <v/>
      </c>
      <c r="I356" s="27" t="str">
        <f aca="false">IF(G356="","",G356-H356)</f>
        <v/>
      </c>
      <c r="J356" s="42"/>
    </row>
    <row r="357" customFormat="false" ht="21" hidden="false" customHeight="true" outlineLevel="0" collapsed="false">
      <c r="B357" s="41"/>
      <c r="C357" s="9"/>
      <c r="D357" s="9"/>
      <c r="E357" s="42"/>
      <c r="F357" s="43"/>
      <c r="G357" s="27" t="str">
        <f aca="false">IF(OR(C357="",AND(D357="",F357="")),"",IF(N(E357)=0,1,E357)*IF(F357="",IFERROR(N(INDEX(Produtos!$L$5:$L$104,MATCH(D357,Produtos!$B$5:$B$104,0))),0),F357))</f>
        <v/>
      </c>
      <c r="H357" s="27" t="str">
        <f aca="false">IF(G357="","",IF(N(E357)=0,1,E357)*IFERROR(N(INDEX(Produtos!$G$5:$G$104,MATCH(D357,Produtos!$B$5:$B$104,0))),0))</f>
        <v/>
      </c>
      <c r="I357" s="27" t="str">
        <f aca="false">IF(G357="","",G357-H357)</f>
        <v/>
      </c>
      <c r="J357" s="42"/>
    </row>
    <row r="358" customFormat="false" ht="21" hidden="false" customHeight="true" outlineLevel="0" collapsed="false">
      <c r="B358" s="41"/>
      <c r="C358" s="9"/>
      <c r="D358" s="9"/>
      <c r="E358" s="42"/>
      <c r="F358" s="43"/>
      <c r="G358" s="27" t="str">
        <f aca="false">IF(OR(C358="",AND(D358="",F358="")),"",IF(N(E358)=0,1,E358)*IF(F358="",IFERROR(N(INDEX(Produtos!$L$5:$L$104,MATCH(D358,Produtos!$B$5:$B$104,0))),0),F358))</f>
        <v/>
      </c>
      <c r="H358" s="27" t="str">
        <f aca="false">IF(G358="","",IF(N(E358)=0,1,E358)*IFERROR(N(INDEX(Produtos!$G$5:$G$104,MATCH(D358,Produtos!$B$5:$B$104,0))),0))</f>
        <v/>
      </c>
      <c r="I358" s="27" t="str">
        <f aca="false">IF(G358="","",G358-H358)</f>
        <v/>
      </c>
      <c r="J358" s="42"/>
    </row>
    <row r="359" customFormat="false" ht="21" hidden="false" customHeight="true" outlineLevel="0" collapsed="false">
      <c r="B359" s="41"/>
      <c r="C359" s="9"/>
      <c r="D359" s="9"/>
      <c r="E359" s="42"/>
      <c r="F359" s="43"/>
      <c r="G359" s="27" t="str">
        <f aca="false">IF(OR(C359="",AND(D359="",F359="")),"",IF(N(E359)=0,1,E359)*IF(F359="",IFERROR(N(INDEX(Produtos!$L$5:$L$104,MATCH(D359,Produtos!$B$5:$B$104,0))),0),F359))</f>
        <v/>
      </c>
      <c r="H359" s="27" t="str">
        <f aca="false">IF(G359="","",IF(N(E359)=0,1,E359)*IFERROR(N(INDEX(Produtos!$G$5:$G$104,MATCH(D359,Produtos!$B$5:$B$104,0))),0))</f>
        <v/>
      </c>
      <c r="I359" s="27" t="str">
        <f aca="false">IF(G359="","",G359-H359)</f>
        <v/>
      </c>
      <c r="J359" s="42"/>
    </row>
    <row r="360" customFormat="false" ht="21" hidden="false" customHeight="true" outlineLevel="0" collapsed="false">
      <c r="B360" s="41"/>
      <c r="C360" s="9"/>
      <c r="D360" s="9"/>
      <c r="E360" s="42"/>
      <c r="F360" s="43"/>
      <c r="G360" s="27" t="str">
        <f aca="false">IF(OR(C360="",AND(D360="",F360="")),"",IF(N(E360)=0,1,E360)*IF(F360="",IFERROR(N(INDEX(Produtos!$L$5:$L$104,MATCH(D360,Produtos!$B$5:$B$104,0))),0),F360))</f>
        <v/>
      </c>
      <c r="H360" s="27" t="str">
        <f aca="false">IF(G360="","",IF(N(E360)=0,1,E360)*IFERROR(N(INDEX(Produtos!$G$5:$G$104,MATCH(D360,Produtos!$B$5:$B$104,0))),0))</f>
        <v/>
      </c>
      <c r="I360" s="27" t="str">
        <f aca="false">IF(G360="","",G360-H360)</f>
        <v/>
      </c>
      <c r="J360" s="42"/>
    </row>
    <row r="361" customFormat="false" ht="21" hidden="false" customHeight="true" outlineLevel="0" collapsed="false">
      <c r="B361" s="41"/>
      <c r="C361" s="9"/>
      <c r="D361" s="9"/>
      <c r="E361" s="42"/>
      <c r="F361" s="43"/>
      <c r="G361" s="27" t="str">
        <f aca="false">IF(OR(C361="",AND(D361="",F361="")),"",IF(N(E361)=0,1,E361)*IF(F361="",IFERROR(N(INDEX(Produtos!$L$5:$L$104,MATCH(D361,Produtos!$B$5:$B$104,0))),0),F361))</f>
        <v/>
      </c>
      <c r="H361" s="27" t="str">
        <f aca="false">IF(G361="","",IF(N(E361)=0,1,E361)*IFERROR(N(INDEX(Produtos!$G$5:$G$104,MATCH(D361,Produtos!$B$5:$B$104,0))),0))</f>
        <v/>
      </c>
      <c r="I361" s="27" t="str">
        <f aca="false">IF(G361="","",G361-H361)</f>
        <v/>
      </c>
      <c r="J361" s="42"/>
    </row>
    <row r="362" customFormat="false" ht="21" hidden="false" customHeight="true" outlineLevel="0" collapsed="false">
      <c r="B362" s="41"/>
      <c r="C362" s="9"/>
      <c r="D362" s="9"/>
      <c r="E362" s="42"/>
      <c r="F362" s="43"/>
      <c r="G362" s="27" t="str">
        <f aca="false">IF(OR(C362="",AND(D362="",F362="")),"",IF(N(E362)=0,1,E362)*IF(F362="",IFERROR(N(INDEX(Produtos!$L$5:$L$104,MATCH(D362,Produtos!$B$5:$B$104,0))),0),F362))</f>
        <v/>
      </c>
      <c r="H362" s="27" t="str">
        <f aca="false">IF(G362="","",IF(N(E362)=0,1,E362)*IFERROR(N(INDEX(Produtos!$G$5:$G$104,MATCH(D362,Produtos!$B$5:$B$104,0))),0))</f>
        <v/>
      </c>
      <c r="I362" s="27" t="str">
        <f aca="false">IF(G362="","",G362-H362)</f>
        <v/>
      </c>
      <c r="J362" s="42"/>
    </row>
    <row r="363" customFormat="false" ht="21" hidden="false" customHeight="true" outlineLevel="0" collapsed="false">
      <c r="B363" s="41"/>
      <c r="C363" s="9"/>
      <c r="D363" s="9"/>
      <c r="E363" s="42"/>
      <c r="F363" s="43"/>
      <c r="G363" s="27" t="str">
        <f aca="false">IF(OR(C363="",AND(D363="",F363="")),"",IF(N(E363)=0,1,E363)*IF(F363="",IFERROR(N(INDEX(Produtos!$L$5:$L$104,MATCH(D363,Produtos!$B$5:$B$104,0))),0),F363))</f>
        <v/>
      </c>
      <c r="H363" s="27" t="str">
        <f aca="false">IF(G363="","",IF(N(E363)=0,1,E363)*IFERROR(N(INDEX(Produtos!$G$5:$G$104,MATCH(D363,Produtos!$B$5:$B$104,0))),0))</f>
        <v/>
      </c>
      <c r="I363" s="27" t="str">
        <f aca="false">IF(G363="","",G363-H363)</f>
        <v/>
      </c>
      <c r="J363" s="42"/>
    </row>
    <row r="364" customFormat="false" ht="21" hidden="false" customHeight="true" outlineLevel="0" collapsed="false">
      <c r="B364" s="41"/>
      <c r="C364" s="9"/>
      <c r="D364" s="9"/>
      <c r="E364" s="42"/>
      <c r="F364" s="43"/>
      <c r="G364" s="27" t="str">
        <f aca="false">IF(OR(C364="",AND(D364="",F364="")),"",IF(N(E364)=0,1,E364)*IF(F364="",IFERROR(N(INDEX(Produtos!$L$5:$L$104,MATCH(D364,Produtos!$B$5:$B$104,0))),0),F364))</f>
        <v/>
      </c>
      <c r="H364" s="27" t="str">
        <f aca="false">IF(G364="","",IF(N(E364)=0,1,E364)*IFERROR(N(INDEX(Produtos!$G$5:$G$104,MATCH(D364,Produtos!$B$5:$B$104,0))),0))</f>
        <v/>
      </c>
      <c r="I364" s="27" t="str">
        <f aca="false">IF(G364="","",G364-H364)</f>
        <v/>
      </c>
      <c r="J364" s="42"/>
    </row>
    <row r="365" customFormat="false" ht="21" hidden="false" customHeight="true" outlineLevel="0" collapsed="false">
      <c r="B365" s="41"/>
      <c r="C365" s="9"/>
      <c r="D365" s="9"/>
      <c r="E365" s="42"/>
      <c r="F365" s="43"/>
      <c r="G365" s="27" t="str">
        <f aca="false">IF(OR(C365="",AND(D365="",F365="")),"",IF(N(E365)=0,1,E365)*IF(F365="",IFERROR(N(INDEX(Produtos!$L$5:$L$104,MATCH(D365,Produtos!$B$5:$B$104,0))),0),F365))</f>
        <v/>
      </c>
      <c r="H365" s="27" t="str">
        <f aca="false">IF(G365="","",IF(N(E365)=0,1,E365)*IFERROR(N(INDEX(Produtos!$G$5:$G$104,MATCH(D365,Produtos!$B$5:$B$104,0))),0))</f>
        <v/>
      </c>
      <c r="I365" s="27" t="str">
        <f aca="false">IF(G365="","",G365-H365)</f>
        <v/>
      </c>
      <c r="J365" s="42"/>
    </row>
    <row r="366" customFormat="false" ht="21" hidden="false" customHeight="true" outlineLevel="0" collapsed="false">
      <c r="B366" s="41"/>
      <c r="C366" s="9"/>
      <c r="D366" s="9"/>
      <c r="E366" s="42"/>
      <c r="F366" s="43"/>
      <c r="G366" s="27" t="str">
        <f aca="false">IF(OR(C366="",AND(D366="",F366="")),"",IF(N(E366)=0,1,E366)*IF(F366="",IFERROR(N(INDEX(Produtos!$L$5:$L$104,MATCH(D366,Produtos!$B$5:$B$104,0))),0),F366))</f>
        <v/>
      </c>
      <c r="H366" s="27" t="str">
        <f aca="false">IF(G366="","",IF(N(E366)=0,1,E366)*IFERROR(N(INDEX(Produtos!$G$5:$G$104,MATCH(D366,Produtos!$B$5:$B$104,0))),0))</f>
        <v/>
      </c>
      <c r="I366" s="27" t="str">
        <f aca="false">IF(G366="","",G366-H366)</f>
        <v/>
      </c>
      <c r="J366" s="42"/>
    </row>
    <row r="367" customFormat="false" ht="21" hidden="false" customHeight="true" outlineLevel="0" collapsed="false">
      <c r="B367" s="41"/>
      <c r="C367" s="9"/>
      <c r="D367" s="9"/>
      <c r="E367" s="42"/>
      <c r="F367" s="43"/>
      <c r="G367" s="27" t="str">
        <f aca="false">IF(OR(C367="",AND(D367="",F367="")),"",IF(N(E367)=0,1,E367)*IF(F367="",IFERROR(N(INDEX(Produtos!$L$5:$L$104,MATCH(D367,Produtos!$B$5:$B$104,0))),0),F367))</f>
        <v/>
      </c>
      <c r="H367" s="27" t="str">
        <f aca="false">IF(G367="","",IF(N(E367)=0,1,E367)*IFERROR(N(INDEX(Produtos!$G$5:$G$104,MATCH(D367,Produtos!$B$5:$B$104,0))),0))</f>
        <v/>
      </c>
      <c r="I367" s="27" t="str">
        <f aca="false">IF(G367="","",G367-H367)</f>
        <v/>
      </c>
      <c r="J367" s="42"/>
    </row>
    <row r="368" customFormat="false" ht="21" hidden="false" customHeight="true" outlineLevel="0" collapsed="false">
      <c r="B368" s="41"/>
      <c r="C368" s="9"/>
      <c r="D368" s="9"/>
      <c r="E368" s="42"/>
      <c r="F368" s="43"/>
      <c r="G368" s="27" t="str">
        <f aca="false">IF(OR(C368="",AND(D368="",F368="")),"",IF(N(E368)=0,1,E368)*IF(F368="",IFERROR(N(INDEX(Produtos!$L$5:$L$104,MATCH(D368,Produtos!$B$5:$B$104,0))),0),F368))</f>
        <v/>
      </c>
      <c r="H368" s="27" t="str">
        <f aca="false">IF(G368="","",IF(N(E368)=0,1,E368)*IFERROR(N(INDEX(Produtos!$G$5:$G$104,MATCH(D368,Produtos!$B$5:$B$104,0))),0))</f>
        <v/>
      </c>
      <c r="I368" s="27" t="str">
        <f aca="false">IF(G368="","",G368-H368)</f>
        <v/>
      </c>
      <c r="J368" s="42"/>
    </row>
    <row r="369" customFormat="false" ht="21" hidden="false" customHeight="true" outlineLevel="0" collapsed="false">
      <c r="B369" s="41"/>
      <c r="C369" s="9"/>
      <c r="D369" s="9"/>
      <c r="E369" s="42"/>
      <c r="F369" s="43"/>
      <c r="G369" s="27" t="str">
        <f aca="false">IF(OR(C369="",AND(D369="",F369="")),"",IF(N(E369)=0,1,E369)*IF(F369="",IFERROR(N(INDEX(Produtos!$L$5:$L$104,MATCH(D369,Produtos!$B$5:$B$104,0))),0),F369))</f>
        <v/>
      </c>
      <c r="H369" s="27" t="str">
        <f aca="false">IF(G369="","",IF(N(E369)=0,1,E369)*IFERROR(N(INDEX(Produtos!$G$5:$G$104,MATCH(D369,Produtos!$B$5:$B$104,0))),0))</f>
        <v/>
      </c>
      <c r="I369" s="27" t="str">
        <f aca="false">IF(G369="","",G369-H369)</f>
        <v/>
      </c>
      <c r="J369" s="42"/>
    </row>
    <row r="370" customFormat="false" ht="21" hidden="false" customHeight="true" outlineLevel="0" collapsed="false">
      <c r="B370" s="41"/>
      <c r="C370" s="9"/>
      <c r="D370" s="9"/>
      <c r="E370" s="42"/>
      <c r="F370" s="43"/>
      <c r="G370" s="27" t="str">
        <f aca="false">IF(OR(C370="",AND(D370="",F370="")),"",IF(N(E370)=0,1,E370)*IF(F370="",IFERROR(N(INDEX(Produtos!$L$5:$L$104,MATCH(D370,Produtos!$B$5:$B$104,0))),0),F370))</f>
        <v/>
      </c>
      <c r="H370" s="27" t="str">
        <f aca="false">IF(G370="","",IF(N(E370)=0,1,E370)*IFERROR(N(INDEX(Produtos!$G$5:$G$104,MATCH(D370,Produtos!$B$5:$B$104,0))),0))</f>
        <v/>
      </c>
      <c r="I370" s="27" t="str">
        <f aca="false">IF(G370="","",G370-H370)</f>
        <v/>
      </c>
      <c r="J370" s="42"/>
    </row>
    <row r="371" customFormat="false" ht="21" hidden="false" customHeight="true" outlineLevel="0" collapsed="false">
      <c r="B371" s="41"/>
      <c r="C371" s="9"/>
      <c r="D371" s="9"/>
      <c r="E371" s="42"/>
      <c r="F371" s="43"/>
      <c r="G371" s="27" t="str">
        <f aca="false">IF(OR(C371="",AND(D371="",F371="")),"",IF(N(E371)=0,1,E371)*IF(F371="",IFERROR(N(INDEX(Produtos!$L$5:$L$104,MATCH(D371,Produtos!$B$5:$B$104,0))),0),F371))</f>
        <v/>
      </c>
      <c r="H371" s="27" t="str">
        <f aca="false">IF(G371="","",IF(N(E371)=0,1,E371)*IFERROR(N(INDEX(Produtos!$G$5:$G$104,MATCH(D371,Produtos!$B$5:$B$104,0))),0))</f>
        <v/>
      </c>
      <c r="I371" s="27" t="str">
        <f aca="false">IF(G371="","",G371-H371)</f>
        <v/>
      </c>
      <c r="J371" s="42"/>
    </row>
    <row r="372" customFormat="false" ht="21" hidden="false" customHeight="true" outlineLevel="0" collapsed="false">
      <c r="B372" s="41"/>
      <c r="C372" s="9"/>
      <c r="D372" s="9"/>
      <c r="E372" s="42"/>
      <c r="F372" s="43"/>
      <c r="G372" s="27" t="str">
        <f aca="false">IF(OR(C372="",AND(D372="",F372="")),"",IF(N(E372)=0,1,E372)*IF(F372="",IFERROR(N(INDEX(Produtos!$L$5:$L$104,MATCH(D372,Produtos!$B$5:$B$104,0))),0),F372))</f>
        <v/>
      </c>
      <c r="H372" s="27" t="str">
        <f aca="false">IF(G372="","",IF(N(E372)=0,1,E372)*IFERROR(N(INDEX(Produtos!$G$5:$G$104,MATCH(D372,Produtos!$B$5:$B$104,0))),0))</f>
        <v/>
      </c>
      <c r="I372" s="27" t="str">
        <f aca="false">IF(G372="","",G372-H372)</f>
        <v/>
      </c>
      <c r="J372" s="42"/>
    </row>
    <row r="373" customFormat="false" ht="21" hidden="false" customHeight="true" outlineLevel="0" collapsed="false">
      <c r="B373" s="41"/>
      <c r="C373" s="9"/>
      <c r="D373" s="9"/>
      <c r="E373" s="42"/>
      <c r="F373" s="43"/>
      <c r="G373" s="27" t="str">
        <f aca="false">IF(OR(C373="",AND(D373="",F373="")),"",IF(N(E373)=0,1,E373)*IF(F373="",IFERROR(N(INDEX(Produtos!$L$5:$L$104,MATCH(D373,Produtos!$B$5:$B$104,0))),0),F373))</f>
        <v/>
      </c>
      <c r="H373" s="27" t="str">
        <f aca="false">IF(G373="","",IF(N(E373)=0,1,E373)*IFERROR(N(INDEX(Produtos!$G$5:$G$104,MATCH(D373,Produtos!$B$5:$B$104,0))),0))</f>
        <v/>
      </c>
      <c r="I373" s="27" t="str">
        <f aca="false">IF(G373="","",G373-H373)</f>
        <v/>
      </c>
      <c r="J373" s="42"/>
    </row>
    <row r="374" customFormat="false" ht="21" hidden="false" customHeight="true" outlineLevel="0" collapsed="false">
      <c r="B374" s="41"/>
      <c r="C374" s="9"/>
      <c r="D374" s="9"/>
      <c r="E374" s="42"/>
      <c r="F374" s="43"/>
      <c r="G374" s="27" t="str">
        <f aca="false">IF(OR(C374="",AND(D374="",F374="")),"",IF(N(E374)=0,1,E374)*IF(F374="",IFERROR(N(INDEX(Produtos!$L$5:$L$104,MATCH(D374,Produtos!$B$5:$B$104,0))),0),F374))</f>
        <v/>
      </c>
      <c r="H374" s="27" t="str">
        <f aca="false">IF(G374="","",IF(N(E374)=0,1,E374)*IFERROR(N(INDEX(Produtos!$G$5:$G$104,MATCH(D374,Produtos!$B$5:$B$104,0))),0))</f>
        <v/>
      </c>
      <c r="I374" s="27" t="str">
        <f aca="false">IF(G374="","",G374-H374)</f>
        <v/>
      </c>
      <c r="J374" s="42"/>
    </row>
    <row r="375" customFormat="false" ht="21" hidden="false" customHeight="true" outlineLevel="0" collapsed="false">
      <c r="B375" s="41"/>
      <c r="C375" s="9"/>
      <c r="D375" s="9"/>
      <c r="E375" s="42"/>
      <c r="F375" s="43"/>
      <c r="G375" s="27" t="str">
        <f aca="false">IF(OR(C375="",AND(D375="",F375="")),"",IF(N(E375)=0,1,E375)*IF(F375="",IFERROR(N(INDEX(Produtos!$L$5:$L$104,MATCH(D375,Produtos!$B$5:$B$104,0))),0),F375))</f>
        <v/>
      </c>
      <c r="H375" s="27" t="str">
        <f aca="false">IF(G375="","",IF(N(E375)=0,1,E375)*IFERROR(N(INDEX(Produtos!$G$5:$G$104,MATCH(D375,Produtos!$B$5:$B$104,0))),0))</f>
        <v/>
      </c>
      <c r="I375" s="27" t="str">
        <f aca="false">IF(G375="","",G375-H375)</f>
        <v/>
      </c>
      <c r="J375" s="42"/>
    </row>
    <row r="376" customFormat="false" ht="21" hidden="false" customHeight="true" outlineLevel="0" collapsed="false">
      <c r="B376" s="41"/>
      <c r="C376" s="9"/>
      <c r="D376" s="9"/>
      <c r="E376" s="42"/>
      <c r="F376" s="43"/>
      <c r="G376" s="27" t="str">
        <f aca="false">IF(OR(C376="",AND(D376="",F376="")),"",IF(N(E376)=0,1,E376)*IF(F376="",IFERROR(N(INDEX(Produtos!$L$5:$L$104,MATCH(D376,Produtos!$B$5:$B$104,0))),0),F376))</f>
        <v/>
      </c>
      <c r="H376" s="27" t="str">
        <f aca="false">IF(G376="","",IF(N(E376)=0,1,E376)*IFERROR(N(INDEX(Produtos!$G$5:$G$104,MATCH(D376,Produtos!$B$5:$B$104,0))),0))</f>
        <v/>
      </c>
      <c r="I376" s="27" t="str">
        <f aca="false">IF(G376="","",G376-H376)</f>
        <v/>
      </c>
      <c r="J376" s="42"/>
    </row>
    <row r="377" customFormat="false" ht="21" hidden="false" customHeight="true" outlineLevel="0" collapsed="false">
      <c r="B377" s="41"/>
      <c r="C377" s="9"/>
      <c r="D377" s="9"/>
      <c r="E377" s="42"/>
      <c r="F377" s="43"/>
      <c r="G377" s="27" t="str">
        <f aca="false">IF(OR(C377="",AND(D377="",F377="")),"",IF(N(E377)=0,1,E377)*IF(F377="",IFERROR(N(INDEX(Produtos!$L$5:$L$104,MATCH(D377,Produtos!$B$5:$B$104,0))),0),F377))</f>
        <v/>
      </c>
      <c r="H377" s="27" t="str">
        <f aca="false">IF(G377="","",IF(N(E377)=0,1,E377)*IFERROR(N(INDEX(Produtos!$G$5:$G$104,MATCH(D377,Produtos!$B$5:$B$104,0))),0))</f>
        <v/>
      </c>
      <c r="I377" s="27" t="str">
        <f aca="false">IF(G377="","",G377-H377)</f>
        <v/>
      </c>
      <c r="J377" s="42"/>
    </row>
    <row r="378" customFormat="false" ht="21" hidden="false" customHeight="true" outlineLevel="0" collapsed="false">
      <c r="B378" s="41"/>
      <c r="C378" s="9"/>
      <c r="D378" s="9"/>
      <c r="E378" s="42"/>
      <c r="F378" s="43"/>
      <c r="G378" s="27" t="str">
        <f aca="false">IF(OR(C378="",AND(D378="",F378="")),"",IF(N(E378)=0,1,E378)*IF(F378="",IFERROR(N(INDEX(Produtos!$L$5:$L$104,MATCH(D378,Produtos!$B$5:$B$104,0))),0),F378))</f>
        <v/>
      </c>
      <c r="H378" s="27" t="str">
        <f aca="false">IF(G378="","",IF(N(E378)=0,1,E378)*IFERROR(N(INDEX(Produtos!$G$5:$G$104,MATCH(D378,Produtos!$B$5:$B$104,0))),0))</f>
        <v/>
      </c>
      <c r="I378" s="27" t="str">
        <f aca="false">IF(G378="","",G378-H378)</f>
        <v/>
      </c>
      <c r="J378" s="42"/>
    </row>
    <row r="379" customFormat="false" ht="21" hidden="false" customHeight="true" outlineLevel="0" collapsed="false">
      <c r="B379" s="41"/>
      <c r="C379" s="9"/>
      <c r="D379" s="9"/>
      <c r="E379" s="42"/>
      <c r="F379" s="43"/>
      <c r="G379" s="27" t="str">
        <f aca="false">IF(OR(C379="",AND(D379="",F379="")),"",IF(N(E379)=0,1,E379)*IF(F379="",IFERROR(N(INDEX(Produtos!$L$5:$L$104,MATCH(D379,Produtos!$B$5:$B$104,0))),0),F379))</f>
        <v/>
      </c>
      <c r="H379" s="27" t="str">
        <f aca="false">IF(G379="","",IF(N(E379)=0,1,E379)*IFERROR(N(INDEX(Produtos!$G$5:$G$104,MATCH(D379,Produtos!$B$5:$B$104,0))),0))</f>
        <v/>
      </c>
      <c r="I379" s="27" t="str">
        <f aca="false">IF(G379="","",G379-H379)</f>
        <v/>
      </c>
      <c r="J379" s="42"/>
    </row>
    <row r="380" customFormat="false" ht="21" hidden="false" customHeight="true" outlineLevel="0" collapsed="false">
      <c r="B380" s="41"/>
      <c r="C380" s="9"/>
      <c r="D380" s="9"/>
      <c r="E380" s="42"/>
      <c r="F380" s="43"/>
      <c r="G380" s="27" t="str">
        <f aca="false">IF(OR(C380="",AND(D380="",F380="")),"",IF(N(E380)=0,1,E380)*IF(F380="",IFERROR(N(INDEX(Produtos!$L$5:$L$104,MATCH(D380,Produtos!$B$5:$B$104,0))),0),F380))</f>
        <v/>
      </c>
      <c r="H380" s="27" t="str">
        <f aca="false">IF(G380="","",IF(N(E380)=0,1,E380)*IFERROR(N(INDEX(Produtos!$G$5:$G$104,MATCH(D380,Produtos!$B$5:$B$104,0))),0))</f>
        <v/>
      </c>
      <c r="I380" s="27" t="str">
        <f aca="false">IF(G380="","",G380-H380)</f>
        <v/>
      </c>
      <c r="J380" s="42"/>
    </row>
    <row r="381" customFormat="false" ht="21" hidden="false" customHeight="true" outlineLevel="0" collapsed="false">
      <c r="B381" s="41"/>
      <c r="C381" s="9"/>
      <c r="D381" s="9"/>
      <c r="E381" s="42"/>
      <c r="F381" s="43"/>
      <c r="G381" s="27" t="str">
        <f aca="false">IF(OR(C381="",AND(D381="",F381="")),"",IF(N(E381)=0,1,E381)*IF(F381="",IFERROR(N(INDEX(Produtos!$L$5:$L$104,MATCH(D381,Produtos!$B$5:$B$104,0))),0),F381))</f>
        <v/>
      </c>
      <c r="H381" s="27" t="str">
        <f aca="false">IF(G381="","",IF(N(E381)=0,1,E381)*IFERROR(N(INDEX(Produtos!$G$5:$G$104,MATCH(D381,Produtos!$B$5:$B$104,0))),0))</f>
        <v/>
      </c>
      <c r="I381" s="27" t="str">
        <f aca="false">IF(G381="","",G381-H381)</f>
        <v/>
      </c>
      <c r="J381" s="42"/>
    </row>
    <row r="382" customFormat="false" ht="21" hidden="false" customHeight="true" outlineLevel="0" collapsed="false">
      <c r="B382" s="41"/>
      <c r="C382" s="9"/>
      <c r="D382" s="9"/>
      <c r="E382" s="42"/>
      <c r="F382" s="43"/>
      <c r="G382" s="27" t="str">
        <f aca="false">IF(OR(C382="",AND(D382="",F382="")),"",IF(N(E382)=0,1,E382)*IF(F382="",IFERROR(N(INDEX(Produtos!$L$5:$L$104,MATCH(D382,Produtos!$B$5:$B$104,0))),0),F382))</f>
        <v/>
      </c>
      <c r="H382" s="27" t="str">
        <f aca="false">IF(G382="","",IF(N(E382)=0,1,E382)*IFERROR(N(INDEX(Produtos!$G$5:$G$104,MATCH(D382,Produtos!$B$5:$B$104,0))),0))</f>
        <v/>
      </c>
      <c r="I382" s="27" t="str">
        <f aca="false">IF(G382="","",G382-H382)</f>
        <v/>
      </c>
      <c r="J382" s="42"/>
    </row>
    <row r="383" customFormat="false" ht="21" hidden="false" customHeight="true" outlineLevel="0" collapsed="false">
      <c r="B383" s="41"/>
      <c r="C383" s="9"/>
      <c r="D383" s="9"/>
      <c r="E383" s="42"/>
      <c r="F383" s="43"/>
      <c r="G383" s="27" t="str">
        <f aca="false">IF(OR(C383="",AND(D383="",F383="")),"",IF(N(E383)=0,1,E383)*IF(F383="",IFERROR(N(INDEX(Produtos!$L$5:$L$104,MATCH(D383,Produtos!$B$5:$B$104,0))),0),F383))</f>
        <v/>
      </c>
      <c r="H383" s="27" t="str">
        <f aca="false">IF(G383="","",IF(N(E383)=0,1,E383)*IFERROR(N(INDEX(Produtos!$G$5:$G$104,MATCH(D383,Produtos!$B$5:$B$104,0))),0))</f>
        <v/>
      </c>
      <c r="I383" s="27" t="str">
        <f aca="false">IF(G383="","",G383-H383)</f>
        <v/>
      </c>
      <c r="J383" s="42"/>
    </row>
    <row r="384" customFormat="false" ht="21" hidden="false" customHeight="true" outlineLevel="0" collapsed="false">
      <c r="B384" s="41"/>
      <c r="C384" s="9"/>
      <c r="D384" s="9"/>
      <c r="E384" s="42"/>
      <c r="F384" s="43"/>
      <c r="G384" s="27" t="str">
        <f aca="false">IF(OR(C384="",AND(D384="",F384="")),"",IF(N(E384)=0,1,E384)*IF(F384="",IFERROR(N(INDEX(Produtos!$L$5:$L$104,MATCH(D384,Produtos!$B$5:$B$104,0))),0),F384))</f>
        <v/>
      </c>
      <c r="H384" s="27" t="str">
        <f aca="false">IF(G384="","",IF(N(E384)=0,1,E384)*IFERROR(N(INDEX(Produtos!$G$5:$G$104,MATCH(D384,Produtos!$B$5:$B$104,0))),0))</f>
        <v/>
      </c>
      <c r="I384" s="27" t="str">
        <f aca="false">IF(G384="","",G384-H384)</f>
        <v/>
      </c>
      <c r="J384" s="42"/>
    </row>
    <row r="385" customFormat="false" ht="21" hidden="false" customHeight="true" outlineLevel="0" collapsed="false">
      <c r="B385" s="41"/>
      <c r="C385" s="9"/>
      <c r="D385" s="9"/>
      <c r="E385" s="42"/>
      <c r="F385" s="43"/>
      <c r="G385" s="27" t="str">
        <f aca="false">IF(OR(C385="",AND(D385="",F385="")),"",IF(N(E385)=0,1,E385)*IF(F385="",IFERROR(N(INDEX(Produtos!$L$5:$L$104,MATCH(D385,Produtos!$B$5:$B$104,0))),0),F385))</f>
        <v/>
      </c>
      <c r="H385" s="27" t="str">
        <f aca="false">IF(G385="","",IF(N(E385)=0,1,E385)*IFERROR(N(INDEX(Produtos!$G$5:$G$104,MATCH(D385,Produtos!$B$5:$B$104,0))),0))</f>
        <v/>
      </c>
      <c r="I385" s="27" t="str">
        <f aca="false">IF(G385="","",G385-H385)</f>
        <v/>
      </c>
      <c r="J385" s="42"/>
    </row>
    <row r="386" customFormat="false" ht="21" hidden="false" customHeight="true" outlineLevel="0" collapsed="false">
      <c r="B386" s="41"/>
      <c r="C386" s="9"/>
      <c r="D386" s="9"/>
      <c r="E386" s="42"/>
      <c r="F386" s="43"/>
      <c r="G386" s="27" t="str">
        <f aca="false">IF(OR(C386="",AND(D386="",F386="")),"",IF(N(E386)=0,1,E386)*IF(F386="",IFERROR(N(INDEX(Produtos!$L$5:$L$104,MATCH(D386,Produtos!$B$5:$B$104,0))),0),F386))</f>
        <v/>
      </c>
      <c r="H386" s="27" t="str">
        <f aca="false">IF(G386="","",IF(N(E386)=0,1,E386)*IFERROR(N(INDEX(Produtos!$G$5:$G$104,MATCH(D386,Produtos!$B$5:$B$104,0))),0))</f>
        <v/>
      </c>
      <c r="I386" s="27" t="str">
        <f aca="false">IF(G386="","",G386-H386)</f>
        <v/>
      </c>
      <c r="J386" s="42"/>
    </row>
    <row r="387" customFormat="false" ht="21" hidden="false" customHeight="true" outlineLevel="0" collapsed="false">
      <c r="B387" s="41"/>
      <c r="C387" s="9"/>
      <c r="D387" s="9"/>
      <c r="E387" s="42"/>
      <c r="F387" s="43"/>
      <c r="G387" s="27" t="str">
        <f aca="false">IF(OR(C387="",AND(D387="",F387="")),"",IF(N(E387)=0,1,E387)*IF(F387="",IFERROR(N(INDEX(Produtos!$L$5:$L$104,MATCH(D387,Produtos!$B$5:$B$104,0))),0),F387))</f>
        <v/>
      </c>
      <c r="H387" s="27" t="str">
        <f aca="false">IF(G387="","",IF(N(E387)=0,1,E387)*IFERROR(N(INDEX(Produtos!$G$5:$G$104,MATCH(D387,Produtos!$B$5:$B$104,0))),0))</f>
        <v/>
      </c>
      <c r="I387" s="27" t="str">
        <f aca="false">IF(G387="","",G387-H387)</f>
        <v/>
      </c>
      <c r="J387" s="42"/>
    </row>
    <row r="388" customFormat="false" ht="21" hidden="false" customHeight="true" outlineLevel="0" collapsed="false">
      <c r="B388" s="41"/>
      <c r="C388" s="9"/>
      <c r="D388" s="9"/>
      <c r="E388" s="42"/>
      <c r="F388" s="43"/>
      <c r="G388" s="27" t="str">
        <f aca="false">IF(OR(C388="",AND(D388="",F388="")),"",IF(N(E388)=0,1,E388)*IF(F388="",IFERROR(N(INDEX(Produtos!$L$5:$L$104,MATCH(D388,Produtos!$B$5:$B$104,0))),0),F388))</f>
        <v/>
      </c>
      <c r="H388" s="27" t="str">
        <f aca="false">IF(G388="","",IF(N(E388)=0,1,E388)*IFERROR(N(INDEX(Produtos!$G$5:$G$104,MATCH(D388,Produtos!$B$5:$B$104,0))),0))</f>
        <v/>
      </c>
      <c r="I388" s="27" t="str">
        <f aca="false">IF(G388="","",G388-H388)</f>
        <v/>
      </c>
      <c r="J388" s="42"/>
    </row>
    <row r="389" customFormat="false" ht="21" hidden="false" customHeight="true" outlineLevel="0" collapsed="false">
      <c r="B389" s="41"/>
      <c r="C389" s="9"/>
      <c r="D389" s="9"/>
      <c r="E389" s="42"/>
      <c r="F389" s="43"/>
      <c r="G389" s="27" t="str">
        <f aca="false">IF(OR(C389="",AND(D389="",F389="")),"",IF(N(E389)=0,1,E389)*IF(F389="",IFERROR(N(INDEX(Produtos!$L$5:$L$104,MATCH(D389,Produtos!$B$5:$B$104,0))),0),F389))</f>
        <v/>
      </c>
      <c r="H389" s="27" t="str">
        <f aca="false">IF(G389="","",IF(N(E389)=0,1,E389)*IFERROR(N(INDEX(Produtos!$G$5:$G$104,MATCH(D389,Produtos!$B$5:$B$104,0))),0))</f>
        <v/>
      </c>
      <c r="I389" s="27" t="str">
        <f aca="false">IF(G389="","",G389-H389)</f>
        <v/>
      </c>
      <c r="J389" s="42"/>
    </row>
    <row r="390" customFormat="false" ht="21" hidden="false" customHeight="true" outlineLevel="0" collapsed="false">
      <c r="B390" s="41"/>
      <c r="C390" s="9"/>
      <c r="D390" s="9"/>
      <c r="E390" s="42"/>
      <c r="F390" s="43"/>
      <c r="G390" s="27" t="str">
        <f aca="false">IF(OR(C390="",AND(D390="",F390="")),"",IF(N(E390)=0,1,E390)*IF(F390="",IFERROR(N(INDEX(Produtos!$L$5:$L$104,MATCH(D390,Produtos!$B$5:$B$104,0))),0),F390))</f>
        <v/>
      </c>
      <c r="H390" s="27" t="str">
        <f aca="false">IF(G390="","",IF(N(E390)=0,1,E390)*IFERROR(N(INDEX(Produtos!$G$5:$G$104,MATCH(D390,Produtos!$B$5:$B$104,0))),0))</f>
        <v/>
      </c>
      <c r="I390" s="27" t="str">
        <f aca="false">IF(G390="","",G390-H390)</f>
        <v/>
      </c>
      <c r="J390" s="42"/>
    </row>
    <row r="391" customFormat="false" ht="21" hidden="false" customHeight="true" outlineLevel="0" collapsed="false">
      <c r="B391" s="41"/>
      <c r="C391" s="9"/>
      <c r="D391" s="9"/>
      <c r="E391" s="42"/>
      <c r="F391" s="43"/>
      <c r="G391" s="27" t="str">
        <f aca="false">IF(OR(C391="",AND(D391="",F391="")),"",IF(N(E391)=0,1,E391)*IF(F391="",IFERROR(N(INDEX(Produtos!$L$5:$L$104,MATCH(D391,Produtos!$B$5:$B$104,0))),0),F391))</f>
        <v/>
      </c>
      <c r="H391" s="27" t="str">
        <f aca="false">IF(G391="","",IF(N(E391)=0,1,E391)*IFERROR(N(INDEX(Produtos!$G$5:$G$104,MATCH(D391,Produtos!$B$5:$B$104,0))),0))</f>
        <v/>
      </c>
      <c r="I391" s="27" t="str">
        <f aca="false">IF(G391="","",G391-H391)</f>
        <v/>
      </c>
      <c r="J391" s="42"/>
    </row>
    <row r="392" customFormat="false" ht="21" hidden="false" customHeight="true" outlineLevel="0" collapsed="false">
      <c r="B392" s="41"/>
      <c r="C392" s="9"/>
      <c r="D392" s="9"/>
      <c r="E392" s="42"/>
      <c r="F392" s="43"/>
      <c r="G392" s="27" t="str">
        <f aca="false">IF(OR(C392="",AND(D392="",F392="")),"",IF(N(E392)=0,1,E392)*IF(F392="",IFERROR(N(INDEX(Produtos!$L$5:$L$104,MATCH(D392,Produtos!$B$5:$B$104,0))),0),F392))</f>
        <v/>
      </c>
      <c r="H392" s="27" t="str">
        <f aca="false">IF(G392="","",IF(N(E392)=0,1,E392)*IFERROR(N(INDEX(Produtos!$G$5:$G$104,MATCH(D392,Produtos!$B$5:$B$104,0))),0))</f>
        <v/>
      </c>
      <c r="I392" s="27" t="str">
        <f aca="false">IF(G392="","",G392-H392)</f>
        <v/>
      </c>
      <c r="J392" s="42"/>
    </row>
    <row r="393" customFormat="false" ht="21" hidden="false" customHeight="true" outlineLevel="0" collapsed="false">
      <c r="B393" s="41"/>
      <c r="C393" s="9"/>
      <c r="D393" s="9"/>
      <c r="E393" s="42"/>
      <c r="F393" s="43"/>
      <c r="G393" s="27" t="str">
        <f aca="false">IF(OR(C393="",AND(D393="",F393="")),"",IF(N(E393)=0,1,E393)*IF(F393="",IFERROR(N(INDEX(Produtos!$L$5:$L$104,MATCH(D393,Produtos!$B$5:$B$104,0))),0),F393))</f>
        <v/>
      </c>
      <c r="H393" s="27" t="str">
        <f aca="false">IF(G393="","",IF(N(E393)=0,1,E393)*IFERROR(N(INDEX(Produtos!$G$5:$G$104,MATCH(D393,Produtos!$B$5:$B$104,0))),0))</f>
        <v/>
      </c>
      <c r="I393" s="27" t="str">
        <f aca="false">IF(G393="","",G393-H393)</f>
        <v/>
      </c>
      <c r="J393" s="42"/>
    </row>
    <row r="394" customFormat="false" ht="21" hidden="false" customHeight="true" outlineLevel="0" collapsed="false">
      <c r="B394" s="41"/>
      <c r="C394" s="9"/>
      <c r="D394" s="9"/>
      <c r="E394" s="42"/>
      <c r="F394" s="43"/>
      <c r="G394" s="27" t="str">
        <f aca="false">IF(OR(C394="",AND(D394="",F394="")),"",IF(N(E394)=0,1,E394)*IF(F394="",IFERROR(N(INDEX(Produtos!$L$5:$L$104,MATCH(D394,Produtos!$B$5:$B$104,0))),0),F394))</f>
        <v/>
      </c>
      <c r="H394" s="27" t="str">
        <f aca="false">IF(G394="","",IF(N(E394)=0,1,E394)*IFERROR(N(INDEX(Produtos!$G$5:$G$104,MATCH(D394,Produtos!$B$5:$B$104,0))),0))</f>
        <v/>
      </c>
      <c r="I394" s="27" t="str">
        <f aca="false">IF(G394="","",G394-H394)</f>
        <v/>
      </c>
      <c r="J394" s="42"/>
    </row>
    <row r="395" customFormat="false" ht="21" hidden="false" customHeight="true" outlineLevel="0" collapsed="false">
      <c r="B395" s="41"/>
      <c r="C395" s="9"/>
      <c r="D395" s="9"/>
      <c r="E395" s="42"/>
      <c r="F395" s="43"/>
      <c r="G395" s="27" t="str">
        <f aca="false">IF(OR(C395="",AND(D395="",F395="")),"",IF(N(E395)=0,1,E395)*IF(F395="",IFERROR(N(INDEX(Produtos!$L$5:$L$104,MATCH(D395,Produtos!$B$5:$B$104,0))),0),F395))</f>
        <v/>
      </c>
      <c r="H395" s="27" t="str">
        <f aca="false">IF(G395="","",IF(N(E395)=0,1,E395)*IFERROR(N(INDEX(Produtos!$G$5:$G$104,MATCH(D395,Produtos!$B$5:$B$104,0))),0))</f>
        <v/>
      </c>
      <c r="I395" s="27" t="str">
        <f aca="false">IF(G395="","",G395-H395)</f>
        <v/>
      </c>
      <c r="J395" s="42"/>
    </row>
    <row r="396" customFormat="false" ht="21" hidden="false" customHeight="true" outlineLevel="0" collapsed="false">
      <c r="B396" s="41"/>
      <c r="C396" s="9"/>
      <c r="D396" s="9"/>
      <c r="E396" s="42"/>
      <c r="F396" s="43"/>
      <c r="G396" s="27" t="str">
        <f aca="false">IF(OR(C396="",AND(D396="",F396="")),"",IF(N(E396)=0,1,E396)*IF(F396="",IFERROR(N(INDEX(Produtos!$L$5:$L$104,MATCH(D396,Produtos!$B$5:$B$104,0))),0),F396))</f>
        <v/>
      </c>
      <c r="H396" s="27" t="str">
        <f aca="false">IF(G396="","",IF(N(E396)=0,1,E396)*IFERROR(N(INDEX(Produtos!$G$5:$G$104,MATCH(D396,Produtos!$B$5:$B$104,0))),0))</f>
        <v/>
      </c>
      <c r="I396" s="27" t="str">
        <f aca="false">IF(G396="","",G396-H396)</f>
        <v/>
      </c>
      <c r="J396" s="42"/>
    </row>
    <row r="397" customFormat="false" ht="21" hidden="false" customHeight="true" outlineLevel="0" collapsed="false">
      <c r="B397" s="41"/>
      <c r="C397" s="9"/>
      <c r="D397" s="9"/>
      <c r="E397" s="42"/>
      <c r="F397" s="43"/>
      <c r="G397" s="27" t="str">
        <f aca="false">IF(OR(C397="",AND(D397="",F397="")),"",IF(N(E397)=0,1,E397)*IF(F397="",IFERROR(N(INDEX(Produtos!$L$5:$L$104,MATCH(D397,Produtos!$B$5:$B$104,0))),0),F397))</f>
        <v/>
      </c>
      <c r="H397" s="27" t="str">
        <f aca="false">IF(G397="","",IF(N(E397)=0,1,E397)*IFERROR(N(INDEX(Produtos!$G$5:$G$104,MATCH(D397,Produtos!$B$5:$B$104,0))),0))</f>
        <v/>
      </c>
      <c r="I397" s="27" t="str">
        <f aca="false">IF(G397="","",G397-H397)</f>
        <v/>
      </c>
      <c r="J397" s="42"/>
    </row>
    <row r="398" customFormat="false" ht="21" hidden="false" customHeight="true" outlineLevel="0" collapsed="false">
      <c r="B398" s="41"/>
      <c r="C398" s="9"/>
      <c r="D398" s="9"/>
      <c r="E398" s="42"/>
      <c r="F398" s="43"/>
      <c r="G398" s="27" t="str">
        <f aca="false">IF(OR(C398="",AND(D398="",F398="")),"",IF(N(E398)=0,1,E398)*IF(F398="",IFERROR(N(INDEX(Produtos!$L$5:$L$104,MATCH(D398,Produtos!$B$5:$B$104,0))),0),F398))</f>
        <v/>
      </c>
      <c r="H398" s="27" t="str">
        <f aca="false">IF(G398="","",IF(N(E398)=0,1,E398)*IFERROR(N(INDEX(Produtos!$G$5:$G$104,MATCH(D398,Produtos!$B$5:$B$104,0))),0))</f>
        <v/>
      </c>
      <c r="I398" s="27" t="str">
        <f aca="false">IF(G398="","",G398-H398)</f>
        <v/>
      </c>
      <c r="J398" s="42"/>
    </row>
    <row r="399" customFormat="false" ht="21" hidden="false" customHeight="true" outlineLevel="0" collapsed="false">
      <c r="B399" s="41"/>
      <c r="C399" s="9"/>
      <c r="D399" s="9"/>
      <c r="E399" s="42"/>
      <c r="F399" s="43"/>
      <c r="G399" s="27" t="str">
        <f aca="false">IF(OR(C399="",AND(D399="",F399="")),"",IF(N(E399)=0,1,E399)*IF(F399="",IFERROR(N(INDEX(Produtos!$L$5:$L$104,MATCH(D399,Produtos!$B$5:$B$104,0))),0),F399))</f>
        <v/>
      </c>
      <c r="H399" s="27" t="str">
        <f aca="false">IF(G399="","",IF(N(E399)=0,1,E399)*IFERROR(N(INDEX(Produtos!$G$5:$G$104,MATCH(D399,Produtos!$B$5:$B$104,0))),0))</f>
        <v/>
      </c>
      <c r="I399" s="27" t="str">
        <f aca="false">IF(G399="","",G399-H399)</f>
        <v/>
      </c>
      <c r="J399" s="42"/>
    </row>
    <row r="400" customFormat="false" ht="21" hidden="false" customHeight="true" outlineLevel="0" collapsed="false">
      <c r="B400" s="41"/>
      <c r="C400" s="9"/>
      <c r="D400" s="9"/>
      <c r="E400" s="42"/>
      <c r="F400" s="43"/>
      <c r="G400" s="27" t="str">
        <f aca="false">IF(OR(C400="",AND(D400="",F400="")),"",IF(N(E400)=0,1,E400)*IF(F400="",IFERROR(N(INDEX(Produtos!$L$5:$L$104,MATCH(D400,Produtos!$B$5:$B$104,0))),0),F400))</f>
        <v/>
      </c>
      <c r="H400" s="27" t="str">
        <f aca="false">IF(G400="","",IF(N(E400)=0,1,E400)*IFERROR(N(INDEX(Produtos!$G$5:$G$104,MATCH(D400,Produtos!$B$5:$B$104,0))),0))</f>
        <v/>
      </c>
      <c r="I400" s="27" t="str">
        <f aca="false">IF(G400="","",G400-H400)</f>
        <v/>
      </c>
      <c r="J400" s="42"/>
    </row>
    <row r="401" customFormat="false" ht="21" hidden="false" customHeight="true" outlineLevel="0" collapsed="false">
      <c r="B401" s="41"/>
      <c r="C401" s="9"/>
      <c r="D401" s="9"/>
      <c r="E401" s="42"/>
      <c r="F401" s="43"/>
      <c r="G401" s="27" t="str">
        <f aca="false">IF(OR(C401="",AND(D401="",F401="")),"",IF(N(E401)=0,1,E401)*IF(F401="",IFERROR(N(INDEX(Produtos!$L$5:$L$104,MATCH(D401,Produtos!$B$5:$B$104,0))),0),F401))</f>
        <v/>
      </c>
      <c r="H401" s="27" t="str">
        <f aca="false">IF(G401="","",IF(N(E401)=0,1,E401)*IFERROR(N(INDEX(Produtos!$G$5:$G$104,MATCH(D401,Produtos!$B$5:$B$104,0))),0))</f>
        <v/>
      </c>
      <c r="I401" s="27" t="str">
        <f aca="false">IF(G401="","",G401-H401)</f>
        <v/>
      </c>
      <c r="J401" s="42"/>
    </row>
    <row r="402" customFormat="false" ht="21" hidden="false" customHeight="true" outlineLevel="0" collapsed="false">
      <c r="B402" s="41"/>
      <c r="C402" s="9"/>
      <c r="D402" s="9"/>
      <c r="E402" s="42"/>
      <c r="F402" s="43"/>
      <c r="G402" s="27" t="str">
        <f aca="false">IF(OR(C402="",AND(D402="",F402="")),"",IF(N(E402)=0,1,E402)*IF(F402="",IFERROR(N(INDEX(Produtos!$L$5:$L$104,MATCH(D402,Produtos!$B$5:$B$104,0))),0),F402))</f>
        <v/>
      </c>
      <c r="H402" s="27" t="str">
        <f aca="false">IF(G402="","",IF(N(E402)=0,1,E402)*IFERROR(N(INDEX(Produtos!$G$5:$G$104,MATCH(D402,Produtos!$B$5:$B$104,0))),0))</f>
        <v/>
      </c>
      <c r="I402" s="27" t="str">
        <f aca="false">IF(G402="","",G402-H402)</f>
        <v/>
      </c>
      <c r="J402" s="42"/>
    </row>
    <row r="403" customFormat="false" ht="21" hidden="false" customHeight="true" outlineLevel="0" collapsed="false">
      <c r="B403" s="41"/>
      <c r="C403" s="9"/>
      <c r="D403" s="9"/>
      <c r="E403" s="42"/>
      <c r="F403" s="43"/>
      <c r="G403" s="27" t="str">
        <f aca="false">IF(OR(C403="",AND(D403="",F403="")),"",IF(N(E403)=0,1,E403)*IF(F403="",IFERROR(N(INDEX(Produtos!$L$5:$L$104,MATCH(D403,Produtos!$B$5:$B$104,0))),0),F403))</f>
        <v/>
      </c>
      <c r="H403" s="27" t="str">
        <f aca="false">IF(G403="","",IF(N(E403)=0,1,E403)*IFERROR(N(INDEX(Produtos!$G$5:$G$104,MATCH(D403,Produtos!$B$5:$B$104,0))),0))</f>
        <v/>
      </c>
      <c r="I403" s="27" t="str">
        <f aca="false">IF(G403="","",G403-H403)</f>
        <v/>
      </c>
      <c r="J403" s="42"/>
    </row>
    <row r="404" customFormat="false" ht="21" hidden="false" customHeight="true" outlineLevel="0" collapsed="false">
      <c r="B404" s="41"/>
      <c r="C404" s="9"/>
      <c r="D404" s="9"/>
      <c r="E404" s="42"/>
      <c r="F404" s="43"/>
      <c r="G404" s="27" t="str">
        <f aca="false">IF(OR(C404="",AND(D404="",F404="")),"",IF(N(E404)=0,1,E404)*IF(F404="",IFERROR(N(INDEX(Produtos!$L$5:$L$104,MATCH(D404,Produtos!$B$5:$B$104,0))),0),F404))</f>
        <v/>
      </c>
      <c r="H404" s="27" t="str">
        <f aca="false">IF(G404="","",IF(N(E404)=0,1,E404)*IFERROR(N(INDEX(Produtos!$G$5:$G$104,MATCH(D404,Produtos!$B$5:$B$104,0))),0))</f>
        <v/>
      </c>
      <c r="I404" s="27" t="str">
        <f aca="false">IF(G404="","",G404-H404)</f>
        <v/>
      </c>
      <c r="J404" s="42"/>
    </row>
    <row r="405" customFormat="false" ht="21" hidden="false" customHeight="true" outlineLevel="0" collapsed="false">
      <c r="B405" s="41"/>
      <c r="C405" s="9"/>
      <c r="D405" s="9"/>
      <c r="E405" s="42"/>
      <c r="F405" s="43"/>
      <c r="G405" s="27" t="str">
        <f aca="false">IF(OR(C405="",AND(D405="",F405="")),"",IF(N(E405)=0,1,E405)*IF(F405="",IFERROR(N(INDEX(Produtos!$L$5:$L$104,MATCH(D405,Produtos!$B$5:$B$104,0))),0),F405))</f>
        <v/>
      </c>
      <c r="H405" s="27" t="str">
        <f aca="false">IF(G405="","",IF(N(E405)=0,1,E405)*IFERROR(N(INDEX(Produtos!$G$5:$G$104,MATCH(D405,Produtos!$B$5:$B$104,0))),0))</f>
        <v/>
      </c>
      <c r="I405" s="27" t="str">
        <f aca="false">IF(G405="","",G405-H405)</f>
        <v/>
      </c>
      <c r="J405" s="42"/>
    </row>
    <row r="406" customFormat="false" ht="21" hidden="false" customHeight="true" outlineLevel="0" collapsed="false">
      <c r="B406" s="41"/>
      <c r="C406" s="9"/>
      <c r="D406" s="9"/>
      <c r="E406" s="42"/>
      <c r="F406" s="43"/>
      <c r="G406" s="27" t="str">
        <f aca="false">IF(OR(C406="",AND(D406="",F406="")),"",IF(N(E406)=0,1,E406)*IF(F406="",IFERROR(N(INDEX(Produtos!$L$5:$L$104,MATCH(D406,Produtos!$B$5:$B$104,0))),0),F406))</f>
        <v/>
      </c>
      <c r="H406" s="27" t="str">
        <f aca="false">IF(G406="","",IF(N(E406)=0,1,E406)*IFERROR(N(INDEX(Produtos!$G$5:$G$104,MATCH(D406,Produtos!$B$5:$B$104,0))),0))</f>
        <v/>
      </c>
      <c r="I406" s="27" t="str">
        <f aca="false">IF(G406="","",G406-H406)</f>
        <v/>
      </c>
      <c r="J406" s="42"/>
    </row>
    <row r="407" customFormat="false" ht="21" hidden="false" customHeight="true" outlineLevel="0" collapsed="false">
      <c r="B407" s="41"/>
      <c r="C407" s="9"/>
      <c r="D407" s="9"/>
      <c r="E407" s="42"/>
      <c r="F407" s="43"/>
      <c r="G407" s="27" t="str">
        <f aca="false">IF(OR(C407="",AND(D407="",F407="")),"",IF(N(E407)=0,1,E407)*IF(F407="",IFERROR(N(INDEX(Produtos!$L$5:$L$104,MATCH(D407,Produtos!$B$5:$B$104,0))),0),F407))</f>
        <v/>
      </c>
      <c r="H407" s="27" t="str">
        <f aca="false">IF(G407="","",IF(N(E407)=0,1,E407)*IFERROR(N(INDEX(Produtos!$G$5:$G$104,MATCH(D407,Produtos!$B$5:$B$104,0))),0))</f>
        <v/>
      </c>
      <c r="I407" s="27" t="str">
        <f aca="false">IF(G407="","",G407-H407)</f>
        <v/>
      </c>
      <c r="J407" s="42"/>
    </row>
    <row r="408" customFormat="false" ht="21" hidden="false" customHeight="true" outlineLevel="0" collapsed="false">
      <c r="B408" s="41"/>
      <c r="C408" s="9"/>
      <c r="D408" s="9"/>
      <c r="E408" s="42"/>
      <c r="F408" s="43"/>
      <c r="G408" s="27" t="str">
        <f aca="false">IF(OR(C408="",AND(D408="",F408="")),"",IF(N(E408)=0,1,E408)*IF(F408="",IFERROR(N(INDEX(Produtos!$L$5:$L$104,MATCH(D408,Produtos!$B$5:$B$104,0))),0),F408))</f>
        <v/>
      </c>
      <c r="H408" s="27" t="str">
        <f aca="false">IF(G408="","",IF(N(E408)=0,1,E408)*IFERROR(N(INDEX(Produtos!$G$5:$G$104,MATCH(D408,Produtos!$B$5:$B$104,0))),0))</f>
        <v/>
      </c>
      <c r="I408" s="27" t="str">
        <f aca="false">IF(G408="","",G408-H408)</f>
        <v/>
      </c>
      <c r="J408" s="42"/>
    </row>
    <row r="409" customFormat="false" ht="21" hidden="false" customHeight="true" outlineLevel="0" collapsed="false">
      <c r="B409" s="41"/>
      <c r="C409" s="9"/>
      <c r="D409" s="9"/>
      <c r="E409" s="42"/>
      <c r="F409" s="43"/>
      <c r="G409" s="27" t="str">
        <f aca="false">IF(OR(C409="",AND(D409="",F409="")),"",IF(N(E409)=0,1,E409)*IF(F409="",IFERROR(N(INDEX(Produtos!$L$5:$L$104,MATCH(D409,Produtos!$B$5:$B$104,0))),0),F409))</f>
        <v/>
      </c>
      <c r="H409" s="27" t="str">
        <f aca="false">IF(G409="","",IF(N(E409)=0,1,E409)*IFERROR(N(INDEX(Produtos!$G$5:$G$104,MATCH(D409,Produtos!$B$5:$B$104,0))),0))</f>
        <v/>
      </c>
      <c r="I409" s="27" t="str">
        <f aca="false">IF(G409="","",G409-H409)</f>
        <v/>
      </c>
      <c r="J409" s="42"/>
    </row>
    <row r="410" customFormat="false" ht="21" hidden="false" customHeight="true" outlineLevel="0" collapsed="false">
      <c r="B410" s="41"/>
      <c r="C410" s="9"/>
      <c r="D410" s="9"/>
      <c r="E410" s="42"/>
      <c r="F410" s="43"/>
      <c r="G410" s="27" t="str">
        <f aca="false">IF(OR(C410="",AND(D410="",F410="")),"",IF(N(E410)=0,1,E410)*IF(F410="",IFERROR(N(INDEX(Produtos!$L$5:$L$104,MATCH(D410,Produtos!$B$5:$B$104,0))),0),F410))</f>
        <v/>
      </c>
      <c r="H410" s="27" t="str">
        <f aca="false">IF(G410="","",IF(N(E410)=0,1,E410)*IFERROR(N(INDEX(Produtos!$G$5:$G$104,MATCH(D410,Produtos!$B$5:$B$104,0))),0))</f>
        <v/>
      </c>
      <c r="I410" s="27" t="str">
        <f aca="false">IF(G410="","",G410-H410)</f>
        <v/>
      </c>
      <c r="J410" s="42"/>
    </row>
    <row r="411" customFormat="false" ht="21" hidden="false" customHeight="true" outlineLevel="0" collapsed="false">
      <c r="B411" s="41"/>
      <c r="C411" s="9"/>
      <c r="D411" s="9"/>
      <c r="E411" s="42"/>
      <c r="F411" s="43"/>
      <c r="G411" s="27" t="str">
        <f aca="false">IF(OR(C411="",AND(D411="",F411="")),"",IF(N(E411)=0,1,E411)*IF(F411="",IFERROR(N(INDEX(Produtos!$L$5:$L$104,MATCH(D411,Produtos!$B$5:$B$104,0))),0),F411))</f>
        <v/>
      </c>
      <c r="H411" s="27" t="str">
        <f aca="false">IF(G411="","",IF(N(E411)=0,1,E411)*IFERROR(N(INDEX(Produtos!$G$5:$G$104,MATCH(D411,Produtos!$B$5:$B$104,0))),0))</f>
        <v/>
      </c>
      <c r="I411" s="27" t="str">
        <f aca="false">IF(G411="","",G411-H411)</f>
        <v/>
      </c>
      <c r="J411" s="42"/>
    </row>
    <row r="412" customFormat="false" ht="21" hidden="false" customHeight="true" outlineLevel="0" collapsed="false">
      <c r="B412" s="41"/>
      <c r="C412" s="9"/>
      <c r="D412" s="9"/>
      <c r="E412" s="42"/>
      <c r="F412" s="43"/>
      <c r="G412" s="27" t="str">
        <f aca="false">IF(OR(C412="",AND(D412="",F412="")),"",IF(N(E412)=0,1,E412)*IF(F412="",IFERROR(N(INDEX(Produtos!$L$5:$L$104,MATCH(D412,Produtos!$B$5:$B$104,0))),0),F412))</f>
        <v/>
      </c>
      <c r="H412" s="27" t="str">
        <f aca="false">IF(G412="","",IF(N(E412)=0,1,E412)*IFERROR(N(INDEX(Produtos!$G$5:$G$104,MATCH(D412,Produtos!$B$5:$B$104,0))),0))</f>
        <v/>
      </c>
      <c r="I412" s="27" t="str">
        <f aca="false">IF(G412="","",G412-H412)</f>
        <v/>
      </c>
      <c r="J412" s="42"/>
    </row>
    <row r="413" customFormat="false" ht="21" hidden="false" customHeight="true" outlineLevel="0" collapsed="false">
      <c r="B413" s="41"/>
      <c r="C413" s="9"/>
      <c r="D413" s="9"/>
      <c r="E413" s="42"/>
      <c r="F413" s="43"/>
      <c r="G413" s="27" t="str">
        <f aca="false">IF(OR(C413="",AND(D413="",F413="")),"",IF(N(E413)=0,1,E413)*IF(F413="",IFERROR(N(INDEX(Produtos!$L$5:$L$104,MATCH(D413,Produtos!$B$5:$B$104,0))),0),F413))</f>
        <v/>
      </c>
      <c r="H413" s="27" t="str">
        <f aca="false">IF(G413="","",IF(N(E413)=0,1,E413)*IFERROR(N(INDEX(Produtos!$G$5:$G$104,MATCH(D413,Produtos!$B$5:$B$104,0))),0))</f>
        <v/>
      </c>
      <c r="I413" s="27" t="str">
        <f aca="false">IF(G413="","",G413-H413)</f>
        <v/>
      </c>
      <c r="J413" s="42"/>
    </row>
    <row r="414" customFormat="false" ht="21" hidden="false" customHeight="true" outlineLevel="0" collapsed="false">
      <c r="B414" s="41"/>
      <c r="C414" s="9"/>
      <c r="D414" s="9"/>
      <c r="E414" s="42"/>
      <c r="F414" s="43"/>
      <c r="G414" s="27" t="str">
        <f aca="false">IF(OR(C414="",AND(D414="",F414="")),"",IF(N(E414)=0,1,E414)*IF(F414="",IFERROR(N(INDEX(Produtos!$L$5:$L$104,MATCH(D414,Produtos!$B$5:$B$104,0))),0),F414))</f>
        <v/>
      </c>
      <c r="H414" s="27" t="str">
        <f aca="false">IF(G414="","",IF(N(E414)=0,1,E414)*IFERROR(N(INDEX(Produtos!$G$5:$G$104,MATCH(D414,Produtos!$B$5:$B$104,0))),0))</f>
        <v/>
      </c>
      <c r="I414" s="27" t="str">
        <f aca="false">IF(G414="","",G414-H414)</f>
        <v/>
      </c>
      <c r="J414" s="42"/>
    </row>
    <row r="415" customFormat="false" ht="21" hidden="false" customHeight="true" outlineLevel="0" collapsed="false">
      <c r="B415" s="41"/>
      <c r="C415" s="9"/>
      <c r="D415" s="9"/>
      <c r="E415" s="42"/>
      <c r="F415" s="43"/>
      <c r="G415" s="27" t="str">
        <f aca="false">IF(OR(C415="",AND(D415="",F415="")),"",IF(N(E415)=0,1,E415)*IF(F415="",IFERROR(N(INDEX(Produtos!$L$5:$L$104,MATCH(D415,Produtos!$B$5:$B$104,0))),0),F415))</f>
        <v/>
      </c>
      <c r="H415" s="27" t="str">
        <f aca="false">IF(G415="","",IF(N(E415)=0,1,E415)*IFERROR(N(INDEX(Produtos!$G$5:$G$104,MATCH(D415,Produtos!$B$5:$B$104,0))),0))</f>
        <v/>
      </c>
      <c r="I415" s="27" t="str">
        <f aca="false">IF(G415="","",G415-H415)</f>
        <v/>
      </c>
      <c r="J415" s="42"/>
    </row>
    <row r="416" customFormat="false" ht="21" hidden="false" customHeight="true" outlineLevel="0" collapsed="false">
      <c r="B416" s="41"/>
      <c r="C416" s="9"/>
      <c r="D416" s="9"/>
      <c r="E416" s="42"/>
      <c r="F416" s="43"/>
      <c r="G416" s="27" t="str">
        <f aca="false">IF(OR(C416="",AND(D416="",F416="")),"",IF(N(E416)=0,1,E416)*IF(F416="",IFERROR(N(INDEX(Produtos!$L$5:$L$104,MATCH(D416,Produtos!$B$5:$B$104,0))),0),F416))</f>
        <v/>
      </c>
      <c r="H416" s="27" t="str">
        <f aca="false">IF(G416="","",IF(N(E416)=0,1,E416)*IFERROR(N(INDEX(Produtos!$G$5:$G$104,MATCH(D416,Produtos!$B$5:$B$104,0))),0))</f>
        <v/>
      </c>
      <c r="I416" s="27" t="str">
        <f aca="false">IF(G416="","",G416-H416)</f>
        <v/>
      </c>
      <c r="J416" s="42"/>
    </row>
    <row r="417" customFormat="false" ht="21" hidden="false" customHeight="true" outlineLevel="0" collapsed="false">
      <c r="B417" s="41"/>
      <c r="C417" s="9"/>
      <c r="D417" s="9"/>
      <c r="E417" s="42"/>
      <c r="F417" s="43"/>
      <c r="G417" s="27" t="str">
        <f aca="false">IF(OR(C417="",AND(D417="",F417="")),"",IF(N(E417)=0,1,E417)*IF(F417="",IFERROR(N(INDEX(Produtos!$L$5:$L$104,MATCH(D417,Produtos!$B$5:$B$104,0))),0),F417))</f>
        <v/>
      </c>
      <c r="H417" s="27" t="str">
        <f aca="false">IF(G417="","",IF(N(E417)=0,1,E417)*IFERROR(N(INDEX(Produtos!$G$5:$G$104,MATCH(D417,Produtos!$B$5:$B$104,0))),0))</f>
        <v/>
      </c>
      <c r="I417" s="27" t="str">
        <f aca="false">IF(G417="","",G417-H417)</f>
        <v/>
      </c>
      <c r="J417" s="42"/>
    </row>
    <row r="418" customFormat="false" ht="21" hidden="false" customHeight="true" outlineLevel="0" collapsed="false">
      <c r="B418" s="41"/>
      <c r="C418" s="9"/>
      <c r="D418" s="9"/>
      <c r="E418" s="42"/>
      <c r="F418" s="43"/>
      <c r="G418" s="27" t="str">
        <f aca="false">IF(OR(C418="",AND(D418="",F418="")),"",IF(N(E418)=0,1,E418)*IF(F418="",IFERROR(N(INDEX(Produtos!$L$5:$L$104,MATCH(D418,Produtos!$B$5:$B$104,0))),0),F418))</f>
        <v/>
      </c>
      <c r="H418" s="27" t="str">
        <f aca="false">IF(G418="","",IF(N(E418)=0,1,E418)*IFERROR(N(INDEX(Produtos!$G$5:$G$104,MATCH(D418,Produtos!$B$5:$B$104,0))),0))</f>
        <v/>
      </c>
      <c r="I418" s="27" t="str">
        <f aca="false">IF(G418="","",G418-H418)</f>
        <v/>
      </c>
      <c r="J418" s="42"/>
    </row>
    <row r="419" customFormat="false" ht="21" hidden="false" customHeight="true" outlineLevel="0" collapsed="false">
      <c r="B419" s="41"/>
      <c r="C419" s="9"/>
      <c r="D419" s="9"/>
      <c r="E419" s="42"/>
      <c r="F419" s="43"/>
      <c r="G419" s="27" t="str">
        <f aca="false">IF(OR(C419="",AND(D419="",F419="")),"",IF(N(E419)=0,1,E419)*IF(F419="",IFERROR(N(INDEX(Produtos!$L$5:$L$104,MATCH(D419,Produtos!$B$5:$B$104,0))),0),F419))</f>
        <v/>
      </c>
      <c r="H419" s="27" t="str">
        <f aca="false">IF(G419="","",IF(N(E419)=0,1,E419)*IFERROR(N(INDEX(Produtos!$G$5:$G$104,MATCH(D419,Produtos!$B$5:$B$104,0))),0))</f>
        <v/>
      </c>
      <c r="I419" s="27" t="str">
        <f aca="false">IF(G419="","",G419-H419)</f>
        <v/>
      </c>
      <c r="J419" s="42"/>
    </row>
    <row r="420" customFormat="false" ht="21" hidden="false" customHeight="true" outlineLevel="0" collapsed="false">
      <c r="B420" s="41"/>
      <c r="C420" s="9"/>
      <c r="D420" s="9"/>
      <c r="E420" s="42"/>
      <c r="F420" s="43"/>
      <c r="G420" s="27" t="str">
        <f aca="false">IF(OR(C420="",AND(D420="",F420="")),"",IF(N(E420)=0,1,E420)*IF(F420="",IFERROR(N(INDEX(Produtos!$L$5:$L$104,MATCH(D420,Produtos!$B$5:$B$104,0))),0),F420))</f>
        <v/>
      </c>
      <c r="H420" s="27" t="str">
        <f aca="false">IF(G420="","",IF(N(E420)=0,1,E420)*IFERROR(N(INDEX(Produtos!$G$5:$G$104,MATCH(D420,Produtos!$B$5:$B$104,0))),0))</f>
        <v/>
      </c>
      <c r="I420" s="27" t="str">
        <f aca="false">IF(G420="","",G420-H420)</f>
        <v/>
      </c>
      <c r="J420" s="42"/>
    </row>
    <row r="421" customFormat="false" ht="21" hidden="false" customHeight="true" outlineLevel="0" collapsed="false">
      <c r="B421" s="41"/>
      <c r="C421" s="9"/>
      <c r="D421" s="9"/>
      <c r="E421" s="42"/>
      <c r="F421" s="43"/>
      <c r="G421" s="27" t="str">
        <f aca="false">IF(OR(C421="",AND(D421="",F421="")),"",IF(N(E421)=0,1,E421)*IF(F421="",IFERROR(N(INDEX(Produtos!$L$5:$L$104,MATCH(D421,Produtos!$B$5:$B$104,0))),0),F421))</f>
        <v/>
      </c>
      <c r="H421" s="27" t="str">
        <f aca="false">IF(G421="","",IF(N(E421)=0,1,E421)*IFERROR(N(INDEX(Produtos!$G$5:$G$104,MATCH(D421,Produtos!$B$5:$B$104,0))),0))</f>
        <v/>
      </c>
      <c r="I421" s="27" t="str">
        <f aca="false">IF(G421="","",G421-H421)</f>
        <v/>
      </c>
      <c r="J421" s="42"/>
    </row>
    <row r="422" customFormat="false" ht="21" hidden="false" customHeight="true" outlineLevel="0" collapsed="false">
      <c r="B422" s="41"/>
      <c r="C422" s="9"/>
      <c r="D422" s="9"/>
      <c r="E422" s="42"/>
      <c r="F422" s="43"/>
      <c r="G422" s="27" t="str">
        <f aca="false">IF(OR(C422="",AND(D422="",F422="")),"",IF(N(E422)=0,1,E422)*IF(F422="",IFERROR(N(INDEX(Produtos!$L$5:$L$104,MATCH(D422,Produtos!$B$5:$B$104,0))),0),F422))</f>
        <v/>
      </c>
      <c r="H422" s="27" t="str">
        <f aca="false">IF(G422="","",IF(N(E422)=0,1,E422)*IFERROR(N(INDEX(Produtos!$G$5:$G$104,MATCH(D422,Produtos!$B$5:$B$104,0))),0))</f>
        <v/>
      </c>
      <c r="I422" s="27" t="str">
        <f aca="false">IF(G422="","",G422-H422)</f>
        <v/>
      </c>
      <c r="J422" s="42"/>
    </row>
    <row r="423" customFormat="false" ht="21" hidden="false" customHeight="true" outlineLevel="0" collapsed="false">
      <c r="B423" s="41"/>
      <c r="C423" s="9"/>
      <c r="D423" s="9"/>
      <c r="E423" s="42"/>
      <c r="F423" s="43"/>
      <c r="G423" s="27" t="str">
        <f aca="false">IF(OR(C423="",AND(D423="",F423="")),"",IF(N(E423)=0,1,E423)*IF(F423="",IFERROR(N(INDEX(Produtos!$L$5:$L$104,MATCH(D423,Produtos!$B$5:$B$104,0))),0),F423))</f>
        <v/>
      </c>
      <c r="H423" s="27" t="str">
        <f aca="false">IF(G423="","",IF(N(E423)=0,1,E423)*IFERROR(N(INDEX(Produtos!$G$5:$G$104,MATCH(D423,Produtos!$B$5:$B$104,0))),0))</f>
        <v/>
      </c>
      <c r="I423" s="27" t="str">
        <f aca="false">IF(G423="","",G423-H423)</f>
        <v/>
      </c>
      <c r="J423" s="42"/>
    </row>
    <row r="424" customFormat="false" ht="21" hidden="false" customHeight="true" outlineLevel="0" collapsed="false">
      <c r="B424" s="41"/>
      <c r="C424" s="9"/>
      <c r="D424" s="9"/>
      <c r="E424" s="42"/>
      <c r="F424" s="43"/>
      <c r="G424" s="27" t="str">
        <f aca="false">IF(OR(C424="",AND(D424="",F424="")),"",IF(N(E424)=0,1,E424)*IF(F424="",IFERROR(N(INDEX(Produtos!$L$5:$L$104,MATCH(D424,Produtos!$B$5:$B$104,0))),0),F424))</f>
        <v/>
      </c>
      <c r="H424" s="27" t="str">
        <f aca="false">IF(G424="","",IF(N(E424)=0,1,E424)*IFERROR(N(INDEX(Produtos!$G$5:$G$104,MATCH(D424,Produtos!$B$5:$B$104,0))),0))</f>
        <v/>
      </c>
      <c r="I424" s="27" t="str">
        <f aca="false">IF(G424="","",G424-H424)</f>
        <v/>
      </c>
      <c r="J424" s="42"/>
    </row>
    <row r="425" customFormat="false" ht="21" hidden="false" customHeight="true" outlineLevel="0" collapsed="false">
      <c r="B425" s="41"/>
      <c r="C425" s="9"/>
      <c r="D425" s="9"/>
      <c r="E425" s="42"/>
      <c r="F425" s="43"/>
      <c r="G425" s="27" t="str">
        <f aca="false">IF(OR(C425="",AND(D425="",F425="")),"",IF(N(E425)=0,1,E425)*IF(F425="",IFERROR(N(INDEX(Produtos!$L$5:$L$104,MATCH(D425,Produtos!$B$5:$B$104,0))),0),F425))</f>
        <v/>
      </c>
      <c r="H425" s="27" t="str">
        <f aca="false">IF(G425="","",IF(N(E425)=0,1,E425)*IFERROR(N(INDEX(Produtos!$G$5:$G$104,MATCH(D425,Produtos!$B$5:$B$104,0))),0))</f>
        <v/>
      </c>
      <c r="I425" s="27" t="str">
        <f aca="false">IF(G425="","",G425-H425)</f>
        <v/>
      </c>
      <c r="J425" s="42"/>
    </row>
    <row r="426" customFormat="false" ht="21" hidden="false" customHeight="true" outlineLevel="0" collapsed="false">
      <c r="B426" s="41"/>
      <c r="C426" s="9"/>
      <c r="D426" s="9"/>
      <c r="E426" s="42"/>
      <c r="F426" s="43"/>
      <c r="G426" s="27" t="str">
        <f aca="false">IF(OR(C426="",AND(D426="",F426="")),"",IF(N(E426)=0,1,E426)*IF(F426="",IFERROR(N(INDEX(Produtos!$L$5:$L$104,MATCH(D426,Produtos!$B$5:$B$104,0))),0),F426))</f>
        <v/>
      </c>
      <c r="H426" s="27" t="str">
        <f aca="false">IF(G426="","",IF(N(E426)=0,1,E426)*IFERROR(N(INDEX(Produtos!$G$5:$G$104,MATCH(D426,Produtos!$B$5:$B$104,0))),0))</f>
        <v/>
      </c>
      <c r="I426" s="27" t="str">
        <f aca="false">IF(G426="","",G426-H426)</f>
        <v/>
      </c>
      <c r="J426" s="42"/>
    </row>
    <row r="427" customFormat="false" ht="21" hidden="false" customHeight="true" outlineLevel="0" collapsed="false">
      <c r="B427" s="41"/>
      <c r="C427" s="9"/>
      <c r="D427" s="9"/>
      <c r="E427" s="42"/>
      <c r="F427" s="43"/>
      <c r="G427" s="27" t="str">
        <f aca="false">IF(OR(C427="",AND(D427="",F427="")),"",IF(N(E427)=0,1,E427)*IF(F427="",IFERROR(N(INDEX(Produtos!$L$5:$L$104,MATCH(D427,Produtos!$B$5:$B$104,0))),0),F427))</f>
        <v/>
      </c>
      <c r="H427" s="27" t="str">
        <f aca="false">IF(G427="","",IF(N(E427)=0,1,E427)*IFERROR(N(INDEX(Produtos!$G$5:$G$104,MATCH(D427,Produtos!$B$5:$B$104,0))),0))</f>
        <v/>
      </c>
      <c r="I427" s="27" t="str">
        <f aca="false">IF(G427="","",G427-H427)</f>
        <v/>
      </c>
      <c r="J427" s="42"/>
    </row>
    <row r="428" customFormat="false" ht="21" hidden="false" customHeight="true" outlineLevel="0" collapsed="false">
      <c r="B428" s="41"/>
      <c r="C428" s="9"/>
      <c r="D428" s="9"/>
      <c r="E428" s="42"/>
      <c r="F428" s="43"/>
      <c r="G428" s="27" t="str">
        <f aca="false">IF(OR(C428="",AND(D428="",F428="")),"",IF(N(E428)=0,1,E428)*IF(F428="",IFERROR(N(INDEX(Produtos!$L$5:$L$104,MATCH(D428,Produtos!$B$5:$B$104,0))),0),F428))</f>
        <v/>
      </c>
      <c r="H428" s="27" t="str">
        <f aca="false">IF(G428="","",IF(N(E428)=0,1,E428)*IFERROR(N(INDEX(Produtos!$G$5:$G$104,MATCH(D428,Produtos!$B$5:$B$104,0))),0))</f>
        <v/>
      </c>
      <c r="I428" s="27" t="str">
        <f aca="false">IF(G428="","",G428-H428)</f>
        <v/>
      </c>
      <c r="J428" s="42"/>
    </row>
    <row r="429" customFormat="false" ht="21" hidden="false" customHeight="true" outlineLevel="0" collapsed="false">
      <c r="B429" s="41"/>
      <c r="C429" s="9"/>
      <c r="D429" s="9"/>
      <c r="E429" s="42"/>
      <c r="F429" s="43"/>
      <c r="G429" s="27" t="str">
        <f aca="false">IF(OR(C429="",AND(D429="",F429="")),"",IF(N(E429)=0,1,E429)*IF(F429="",IFERROR(N(INDEX(Produtos!$L$5:$L$104,MATCH(D429,Produtos!$B$5:$B$104,0))),0),F429))</f>
        <v/>
      </c>
      <c r="H429" s="27" t="str">
        <f aca="false">IF(G429="","",IF(N(E429)=0,1,E429)*IFERROR(N(INDEX(Produtos!$G$5:$G$104,MATCH(D429,Produtos!$B$5:$B$104,0))),0))</f>
        <v/>
      </c>
      <c r="I429" s="27" t="str">
        <f aca="false">IF(G429="","",G429-H429)</f>
        <v/>
      </c>
      <c r="J429" s="42"/>
    </row>
    <row r="430" customFormat="false" ht="21" hidden="false" customHeight="true" outlineLevel="0" collapsed="false">
      <c r="B430" s="41"/>
      <c r="C430" s="9"/>
      <c r="D430" s="9"/>
      <c r="E430" s="42"/>
      <c r="F430" s="43"/>
      <c r="G430" s="27" t="str">
        <f aca="false">IF(OR(C430="",AND(D430="",F430="")),"",IF(N(E430)=0,1,E430)*IF(F430="",IFERROR(N(INDEX(Produtos!$L$5:$L$104,MATCH(D430,Produtos!$B$5:$B$104,0))),0),F430))</f>
        <v/>
      </c>
      <c r="H430" s="27" t="str">
        <f aca="false">IF(G430="","",IF(N(E430)=0,1,E430)*IFERROR(N(INDEX(Produtos!$G$5:$G$104,MATCH(D430,Produtos!$B$5:$B$104,0))),0))</f>
        <v/>
      </c>
      <c r="I430" s="27" t="str">
        <f aca="false">IF(G430="","",G430-H430)</f>
        <v/>
      </c>
      <c r="J430" s="42"/>
    </row>
    <row r="431" customFormat="false" ht="21" hidden="false" customHeight="true" outlineLevel="0" collapsed="false">
      <c r="B431" s="41"/>
      <c r="C431" s="9"/>
      <c r="D431" s="9"/>
      <c r="E431" s="42"/>
      <c r="F431" s="43"/>
      <c r="G431" s="27" t="str">
        <f aca="false">IF(OR(C431="",AND(D431="",F431="")),"",IF(N(E431)=0,1,E431)*IF(F431="",IFERROR(N(INDEX(Produtos!$L$5:$L$104,MATCH(D431,Produtos!$B$5:$B$104,0))),0),F431))</f>
        <v/>
      </c>
      <c r="H431" s="27" t="str">
        <f aca="false">IF(G431="","",IF(N(E431)=0,1,E431)*IFERROR(N(INDEX(Produtos!$G$5:$G$104,MATCH(D431,Produtos!$B$5:$B$104,0))),0))</f>
        <v/>
      </c>
      <c r="I431" s="27" t="str">
        <f aca="false">IF(G431="","",G431-H431)</f>
        <v/>
      </c>
      <c r="J431" s="42"/>
    </row>
    <row r="432" customFormat="false" ht="21" hidden="false" customHeight="true" outlineLevel="0" collapsed="false">
      <c r="B432" s="41"/>
      <c r="C432" s="9"/>
      <c r="D432" s="9"/>
      <c r="E432" s="42"/>
      <c r="F432" s="43"/>
      <c r="G432" s="27" t="str">
        <f aca="false">IF(OR(C432="",AND(D432="",F432="")),"",IF(N(E432)=0,1,E432)*IF(F432="",IFERROR(N(INDEX(Produtos!$L$5:$L$104,MATCH(D432,Produtos!$B$5:$B$104,0))),0),F432))</f>
        <v/>
      </c>
      <c r="H432" s="27" t="str">
        <f aca="false">IF(G432="","",IF(N(E432)=0,1,E432)*IFERROR(N(INDEX(Produtos!$G$5:$G$104,MATCH(D432,Produtos!$B$5:$B$104,0))),0))</f>
        <v/>
      </c>
      <c r="I432" s="27" t="str">
        <f aca="false">IF(G432="","",G432-H432)</f>
        <v/>
      </c>
      <c r="J432" s="42"/>
    </row>
    <row r="433" customFormat="false" ht="21" hidden="false" customHeight="true" outlineLevel="0" collapsed="false">
      <c r="B433" s="41"/>
      <c r="C433" s="9"/>
      <c r="D433" s="9"/>
      <c r="E433" s="42"/>
      <c r="F433" s="43"/>
      <c r="G433" s="27" t="str">
        <f aca="false">IF(OR(C433="",AND(D433="",F433="")),"",IF(N(E433)=0,1,E433)*IF(F433="",IFERROR(N(INDEX(Produtos!$L$5:$L$104,MATCH(D433,Produtos!$B$5:$B$104,0))),0),F433))</f>
        <v/>
      </c>
      <c r="H433" s="27" t="str">
        <f aca="false">IF(G433="","",IF(N(E433)=0,1,E433)*IFERROR(N(INDEX(Produtos!$G$5:$G$104,MATCH(D433,Produtos!$B$5:$B$104,0))),0))</f>
        <v/>
      </c>
      <c r="I433" s="27" t="str">
        <f aca="false">IF(G433="","",G433-H433)</f>
        <v/>
      </c>
      <c r="J433" s="42"/>
    </row>
    <row r="434" customFormat="false" ht="21" hidden="false" customHeight="true" outlineLevel="0" collapsed="false">
      <c r="B434" s="41"/>
      <c r="C434" s="9"/>
      <c r="D434" s="9"/>
      <c r="E434" s="42"/>
      <c r="F434" s="43"/>
      <c r="G434" s="27" t="str">
        <f aca="false">IF(OR(C434="",AND(D434="",F434="")),"",IF(N(E434)=0,1,E434)*IF(F434="",IFERROR(N(INDEX(Produtos!$L$5:$L$104,MATCH(D434,Produtos!$B$5:$B$104,0))),0),F434))</f>
        <v/>
      </c>
      <c r="H434" s="27" t="str">
        <f aca="false">IF(G434="","",IF(N(E434)=0,1,E434)*IFERROR(N(INDEX(Produtos!$G$5:$G$104,MATCH(D434,Produtos!$B$5:$B$104,0))),0))</f>
        <v/>
      </c>
      <c r="I434" s="27" t="str">
        <f aca="false">IF(G434="","",G434-H434)</f>
        <v/>
      </c>
      <c r="J434" s="42"/>
    </row>
    <row r="435" customFormat="false" ht="21" hidden="false" customHeight="true" outlineLevel="0" collapsed="false">
      <c r="B435" s="41"/>
      <c r="C435" s="9"/>
      <c r="D435" s="9"/>
      <c r="E435" s="42"/>
      <c r="F435" s="43"/>
      <c r="G435" s="27" t="str">
        <f aca="false">IF(OR(C435="",AND(D435="",F435="")),"",IF(N(E435)=0,1,E435)*IF(F435="",IFERROR(N(INDEX(Produtos!$L$5:$L$104,MATCH(D435,Produtos!$B$5:$B$104,0))),0),F435))</f>
        <v/>
      </c>
      <c r="H435" s="27" t="str">
        <f aca="false">IF(G435="","",IF(N(E435)=0,1,E435)*IFERROR(N(INDEX(Produtos!$G$5:$G$104,MATCH(D435,Produtos!$B$5:$B$104,0))),0))</f>
        <v/>
      </c>
      <c r="I435" s="27" t="str">
        <f aca="false">IF(G435="","",G435-H435)</f>
        <v/>
      </c>
      <c r="J435" s="42"/>
    </row>
    <row r="436" customFormat="false" ht="21" hidden="false" customHeight="true" outlineLevel="0" collapsed="false">
      <c r="B436" s="41"/>
      <c r="C436" s="9"/>
      <c r="D436" s="9"/>
      <c r="E436" s="42"/>
      <c r="F436" s="43"/>
      <c r="G436" s="27" t="str">
        <f aca="false">IF(OR(C436="",AND(D436="",F436="")),"",IF(N(E436)=0,1,E436)*IF(F436="",IFERROR(N(INDEX(Produtos!$L$5:$L$104,MATCH(D436,Produtos!$B$5:$B$104,0))),0),F436))</f>
        <v/>
      </c>
      <c r="H436" s="27" t="str">
        <f aca="false">IF(G436="","",IF(N(E436)=0,1,E436)*IFERROR(N(INDEX(Produtos!$G$5:$G$104,MATCH(D436,Produtos!$B$5:$B$104,0))),0))</f>
        <v/>
      </c>
      <c r="I436" s="27" t="str">
        <f aca="false">IF(G436="","",G436-H436)</f>
        <v/>
      </c>
      <c r="J436" s="42"/>
    </row>
    <row r="437" customFormat="false" ht="21" hidden="false" customHeight="true" outlineLevel="0" collapsed="false">
      <c r="B437" s="41"/>
      <c r="C437" s="9"/>
      <c r="D437" s="9"/>
      <c r="E437" s="42"/>
      <c r="F437" s="43"/>
      <c r="G437" s="27" t="str">
        <f aca="false">IF(OR(C437="",AND(D437="",F437="")),"",IF(N(E437)=0,1,E437)*IF(F437="",IFERROR(N(INDEX(Produtos!$L$5:$L$104,MATCH(D437,Produtos!$B$5:$B$104,0))),0),F437))</f>
        <v/>
      </c>
      <c r="H437" s="27" t="str">
        <f aca="false">IF(G437="","",IF(N(E437)=0,1,E437)*IFERROR(N(INDEX(Produtos!$G$5:$G$104,MATCH(D437,Produtos!$B$5:$B$104,0))),0))</f>
        <v/>
      </c>
      <c r="I437" s="27" t="str">
        <f aca="false">IF(G437="","",G437-H437)</f>
        <v/>
      </c>
      <c r="J437" s="42"/>
    </row>
    <row r="438" customFormat="false" ht="21" hidden="false" customHeight="true" outlineLevel="0" collapsed="false">
      <c r="B438" s="41"/>
      <c r="C438" s="9"/>
      <c r="D438" s="9"/>
      <c r="E438" s="42"/>
      <c r="F438" s="43"/>
      <c r="G438" s="27" t="str">
        <f aca="false">IF(OR(C438="",AND(D438="",F438="")),"",IF(N(E438)=0,1,E438)*IF(F438="",IFERROR(N(INDEX(Produtos!$L$5:$L$104,MATCH(D438,Produtos!$B$5:$B$104,0))),0),F438))</f>
        <v/>
      </c>
      <c r="H438" s="27" t="str">
        <f aca="false">IF(G438="","",IF(N(E438)=0,1,E438)*IFERROR(N(INDEX(Produtos!$G$5:$G$104,MATCH(D438,Produtos!$B$5:$B$104,0))),0))</f>
        <v/>
      </c>
      <c r="I438" s="27" t="str">
        <f aca="false">IF(G438="","",G438-H438)</f>
        <v/>
      </c>
      <c r="J438" s="42"/>
    </row>
    <row r="439" customFormat="false" ht="21" hidden="false" customHeight="true" outlineLevel="0" collapsed="false">
      <c r="B439" s="41"/>
      <c r="C439" s="9"/>
      <c r="D439" s="9"/>
      <c r="E439" s="42"/>
      <c r="F439" s="43"/>
      <c r="G439" s="27" t="str">
        <f aca="false">IF(OR(C439="",AND(D439="",F439="")),"",IF(N(E439)=0,1,E439)*IF(F439="",IFERROR(N(INDEX(Produtos!$L$5:$L$104,MATCH(D439,Produtos!$B$5:$B$104,0))),0),F439))</f>
        <v/>
      </c>
      <c r="H439" s="27" t="str">
        <f aca="false">IF(G439="","",IF(N(E439)=0,1,E439)*IFERROR(N(INDEX(Produtos!$G$5:$G$104,MATCH(D439,Produtos!$B$5:$B$104,0))),0))</f>
        <v/>
      </c>
      <c r="I439" s="27" t="str">
        <f aca="false">IF(G439="","",G439-H439)</f>
        <v/>
      </c>
      <c r="J439" s="42"/>
    </row>
    <row r="440" customFormat="false" ht="21" hidden="false" customHeight="true" outlineLevel="0" collapsed="false">
      <c r="B440" s="41"/>
      <c r="C440" s="9"/>
      <c r="D440" s="9"/>
      <c r="E440" s="42"/>
      <c r="F440" s="43"/>
      <c r="G440" s="27" t="str">
        <f aca="false">IF(OR(C440="",AND(D440="",F440="")),"",IF(N(E440)=0,1,E440)*IF(F440="",IFERROR(N(INDEX(Produtos!$L$5:$L$104,MATCH(D440,Produtos!$B$5:$B$104,0))),0),F440))</f>
        <v/>
      </c>
      <c r="H440" s="27" t="str">
        <f aca="false">IF(G440="","",IF(N(E440)=0,1,E440)*IFERROR(N(INDEX(Produtos!$G$5:$G$104,MATCH(D440,Produtos!$B$5:$B$104,0))),0))</f>
        <v/>
      </c>
      <c r="I440" s="27" t="str">
        <f aca="false">IF(G440="","",G440-H440)</f>
        <v/>
      </c>
      <c r="J440" s="42"/>
    </row>
    <row r="441" customFormat="false" ht="21" hidden="false" customHeight="true" outlineLevel="0" collapsed="false">
      <c r="B441" s="41"/>
      <c r="C441" s="9"/>
      <c r="D441" s="9"/>
      <c r="E441" s="42"/>
      <c r="F441" s="43"/>
      <c r="G441" s="27" t="str">
        <f aca="false">IF(OR(C441="",AND(D441="",F441="")),"",IF(N(E441)=0,1,E441)*IF(F441="",IFERROR(N(INDEX(Produtos!$L$5:$L$104,MATCH(D441,Produtos!$B$5:$B$104,0))),0),F441))</f>
        <v/>
      </c>
      <c r="H441" s="27" t="str">
        <f aca="false">IF(G441="","",IF(N(E441)=0,1,E441)*IFERROR(N(INDEX(Produtos!$G$5:$G$104,MATCH(D441,Produtos!$B$5:$B$104,0))),0))</f>
        <v/>
      </c>
      <c r="I441" s="27" t="str">
        <f aca="false">IF(G441="","",G441-H441)</f>
        <v/>
      </c>
      <c r="J441" s="42"/>
    </row>
    <row r="442" customFormat="false" ht="21" hidden="false" customHeight="true" outlineLevel="0" collapsed="false">
      <c r="B442" s="41"/>
      <c r="C442" s="9"/>
      <c r="D442" s="9"/>
      <c r="E442" s="42"/>
      <c r="F442" s="43"/>
      <c r="G442" s="27" t="str">
        <f aca="false">IF(OR(C442="",AND(D442="",F442="")),"",IF(N(E442)=0,1,E442)*IF(F442="",IFERROR(N(INDEX(Produtos!$L$5:$L$104,MATCH(D442,Produtos!$B$5:$B$104,0))),0),F442))</f>
        <v/>
      </c>
      <c r="H442" s="27" t="str">
        <f aca="false">IF(G442="","",IF(N(E442)=0,1,E442)*IFERROR(N(INDEX(Produtos!$G$5:$G$104,MATCH(D442,Produtos!$B$5:$B$104,0))),0))</f>
        <v/>
      </c>
      <c r="I442" s="27" t="str">
        <f aca="false">IF(G442="","",G442-H442)</f>
        <v/>
      </c>
      <c r="J442" s="42"/>
    </row>
    <row r="443" customFormat="false" ht="21" hidden="false" customHeight="true" outlineLevel="0" collapsed="false">
      <c r="B443" s="41"/>
      <c r="C443" s="9"/>
      <c r="D443" s="9"/>
      <c r="E443" s="42"/>
      <c r="F443" s="43"/>
      <c r="G443" s="27" t="str">
        <f aca="false">IF(OR(C443="",AND(D443="",F443="")),"",IF(N(E443)=0,1,E443)*IF(F443="",IFERROR(N(INDEX(Produtos!$L$5:$L$104,MATCH(D443,Produtos!$B$5:$B$104,0))),0),F443))</f>
        <v/>
      </c>
      <c r="H443" s="27" t="str">
        <f aca="false">IF(G443="","",IF(N(E443)=0,1,E443)*IFERROR(N(INDEX(Produtos!$G$5:$G$104,MATCH(D443,Produtos!$B$5:$B$104,0))),0))</f>
        <v/>
      </c>
      <c r="I443" s="27" t="str">
        <f aca="false">IF(G443="","",G443-H443)</f>
        <v/>
      </c>
      <c r="J443" s="42"/>
    </row>
    <row r="444" customFormat="false" ht="21" hidden="false" customHeight="true" outlineLevel="0" collapsed="false">
      <c r="B444" s="41"/>
      <c r="C444" s="9"/>
      <c r="D444" s="9"/>
      <c r="E444" s="42"/>
      <c r="F444" s="43"/>
      <c r="G444" s="27" t="str">
        <f aca="false">IF(OR(C444="",AND(D444="",F444="")),"",IF(N(E444)=0,1,E444)*IF(F444="",IFERROR(N(INDEX(Produtos!$L$5:$L$104,MATCH(D444,Produtos!$B$5:$B$104,0))),0),F444))</f>
        <v/>
      </c>
      <c r="H444" s="27" t="str">
        <f aca="false">IF(G444="","",IF(N(E444)=0,1,E444)*IFERROR(N(INDEX(Produtos!$G$5:$G$104,MATCH(D444,Produtos!$B$5:$B$104,0))),0))</f>
        <v/>
      </c>
      <c r="I444" s="27" t="str">
        <f aca="false">IF(G444="","",G444-H444)</f>
        <v/>
      </c>
      <c r="J444" s="42"/>
    </row>
    <row r="445" customFormat="false" ht="21" hidden="false" customHeight="true" outlineLevel="0" collapsed="false">
      <c r="B445" s="41"/>
      <c r="C445" s="9"/>
      <c r="D445" s="9"/>
      <c r="E445" s="42"/>
      <c r="F445" s="43"/>
      <c r="G445" s="27" t="str">
        <f aca="false">IF(OR(C445="",AND(D445="",F445="")),"",IF(N(E445)=0,1,E445)*IF(F445="",IFERROR(N(INDEX(Produtos!$L$5:$L$104,MATCH(D445,Produtos!$B$5:$B$104,0))),0),F445))</f>
        <v/>
      </c>
      <c r="H445" s="27" t="str">
        <f aca="false">IF(G445="","",IF(N(E445)=0,1,E445)*IFERROR(N(INDEX(Produtos!$G$5:$G$104,MATCH(D445,Produtos!$B$5:$B$104,0))),0))</f>
        <v/>
      </c>
      <c r="I445" s="27" t="str">
        <f aca="false">IF(G445="","",G445-H445)</f>
        <v/>
      </c>
      <c r="J445" s="42"/>
    </row>
    <row r="446" customFormat="false" ht="21" hidden="false" customHeight="true" outlineLevel="0" collapsed="false">
      <c r="B446" s="41"/>
      <c r="C446" s="9"/>
      <c r="D446" s="9"/>
      <c r="E446" s="42"/>
      <c r="F446" s="43"/>
      <c r="G446" s="27" t="str">
        <f aca="false">IF(OR(C446="",AND(D446="",F446="")),"",IF(N(E446)=0,1,E446)*IF(F446="",IFERROR(N(INDEX(Produtos!$L$5:$L$104,MATCH(D446,Produtos!$B$5:$B$104,0))),0),F446))</f>
        <v/>
      </c>
      <c r="H446" s="27" t="str">
        <f aca="false">IF(G446="","",IF(N(E446)=0,1,E446)*IFERROR(N(INDEX(Produtos!$G$5:$G$104,MATCH(D446,Produtos!$B$5:$B$104,0))),0))</f>
        <v/>
      </c>
      <c r="I446" s="27" t="str">
        <f aca="false">IF(G446="","",G446-H446)</f>
        <v/>
      </c>
      <c r="J446" s="42"/>
    </row>
    <row r="447" customFormat="false" ht="21" hidden="false" customHeight="true" outlineLevel="0" collapsed="false">
      <c r="B447" s="41"/>
      <c r="C447" s="9"/>
      <c r="D447" s="9"/>
      <c r="E447" s="42"/>
      <c r="F447" s="43"/>
      <c r="G447" s="27" t="str">
        <f aca="false">IF(OR(C447="",AND(D447="",F447="")),"",IF(N(E447)=0,1,E447)*IF(F447="",IFERROR(N(INDEX(Produtos!$L$5:$L$104,MATCH(D447,Produtos!$B$5:$B$104,0))),0),F447))</f>
        <v/>
      </c>
      <c r="H447" s="27" t="str">
        <f aca="false">IF(G447="","",IF(N(E447)=0,1,E447)*IFERROR(N(INDEX(Produtos!$G$5:$G$104,MATCH(D447,Produtos!$B$5:$B$104,0))),0))</f>
        <v/>
      </c>
      <c r="I447" s="27" t="str">
        <f aca="false">IF(G447="","",G447-H447)</f>
        <v/>
      </c>
      <c r="J447" s="42"/>
    </row>
    <row r="448" customFormat="false" ht="21" hidden="false" customHeight="true" outlineLevel="0" collapsed="false">
      <c r="B448" s="41"/>
      <c r="C448" s="9"/>
      <c r="D448" s="9"/>
      <c r="E448" s="42"/>
      <c r="F448" s="43"/>
      <c r="G448" s="27" t="str">
        <f aca="false">IF(OR(C448="",AND(D448="",F448="")),"",IF(N(E448)=0,1,E448)*IF(F448="",IFERROR(N(INDEX(Produtos!$L$5:$L$104,MATCH(D448,Produtos!$B$5:$B$104,0))),0),F448))</f>
        <v/>
      </c>
      <c r="H448" s="27" t="str">
        <f aca="false">IF(G448="","",IF(N(E448)=0,1,E448)*IFERROR(N(INDEX(Produtos!$G$5:$G$104,MATCH(D448,Produtos!$B$5:$B$104,0))),0))</f>
        <v/>
      </c>
      <c r="I448" s="27" t="str">
        <f aca="false">IF(G448="","",G448-H448)</f>
        <v/>
      </c>
      <c r="J448" s="42"/>
    </row>
    <row r="449" customFormat="false" ht="21" hidden="false" customHeight="true" outlineLevel="0" collapsed="false">
      <c r="B449" s="41"/>
      <c r="C449" s="9"/>
      <c r="D449" s="9"/>
      <c r="E449" s="42"/>
      <c r="F449" s="43"/>
      <c r="G449" s="27" t="str">
        <f aca="false">IF(OR(C449="",AND(D449="",F449="")),"",IF(N(E449)=0,1,E449)*IF(F449="",IFERROR(N(INDEX(Produtos!$L$5:$L$104,MATCH(D449,Produtos!$B$5:$B$104,0))),0),F449))</f>
        <v/>
      </c>
      <c r="H449" s="27" t="str">
        <f aca="false">IF(G449="","",IF(N(E449)=0,1,E449)*IFERROR(N(INDEX(Produtos!$G$5:$G$104,MATCH(D449,Produtos!$B$5:$B$104,0))),0))</f>
        <v/>
      </c>
      <c r="I449" s="27" t="str">
        <f aca="false">IF(G449="","",G449-H449)</f>
        <v/>
      </c>
      <c r="J449" s="42"/>
    </row>
    <row r="450" customFormat="false" ht="21" hidden="false" customHeight="true" outlineLevel="0" collapsed="false">
      <c r="B450" s="41"/>
      <c r="C450" s="9"/>
      <c r="D450" s="9"/>
      <c r="E450" s="42"/>
      <c r="F450" s="43"/>
      <c r="G450" s="27" t="str">
        <f aca="false">IF(OR(C450="",AND(D450="",F450="")),"",IF(N(E450)=0,1,E450)*IF(F450="",IFERROR(N(INDEX(Produtos!$L$5:$L$104,MATCH(D450,Produtos!$B$5:$B$104,0))),0),F450))</f>
        <v/>
      </c>
      <c r="H450" s="27" t="str">
        <f aca="false">IF(G450="","",IF(N(E450)=0,1,E450)*IFERROR(N(INDEX(Produtos!$G$5:$G$104,MATCH(D450,Produtos!$B$5:$B$104,0))),0))</f>
        <v/>
      </c>
      <c r="I450" s="27" t="str">
        <f aca="false">IF(G450="","",G450-H450)</f>
        <v/>
      </c>
      <c r="J450" s="42"/>
    </row>
    <row r="451" customFormat="false" ht="21" hidden="false" customHeight="true" outlineLevel="0" collapsed="false">
      <c r="B451" s="41"/>
      <c r="C451" s="9"/>
      <c r="D451" s="9"/>
      <c r="E451" s="42"/>
      <c r="F451" s="43"/>
      <c r="G451" s="27" t="str">
        <f aca="false">IF(OR(C451="",AND(D451="",F451="")),"",IF(N(E451)=0,1,E451)*IF(F451="",IFERROR(N(INDEX(Produtos!$L$5:$L$104,MATCH(D451,Produtos!$B$5:$B$104,0))),0),F451))</f>
        <v/>
      </c>
      <c r="H451" s="27" t="str">
        <f aca="false">IF(G451="","",IF(N(E451)=0,1,E451)*IFERROR(N(INDEX(Produtos!$G$5:$G$104,MATCH(D451,Produtos!$B$5:$B$104,0))),0))</f>
        <v/>
      </c>
      <c r="I451" s="27" t="str">
        <f aca="false">IF(G451="","",G451-H451)</f>
        <v/>
      </c>
      <c r="J451" s="42"/>
    </row>
    <row r="452" customFormat="false" ht="21" hidden="false" customHeight="true" outlineLevel="0" collapsed="false">
      <c r="B452" s="41"/>
      <c r="C452" s="9"/>
      <c r="D452" s="9"/>
      <c r="E452" s="42"/>
      <c r="F452" s="43"/>
      <c r="G452" s="27" t="str">
        <f aca="false">IF(OR(C452="",AND(D452="",F452="")),"",IF(N(E452)=0,1,E452)*IF(F452="",IFERROR(N(INDEX(Produtos!$L$5:$L$104,MATCH(D452,Produtos!$B$5:$B$104,0))),0),F452))</f>
        <v/>
      </c>
      <c r="H452" s="27" t="str">
        <f aca="false">IF(G452="","",IF(N(E452)=0,1,E452)*IFERROR(N(INDEX(Produtos!$G$5:$G$104,MATCH(D452,Produtos!$B$5:$B$104,0))),0))</f>
        <v/>
      </c>
      <c r="I452" s="27" t="str">
        <f aca="false">IF(G452="","",G452-H452)</f>
        <v/>
      </c>
      <c r="J452" s="42"/>
    </row>
    <row r="453" customFormat="false" ht="21" hidden="false" customHeight="true" outlineLevel="0" collapsed="false">
      <c r="B453" s="41"/>
      <c r="C453" s="9"/>
      <c r="D453" s="9"/>
      <c r="E453" s="42"/>
      <c r="F453" s="43"/>
      <c r="G453" s="27" t="str">
        <f aca="false">IF(OR(C453="",AND(D453="",F453="")),"",IF(N(E453)=0,1,E453)*IF(F453="",IFERROR(N(INDEX(Produtos!$L$5:$L$104,MATCH(D453,Produtos!$B$5:$B$104,0))),0),F453))</f>
        <v/>
      </c>
      <c r="H453" s="27" t="str">
        <f aca="false">IF(G453="","",IF(N(E453)=0,1,E453)*IFERROR(N(INDEX(Produtos!$G$5:$G$104,MATCH(D453,Produtos!$B$5:$B$104,0))),0))</f>
        <v/>
      </c>
      <c r="I453" s="27" t="str">
        <f aca="false">IF(G453="","",G453-H453)</f>
        <v/>
      </c>
      <c r="J453" s="42"/>
    </row>
    <row r="454" customFormat="false" ht="21" hidden="false" customHeight="true" outlineLevel="0" collapsed="false">
      <c r="B454" s="41"/>
      <c r="C454" s="9"/>
      <c r="D454" s="9"/>
      <c r="E454" s="42"/>
      <c r="F454" s="43"/>
      <c r="G454" s="27" t="str">
        <f aca="false">IF(OR(C454="",AND(D454="",F454="")),"",IF(N(E454)=0,1,E454)*IF(F454="",IFERROR(N(INDEX(Produtos!$L$5:$L$104,MATCH(D454,Produtos!$B$5:$B$104,0))),0),F454))</f>
        <v/>
      </c>
      <c r="H454" s="27" t="str">
        <f aca="false">IF(G454="","",IF(N(E454)=0,1,E454)*IFERROR(N(INDEX(Produtos!$G$5:$G$104,MATCH(D454,Produtos!$B$5:$B$104,0))),0))</f>
        <v/>
      </c>
      <c r="I454" s="27" t="str">
        <f aca="false">IF(G454="","",G454-H454)</f>
        <v/>
      </c>
      <c r="J454" s="42"/>
    </row>
    <row r="455" customFormat="false" ht="21" hidden="false" customHeight="true" outlineLevel="0" collapsed="false">
      <c r="B455" s="41"/>
      <c r="C455" s="9"/>
      <c r="D455" s="9"/>
      <c r="E455" s="42"/>
      <c r="F455" s="43"/>
      <c r="G455" s="27" t="str">
        <f aca="false">IF(OR(C455="",AND(D455="",F455="")),"",IF(N(E455)=0,1,E455)*IF(F455="",IFERROR(N(INDEX(Produtos!$L$5:$L$104,MATCH(D455,Produtos!$B$5:$B$104,0))),0),F455))</f>
        <v/>
      </c>
      <c r="H455" s="27" t="str">
        <f aca="false">IF(G455="","",IF(N(E455)=0,1,E455)*IFERROR(N(INDEX(Produtos!$G$5:$G$104,MATCH(D455,Produtos!$B$5:$B$104,0))),0))</f>
        <v/>
      </c>
      <c r="I455" s="27" t="str">
        <f aca="false">IF(G455="","",G455-H455)</f>
        <v/>
      </c>
      <c r="J455" s="42"/>
    </row>
    <row r="456" customFormat="false" ht="21" hidden="false" customHeight="true" outlineLevel="0" collapsed="false">
      <c r="B456" s="41"/>
      <c r="C456" s="9"/>
      <c r="D456" s="9"/>
      <c r="E456" s="42"/>
      <c r="F456" s="43"/>
      <c r="G456" s="27" t="str">
        <f aca="false">IF(OR(C456="",AND(D456="",F456="")),"",IF(N(E456)=0,1,E456)*IF(F456="",IFERROR(N(INDEX(Produtos!$L$5:$L$104,MATCH(D456,Produtos!$B$5:$B$104,0))),0),F456))</f>
        <v/>
      </c>
      <c r="H456" s="27" t="str">
        <f aca="false">IF(G456="","",IF(N(E456)=0,1,E456)*IFERROR(N(INDEX(Produtos!$G$5:$G$104,MATCH(D456,Produtos!$B$5:$B$104,0))),0))</f>
        <v/>
      </c>
      <c r="I456" s="27" t="str">
        <f aca="false">IF(G456="","",G456-H456)</f>
        <v/>
      </c>
      <c r="J456" s="42"/>
    </row>
    <row r="457" customFormat="false" ht="21" hidden="false" customHeight="true" outlineLevel="0" collapsed="false">
      <c r="B457" s="41"/>
      <c r="C457" s="9"/>
      <c r="D457" s="9"/>
      <c r="E457" s="42"/>
      <c r="F457" s="43"/>
      <c r="G457" s="27" t="str">
        <f aca="false">IF(OR(C457="",AND(D457="",F457="")),"",IF(N(E457)=0,1,E457)*IF(F457="",IFERROR(N(INDEX(Produtos!$L$5:$L$104,MATCH(D457,Produtos!$B$5:$B$104,0))),0),F457))</f>
        <v/>
      </c>
      <c r="H457" s="27" t="str">
        <f aca="false">IF(G457="","",IF(N(E457)=0,1,E457)*IFERROR(N(INDEX(Produtos!$G$5:$G$104,MATCH(D457,Produtos!$B$5:$B$104,0))),0))</f>
        <v/>
      </c>
      <c r="I457" s="27" t="str">
        <f aca="false">IF(G457="","",G457-H457)</f>
        <v/>
      </c>
      <c r="J457" s="42"/>
    </row>
    <row r="458" customFormat="false" ht="21" hidden="false" customHeight="true" outlineLevel="0" collapsed="false">
      <c r="B458" s="41"/>
      <c r="C458" s="9"/>
      <c r="D458" s="9"/>
      <c r="E458" s="42"/>
      <c r="F458" s="43"/>
      <c r="G458" s="27" t="str">
        <f aca="false">IF(OR(C458="",AND(D458="",F458="")),"",IF(N(E458)=0,1,E458)*IF(F458="",IFERROR(N(INDEX(Produtos!$L$5:$L$104,MATCH(D458,Produtos!$B$5:$B$104,0))),0),F458))</f>
        <v/>
      </c>
      <c r="H458" s="27" t="str">
        <f aca="false">IF(G458="","",IF(N(E458)=0,1,E458)*IFERROR(N(INDEX(Produtos!$G$5:$G$104,MATCH(D458,Produtos!$B$5:$B$104,0))),0))</f>
        <v/>
      </c>
      <c r="I458" s="27" t="str">
        <f aca="false">IF(G458="","",G458-H458)</f>
        <v/>
      </c>
      <c r="J458" s="42"/>
    </row>
    <row r="459" customFormat="false" ht="21" hidden="false" customHeight="true" outlineLevel="0" collapsed="false">
      <c r="B459" s="41"/>
      <c r="C459" s="9"/>
      <c r="D459" s="9"/>
      <c r="E459" s="42"/>
      <c r="F459" s="43"/>
      <c r="G459" s="27" t="str">
        <f aca="false">IF(OR(C459="",AND(D459="",F459="")),"",IF(N(E459)=0,1,E459)*IF(F459="",IFERROR(N(INDEX(Produtos!$L$5:$L$104,MATCH(D459,Produtos!$B$5:$B$104,0))),0),F459))</f>
        <v/>
      </c>
      <c r="H459" s="27" t="str">
        <f aca="false">IF(G459="","",IF(N(E459)=0,1,E459)*IFERROR(N(INDEX(Produtos!$G$5:$G$104,MATCH(D459,Produtos!$B$5:$B$104,0))),0))</f>
        <v/>
      </c>
      <c r="I459" s="27" t="str">
        <f aca="false">IF(G459="","",G459-H459)</f>
        <v/>
      </c>
      <c r="J459" s="42"/>
    </row>
    <row r="460" customFormat="false" ht="21" hidden="false" customHeight="true" outlineLevel="0" collapsed="false">
      <c r="B460" s="41"/>
      <c r="C460" s="9"/>
      <c r="D460" s="9"/>
      <c r="E460" s="42"/>
      <c r="F460" s="43"/>
      <c r="G460" s="27" t="str">
        <f aca="false">IF(OR(C460="",AND(D460="",F460="")),"",IF(N(E460)=0,1,E460)*IF(F460="",IFERROR(N(INDEX(Produtos!$L$5:$L$104,MATCH(D460,Produtos!$B$5:$B$104,0))),0),F460))</f>
        <v/>
      </c>
      <c r="H460" s="27" t="str">
        <f aca="false">IF(G460="","",IF(N(E460)=0,1,E460)*IFERROR(N(INDEX(Produtos!$G$5:$G$104,MATCH(D460,Produtos!$B$5:$B$104,0))),0))</f>
        <v/>
      </c>
      <c r="I460" s="27" t="str">
        <f aca="false">IF(G460="","",G460-H460)</f>
        <v/>
      </c>
      <c r="J460" s="42"/>
    </row>
    <row r="461" customFormat="false" ht="21" hidden="false" customHeight="true" outlineLevel="0" collapsed="false">
      <c r="B461" s="41"/>
      <c r="C461" s="9"/>
      <c r="D461" s="9"/>
      <c r="E461" s="42"/>
      <c r="F461" s="43"/>
      <c r="G461" s="27" t="str">
        <f aca="false">IF(OR(C461="",AND(D461="",F461="")),"",IF(N(E461)=0,1,E461)*IF(F461="",IFERROR(N(INDEX(Produtos!$L$5:$L$104,MATCH(D461,Produtos!$B$5:$B$104,0))),0),F461))</f>
        <v/>
      </c>
      <c r="H461" s="27" t="str">
        <f aca="false">IF(G461="","",IF(N(E461)=0,1,E461)*IFERROR(N(INDEX(Produtos!$G$5:$G$104,MATCH(D461,Produtos!$B$5:$B$104,0))),0))</f>
        <v/>
      </c>
      <c r="I461" s="27" t="str">
        <f aca="false">IF(G461="","",G461-H461)</f>
        <v/>
      </c>
      <c r="J461" s="42"/>
    </row>
    <row r="462" customFormat="false" ht="21" hidden="false" customHeight="true" outlineLevel="0" collapsed="false">
      <c r="B462" s="41"/>
      <c r="C462" s="9"/>
      <c r="D462" s="9"/>
      <c r="E462" s="42"/>
      <c r="F462" s="43"/>
      <c r="G462" s="27" t="str">
        <f aca="false">IF(OR(C462="",AND(D462="",F462="")),"",IF(N(E462)=0,1,E462)*IF(F462="",IFERROR(N(INDEX(Produtos!$L$5:$L$104,MATCH(D462,Produtos!$B$5:$B$104,0))),0),F462))</f>
        <v/>
      </c>
      <c r="H462" s="27" t="str">
        <f aca="false">IF(G462="","",IF(N(E462)=0,1,E462)*IFERROR(N(INDEX(Produtos!$G$5:$G$104,MATCH(D462,Produtos!$B$5:$B$104,0))),0))</f>
        <v/>
      </c>
      <c r="I462" s="27" t="str">
        <f aca="false">IF(G462="","",G462-H462)</f>
        <v/>
      </c>
      <c r="J462" s="42"/>
    </row>
    <row r="463" customFormat="false" ht="21" hidden="false" customHeight="true" outlineLevel="0" collapsed="false">
      <c r="B463" s="41"/>
      <c r="C463" s="9"/>
      <c r="D463" s="9"/>
      <c r="E463" s="42"/>
      <c r="F463" s="43"/>
      <c r="G463" s="27" t="str">
        <f aca="false">IF(OR(C463="",AND(D463="",F463="")),"",IF(N(E463)=0,1,E463)*IF(F463="",IFERROR(N(INDEX(Produtos!$L$5:$L$104,MATCH(D463,Produtos!$B$5:$B$104,0))),0),F463))</f>
        <v/>
      </c>
      <c r="H463" s="27" t="str">
        <f aca="false">IF(G463="","",IF(N(E463)=0,1,E463)*IFERROR(N(INDEX(Produtos!$G$5:$G$104,MATCH(D463,Produtos!$B$5:$B$104,0))),0))</f>
        <v/>
      </c>
      <c r="I463" s="27" t="str">
        <f aca="false">IF(G463="","",G463-H463)</f>
        <v/>
      </c>
      <c r="J463" s="42"/>
    </row>
    <row r="464" customFormat="false" ht="21" hidden="false" customHeight="true" outlineLevel="0" collapsed="false">
      <c r="B464" s="41"/>
      <c r="C464" s="9"/>
      <c r="D464" s="9"/>
      <c r="E464" s="42"/>
      <c r="F464" s="43"/>
      <c r="G464" s="27" t="str">
        <f aca="false">IF(OR(C464="",AND(D464="",F464="")),"",IF(N(E464)=0,1,E464)*IF(F464="",IFERROR(N(INDEX(Produtos!$L$5:$L$104,MATCH(D464,Produtos!$B$5:$B$104,0))),0),F464))</f>
        <v/>
      </c>
      <c r="H464" s="27" t="str">
        <f aca="false">IF(G464="","",IF(N(E464)=0,1,E464)*IFERROR(N(INDEX(Produtos!$G$5:$G$104,MATCH(D464,Produtos!$B$5:$B$104,0))),0))</f>
        <v/>
      </c>
      <c r="I464" s="27" t="str">
        <f aca="false">IF(G464="","",G464-H464)</f>
        <v/>
      </c>
      <c r="J464" s="42"/>
    </row>
    <row r="465" customFormat="false" ht="21" hidden="false" customHeight="true" outlineLevel="0" collapsed="false">
      <c r="B465" s="41"/>
      <c r="C465" s="9"/>
      <c r="D465" s="9"/>
      <c r="E465" s="42"/>
      <c r="F465" s="43"/>
      <c r="G465" s="27" t="str">
        <f aca="false">IF(OR(C465="",AND(D465="",F465="")),"",IF(N(E465)=0,1,E465)*IF(F465="",IFERROR(N(INDEX(Produtos!$L$5:$L$104,MATCH(D465,Produtos!$B$5:$B$104,0))),0),F465))</f>
        <v/>
      </c>
      <c r="H465" s="27" t="str">
        <f aca="false">IF(G465="","",IF(N(E465)=0,1,E465)*IFERROR(N(INDEX(Produtos!$G$5:$G$104,MATCH(D465,Produtos!$B$5:$B$104,0))),0))</f>
        <v/>
      </c>
      <c r="I465" s="27" t="str">
        <f aca="false">IF(G465="","",G465-H465)</f>
        <v/>
      </c>
      <c r="J465" s="42"/>
    </row>
    <row r="466" customFormat="false" ht="21" hidden="false" customHeight="true" outlineLevel="0" collapsed="false">
      <c r="B466" s="41"/>
      <c r="C466" s="9"/>
      <c r="D466" s="9"/>
      <c r="E466" s="42"/>
      <c r="F466" s="43"/>
      <c r="G466" s="27" t="str">
        <f aca="false">IF(OR(C466="",AND(D466="",F466="")),"",IF(N(E466)=0,1,E466)*IF(F466="",IFERROR(N(INDEX(Produtos!$L$5:$L$104,MATCH(D466,Produtos!$B$5:$B$104,0))),0),F466))</f>
        <v/>
      </c>
      <c r="H466" s="27" t="str">
        <f aca="false">IF(G466="","",IF(N(E466)=0,1,E466)*IFERROR(N(INDEX(Produtos!$G$5:$G$104,MATCH(D466,Produtos!$B$5:$B$104,0))),0))</f>
        <v/>
      </c>
      <c r="I466" s="27" t="str">
        <f aca="false">IF(G466="","",G466-H466)</f>
        <v/>
      </c>
      <c r="J466" s="42"/>
    </row>
    <row r="467" customFormat="false" ht="21" hidden="false" customHeight="true" outlineLevel="0" collapsed="false">
      <c r="B467" s="41"/>
      <c r="C467" s="9"/>
      <c r="D467" s="9"/>
      <c r="E467" s="42"/>
      <c r="F467" s="43"/>
      <c r="G467" s="27" t="str">
        <f aca="false">IF(OR(C467="",AND(D467="",F467="")),"",IF(N(E467)=0,1,E467)*IF(F467="",IFERROR(N(INDEX(Produtos!$L$5:$L$104,MATCH(D467,Produtos!$B$5:$B$104,0))),0),F467))</f>
        <v/>
      </c>
      <c r="H467" s="27" t="str">
        <f aca="false">IF(G467="","",IF(N(E467)=0,1,E467)*IFERROR(N(INDEX(Produtos!$G$5:$G$104,MATCH(D467,Produtos!$B$5:$B$104,0))),0))</f>
        <v/>
      </c>
      <c r="I467" s="27" t="str">
        <f aca="false">IF(G467="","",G467-H467)</f>
        <v/>
      </c>
      <c r="J467" s="42"/>
    </row>
    <row r="468" customFormat="false" ht="21" hidden="false" customHeight="true" outlineLevel="0" collapsed="false">
      <c r="B468" s="41"/>
      <c r="C468" s="9"/>
      <c r="D468" s="9"/>
      <c r="E468" s="42"/>
      <c r="F468" s="43"/>
      <c r="G468" s="27" t="str">
        <f aca="false">IF(OR(C468="",AND(D468="",F468="")),"",IF(N(E468)=0,1,E468)*IF(F468="",IFERROR(N(INDEX(Produtos!$L$5:$L$104,MATCH(D468,Produtos!$B$5:$B$104,0))),0),F468))</f>
        <v/>
      </c>
      <c r="H468" s="27" t="str">
        <f aca="false">IF(G468="","",IF(N(E468)=0,1,E468)*IFERROR(N(INDEX(Produtos!$G$5:$G$104,MATCH(D468,Produtos!$B$5:$B$104,0))),0))</f>
        <v/>
      </c>
      <c r="I468" s="27" t="str">
        <f aca="false">IF(G468="","",G468-H468)</f>
        <v/>
      </c>
      <c r="J468" s="42"/>
    </row>
    <row r="469" customFormat="false" ht="21" hidden="false" customHeight="true" outlineLevel="0" collapsed="false">
      <c r="B469" s="41"/>
      <c r="C469" s="9"/>
      <c r="D469" s="9"/>
      <c r="E469" s="42"/>
      <c r="F469" s="43"/>
      <c r="G469" s="27" t="str">
        <f aca="false">IF(OR(C469="",AND(D469="",F469="")),"",IF(N(E469)=0,1,E469)*IF(F469="",IFERROR(N(INDEX(Produtos!$L$5:$L$104,MATCH(D469,Produtos!$B$5:$B$104,0))),0),F469))</f>
        <v/>
      </c>
      <c r="H469" s="27" t="str">
        <f aca="false">IF(G469="","",IF(N(E469)=0,1,E469)*IFERROR(N(INDEX(Produtos!$G$5:$G$104,MATCH(D469,Produtos!$B$5:$B$104,0))),0))</f>
        <v/>
      </c>
      <c r="I469" s="27" t="str">
        <f aca="false">IF(G469="","",G469-H469)</f>
        <v/>
      </c>
      <c r="J469" s="42"/>
    </row>
    <row r="470" customFormat="false" ht="21" hidden="false" customHeight="true" outlineLevel="0" collapsed="false">
      <c r="B470" s="41"/>
      <c r="C470" s="9"/>
      <c r="D470" s="9"/>
      <c r="E470" s="42"/>
      <c r="F470" s="43"/>
      <c r="G470" s="27" t="str">
        <f aca="false">IF(OR(C470="",AND(D470="",F470="")),"",IF(N(E470)=0,1,E470)*IF(F470="",IFERROR(N(INDEX(Produtos!$L$5:$L$104,MATCH(D470,Produtos!$B$5:$B$104,0))),0),F470))</f>
        <v/>
      </c>
      <c r="H470" s="27" t="str">
        <f aca="false">IF(G470="","",IF(N(E470)=0,1,E470)*IFERROR(N(INDEX(Produtos!$G$5:$G$104,MATCH(D470,Produtos!$B$5:$B$104,0))),0))</f>
        <v/>
      </c>
      <c r="I470" s="27" t="str">
        <f aca="false">IF(G470="","",G470-H470)</f>
        <v/>
      </c>
      <c r="J470" s="42"/>
    </row>
    <row r="471" customFormat="false" ht="21" hidden="false" customHeight="true" outlineLevel="0" collapsed="false">
      <c r="B471" s="41"/>
      <c r="C471" s="9"/>
      <c r="D471" s="9"/>
      <c r="E471" s="42"/>
      <c r="F471" s="43"/>
      <c r="G471" s="27" t="str">
        <f aca="false">IF(OR(C471="",AND(D471="",F471="")),"",IF(N(E471)=0,1,E471)*IF(F471="",IFERROR(N(INDEX(Produtos!$L$5:$L$104,MATCH(D471,Produtos!$B$5:$B$104,0))),0),F471))</f>
        <v/>
      </c>
      <c r="H471" s="27" t="str">
        <f aca="false">IF(G471="","",IF(N(E471)=0,1,E471)*IFERROR(N(INDEX(Produtos!$G$5:$G$104,MATCH(D471,Produtos!$B$5:$B$104,0))),0))</f>
        <v/>
      </c>
      <c r="I471" s="27" t="str">
        <f aca="false">IF(G471="","",G471-H471)</f>
        <v/>
      </c>
      <c r="J471" s="42"/>
    </row>
    <row r="472" customFormat="false" ht="21" hidden="false" customHeight="true" outlineLevel="0" collapsed="false">
      <c r="B472" s="41"/>
      <c r="C472" s="9"/>
      <c r="D472" s="9"/>
      <c r="E472" s="42"/>
      <c r="F472" s="43"/>
      <c r="G472" s="27" t="str">
        <f aca="false">IF(OR(C472="",AND(D472="",F472="")),"",IF(N(E472)=0,1,E472)*IF(F472="",IFERROR(N(INDEX(Produtos!$L$5:$L$104,MATCH(D472,Produtos!$B$5:$B$104,0))),0),F472))</f>
        <v/>
      </c>
      <c r="H472" s="27" t="str">
        <f aca="false">IF(G472="","",IF(N(E472)=0,1,E472)*IFERROR(N(INDEX(Produtos!$G$5:$G$104,MATCH(D472,Produtos!$B$5:$B$104,0))),0))</f>
        <v/>
      </c>
      <c r="I472" s="27" t="str">
        <f aca="false">IF(G472="","",G472-H472)</f>
        <v/>
      </c>
      <c r="J472" s="42"/>
    </row>
    <row r="473" customFormat="false" ht="21" hidden="false" customHeight="true" outlineLevel="0" collapsed="false">
      <c r="B473" s="41"/>
      <c r="C473" s="9"/>
      <c r="D473" s="9"/>
      <c r="E473" s="42"/>
      <c r="F473" s="43"/>
      <c r="G473" s="27" t="str">
        <f aca="false">IF(OR(C473="",AND(D473="",F473="")),"",IF(N(E473)=0,1,E473)*IF(F473="",IFERROR(N(INDEX(Produtos!$L$5:$L$104,MATCH(D473,Produtos!$B$5:$B$104,0))),0),F473))</f>
        <v/>
      </c>
      <c r="H473" s="27" t="str">
        <f aca="false">IF(G473="","",IF(N(E473)=0,1,E473)*IFERROR(N(INDEX(Produtos!$G$5:$G$104,MATCH(D473,Produtos!$B$5:$B$104,0))),0))</f>
        <v/>
      </c>
      <c r="I473" s="27" t="str">
        <f aca="false">IF(G473="","",G473-H473)</f>
        <v/>
      </c>
      <c r="J473" s="42"/>
    </row>
    <row r="474" customFormat="false" ht="21" hidden="false" customHeight="true" outlineLevel="0" collapsed="false">
      <c r="B474" s="41"/>
      <c r="C474" s="9"/>
      <c r="D474" s="9"/>
      <c r="E474" s="42"/>
      <c r="F474" s="43"/>
      <c r="G474" s="27" t="str">
        <f aca="false">IF(OR(C474="",AND(D474="",F474="")),"",IF(N(E474)=0,1,E474)*IF(F474="",IFERROR(N(INDEX(Produtos!$L$5:$L$104,MATCH(D474,Produtos!$B$5:$B$104,0))),0),F474))</f>
        <v/>
      </c>
      <c r="H474" s="27" t="str">
        <f aca="false">IF(G474="","",IF(N(E474)=0,1,E474)*IFERROR(N(INDEX(Produtos!$G$5:$G$104,MATCH(D474,Produtos!$B$5:$B$104,0))),0))</f>
        <v/>
      </c>
      <c r="I474" s="27" t="str">
        <f aca="false">IF(G474="","",G474-H474)</f>
        <v/>
      </c>
      <c r="J474" s="42"/>
    </row>
    <row r="475" customFormat="false" ht="21" hidden="false" customHeight="true" outlineLevel="0" collapsed="false">
      <c r="B475" s="41"/>
      <c r="C475" s="9"/>
      <c r="D475" s="9"/>
      <c r="E475" s="42"/>
      <c r="F475" s="43"/>
      <c r="G475" s="27" t="str">
        <f aca="false">IF(OR(C475="",AND(D475="",F475="")),"",IF(N(E475)=0,1,E475)*IF(F475="",IFERROR(N(INDEX(Produtos!$L$5:$L$104,MATCH(D475,Produtos!$B$5:$B$104,0))),0),F475))</f>
        <v/>
      </c>
      <c r="H475" s="27" t="str">
        <f aca="false">IF(G475="","",IF(N(E475)=0,1,E475)*IFERROR(N(INDEX(Produtos!$G$5:$G$104,MATCH(D475,Produtos!$B$5:$B$104,0))),0))</f>
        <v/>
      </c>
      <c r="I475" s="27" t="str">
        <f aca="false">IF(G475="","",G475-H475)</f>
        <v/>
      </c>
      <c r="J475" s="42"/>
    </row>
    <row r="476" customFormat="false" ht="21" hidden="false" customHeight="true" outlineLevel="0" collapsed="false">
      <c r="B476" s="41"/>
      <c r="C476" s="9"/>
      <c r="D476" s="9"/>
      <c r="E476" s="42"/>
      <c r="F476" s="43"/>
      <c r="G476" s="27" t="str">
        <f aca="false">IF(OR(C476="",AND(D476="",F476="")),"",IF(N(E476)=0,1,E476)*IF(F476="",IFERROR(N(INDEX(Produtos!$L$5:$L$104,MATCH(D476,Produtos!$B$5:$B$104,0))),0),F476))</f>
        <v/>
      </c>
      <c r="H476" s="27" t="str">
        <f aca="false">IF(G476="","",IF(N(E476)=0,1,E476)*IFERROR(N(INDEX(Produtos!$G$5:$G$104,MATCH(D476,Produtos!$B$5:$B$104,0))),0))</f>
        <v/>
      </c>
      <c r="I476" s="27" t="str">
        <f aca="false">IF(G476="","",G476-H476)</f>
        <v/>
      </c>
      <c r="J476" s="42"/>
    </row>
    <row r="477" customFormat="false" ht="21" hidden="false" customHeight="true" outlineLevel="0" collapsed="false">
      <c r="B477" s="41"/>
      <c r="C477" s="9"/>
      <c r="D477" s="9"/>
      <c r="E477" s="42"/>
      <c r="F477" s="43"/>
      <c r="G477" s="27" t="str">
        <f aca="false">IF(OR(C477="",AND(D477="",F477="")),"",IF(N(E477)=0,1,E477)*IF(F477="",IFERROR(N(INDEX(Produtos!$L$5:$L$104,MATCH(D477,Produtos!$B$5:$B$104,0))),0),F477))</f>
        <v/>
      </c>
      <c r="H477" s="27" t="str">
        <f aca="false">IF(G477="","",IF(N(E477)=0,1,E477)*IFERROR(N(INDEX(Produtos!$G$5:$G$104,MATCH(D477,Produtos!$B$5:$B$104,0))),0))</f>
        <v/>
      </c>
      <c r="I477" s="27" t="str">
        <f aca="false">IF(G477="","",G477-H477)</f>
        <v/>
      </c>
      <c r="J477" s="42"/>
    </row>
    <row r="478" customFormat="false" ht="21" hidden="false" customHeight="true" outlineLevel="0" collapsed="false">
      <c r="B478" s="41"/>
      <c r="C478" s="9"/>
      <c r="D478" s="9"/>
      <c r="E478" s="42"/>
      <c r="F478" s="43"/>
      <c r="G478" s="27" t="str">
        <f aca="false">IF(OR(C478="",AND(D478="",F478="")),"",IF(N(E478)=0,1,E478)*IF(F478="",IFERROR(N(INDEX(Produtos!$L$5:$L$104,MATCH(D478,Produtos!$B$5:$B$104,0))),0),F478))</f>
        <v/>
      </c>
      <c r="H478" s="27" t="str">
        <f aca="false">IF(G478="","",IF(N(E478)=0,1,E478)*IFERROR(N(INDEX(Produtos!$G$5:$G$104,MATCH(D478,Produtos!$B$5:$B$104,0))),0))</f>
        <v/>
      </c>
      <c r="I478" s="27" t="str">
        <f aca="false">IF(G478="","",G478-H478)</f>
        <v/>
      </c>
      <c r="J478" s="42"/>
    </row>
    <row r="479" customFormat="false" ht="21" hidden="false" customHeight="true" outlineLevel="0" collapsed="false">
      <c r="B479" s="41"/>
      <c r="C479" s="9"/>
      <c r="D479" s="9"/>
      <c r="E479" s="42"/>
      <c r="F479" s="43"/>
      <c r="G479" s="27" t="str">
        <f aca="false">IF(OR(C479="",AND(D479="",F479="")),"",IF(N(E479)=0,1,E479)*IF(F479="",IFERROR(N(INDEX(Produtos!$L$5:$L$104,MATCH(D479,Produtos!$B$5:$B$104,0))),0),F479))</f>
        <v/>
      </c>
      <c r="H479" s="27" t="str">
        <f aca="false">IF(G479="","",IF(N(E479)=0,1,E479)*IFERROR(N(INDEX(Produtos!$G$5:$G$104,MATCH(D479,Produtos!$B$5:$B$104,0))),0))</f>
        <v/>
      </c>
      <c r="I479" s="27" t="str">
        <f aca="false">IF(G479="","",G479-H479)</f>
        <v/>
      </c>
      <c r="J479" s="42"/>
    </row>
    <row r="480" customFormat="false" ht="21" hidden="false" customHeight="true" outlineLevel="0" collapsed="false">
      <c r="B480" s="41"/>
      <c r="C480" s="9"/>
      <c r="D480" s="9"/>
      <c r="E480" s="42"/>
      <c r="F480" s="43"/>
      <c r="G480" s="27" t="str">
        <f aca="false">IF(OR(C480="",AND(D480="",F480="")),"",IF(N(E480)=0,1,E480)*IF(F480="",IFERROR(N(INDEX(Produtos!$L$5:$L$104,MATCH(D480,Produtos!$B$5:$B$104,0))),0),F480))</f>
        <v/>
      </c>
      <c r="H480" s="27" t="str">
        <f aca="false">IF(G480="","",IF(N(E480)=0,1,E480)*IFERROR(N(INDEX(Produtos!$G$5:$G$104,MATCH(D480,Produtos!$B$5:$B$104,0))),0))</f>
        <v/>
      </c>
      <c r="I480" s="27" t="str">
        <f aca="false">IF(G480="","",G480-H480)</f>
        <v/>
      </c>
      <c r="J480" s="42"/>
    </row>
    <row r="481" customFormat="false" ht="21" hidden="false" customHeight="true" outlineLevel="0" collapsed="false">
      <c r="B481" s="41"/>
      <c r="C481" s="9"/>
      <c r="D481" s="9"/>
      <c r="E481" s="42"/>
      <c r="F481" s="43"/>
      <c r="G481" s="27" t="str">
        <f aca="false">IF(OR(C481="",AND(D481="",F481="")),"",IF(N(E481)=0,1,E481)*IF(F481="",IFERROR(N(INDEX(Produtos!$L$5:$L$104,MATCH(D481,Produtos!$B$5:$B$104,0))),0),F481))</f>
        <v/>
      </c>
      <c r="H481" s="27" t="str">
        <f aca="false">IF(G481="","",IF(N(E481)=0,1,E481)*IFERROR(N(INDEX(Produtos!$G$5:$G$104,MATCH(D481,Produtos!$B$5:$B$104,0))),0))</f>
        <v/>
      </c>
      <c r="I481" s="27" t="str">
        <f aca="false">IF(G481="","",G481-H481)</f>
        <v/>
      </c>
      <c r="J481" s="42"/>
    </row>
    <row r="482" customFormat="false" ht="21" hidden="false" customHeight="true" outlineLevel="0" collapsed="false">
      <c r="B482" s="41"/>
      <c r="C482" s="9"/>
      <c r="D482" s="9"/>
      <c r="E482" s="42"/>
      <c r="F482" s="43"/>
      <c r="G482" s="27" t="str">
        <f aca="false">IF(OR(C482="",AND(D482="",F482="")),"",IF(N(E482)=0,1,E482)*IF(F482="",IFERROR(N(INDEX(Produtos!$L$5:$L$104,MATCH(D482,Produtos!$B$5:$B$104,0))),0),F482))</f>
        <v/>
      </c>
      <c r="H482" s="27" t="str">
        <f aca="false">IF(G482="","",IF(N(E482)=0,1,E482)*IFERROR(N(INDEX(Produtos!$G$5:$G$104,MATCH(D482,Produtos!$B$5:$B$104,0))),0))</f>
        <v/>
      </c>
      <c r="I482" s="27" t="str">
        <f aca="false">IF(G482="","",G482-H482)</f>
        <v/>
      </c>
      <c r="J482" s="42"/>
    </row>
    <row r="483" customFormat="false" ht="21" hidden="false" customHeight="true" outlineLevel="0" collapsed="false">
      <c r="B483" s="41"/>
      <c r="C483" s="9"/>
      <c r="D483" s="9"/>
      <c r="E483" s="42"/>
      <c r="F483" s="43"/>
      <c r="G483" s="27" t="str">
        <f aca="false">IF(OR(C483="",AND(D483="",F483="")),"",IF(N(E483)=0,1,E483)*IF(F483="",IFERROR(N(INDEX(Produtos!$L$5:$L$104,MATCH(D483,Produtos!$B$5:$B$104,0))),0),F483))</f>
        <v/>
      </c>
      <c r="H483" s="27" t="str">
        <f aca="false">IF(G483="","",IF(N(E483)=0,1,E483)*IFERROR(N(INDEX(Produtos!$G$5:$G$104,MATCH(D483,Produtos!$B$5:$B$104,0))),0))</f>
        <v/>
      </c>
      <c r="I483" s="27" t="str">
        <f aca="false">IF(G483="","",G483-H483)</f>
        <v/>
      </c>
      <c r="J483" s="42"/>
    </row>
    <row r="484" customFormat="false" ht="21" hidden="false" customHeight="true" outlineLevel="0" collapsed="false">
      <c r="B484" s="41"/>
      <c r="C484" s="9"/>
      <c r="D484" s="9"/>
      <c r="E484" s="42"/>
      <c r="F484" s="43"/>
      <c r="G484" s="27" t="str">
        <f aca="false">IF(OR(C484="",AND(D484="",F484="")),"",IF(N(E484)=0,1,E484)*IF(F484="",IFERROR(N(INDEX(Produtos!$L$5:$L$104,MATCH(D484,Produtos!$B$5:$B$104,0))),0),F484))</f>
        <v/>
      </c>
      <c r="H484" s="27" t="str">
        <f aca="false">IF(G484="","",IF(N(E484)=0,1,E484)*IFERROR(N(INDEX(Produtos!$G$5:$G$104,MATCH(D484,Produtos!$B$5:$B$104,0))),0))</f>
        <v/>
      </c>
      <c r="I484" s="27" t="str">
        <f aca="false">IF(G484="","",G484-H484)</f>
        <v/>
      </c>
      <c r="J484" s="42"/>
    </row>
    <row r="485" customFormat="false" ht="21" hidden="false" customHeight="true" outlineLevel="0" collapsed="false">
      <c r="B485" s="41"/>
      <c r="C485" s="9"/>
      <c r="D485" s="9"/>
      <c r="E485" s="42"/>
      <c r="F485" s="43"/>
      <c r="G485" s="27" t="str">
        <f aca="false">IF(OR(C485="",AND(D485="",F485="")),"",IF(N(E485)=0,1,E485)*IF(F485="",IFERROR(N(INDEX(Produtos!$L$5:$L$104,MATCH(D485,Produtos!$B$5:$B$104,0))),0),F485))</f>
        <v/>
      </c>
      <c r="H485" s="27" t="str">
        <f aca="false">IF(G485="","",IF(N(E485)=0,1,E485)*IFERROR(N(INDEX(Produtos!$G$5:$G$104,MATCH(D485,Produtos!$B$5:$B$104,0))),0))</f>
        <v/>
      </c>
      <c r="I485" s="27" t="str">
        <f aca="false">IF(G485="","",G485-H485)</f>
        <v/>
      </c>
      <c r="J485" s="42"/>
    </row>
    <row r="486" customFormat="false" ht="21" hidden="false" customHeight="true" outlineLevel="0" collapsed="false">
      <c r="B486" s="41"/>
      <c r="C486" s="9"/>
      <c r="D486" s="9"/>
      <c r="E486" s="42"/>
      <c r="F486" s="43"/>
      <c r="G486" s="27" t="str">
        <f aca="false">IF(OR(C486="",AND(D486="",F486="")),"",IF(N(E486)=0,1,E486)*IF(F486="",IFERROR(N(INDEX(Produtos!$L$5:$L$104,MATCH(D486,Produtos!$B$5:$B$104,0))),0),F486))</f>
        <v/>
      </c>
      <c r="H486" s="27" t="str">
        <f aca="false">IF(G486="","",IF(N(E486)=0,1,E486)*IFERROR(N(INDEX(Produtos!$G$5:$G$104,MATCH(D486,Produtos!$B$5:$B$104,0))),0))</f>
        <v/>
      </c>
      <c r="I486" s="27" t="str">
        <f aca="false">IF(G486="","",G486-H486)</f>
        <v/>
      </c>
      <c r="J486" s="42"/>
    </row>
    <row r="487" customFormat="false" ht="21" hidden="false" customHeight="true" outlineLevel="0" collapsed="false">
      <c r="B487" s="41"/>
      <c r="C487" s="9"/>
      <c r="D487" s="9"/>
      <c r="E487" s="42"/>
      <c r="F487" s="43"/>
      <c r="G487" s="27" t="str">
        <f aca="false">IF(OR(C487="",AND(D487="",F487="")),"",IF(N(E487)=0,1,E487)*IF(F487="",IFERROR(N(INDEX(Produtos!$L$5:$L$104,MATCH(D487,Produtos!$B$5:$B$104,0))),0),F487))</f>
        <v/>
      </c>
      <c r="H487" s="27" t="str">
        <f aca="false">IF(G487="","",IF(N(E487)=0,1,E487)*IFERROR(N(INDEX(Produtos!$G$5:$G$104,MATCH(D487,Produtos!$B$5:$B$104,0))),0))</f>
        <v/>
      </c>
      <c r="I487" s="27" t="str">
        <f aca="false">IF(G487="","",G487-H487)</f>
        <v/>
      </c>
      <c r="J487" s="42"/>
    </row>
    <row r="488" customFormat="false" ht="21" hidden="false" customHeight="true" outlineLevel="0" collapsed="false">
      <c r="B488" s="41"/>
      <c r="C488" s="9"/>
      <c r="D488" s="9"/>
      <c r="E488" s="42"/>
      <c r="F488" s="43"/>
      <c r="G488" s="27" t="str">
        <f aca="false">IF(OR(C488="",AND(D488="",F488="")),"",IF(N(E488)=0,1,E488)*IF(F488="",IFERROR(N(INDEX(Produtos!$L$5:$L$104,MATCH(D488,Produtos!$B$5:$B$104,0))),0),F488))</f>
        <v/>
      </c>
      <c r="H488" s="27" t="str">
        <f aca="false">IF(G488="","",IF(N(E488)=0,1,E488)*IFERROR(N(INDEX(Produtos!$G$5:$G$104,MATCH(D488,Produtos!$B$5:$B$104,0))),0))</f>
        <v/>
      </c>
      <c r="I488" s="27" t="str">
        <f aca="false">IF(G488="","",G488-H488)</f>
        <v/>
      </c>
      <c r="J488" s="42"/>
    </row>
    <row r="489" customFormat="false" ht="21" hidden="false" customHeight="true" outlineLevel="0" collapsed="false">
      <c r="B489" s="41"/>
      <c r="C489" s="9"/>
      <c r="D489" s="9"/>
      <c r="E489" s="42"/>
      <c r="F489" s="43"/>
      <c r="G489" s="27" t="str">
        <f aca="false">IF(OR(C489="",AND(D489="",F489="")),"",IF(N(E489)=0,1,E489)*IF(F489="",IFERROR(N(INDEX(Produtos!$L$5:$L$104,MATCH(D489,Produtos!$B$5:$B$104,0))),0),F489))</f>
        <v/>
      </c>
      <c r="H489" s="27" t="str">
        <f aca="false">IF(G489="","",IF(N(E489)=0,1,E489)*IFERROR(N(INDEX(Produtos!$G$5:$G$104,MATCH(D489,Produtos!$B$5:$B$104,0))),0))</f>
        <v/>
      </c>
      <c r="I489" s="27" t="str">
        <f aca="false">IF(G489="","",G489-H489)</f>
        <v/>
      </c>
      <c r="J489" s="42"/>
    </row>
    <row r="490" customFormat="false" ht="21" hidden="false" customHeight="true" outlineLevel="0" collapsed="false">
      <c r="B490" s="41"/>
      <c r="C490" s="9"/>
      <c r="D490" s="9"/>
      <c r="E490" s="42"/>
      <c r="F490" s="43"/>
      <c r="G490" s="27" t="str">
        <f aca="false">IF(OR(C490="",AND(D490="",F490="")),"",IF(N(E490)=0,1,E490)*IF(F490="",IFERROR(N(INDEX(Produtos!$L$5:$L$104,MATCH(D490,Produtos!$B$5:$B$104,0))),0),F490))</f>
        <v/>
      </c>
      <c r="H490" s="27" t="str">
        <f aca="false">IF(G490="","",IF(N(E490)=0,1,E490)*IFERROR(N(INDEX(Produtos!$G$5:$G$104,MATCH(D490,Produtos!$B$5:$B$104,0))),0))</f>
        <v/>
      </c>
      <c r="I490" s="27" t="str">
        <f aca="false">IF(G490="","",G490-H490)</f>
        <v/>
      </c>
      <c r="J490" s="42"/>
    </row>
    <row r="491" customFormat="false" ht="21" hidden="false" customHeight="true" outlineLevel="0" collapsed="false">
      <c r="B491" s="41"/>
      <c r="C491" s="9"/>
      <c r="D491" s="9"/>
      <c r="E491" s="42"/>
      <c r="F491" s="43"/>
      <c r="G491" s="27" t="str">
        <f aca="false">IF(OR(C491="",AND(D491="",F491="")),"",IF(N(E491)=0,1,E491)*IF(F491="",IFERROR(N(INDEX(Produtos!$L$5:$L$104,MATCH(D491,Produtos!$B$5:$B$104,0))),0),F491))</f>
        <v/>
      </c>
      <c r="H491" s="27" t="str">
        <f aca="false">IF(G491="","",IF(N(E491)=0,1,E491)*IFERROR(N(INDEX(Produtos!$G$5:$G$104,MATCH(D491,Produtos!$B$5:$B$104,0))),0))</f>
        <v/>
      </c>
      <c r="I491" s="27" t="str">
        <f aca="false">IF(G491="","",G491-H491)</f>
        <v/>
      </c>
      <c r="J491" s="42"/>
    </row>
    <row r="492" customFormat="false" ht="21" hidden="false" customHeight="true" outlineLevel="0" collapsed="false">
      <c r="B492" s="41"/>
      <c r="C492" s="9"/>
      <c r="D492" s="9"/>
      <c r="E492" s="42"/>
      <c r="F492" s="43"/>
      <c r="G492" s="27" t="str">
        <f aca="false">IF(OR(C492="",AND(D492="",F492="")),"",IF(N(E492)=0,1,E492)*IF(F492="",IFERROR(N(INDEX(Produtos!$L$5:$L$104,MATCH(D492,Produtos!$B$5:$B$104,0))),0),F492))</f>
        <v/>
      </c>
      <c r="H492" s="27" t="str">
        <f aca="false">IF(G492="","",IF(N(E492)=0,1,E492)*IFERROR(N(INDEX(Produtos!$G$5:$G$104,MATCH(D492,Produtos!$B$5:$B$104,0))),0))</f>
        <v/>
      </c>
      <c r="I492" s="27" t="str">
        <f aca="false">IF(G492="","",G492-H492)</f>
        <v/>
      </c>
      <c r="J492" s="42"/>
    </row>
    <row r="493" customFormat="false" ht="21" hidden="false" customHeight="true" outlineLevel="0" collapsed="false">
      <c r="B493" s="41"/>
      <c r="C493" s="9"/>
      <c r="D493" s="9"/>
      <c r="E493" s="42"/>
      <c r="F493" s="43"/>
      <c r="G493" s="27" t="str">
        <f aca="false">IF(OR(C493="",AND(D493="",F493="")),"",IF(N(E493)=0,1,E493)*IF(F493="",IFERROR(N(INDEX(Produtos!$L$5:$L$104,MATCH(D493,Produtos!$B$5:$B$104,0))),0),F493))</f>
        <v/>
      </c>
      <c r="H493" s="27" t="str">
        <f aca="false">IF(G493="","",IF(N(E493)=0,1,E493)*IFERROR(N(INDEX(Produtos!$G$5:$G$104,MATCH(D493,Produtos!$B$5:$B$104,0))),0))</f>
        <v/>
      </c>
      <c r="I493" s="27" t="str">
        <f aca="false">IF(G493="","",G493-H493)</f>
        <v/>
      </c>
      <c r="J493" s="42"/>
    </row>
    <row r="494" customFormat="false" ht="21" hidden="false" customHeight="true" outlineLevel="0" collapsed="false">
      <c r="B494" s="41"/>
      <c r="C494" s="9"/>
      <c r="D494" s="9"/>
      <c r="E494" s="42"/>
      <c r="F494" s="43"/>
      <c r="G494" s="27" t="str">
        <f aca="false">IF(OR(C494="",AND(D494="",F494="")),"",IF(N(E494)=0,1,E494)*IF(F494="",IFERROR(N(INDEX(Produtos!$L$5:$L$104,MATCH(D494,Produtos!$B$5:$B$104,0))),0),F494))</f>
        <v/>
      </c>
      <c r="H494" s="27" t="str">
        <f aca="false">IF(G494="","",IF(N(E494)=0,1,E494)*IFERROR(N(INDEX(Produtos!$G$5:$G$104,MATCH(D494,Produtos!$B$5:$B$104,0))),0))</f>
        <v/>
      </c>
      <c r="I494" s="27" t="str">
        <f aca="false">IF(G494="","",G494-H494)</f>
        <v/>
      </c>
      <c r="J494" s="42"/>
    </row>
    <row r="495" customFormat="false" ht="21" hidden="false" customHeight="true" outlineLevel="0" collapsed="false">
      <c r="B495" s="41"/>
      <c r="C495" s="9"/>
      <c r="D495" s="9"/>
      <c r="E495" s="42"/>
      <c r="F495" s="43"/>
      <c r="G495" s="27" t="str">
        <f aca="false">IF(OR(C495="",AND(D495="",F495="")),"",IF(N(E495)=0,1,E495)*IF(F495="",IFERROR(N(INDEX(Produtos!$L$5:$L$104,MATCH(D495,Produtos!$B$5:$B$104,0))),0),F495))</f>
        <v/>
      </c>
      <c r="H495" s="27" t="str">
        <f aca="false">IF(G495="","",IF(N(E495)=0,1,E495)*IFERROR(N(INDEX(Produtos!$G$5:$G$104,MATCH(D495,Produtos!$B$5:$B$104,0))),0))</f>
        <v/>
      </c>
      <c r="I495" s="27" t="str">
        <f aca="false">IF(G495="","",G495-H495)</f>
        <v/>
      </c>
      <c r="J495" s="42"/>
    </row>
    <row r="496" customFormat="false" ht="21" hidden="false" customHeight="true" outlineLevel="0" collapsed="false">
      <c r="B496" s="41"/>
      <c r="C496" s="9"/>
      <c r="D496" s="9"/>
      <c r="E496" s="42"/>
      <c r="F496" s="43"/>
      <c r="G496" s="27" t="str">
        <f aca="false">IF(OR(C496="",AND(D496="",F496="")),"",IF(N(E496)=0,1,E496)*IF(F496="",IFERROR(N(INDEX(Produtos!$L$5:$L$104,MATCH(D496,Produtos!$B$5:$B$104,0))),0),F496))</f>
        <v/>
      </c>
      <c r="H496" s="27" t="str">
        <f aca="false">IF(G496="","",IF(N(E496)=0,1,E496)*IFERROR(N(INDEX(Produtos!$G$5:$G$104,MATCH(D496,Produtos!$B$5:$B$104,0))),0))</f>
        <v/>
      </c>
      <c r="I496" s="27" t="str">
        <f aca="false">IF(G496="","",G496-H496)</f>
        <v/>
      </c>
      <c r="J496" s="42"/>
    </row>
    <row r="497" customFormat="false" ht="21" hidden="false" customHeight="true" outlineLevel="0" collapsed="false">
      <c r="B497" s="41"/>
      <c r="C497" s="9"/>
      <c r="D497" s="9"/>
      <c r="E497" s="42"/>
      <c r="F497" s="43"/>
      <c r="G497" s="27" t="str">
        <f aca="false">IF(OR(C497="",AND(D497="",F497="")),"",IF(N(E497)=0,1,E497)*IF(F497="",IFERROR(N(INDEX(Produtos!$L$5:$L$104,MATCH(D497,Produtos!$B$5:$B$104,0))),0),F497))</f>
        <v/>
      </c>
      <c r="H497" s="27" t="str">
        <f aca="false">IF(G497="","",IF(N(E497)=0,1,E497)*IFERROR(N(INDEX(Produtos!$G$5:$G$104,MATCH(D497,Produtos!$B$5:$B$104,0))),0))</f>
        <v/>
      </c>
      <c r="I497" s="27" t="str">
        <f aca="false">IF(G497="","",G497-H497)</f>
        <v/>
      </c>
      <c r="J497" s="42"/>
    </row>
    <row r="498" customFormat="false" ht="21" hidden="false" customHeight="true" outlineLevel="0" collapsed="false">
      <c r="B498" s="41"/>
      <c r="C498" s="9"/>
      <c r="D498" s="9"/>
      <c r="E498" s="42"/>
      <c r="F498" s="43"/>
      <c r="G498" s="27" t="str">
        <f aca="false">IF(OR(C498="",AND(D498="",F498="")),"",IF(N(E498)=0,1,E498)*IF(F498="",IFERROR(N(INDEX(Produtos!$L$5:$L$104,MATCH(D498,Produtos!$B$5:$B$104,0))),0),F498))</f>
        <v/>
      </c>
      <c r="H498" s="27" t="str">
        <f aca="false">IF(G498="","",IF(N(E498)=0,1,E498)*IFERROR(N(INDEX(Produtos!$G$5:$G$104,MATCH(D498,Produtos!$B$5:$B$104,0))),0))</f>
        <v/>
      </c>
      <c r="I498" s="27" t="str">
        <f aca="false">IF(G498="","",G498-H498)</f>
        <v/>
      </c>
      <c r="J498" s="42"/>
    </row>
    <row r="499" customFormat="false" ht="21" hidden="false" customHeight="true" outlineLevel="0" collapsed="false">
      <c r="B499" s="41"/>
      <c r="C499" s="9"/>
      <c r="D499" s="9"/>
      <c r="E499" s="42"/>
      <c r="F499" s="43"/>
      <c r="G499" s="27" t="str">
        <f aca="false">IF(OR(C499="",AND(D499="",F499="")),"",IF(N(E499)=0,1,E499)*IF(F499="",IFERROR(N(INDEX(Produtos!$L$5:$L$104,MATCH(D499,Produtos!$B$5:$B$104,0))),0),F499))</f>
        <v/>
      </c>
      <c r="H499" s="27" t="str">
        <f aca="false">IF(G499="","",IF(N(E499)=0,1,E499)*IFERROR(N(INDEX(Produtos!$G$5:$G$104,MATCH(D499,Produtos!$B$5:$B$104,0))),0))</f>
        <v/>
      </c>
      <c r="I499" s="27" t="str">
        <f aca="false">IF(G499="","",G499-H499)</f>
        <v/>
      </c>
      <c r="J499" s="42"/>
    </row>
    <row r="500" customFormat="false" ht="21" hidden="false" customHeight="true" outlineLevel="0" collapsed="false">
      <c r="B500" s="41"/>
      <c r="C500" s="9"/>
      <c r="D500" s="9"/>
      <c r="E500" s="42"/>
      <c r="F500" s="43"/>
      <c r="G500" s="27" t="str">
        <f aca="false">IF(OR(C500="",AND(D500="",F500="")),"",IF(N(E500)=0,1,E500)*IF(F500="",IFERROR(N(INDEX(Produtos!$L$5:$L$104,MATCH(D500,Produtos!$B$5:$B$104,0))),0),F500))</f>
        <v/>
      </c>
      <c r="H500" s="27" t="str">
        <f aca="false">IF(G500="","",IF(N(E500)=0,1,E500)*IFERROR(N(INDEX(Produtos!$G$5:$G$104,MATCH(D500,Produtos!$B$5:$B$104,0))),0))</f>
        <v/>
      </c>
      <c r="I500" s="27" t="str">
        <f aca="false">IF(G500="","",G500-H500)</f>
        <v/>
      </c>
      <c r="J500" s="42"/>
    </row>
    <row r="501" customFormat="false" ht="21" hidden="false" customHeight="true" outlineLevel="0" collapsed="false">
      <c r="B501" s="41"/>
      <c r="C501" s="9"/>
      <c r="D501" s="9"/>
      <c r="E501" s="42"/>
      <c r="F501" s="43"/>
      <c r="G501" s="27" t="str">
        <f aca="false">IF(OR(C501="",AND(D501="",F501="")),"",IF(N(E501)=0,1,E501)*IF(F501="",IFERROR(N(INDEX(Produtos!$L$5:$L$104,MATCH(D501,Produtos!$B$5:$B$104,0))),0),F501))</f>
        <v/>
      </c>
      <c r="H501" s="27" t="str">
        <f aca="false">IF(G501="","",IF(N(E501)=0,1,E501)*IFERROR(N(INDEX(Produtos!$G$5:$G$104,MATCH(D501,Produtos!$B$5:$B$104,0))),0))</f>
        <v/>
      </c>
      <c r="I501" s="27" t="str">
        <f aca="false">IF(G501="","",G501-H501)</f>
        <v/>
      </c>
      <c r="J501" s="42"/>
    </row>
    <row r="502" customFormat="false" ht="21" hidden="false" customHeight="true" outlineLevel="0" collapsed="false">
      <c r="B502" s="41"/>
      <c r="C502" s="9"/>
      <c r="D502" s="9"/>
      <c r="E502" s="42"/>
      <c r="F502" s="43"/>
      <c r="G502" s="27" t="str">
        <f aca="false">IF(OR(C502="",AND(D502="",F502="")),"",IF(N(E502)=0,1,E502)*IF(F502="",IFERROR(N(INDEX(Produtos!$L$5:$L$104,MATCH(D502,Produtos!$B$5:$B$104,0))),0),F502))</f>
        <v/>
      </c>
      <c r="H502" s="27" t="str">
        <f aca="false">IF(G502="","",IF(N(E502)=0,1,E502)*IFERROR(N(INDEX(Produtos!$G$5:$G$104,MATCH(D502,Produtos!$B$5:$B$104,0))),0))</f>
        <v/>
      </c>
      <c r="I502" s="27" t="str">
        <f aca="false">IF(G502="","",G502-H502)</f>
        <v/>
      </c>
      <c r="J502" s="42"/>
    </row>
    <row r="503" customFormat="false" ht="21" hidden="false" customHeight="true" outlineLevel="0" collapsed="false">
      <c r="B503" s="41"/>
      <c r="C503" s="9"/>
      <c r="D503" s="9"/>
      <c r="E503" s="42"/>
      <c r="F503" s="43"/>
      <c r="G503" s="27" t="str">
        <f aca="false">IF(OR(C503="",AND(D503="",F503="")),"",IF(N(E503)=0,1,E503)*IF(F503="",IFERROR(N(INDEX(Produtos!$L$5:$L$104,MATCH(D503,Produtos!$B$5:$B$104,0))),0),F503))</f>
        <v/>
      </c>
      <c r="H503" s="27" t="str">
        <f aca="false">IF(G503="","",IF(N(E503)=0,1,E503)*IFERROR(N(INDEX(Produtos!$G$5:$G$104,MATCH(D503,Produtos!$B$5:$B$104,0))),0))</f>
        <v/>
      </c>
      <c r="I503" s="27" t="str">
        <f aca="false">IF(G503="","",G503-H503)</f>
        <v/>
      </c>
      <c r="J503" s="42"/>
    </row>
    <row r="504" customFormat="false" ht="21" hidden="false" customHeight="true" outlineLevel="0" collapsed="false">
      <c r="B504" s="41"/>
      <c r="C504" s="9"/>
      <c r="D504" s="9"/>
      <c r="E504" s="42"/>
      <c r="F504" s="43"/>
      <c r="G504" s="27" t="str">
        <f aca="false">IF(OR(C504="",AND(D504="",F504="")),"",IF(N(E504)=0,1,E504)*IF(F504="",IFERROR(N(INDEX(Produtos!$L$5:$L$104,MATCH(D504,Produtos!$B$5:$B$104,0))),0),F504))</f>
        <v/>
      </c>
      <c r="H504" s="27" t="str">
        <f aca="false">IF(G504="","",IF(N(E504)=0,1,E504)*IFERROR(N(INDEX(Produtos!$G$5:$G$104,MATCH(D504,Produtos!$B$5:$B$104,0))),0))</f>
        <v/>
      </c>
      <c r="I504" s="27" t="str">
        <f aca="false">IF(G504="","",G504-H504)</f>
        <v/>
      </c>
      <c r="J504" s="42"/>
    </row>
    <row r="505" customFormat="false" ht="21" hidden="false" customHeight="true" outlineLevel="0" collapsed="false">
      <c r="B505" s="41"/>
      <c r="C505" s="9"/>
      <c r="D505" s="9"/>
      <c r="E505" s="42"/>
      <c r="F505" s="43"/>
      <c r="G505" s="27" t="str">
        <f aca="false">IF(OR(C505="",AND(D505="",F505="")),"",IF(N(E505)=0,1,E505)*IF(F505="",IFERROR(N(INDEX(Produtos!$L$5:$L$104,MATCH(D505,Produtos!$B$5:$B$104,0))),0),F505))</f>
        <v/>
      </c>
      <c r="H505" s="27" t="str">
        <f aca="false">IF(G505="","",IF(N(E505)=0,1,E505)*IFERROR(N(INDEX(Produtos!$G$5:$G$104,MATCH(D505,Produtos!$B$5:$B$104,0))),0))</f>
        <v/>
      </c>
      <c r="I505" s="27" t="str">
        <f aca="false">IF(G505="","",G505-H505)</f>
        <v/>
      </c>
      <c r="J505" s="42"/>
    </row>
    <row r="506" customFormat="false" ht="21" hidden="false" customHeight="true" outlineLevel="0" collapsed="false">
      <c r="B506" s="41"/>
      <c r="C506" s="9"/>
      <c r="D506" s="9"/>
      <c r="E506" s="42"/>
      <c r="F506" s="43"/>
      <c r="G506" s="27" t="str">
        <f aca="false">IF(OR(C506="",AND(D506="",F506="")),"",IF(N(E506)=0,1,E506)*IF(F506="",IFERROR(N(INDEX(Produtos!$L$5:$L$104,MATCH(D506,Produtos!$B$5:$B$104,0))),0),F506))</f>
        <v/>
      </c>
      <c r="H506" s="27" t="str">
        <f aca="false">IF(G506="","",IF(N(E506)=0,1,E506)*IFERROR(N(INDEX(Produtos!$G$5:$G$104,MATCH(D506,Produtos!$B$5:$B$104,0))),0))</f>
        <v/>
      </c>
      <c r="I506" s="27" t="str">
        <f aca="false">IF(G506="","",G506-H506)</f>
        <v/>
      </c>
      <c r="J506" s="42"/>
    </row>
    <row r="507" customFormat="false" ht="21" hidden="false" customHeight="true" outlineLevel="0" collapsed="false">
      <c r="B507" s="41"/>
      <c r="C507" s="9"/>
      <c r="D507" s="9"/>
      <c r="E507" s="42"/>
      <c r="F507" s="43"/>
      <c r="G507" s="27" t="str">
        <f aca="false">IF(OR(C507="",AND(D507="",F507="")),"",IF(N(E507)=0,1,E507)*IF(F507="",IFERROR(N(INDEX(Produtos!$L$5:$L$104,MATCH(D507,Produtos!$B$5:$B$104,0))),0),F507))</f>
        <v/>
      </c>
      <c r="H507" s="27" t="str">
        <f aca="false">IF(G507="","",IF(N(E507)=0,1,E507)*IFERROR(N(INDEX(Produtos!$G$5:$G$104,MATCH(D507,Produtos!$B$5:$B$104,0))),0))</f>
        <v/>
      </c>
      <c r="I507" s="27" t="str">
        <f aca="false">IF(G507="","",G507-H507)</f>
        <v/>
      </c>
      <c r="J507" s="42"/>
    </row>
    <row r="508" customFormat="false" ht="21" hidden="false" customHeight="true" outlineLevel="0" collapsed="false">
      <c r="B508" s="41"/>
      <c r="C508" s="9"/>
      <c r="D508" s="9"/>
      <c r="E508" s="42"/>
      <c r="F508" s="43"/>
      <c r="G508" s="27" t="str">
        <f aca="false">IF(OR(C508="",AND(D508="",F508="")),"",IF(N(E508)=0,1,E508)*IF(F508="",IFERROR(N(INDEX(Produtos!$L$5:$L$104,MATCH(D508,Produtos!$B$5:$B$104,0))),0),F508))</f>
        <v/>
      </c>
      <c r="H508" s="27" t="str">
        <f aca="false">IF(G508="","",IF(N(E508)=0,1,E508)*IFERROR(N(INDEX(Produtos!$G$5:$G$104,MATCH(D508,Produtos!$B$5:$B$104,0))),0))</f>
        <v/>
      </c>
      <c r="I508" s="27" t="str">
        <f aca="false">IF(G508="","",G508-H508)</f>
        <v/>
      </c>
      <c r="J508" s="42"/>
    </row>
    <row r="509" customFormat="false" ht="21" hidden="false" customHeight="true" outlineLevel="0" collapsed="false">
      <c r="B509" s="41"/>
      <c r="C509" s="9"/>
      <c r="D509" s="9"/>
      <c r="E509" s="42"/>
      <c r="F509" s="43"/>
      <c r="G509" s="27" t="str">
        <f aca="false">IF(OR(C509="",AND(D509="",F509="")),"",IF(N(E509)=0,1,E509)*IF(F509="",IFERROR(N(INDEX(Produtos!$L$5:$L$104,MATCH(D509,Produtos!$B$5:$B$104,0))),0),F509))</f>
        <v/>
      </c>
      <c r="H509" s="27" t="str">
        <f aca="false">IF(G509="","",IF(N(E509)=0,1,E509)*IFERROR(N(INDEX(Produtos!$G$5:$G$104,MATCH(D509,Produtos!$B$5:$B$104,0))),0))</f>
        <v/>
      </c>
      <c r="I509" s="27" t="str">
        <f aca="false">IF(G509="","",G509-H509)</f>
        <v/>
      </c>
      <c r="J509" s="42"/>
    </row>
    <row r="510" customFormat="false" ht="21" hidden="false" customHeight="true" outlineLevel="0" collapsed="false">
      <c r="B510" s="41"/>
      <c r="C510" s="9"/>
      <c r="D510" s="9"/>
      <c r="E510" s="42"/>
      <c r="F510" s="43"/>
      <c r="G510" s="27" t="str">
        <f aca="false">IF(OR(C510="",AND(D510="",F510="")),"",IF(N(E510)=0,1,E510)*IF(F510="",IFERROR(N(INDEX(Produtos!$L$5:$L$104,MATCH(D510,Produtos!$B$5:$B$104,0))),0),F510))</f>
        <v/>
      </c>
      <c r="H510" s="27" t="str">
        <f aca="false">IF(G510="","",IF(N(E510)=0,1,E510)*IFERROR(N(INDEX(Produtos!$G$5:$G$104,MATCH(D510,Produtos!$B$5:$B$104,0))),0))</f>
        <v/>
      </c>
      <c r="I510" s="27" t="str">
        <f aca="false">IF(G510="","",G510-H510)</f>
        <v/>
      </c>
      <c r="J510" s="42"/>
    </row>
    <row r="511" customFormat="false" ht="21" hidden="false" customHeight="true" outlineLevel="0" collapsed="false">
      <c r="B511" s="41"/>
      <c r="C511" s="9"/>
      <c r="D511" s="9"/>
      <c r="E511" s="42"/>
      <c r="F511" s="43"/>
      <c r="G511" s="27" t="str">
        <f aca="false">IF(OR(C511="",AND(D511="",F511="")),"",IF(N(E511)=0,1,E511)*IF(F511="",IFERROR(N(INDEX(Produtos!$L$5:$L$104,MATCH(D511,Produtos!$B$5:$B$104,0))),0),F511))</f>
        <v/>
      </c>
      <c r="H511" s="27" t="str">
        <f aca="false">IF(G511="","",IF(N(E511)=0,1,E511)*IFERROR(N(INDEX(Produtos!$G$5:$G$104,MATCH(D511,Produtos!$B$5:$B$104,0))),0))</f>
        <v/>
      </c>
      <c r="I511" s="27" t="str">
        <f aca="false">IF(G511="","",G511-H511)</f>
        <v/>
      </c>
      <c r="J511" s="42"/>
    </row>
    <row r="512" customFormat="false" ht="21" hidden="false" customHeight="true" outlineLevel="0" collapsed="false">
      <c r="B512" s="41"/>
      <c r="C512" s="9"/>
      <c r="D512" s="9"/>
      <c r="E512" s="42"/>
      <c r="F512" s="43"/>
      <c r="G512" s="27" t="str">
        <f aca="false">IF(OR(C512="",AND(D512="",F512="")),"",IF(N(E512)=0,1,E512)*IF(F512="",IFERROR(N(INDEX(Produtos!$L$5:$L$104,MATCH(D512,Produtos!$B$5:$B$104,0))),0),F512))</f>
        <v/>
      </c>
      <c r="H512" s="27" t="str">
        <f aca="false">IF(G512="","",IF(N(E512)=0,1,E512)*IFERROR(N(INDEX(Produtos!$G$5:$G$104,MATCH(D512,Produtos!$B$5:$B$104,0))),0))</f>
        <v/>
      </c>
      <c r="I512" s="27" t="str">
        <f aca="false">IF(G512="","",G512-H512)</f>
        <v/>
      </c>
      <c r="J512" s="42"/>
    </row>
    <row r="513" customFormat="false" ht="21" hidden="false" customHeight="true" outlineLevel="0" collapsed="false">
      <c r="B513" s="41"/>
      <c r="C513" s="9"/>
      <c r="D513" s="9"/>
      <c r="E513" s="42"/>
      <c r="F513" s="43"/>
      <c r="G513" s="27" t="str">
        <f aca="false">IF(OR(C513="",AND(D513="",F513="")),"",IF(N(E513)=0,1,E513)*IF(F513="",IFERROR(N(INDEX(Produtos!$L$5:$L$104,MATCH(D513,Produtos!$B$5:$B$104,0))),0),F513))</f>
        <v/>
      </c>
      <c r="H513" s="27" t="str">
        <f aca="false">IF(G513="","",IF(N(E513)=0,1,E513)*IFERROR(N(INDEX(Produtos!$G$5:$G$104,MATCH(D513,Produtos!$B$5:$B$104,0))),0))</f>
        <v/>
      </c>
      <c r="I513" s="27" t="str">
        <f aca="false">IF(G513="","",G513-H513)</f>
        <v/>
      </c>
      <c r="J513" s="42"/>
    </row>
    <row r="514" customFormat="false" ht="21" hidden="false" customHeight="true" outlineLevel="0" collapsed="false">
      <c r="B514" s="41"/>
      <c r="C514" s="9"/>
      <c r="D514" s="9"/>
      <c r="E514" s="42"/>
      <c r="F514" s="43"/>
      <c r="G514" s="27" t="str">
        <f aca="false">IF(OR(C514="",AND(D514="",F514="")),"",IF(N(E514)=0,1,E514)*IF(F514="",IFERROR(N(INDEX(Produtos!$L$5:$L$104,MATCH(D514,Produtos!$B$5:$B$104,0))),0),F514))</f>
        <v/>
      </c>
      <c r="H514" s="27" t="str">
        <f aca="false">IF(G514="","",IF(N(E514)=0,1,E514)*IFERROR(N(INDEX(Produtos!$G$5:$G$104,MATCH(D514,Produtos!$B$5:$B$104,0))),0))</f>
        <v/>
      </c>
      <c r="I514" s="27" t="str">
        <f aca="false">IF(G514="","",G514-H514)</f>
        <v/>
      </c>
      <c r="J514" s="42"/>
    </row>
    <row r="515" customFormat="false" ht="21" hidden="false" customHeight="true" outlineLevel="0" collapsed="false">
      <c r="B515" s="41"/>
      <c r="C515" s="9"/>
      <c r="D515" s="9"/>
      <c r="E515" s="42"/>
      <c r="F515" s="43"/>
      <c r="G515" s="27" t="str">
        <f aca="false">IF(OR(C515="",AND(D515="",F515="")),"",IF(N(E515)=0,1,E515)*IF(F515="",IFERROR(N(INDEX(Produtos!$L$5:$L$104,MATCH(D515,Produtos!$B$5:$B$104,0))),0),F515))</f>
        <v/>
      </c>
      <c r="H515" s="27" t="str">
        <f aca="false">IF(G515="","",IF(N(E515)=0,1,E515)*IFERROR(N(INDEX(Produtos!$G$5:$G$104,MATCH(D515,Produtos!$B$5:$B$104,0))),0))</f>
        <v/>
      </c>
      <c r="I515" s="27" t="str">
        <f aca="false">IF(G515="","",G515-H515)</f>
        <v/>
      </c>
      <c r="J515" s="42"/>
    </row>
    <row r="516" customFormat="false" ht="21" hidden="false" customHeight="true" outlineLevel="0" collapsed="false">
      <c r="B516" s="41"/>
      <c r="C516" s="9"/>
      <c r="D516" s="9"/>
      <c r="E516" s="42"/>
      <c r="F516" s="43"/>
      <c r="G516" s="27" t="str">
        <f aca="false">IF(OR(C516="",AND(D516="",F516="")),"",IF(N(E516)=0,1,E516)*IF(F516="",IFERROR(N(INDEX(Produtos!$L$5:$L$104,MATCH(D516,Produtos!$B$5:$B$104,0))),0),F516))</f>
        <v/>
      </c>
      <c r="H516" s="27" t="str">
        <f aca="false">IF(G516="","",IF(N(E516)=0,1,E516)*IFERROR(N(INDEX(Produtos!$G$5:$G$104,MATCH(D516,Produtos!$B$5:$B$104,0))),0))</f>
        <v/>
      </c>
      <c r="I516" s="27" t="str">
        <f aca="false">IF(G516="","",G516-H516)</f>
        <v/>
      </c>
      <c r="J516" s="42"/>
    </row>
    <row r="517" customFormat="false" ht="21" hidden="false" customHeight="true" outlineLevel="0" collapsed="false">
      <c r="B517" s="41"/>
      <c r="C517" s="9"/>
      <c r="D517" s="9"/>
      <c r="E517" s="42"/>
      <c r="F517" s="43"/>
      <c r="G517" s="27" t="str">
        <f aca="false">IF(OR(C517="",AND(D517="",F517="")),"",IF(N(E517)=0,1,E517)*IF(F517="",IFERROR(N(INDEX(Produtos!$L$5:$L$104,MATCH(D517,Produtos!$B$5:$B$104,0))),0),F517))</f>
        <v/>
      </c>
      <c r="H517" s="27" t="str">
        <f aca="false">IF(G517="","",IF(N(E517)=0,1,E517)*IFERROR(N(INDEX(Produtos!$G$5:$G$104,MATCH(D517,Produtos!$B$5:$B$104,0))),0))</f>
        <v/>
      </c>
      <c r="I517" s="27" t="str">
        <f aca="false">IF(G517="","",G517-H517)</f>
        <v/>
      </c>
      <c r="J517" s="42"/>
    </row>
    <row r="518" customFormat="false" ht="21" hidden="false" customHeight="true" outlineLevel="0" collapsed="false">
      <c r="B518" s="41"/>
      <c r="C518" s="9"/>
      <c r="D518" s="9"/>
      <c r="E518" s="42"/>
      <c r="F518" s="43"/>
      <c r="G518" s="27" t="str">
        <f aca="false">IF(OR(C518="",AND(D518="",F518="")),"",IF(N(E518)=0,1,E518)*IF(F518="",IFERROR(N(INDEX(Produtos!$L$5:$L$104,MATCH(D518,Produtos!$B$5:$B$104,0))),0),F518))</f>
        <v/>
      </c>
      <c r="H518" s="27" t="str">
        <f aca="false">IF(G518="","",IF(N(E518)=0,1,E518)*IFERROR(N(INDEX(Produtos!$G$5:$G$104,MATCH(D518,Produtos!$B$5:$B$104,0))),0))</f>
        <v/>
      </c>
      <c r="I518" s="27" t="str">
        <f aca="false">IF(G518="","",G518-H518)</f>
        <v/>
      </c>
      <c r="J518" s="42"/>
    </row>
    <row r="519" customFormat="false" ht="21" hidden="false" customHeight="true" outlineLevel="0" collapsed="false">
      <c r="B519" s="41"/>
      <c r="C519" s="9"/>
      <c r="D519" s="9"/>
      <c r="E519" s="42"/>
      <c r="F519" s="43"/>
      <c r="G519" s="27" t="str">
        <f aca="false">IF(OR(C519="",AND(D519="",F519="")),"",IF(N(E519)=0,1,E519)*IF(F519="",IFERROR(N(INDEX(Produtos!$L$5:$L$104,MATCH(D519,Produtos!$B$5:$B$104,0))),0),F519))</f>
        <v/>
      </c>
      <c r="H519" s="27" t="str">
        <f aca="false">IF(G519="","",IF(N(E519)=0,1,E519)*IFERROR(N(INDEX(Produtos!$G$5:$G$104,MATCH(D519,Produtos!$B$5:$B$104,0))),0))</f>
        <v/>
      </c>
      <c r="I519" s="27" t="str">
        <f aca="false">IF(G519="","",G519-H519)</f>
        <v/>
      </c>
      <c r="J519" s="42"/>
    </row>
    <row r="520" customFormat="false" ht="21" hidden="false" customHeight="true" outlineLevel="0" collapsed="false">
      <c r="B520" s="41"/>
      <c r="C520" s="9"/>
      <c r="D520" s="9"/>
      <c r="E520" s="42"/>
      <c r="F520" s="43"/>
      <c r="G520" s="27" t="str">
        <f aca="false">IF(OR(C520="",AND(D520="",F520="")),"",IF(N(E520)=0,1,E520)*IF(F520="",IFERROR(N(INDEX(Produtos!$L$5:$L$104,MATCH(D520,Produtos!$B$5:$B$104,0))),0),F520))</f>
        <v/>
      </c>
      <c r="H520" s="27" t="str">
        <f aca="false">IF(G520="","",IF(N(E520)=0,1,E520)*IFERROR(N(INDEX(Produtos!$G$5:$G$104,MATCH(D520,Produtos!$B$5:$B$104,0))),0))</f>
        <v/>
      </c>
      <c r="I520" s="27" t="str">
        <f aca="false">IF(G520="","",G520-H520)</f>
        <v/>
      </c>
      <c r="J520" s="42"/>
    </row>
    <row r="521" customFormat="false" ht="21" hidden="false" customHeight="true" outlineLevel="0" collapsed="false">
      <c r="B521" s="41"/>
      <c r="C521" s="9"/>
      <c r="D521" s="9"/>
      <c r="E521" s="42"/>
      <c r="F521" s="43"/>
      <c r="G521" s="27" t="str">
        <f aca="false">IF(OR(C521="",AND(D521="",F521="")),"",IF(N(E521)=0,1,E521)*IF(F521="",IFERROR(N(INDEX(Produtos!$L$5:$L$104,MATCH(D521,Produtos!$B$5:$B$104,0))),0),F521))</f>
        <v/>
      </c>
      <c r="H521" s="27" t="str">
        <f aca="false">IF(G521="","",IF(N(E521)=0,1,E521)*IFERROR(N(INDEX(Produtos!$G$5:$G$104,MATCH(D521,Produtos!$B$5:$B$104,0))),0))</f>
        <v/>
      </c>
      <c r="I521" s="27" t="str">
        <f aca="false">IF(G521="","",G521-H521)</f>
        <v/>
      </c>
      <c r="J521" s="42"/>
    </row>
    <row r="522" customFormat="false" ht="21" hidden="false" customHeight="true" outlineLevel="0" collapsed="false">
      <c r="B522" s="41"/>
      <c r="C522" s="9"/>
      <c r="D522" s="9"/>
      <c r="E522" s="42"/>
      <c r="F522" s="43"/>
      <c r="G522" s="27" t="str">
        <f aca="false">IF(OR(C522="",AND(D522="",F522="")),"",IF(N(E522)=0,1,E522)*IF(F522="",IFERROR(N(INDEX(Produtos!$L$5:$L$104,MATCH(D522,Produtos!$B$5:$B$104,0))),0),F522))</f>
        <v/>
      </c>
      <c r="H522" s="27" t="str">
        <f aca="false">IF(G522="","",IF(N(E522)=0,1,E522)*IFERROR(N(INDEX(Produtos!$G$5:$G$104,MATCH(D522,Produtos!$B$5:$B$104,0))),0))</f>
        <v/>
      </c>
      <c r="I522" s="27" t="str">
        <f aca="false">IF(G522="","",G522-H522)</f>
        <v/>
      </c>
      <c r="J522" s="42"/>
    </row>
    <row r="523" customFormat="false" ht="21" hidden="false" customHeight="true" outlineLevel="0" collapsed="false">
      <c r="B523" s="41"/>
      <c r="C523" s="9"/>
      <c r="D523" s="9"/>
      <c r="E523" s="42"/>
      <c r="F523" s="43"/>
      <c r="G523" s="27" t="str">
        <f aca="false">IF(OR(C523="",AND(D523="",F523="")),"",IF(N(E523)=0,1,E523)*IF(F523="",IFERROR(N(INDEX(Produtos!$L$5:$L$104,MATCH(D523,Produtos!$B$5:$B$104,0))),0),F523))</f>
        <v/>
      </c>
      <c r="H523" s="27" t="str">
        <f aca="false">IF(G523="","",IF(N(E523)=0,1,E523)*IFERROR(N(INDEX(Produtos!$G$5:$G$104,MATCH(D523,Produtos!$B$5:$B$104,0))),0))</f>
        <v/>
      </c>
      <c r="I523" s="27" t="str">
        <f aca="false">IF(G523="","",G523-H523)</f>
        <v/>
      </c>
      <c r="J523" s="42"/>
    </row>
    <row r="524" customFormat="false" ht="21" hidden="false" customHeight="true" outlineLevel="0" collapsed="false">
      <c r="B524" s="41"/>
      <c r="C524" s="9"/>
      <c r="D524" s="9"/>
      <c r="E524" s="42"/>
      <c r="F524" s="43"/>
      <c r="G524" s="27" t="str">
        <f aca="false">IF(OR(C524="",AND(D524="",F524="")),"",IF(N(E524)=0,1,E524)*IF(F524="",IFERROR(N(INDEX(Produtos!$L$5:$L$104,MATCH(D524,Produtos!$B$5:$B$104,0))),0),F524))</f>
        <v/>
      </c>
      <c r="H524" s="27" t="str">
        <f aca="false">IF(G524="","",IF(N(E524)=0,1,E524)*IFERROR(N(INDEX(Produtos!$G$5:$G$104,MATCH(D524,Produtos!$B$5:$B$104,0))),0))</f>
        <v/>
      </c>
      <c r="I524" s="27" t="str">
        <f aca="false">IF(G524="","",G524-H524)</f>
        <v/>
      </c>
      <c r="J524" s="42"/>
    </row>
    <row r="525" customFormat="false" ht="21" hidden="false" customHeight="true" outlineLevel="0" collapsed="false">
      <c r="B525" s="41"/>
      <c r="C525" s="9"/>
      <c r="D525" s="9"/>
      <c r="E525" s="42"/>
      <c r="F525" s="43"/>
      <c r="G525" s="27" t="str">
        <f aca="false">IF(OR(C525="",AND(D525="",F525="")),"",IF(N(E525)=0,1,E525)*IF(F525="",IFERROR(N(INDEX(Produtos!$L$5:$L$104,MATCH(D525,Produtos!$B$5:$B$104,0))),0),F525))</f>
        <v/>
      </c>
      <c r="H525" s="27" t="str">
        <f aca="false">IF(G525="","",IF(N(E525)=0,1,E525)*IFERROR(N(INDEX(Produtos!$G$5:$G$104,MATCH(D525,Produtos!$B$5:$B$104,0))),0))</f>
        <v/>
      </c>
      <c r="I525" s="27" t="str">
        <f aca="false">IF(G525="","",G525-H525)</f>
        <v/>
      </c>
      <c r="J525" s="42"/>
    </row>
    <row r="526" customFormat="false" ht="21" hidden="false" customHeight="true" outlineLevel="0" collapsed="false">
      <c r="B526" s="41"/>
      <c r="C526" s="9"/>
      <c r="D526" s="9"/>
      <c r="E526" s="42"/>
      <c r="F526" s="43"/>
      <c r="G526" s="27" t="str">
        <f aca="false">IF(OR(C526="",AND(D526="",F526="")),"",IF(N(E526)=0,1,E526)*IF(F526="",IFERROR(N(INDEX(Produtos!$L$5:$L$104,MATCH(D526,Produtos!$B$5:$B$104,0))),0),F526))</f>
        <v/>
      </c>
      <c r="H526" s="27" t="str">
        <f aca="false">IF(G526="","",IF(N(E526)=0,1,E526)*IFERROR(N(INDEX(Produtos!$G$5:$G$104,MATCH(D526,Produtos!$B$5:$B$104,0))),0))</f>
        <v/>
      </c>
      <c r="I526" s="27" t="str">
        <f aca="false">IF(G526="","",G526-H526)</f>
        <v/>
      </c>
      <c r="J526" s="42"/>
    </row>
    <row r="527" customFormat="false" ht="21" hidden="false" customHeight="true" outlineLevel="0" collapsed="false">
      <c r="B527" s="41"/>
      <c r="C527" s="9"/>
      <c r="D527" s="9"/>
      <c r="E527" s="42"/>
      <c r="F527" s="43"/>
      <c r="G527" s="27" t="str">
        <f aca="false">IF(OR(C527="",AND(D527="",F527="")),"",IF(N(E527)=0,1,E527)*IF(F527="",IFERROR(N(INDEX(Produtos!$L$5:$L$104,MATCH(D527,Produtos!$B$5:$B$104,0))),0),F527))</f>
        <v/>
      </c>
      <c r="H527" s="27" t="str">
        <f aca="false">IF(G527="","",IF(N(E527)=0,1,E527)*IFERROR(N(INDEX(Produtos!$G$5:$G$104,MATCH(D527,Produtos!$B$5:$B$104,0))),0))</f>
        <v/>
      </c>
      <c r="I527" s="27" t="str">
        <f aca="false">IF(G527="","",G527-H527)</f>
        <v/>
      </c>
      <c r="J527" s="42"/>
    </row>
    <row r="528" customFormat="false" ht="21" hidden="false" customHeight="true" outlineLevel="0" collapsed="false">
      <c r="B528" s="41"/>
      <c r="C528" s="9"/>
      <c r="D528" s="9"/>
      <c r="E528" s="42"/>
      <c r="F528" s="43"/>
      <c r="G528" s="27" t="str">
        <f aca="false">IF(OR(C528="",AND(D528="",F528="")),"",IF(N(E528)=0,1,E528)*IF(F528="",IFERROR(N(INDEX(Produtos!$L$5:$L$104,MATCH(D528,Produtos!$B$5:$B$104,0))),0),F528))</f>
        <v/>
      </c>
      <c r="H528" s="27" t="str">
        <f aca="false">IF(G528="","",IF(N(E528)=0,1,E528)*IFERROR(N(INDEX(Produtos!$G$5:$G$104,MATCH(D528,Produtos!$B$5:$B$104,0))),0))</f>
        <v/>
      </c>
      <c r="I528" s="27" t="str">
        <f aca="false">IF(G528="","",G528-H528)</f>
        <v/>
      </c>
      <c r="J528" s="42"/>
    </row>
    <row r="529" customFormat="false" ht="21" hidden="false" customHeight="true" outlineLevel="0" collapsed="false">
      <c r="B529" s="41"/>
      <c r="C529" s="9"/>
      <c r="D529" s="9"/>
      <c r="E529" s="42"/>
      <c r="F529" s="43"/>
      <c r="G529" s="27" t="str">
        <f aca="false">IF(OR(C529="",AND(D529="",F529="")),"",IF(N(E529)=0,1,E529)*IF(F529="",IFERROR(N(INDEX(Produtos!$L$5:$L$104,MATCH(D529,Produtos!$B$5:$B$104,0))),0),F529))</f>
        <v/>
      </c>
      <c r="H529" s="27" t="str">
        <f aca="false">IF(G529="","",IF(N(E529)=0,1,E529)*IFERROR(N(INDEX(Produtos!$G$5:$G$104,MATCH(D529,Produtos!$B$5:$B$104,0))),0))</f>
        <v/>
      </c>
      <c r="I529" s="27" t="str">
        <f aca="false">IF(G529="","",G529-H529)</f>
        <v/>
      </c>
      <c r="J529" s="42"/>
    </row>
    <row r="530" customFormat="false" ht="21" hidden="false" customHeight="true" outlineLevel="0" collapsed="false">
      <c r="B530" s="41"/>
      <c r="C530" s="9"/>
      <c r="D530" s="9"/>
      <c r="E530" s="42"/>
      <c r="F530" s="43"/>
      <c r="G530" s="27" t="str">
        <f aca="false">IF(OR(C530="",AND(D530="",F530="")),"",IF(N(E530)=0,1,E530)*IF(F530="",IFERROR(N(INDEX(Produtos!$L$5:$L$104,MATCH(D530,Produtos!$B$5:$B$104,0))),0),F530))</f>
        <v/>
      </c>
      <c r="H530" s="27" t="str">
        <f aca="false">IF(G530="","",IF(N(E530)=0,1,E530)*IFERROR(N(INDEX(Produtos!$G$5:$G$104,MATCH(D530,Produtos!$B$5:$B$104,0))),0))</f>
        <v/>
      </c>
      <c r="I530" s="27" t="str">
        <f aca="false">IF(G530="","",G530-H530)</f>
        <v/>
      </c>
      <c r="J530" s="42"/>
    </row>
    <row r="531" customFormat="false" ht="21" hidden="false" customHeight="true" outlineLevel="0" collapsed="false">
      <c r="B531" s="41"/>
      <c r="C531" s="9"/>
      <c r="D531" s="9"/>
      <c r="E531" s="42"/>
      <c r="F531" s="43"/>
      <c r="G531" s="27" t="str">
        <f aca="false">IF(OR(C531="",AND(D531="",F531="")),"",IF(N(E531)=0,1,E531)*IF(F531="",IFERROR(N(INDEX(Produtos!$L$5:$L$104,MATCH(D531,Produtos!$B$5:$B$104,0))),0),F531))</f>
        <v/>
      </c>
      <c r="H531" s="27" t="str">
        <f aca="false">IF(G531="","",IF(N(E531)=0,1,E531)*IFERROR(N(INDEX(Produtos!$G$5:$G$104,MATCH(D531,Produtos!$B$5:$B$104,0))),0))</f>
        <v/>
      </c>
      <c r="I531" s="27" t="str">
        <f aca="false">IF(G531="","",G531-H531)</f>
        <v/>
      </c>
      <c r="J531" s="42"/>
    </row>
    <row r="532" customFormat="false" ht="21" hidden="false" customHeight="true" outlineLevel="0" collapsed="false">
      <c r="B532" s="41"/>
      <c r="C532" s="9"/>
      <c r="D532" s="9"/>
      <c r="E532" s="42"/>
      <c r="F532" s="43"/>
      <c r="G532" s="27" t="str">
        <f aca="false">IF(OR(C532="",AND(D532="",F532="")),"",IF(N(E532)=0,1,E532)*IF(F532="",IFERROR(N(INDEX(Produtos!$L$5:$L$104,MATCH(D532,Produtos!$B$5:$B$104,0))),0),F532))</f>
        <v/>
      </c>
      <c r="H532" s="27" t="str">
        <f aca="false">IF(G532="","",IF(N(E532)=0,1,E532)*IFERROR(N(INDEX(Produtos!$G$5:$G$104,MATCH(D532,Produtos!$B$5:$B$104,0))),0))</f>
        <v/>
      </c>
      <c r="I532" s="27" t="str">
        <f aca="false">IF(G532="","",G532-H532)</f>
        <v/>
      </c>
      <c r="J532" s="42"/>
    </row>
    <row r="533" customFormat="false" ht="21" hidden="false" customHeight="true" outlineLevel="0" collapsed="false">
      <c r="B533" s="41"/>
      <c r="C533" s="9"/>
      <c r="D533" s="9"/>
      <c r="E533" s="42"/>
      <c r="F533" s="43"/>
      <c r="G533" s="27" t="str">
        <f aca="false">IF(OR(C533="",AND(D533="",F533="")),"",IF(N(E533)=0,1,E533)*IF(F533="",IFERROR(N(INDEX(Produtos!$L$5:$L$104,MATCH(D533,Produtos!$B$5:$B$104,0))),0),F533))</f>
        <v/>
      </c>
      <c r="H533" s="27" t="str">
        <f aca="false">IF(G533="","",IF(N(E533)=0,1,E533)*IFERROR(N(INDEX(Produtos!$G$5:$G$104,MATCH(D533,Produtos!$B$5:$B$104,0))),0))</f>
        <v/>
      </c>
      <c r="I533" s="27" t="str">
        <f aca="false">IF(G533="","",G533-H533)</f>
        <v/>
      </c>
      <c r="J533" s="42"/>
    </row>
    <row r="534" customFormat="false" ht="21" hidden="false" customHeight="true" outlineLevel="0" collapsed="false">
      <c r="B534" s="41"/>
      <c r="C534" s="9"/>
      <c r="D534" s="9"/>
      <c r="E534" s="42"/>
      <c r="F534" s="43"/>
      <c r="G534" s="27" t="str">
        <f aca="false">IF(OR(C534="",AND(D534="",F534="")),"",IF(N(E534)=0,1,E534)*IF(F534="",IFERROR(N(INDEX(Produtos!$L$5:$L$104,MATCH(D534,Produtos!$B$5:$B$104,0))),0),F534))</f>
        <v/>
      </c>
      <c r="H534" s="27" t="str">
        <f aca="false">IF(G534="","",IF(N(E534)=0,1,E534)*IFERROR(N(INDEX(Produtos!$G$5:$G$104,MATCH(D534,Produtos!$B$5:$B$104,0))),0))</f>
        <v/>
      </c>
      <c r="I534" s="27" t="str">
        <f aca="false">IF(G534="","",G534-H534)</f>
        <v/>
      </c>
      <c r="J534" s="42"/>
    </row>
    <row r="535" customFormat="false" ht="21" hidden="false" customHeight="true" outlineLevel="0" collapsed="false">
      <c r="B535" s="41"/>
      <c r="C535" s="9"/>
      <c r="D535" s="9"/>
      <c r="E535" s="42"/>
      <c r="F535" s="43"/>
      <c r="G535" s="27" t="str">
        <f aca="false">IF(OR(C535="",AND(D535="",F535="")),"",IF(N(E535)=0,1,E535)*IF(F535="",IFERROR(N(INDEX(Produtos!$L$5:$L$104,MATCH(D535,Produtos!$B$5:$B$104,0))),0),F535))</f>
        <v/>
      </c>
      <c r="H535" s="27" t="str">
        <f aca="false">IF(G535="","",IF(N(E535)=0,1,E535)*IFERROR(N(INDEX(Produtos!$G$5:$G$104,MATCH(D535,Produtos!$B$5:$B$104,0))),0))</f>
        <v/>
      </c>
      <c r="I535" s="27" t="str">
        <f aca="false">IF(G535="","",G535-H535)</f>
        <v/>
      </c>
      <c r="J535" s="42"/>
    </row>
    <row r="536" customFormat="false" ht="21" hidden="false" customHeight="true" outlineLevel="0" collapsed="false">
      <c r="B536" s="41"/>
      <c r="C536" s="9"/>
      <c r="D536" s="9"/>
      <c r="E536" s="42"/>
      <c r="F536" s="43"/>
      <c r="G536" s="27" t="str">
        <f aca="false">IF(OR(C536="",AND(D536="",F536="")),"",IF(N(E536)=0,1,E536)*IF(F536="",IFERROR(N(INDEX(Produtos!$L$5:$L$104,MATCH(D536,Produtos!$B$5:$B$104,0))),0),F536))</f>
        <v/>
      </c>
      <c r="H536" s="27" t="str">
        <f aca="false">IF(G536="","",IF(N(E536)=0,1,E536)*IFERROR(N(INDEX(Produtos!$G$5:$G$104,MATCH(D536,Produtos!$B$5:$B$104,0))),0))</f>
        <v/>
      </c>
      <c r="I536" s="27" t="str">
        <f aca="false">IF(G536="","",G536-H536)</f>
        <v/>
      </c>
      <c r="J536" s="42"/>
    </row>
    <row r="537" customFormat="false" ht="21" hidden="false" customHeight="true" outlineLevel="0" collapsed="false">
      <c r="B537" s="41"/>
      <c r="C537" s="9"/>
      <c r="D537" s="9"/>
      <c r="E537" s="42"/>
      <c r="F537" s="43"/>
      <c r="G537" s="27" t="str">
        <f aca="false">IF(OR(C537="",AND(D537="",F537="")),"",IF(N(E537)=0,1,E537)*IF(F537="",IFERROR(N(INDEX(Produtos!$L$5:$L$104,MATCH(D537,Produtos!$B$5:$B$104,0))),0),F537))</f>
        <v/>
      </c>
      <c r="H537" s="27" t="str">
        <f aca="false">IF(G537="","",IF(N(E537)=0,1,E537)*IFERROR(N(INDEX(Produtos!$G$5:$G$104,MATCH(D537,Produtos!$B$5:$B$104,0))),0))</f>
        <v/>
      </c>
      <c r="I537" s="27" t="str">
        <f aca="false">IF(G537="","",G537-H537)</f>
        <v/>
      </c>
      <c r="J537" s="42"/>
    </row>
    <row r="538" customFormat="false" ht="21" hidden="false" customHeight="true" outlineLevel="0" collapsed="false">
      <c r="B538" s="41"/>
      <c r="C538" s="9"/>
      <c r="D538" s="9"/>
      <c r="E538" s="42"/>
      <c r="F538" s="43"/>
      <c r="G538" s="27" t="str">
        <f aca="false">IF(OR(C538="",AND(D538="",F538="")),"",IF(N(E538)=0,1,E538)*IF(F538="",IFERROR(N(INDEX(Produtos!$L$5:$L$104,MATCH(D538,Produtos!$B$5:$B$104,0))),0),F538))</f>
        <v/>
      </c>
      <c r="H538" s="27" t="str">
        <f aca="false">IF(G538="","",IF(N(E538)=0,1,E538)*IFERROR(N(INDEX(Produtos!$G$5:$G$104,MATCH(D538,Produtos!$B$5:$B$104,0))),0))</f>
        <v/>
      </c>
      <c r="I538" s="27" t="str">
        <f aca="false">IF(G538="","",G538-H538)</f>
        <v/>
      </c>
      <c r="J538" s="42"/>
    </row>
    <row r="539" customFormat="false" ht="21" hidden="false" customHeight="true" outlineLevel="0" collapsed="false">
      <c r="B539" s="41"/>
      <c r="C539" s="9"/>
      <c r="D539" s="9"/>
      <c r="E539" s="42"/>
      <c r="F539" s="43"/>
      <c r="G539" s="27" t="str">
        <f aca="false">IF(OR(C539="",AND(D539="",F539="")),"",IF(N(E539)=0,1,E539)*IF(F539="",IFERROR(N(INDEX(Produtos!$L$5:$L$104,MATCH(D539,Produtos!$B$5:$B$104,0))),0),F539))</f>
        <v/>
      </c>
      <c r="H539" s="27" t="str">
        <f aca="false">IF(G539="","",IF(N(E539)=0,1,E539)*IFERROR(N(INDEX(Produtos!$G$5:$G$104,MATCH(D539,Produtos!$B$5:$B$104,0))),0))</f>
        <v/>
      </c>
      <c r="I539" s="27" t="str">
        <f aca="false">IF(G539="","",G539-H539)</f>
        <v/>
      </c>
      <c r="J539" s="42"/>
    </row>
    <row r="540" customFormat="false" ht="21" hidden="false" customHeight="true" outlineLevel="0" collapsed="false">
      <c r="B540" s="41"/>
      <c r="C540" s="9"/>
      <c r="D540" s="9"/>
      <c r="E540" s="42"/>
      <c r="F540" s="43"/>
      <c r="G540" s="27" t="str">
        <f aca="false">IF(OR(C540="",AND(D540="",F540="")),"",IF(N(E540)=0,1,E540)*IF(F540="",IFERROR(N(INDEX(Produtos!$L$5:$L$104,MATCH(D540,Produtos!$B$5:$B$104,0))),0),F540))</f>
        <v/>
      </c>
      <c r="H540" s="27" t="str">
        <f aca="false">IF(G540="","",IF(N(E540)=0,1,E540)*IFERROR(N(INDEX(Produtos!$G$5:$G$104,MATCH(D540,Produtos!$B$5:$B$104,0))),0))</f>
        <v/>
      </c>
      <c r="I540" s="27" t="str">
        <f aca="false">IF(G540="","",G540-H540)</f>
        <v/>
      </c>
      <c r="J540" s="42"/>
    </row>
    <row r="541" customFormat="false" ht="21" hidden="false" customHeight="true" outlineLevel="0" collapsed="false">
      <c r="B541" s="41"/>
      <c r="C541" s="9"/>
      <c r="D541" s="9"/>
      <c r="E541" s="42"/>
      <c r="F541" s="43"/>
      <c r="G541" s="27" t="str">
        <f aca="false">IF(OR(C541="",AND(D541="",F541="")),"",IF(N(E541)=0,1,E541)*IF(F541="",IFERROR(N(INDEX(Produtos!$L$5:$L$104,MATCH(D541,Produtos!$B$5:$B$104,0))),0),F541))</f>
        <v/>
      </c>
      <c r="H541" s="27" t="str">
        <f aca="false">IF(G541="","",IF(N(E541)=0,1,E541)*IFERROR(N(INDEX(Produtos!$G$5:$G$104,MATCH(D541,Produtos!$B$5:$B$104,0))),0))</f>
        <v/>
      </c>
      <c r="I541" s="27" t="str">
        <f aca="false">IF(G541="","",G541-H541)</f>
        <v/>
      </c>
      <c r="J541" s="42"/>
    </row>
    <row r="542" customFormat="false" ht="21" hidden="false" customHeight="true" outlineLevel="0" collapsed="false">
      <c r="B542" s="41"/>
      <c r="C542" s="9"/>
      <c r="D542" s="9"/>
      <c r="E542" s="42"/>
      <c r="F542" s="43"/>
      <c r="G542" s="27" t="str">
        <f aca="false">IF(OR(C542="",AND(D542="",F542="")),"",IF(N(E542)=0,1,E542)*IF(F542="",IFERROR(N(INDEX(Produtos!$L$5:$L$104,MATCH(D542,Produtos!$B$5:$B$104,0))),0),F542))</f>
        <v/>
      </c>
      <c r="H542" s="27" t="str">
        <f aca="false">IF(G542="","",IF(N(E542)=0,1,E542)*IFERROR(N(INDEX(Produtos!$G$5:$G$104,MATCH(D542,Produtos!$B$5:$B$104,0))),0))</f>
        <v/>
      </c>
      <c r="I542" s="27" t="str">
        <f aca="false">IF(G542="","",G542-H542)</f>
        <v/>
      </c>
      <c r="J542" s="42"/>
    </row>
    <row r="543" customFormat="false" ht="21" hidden="false" customHeight="true" outlineLevel="0" collapsed="false">
      <c r="B543" s="41"/>
      <c r="C543" s="9"/>
      <c r="D543" s="9"/>
      <c r="E543" s="42"/>
      <c r="F543" s="43"/>
      <c r="G543" s="27" t="str">
        <f aca="false">IF(OR(C543="",AND(D543="",F543="")),"",IF(N(E543)=0,1,E543)*IF(F543="",IFERROR(N(INDEX(Produtos!$L$5:$L$104,MATCH(D543,Produtos!$B$5:$B$104,0))),0),F543))</f>
        <v/>
      </c>
      <c r="H543" s="27" t="str">
        <f aca="false">IF(G543="","",IF(N(E543)=0,1,E543)*IFERROR(N(INDEX(Produtos!$G$5:$G$104,MATCH(D543,Produtos!$B$5:$B$104,0))),0))</f>
        <v/>
      </c>
      <c r="I543" s="27" t="str">
        <f aca="false">IF(G543="","",G543-H543)</f>
        <v/>
      </c>
      <c r="J543" s="42"/>
    </row>
    <row r="544" customFormat="false" ht="21" hidden="false" customHeight="true" outlineLevel="0" collapsed="false">
      <c r="B544" s="41"/>
      <c r="C544" s="9"/>
      <c r="D544" s="9"/>
      <c r="E544" s="42"/>
      <c r="F544" s="43"/>
      <c r="G544" s="27" t="str">
        <f aca="false">IF(OR(C544="",AND(D544="",F544="")),"",IF(N(E544)=0,1,E544)*IF(F544="",IFERROR(N(INDEX(Produtos!$L$5:$L$104,MATCH(D544,Produtos!$B$5:$B$104,0))),0),F544))</f>
        <v/>
      </c>
      <c r="H544" s="27" t="str">
        <f aca="false">IF(G544="","",IF(N(E544)=0,1,E544)*IFERROR(N(INDEX(Produtos!$G$5:$G$104,MATCH(D544,Produtos!$B$5:$B$104,0))),0))</f>
        <v/>
      </c>
      <c r="I544" s="27" t="str">
        <f aca="false">IF(G544="","",G544-H544)</f>
        <v/>
      </c>
      <c r="J544" s="42"/>
    </row>
    <row r="545" customFormat="false" ht="21" hidden="false" customHeight="true" outlineLevel="0" collapsed="false">
      <c r="B545" s="41"/>
      <c r="C545" s="9"/>
      <c r="D545" s="9"/>
      <c r="E545" s="42"/>
      <c r="F545" s="43"/>
      <c r="G545" s="27" t="str">
        <f aca="false">IF(OR(C545="",AND(D545="",F545="")),"",IF(N(E545)=0,1,E545)*IF(F545="",IFERROR(N(INDEX(Produtos!$L$5:$L$104,MATCH(D545,Produtos!$B$5:$B$104,0))),0),F545))</f>
        <v/>
      </c>
      <c r="H545" s="27" t="str">
        <f aca="false">IF(G545="","",IF(N(E545)=0,1,E545)*IFERROR(N(INDEX(Produtos!$G$5:$G$104,MATCH(D545,Produtos!$B$5:$B$104,0))),0))</f>
        <v/>
      </c>
      <c r="I545" s="27" t="str">
        <f aca="false">IF(G545="","",G545-H545)</f>
        <v/>
      </c>
      <c r="J545" s="42"/>
    </row>
    <row r="546" customFormat="false" ht="21" hidden="false" customHeight="true" outlineLevel="0" collapsed="false">
      <c r="B546" s="41"/>
      <c r="C546" s="9"/>
      <c r="D546" s="9"/>
      <c r="E546" s="42"/>
      <c r="F546" s="43"/>
      <c r="G546" s="27" t="str">
        <f aca="false">IF(OR(C546="",AND(D546="",F546="")),"",IF(N(E546)=0,1,E546)*IF(F546="",IFERROR(N(INDEX(Produtos!$L$5:$L$104,MATCH(D546,Produtos!$B$5:$B$104,0))),0),F546))</f>
        <v/>
      </c>
      <c r="H546" s="27" t="str">
        <f aca="false">IF(G546="","",IF(N(E546)=0,1,E546)*IFERROR(N(INDEX(Produtos!$G$5:$G$104,MATCH(D546,Produtos!$B$5:$B$104,0))),0))</f>
        <v/>
      </c>
      <c r="I546" s="27" t="str">
        <f aca="false">IF(G546="","",G546-H546)</f>
        <v/>
      </c>
      <c r="J546" s="42"/>
    </row>
    <row r="547" customFormat="false" ht="21" hidden="false" customHeight="true" outlineLevel="0" collapsed="false">
      <c r="B547" s="41"/>
      <c r="C547" s="9"/>
      <c r="D547" s="9"/>
      <c r="E547" s="42"/>
      <c r="F547" s="43"/>
      <c r="G547" s="27" t="str">
        <f aca="false">IF(OR(C547="",AND(D547="",F547="")),"",IF(N(E547)=0,1,E547)*IF(F547="",IFERROR(N(INDEX(Produtos!$L$5:$L$104,MATCH(D547,Produtos!$B$5:$B$104,0))),0),F547))</f>
        <v/>
      </c>
      <c r="H547" s="27" t="str">
        <f aca="false">IF(G547="","",IF(N(E547)=0,1,E547)*IFERROR(N(INDEX(Produtos!$G$5:$G$104,MATCH(D547,Produtos!$B$5:$B$104,0))),0))</f>
        <v/>
      </c>
      <c r="I547" s="27" t="str">
        <f aca="false">IF(G547="","",G547-H547)</f>
        <v/>
      </c>
      <c r="J547" s="42"/>
    </row>
    <row r="548" customFormat="false" ht="21" hidden="false" customHeight="true" outlineLevel="0" collapsed="false">
      <c r="B548" s="41"/>
      <c r="C548" s="9"/>
      <c r="D548" s="9"/>
      <c r="E548" s="42"/>
      <c r="F548" s="43"/>
      <c r="G548" s="27" t="str">
        <f aca="false">IF(OR(C548="",AND(D548="",F548="")),"",IF(N(E548)=0,1,E548)*IF(F548="",IFERROR(N(INDEX(Produtos!$L$5:$L$104,MATCH(D548,Produtos!$B$5:$B$104,0))),0),F548))</f>
        <v/>
      </c>
      <c r="H548" s="27" t="str">
        <f aca="false">IF(G548="","",IF(N(E548)=0,1,E548)*IFERROR(N(INDEX(Produtos!$G$5:$G$104,MATCH(D548,Produtos!$B$5:$B$104,0))),0))</f>
        <v/>
      </c>
      <c r="I548" s="27" t="str">
        <f aca="false">IF(G548="","",G548-H548)</f>
        <v/>
      </c>
      <c r="J548" s="42"/>
    </row>
    <row r="549" customFormat="false" ht="21" hidden="false" customHeight="true" outlineLevel="0" collapsed="false">
      <c r="B549" s="41"/>
      <c r="C549" s="9"/>
      <c r="D549" s="9"/>
      <c r="E549" s="42"/>
      <c r="F549" s="43"/>
      <c r="G549" s="27" t="str">
        <f aca="false">IF(OR(C549="",AND(D549="",F549="")),"",IF(N(E549)=0,1,E549)*IF(F549="",IFERROR(N(INDEX(Produtos!$L$5:$L$104,MATCH(D549,Produtos!$B$5:$B$104,0))),0),F549))</f>
        <v/>
      </c>
      <c r="H549" s="27" t="str">
        <f aca="false">IF(G549="","",IF(N(E549)=0,1,E549)*IFERROR(N(INDEX(Produtos!$G$5:$G$104,MATCH(D549,Produtos!$B$5:$B$104,0))),0))</f>
        <v/>
      </c>
      <c r="I549" s="27" t="str">
        <f aca="false">IF(G549="","",G549-H549)</f>
        <v/>
      </c>
      <c r="J549" s="42"/>
    </row>
    <row r="550" customFormat="false" ht="21" hidden="false" customHeight="true" outlineLevel="0" collapsed="false">
      <c r="B550" s="41"/>
      <c r="C550" s="9"/>
      <c r="D550" s="9"/>
      <c r="E550" s="42"/>
      <c r="F550" s="43"/>
      <c r="G550" s="27" t="str">
        <f aca="false">IF(OR(C550="",AND(D550="",F550="")),"",IF(N(E550)=0,1,E550)*IF(F550="",IFERROR(N(INDEX(Produtos!$L$5:$L$104,MATCH(D550,Produtos!$B$5:$B$104,0))),0),F550))</f>
        <v/>
      </c>
      <c r="H550" s="27" t="str">
        <f aca="false">IF(G550="","",IF(N(E550)=0,1,E550)*IFERROR(N(INDEX(Produtos!$G$5:$G$104,MATCH(D550,Produtos!$B$5:$B$104,0))),0))</f>
        <v/>
      </c>
      <c r="I550" s="27" t="str">
        <f aca="false">IF(G550="","",G550-H550)</f>
        <v/>
      </c>
      <c r="J550" s="42"/>
    </row>
    <row r="551" customFormat="false" ht="21" hidden="false" customHeight="true" outlineLevel="0" collapsed="false">
      <c r="B551" s="41"/>
      <c r="C551" s="9"/>
      <c r="D551" s="9"/>
      <c r="E551" s="42"/>
      <c r="F551" s="43"/>
      <c r="G551" s="27" t="str">
        <f aca="false">IF(OR(C551="",AND(D551="",F551="")),"",IF(N(E551)=0,1,E551)*IF(F551="",IFERROR(N(INDEX(Produtos!$L$5:$L$104,MATCH(D551,Produtos!$B$5:$B$104,0))),0),F551))</f>
        <v/>
      </c>
      <c r="H551" s="27" t="str">
        <f aca="false">IF(G551="","",IF(N(E551)=0,1,E551)*IFERROR(N(INDEX(Produtos!$G$5:$G$104,MATCH(D551,Produtos!$B$5:$B$104,0))),0))</f>
        <v/>
      </c>
      <c r="I551" s="27" t="str">
        <f aca="false">IF(G551="","",G551-H551)</f>
        <v/>
      </c>
      <c r="J551" s="42"/>
    </row>
    <row r="552" customFormat="false" ht="21" hidden="false" customHeight="true" outlineLevel="0" collapsed="false">
      <c r="B552" s="41"/>
      <c r="C552" s="9"/>
      <c r="D552" s="9"/>
      <c r="E552" s="42"/>
      <c r="F552" s="43"/>
      <c r="G552" s="27" t="str">
        <f aca="false">IF(OR(C552="",AND(D552="",F552="")),"",IF(N(E552)=0,1,E552)*IF(F552="",IFERROR(N(INDEX(Produtos!$L$5:$L$104,MATCH(D552,Produtos!$B$5:$B$104,0))),0),F552))</f>
        <v/>
      </c>
      <c r="H552" s="27" t="str">
        <f aca="false">IF(G552="","",IF(N(E552)=0,1,E552)*IFERROR(N(INDEX(Produtos!$G$5:$G$104,MATCH(D552,Produtos!$B$5:$B$104,0))),0))</f>
        <v/>
      </c>
      <c r="I552" s="27" t="str">
        <f aca="false">IF(G552="","",G552-H552)</f>
        <v/>
      </c>
      <c r="J552" s="42"/>
    </row>
    <row r="553" customFormat="false" ht="21" hidden="false" customHeight="true" outlineLevel="0" collapsed="false">
      <c r="B553" s="41"/>
      <c r="C553" s="9"/>
      <c r="D553" s="9"/>
      <c r="E553" s="42"/>
      <c r="F553" s="43"/>
      <c r="G553" s="27" t="str">
        <f aca="false">IF(OR(C553="",AND(D553="",F553="")),"",IF(N(E553)=0,1,E553)*IF(F553="",IFERROR(N(INDEX(Produtos!$L$5:$L$104,MATCH(D553,Produtos!$B$5:$B$104,0))),0),F553))</f>
        <v/>
      </c>
      <c r="H553" s="27" t="str">
        <f aca="false">IF(G553="","",IF(N(E553)=0,1,E553)*IFERROR(N(INDEX(Produtos!$G$5:$G$104,MATCH(D553,Produtos!$B$5:$B$104,0))),0))</f>
        <v/>
      </c>
      <c r="I553" s="27" t="str">
        <f aca="false">IF(G553="","",G553-H553)</f>
        <v/>
      </c>
      <c r="J553" s="42"/>
    </row>
    <row r="554" customFormat="false" ht="21" hidden="false" customHeight="true" outlineLevel="0" collapsed="false">
      <c r="B554" s="41"/>
      <c r="C554" s="9"/>
      <c r="D554" s="9"/>
      <c r="E554" s="42"/>
      <c r="F554" s="43"/>
      <c r="G554" s="27" t="str">
        <f aca="false">IF(OR(C554="",AND(D554="",F554="")),"",IF(N(E554)=0,1,E554)*IF(F554="",IFERROR(N(INDEX(Produtos!$L$5:$L$104,MATCH(D554,Produtos!$B$5:$B$104,0))),0),F554))</f>
        <v/>
      </c>
      <c r="H554" s="27" t="str">
        <f aca="false">IF(G554="","",IF(N(E554)=0,1,E554)*IFERROR(N(INDEX(Produtos!$G$5:$G$104,MATCH(D554,Produtos!$B$5:$B$104,0))),0))</f>
        <v/>
      </c>
      <c r="I554" s="27" t="str">
        <f aca="false">IF(G554="","",G554-H554)</f>
        <v/>
      </c>
      <c r="J554" s="42"/>
    </row>
    <row r="555" customFormat="false" ht="21" hidden="false" customHeight="true" outlineLevel="0" collapsed="false">
      <c r="B555" s="41"/>
      <c r="C555" s="9"/>
      <c r="D555" s="9"/>
      <c r="E555" s="42"/>
      <c r="F555" s="43"/>
      <c r="G555" s="27" t="str">
        <f aca="false">IF(OR(C555="",AND(D555="",F555="")),"",IF(N(E555)=0,1,E555)*IF(F555="",IFERROR(N(INDEX(Produtos!$L$5:$L$104,MATCH(D555,Produtos!$B$5:$B$104,0))),0),F555))</f>
        <v/>
      </c>
      <c r="H555" s="27" t="str">
        <f aca="false">IF(G555="","",IF(N(E555)=0,1,E555)*IFERROR(N(INDEX(Produtos!$G$5:$G$104,MATCH(D555,Produtos!$B$5:$B$104,0))),0))</f>
        <v/>
      </c>
      <c r="I555" s="27" t="str">
        <f aca="false">IF(G555="","",G555-H555)</f>
        <v/>
      </c>
      <c r="J555" s="42"/>
    </row>
    <row r="556" customFormat="false" ht="21" hidden="false" customHeight="true" outlineLevel="0" collapsed="false">
      <c r="B556" s="41"/>
      <c r="C556" s="9"/>
      <c r="D556" s="9"/>
      <c r="E556" s="42"/>
      <c r="F556" s="43"/>
      <c r="G556" s="27" t="str">
        <f aca="false">IF(OR(C556="",AND(D556="",F556="")),"",IF(N(E556)=0,1,E556)*IF(F556="",IFERROR(N(INDEX(Produtos!$L$5:$L$104,MATCH(D556,Produtos!$B$5:$B$104,0))),0),F556))</f>
        <v/>
      </c>
      <c r="H556" s="27" t="str">
        <f aca="false">IF(G556="","",IF(N(E556)=0,1,E556)*IFERROR(N(INDEX(Produtos!$G$5:$G$104,MATCH(D556,Produtos!$B$5:$B$104,0))),0))</f>
        <v/>
      </c>
      <c r="I556" s="27" t="str">
        <f aca="false">IF(G556="","",G556-H556)</f>
        <v/>
      </c>
      <c r="J556" s="42"/>
    </row>
    <row r="557" customFormat="false" ht="21" hidden="false" customHeight="true" outlineLevel="0" collapsed="false">
      <c r="B557" s="41"/>
      <c r="C557" s="9"/>
      <c r="D557" s="9"/>
      <c r="E557" s="42"/>
      <c r="F557" s="43"/>
      <c r="G557" s="27" t="str">
        <f aca="false">IF(OR(C557="",AND(D557="",F557="")),"",IF(N(E557)=0,1,E557)*IF(F557="",IFERROR(N(INDEX(Produtos!$L$5:$L$104,MATCH(D557,Produtos!$B$5:$B$104,0))),0),F557))</f>
        <v/>
      </c>
      <c r="H557" s="27" t="str">
        <f aca="false">IF(G557="","",IF(N(E557)=0,1,E557)*IFERROR(N(INDEX(Produtos!$G$5:$G$104,MATCH(D557,Produtos!$B$5:$B$104,0))),0))</f>
        <v/>
      </c>
      <c r="I557" s="27" t="str">
        <f aca="false">IF(G557="","",G557-H557)</f>
        <v/>
      </c>
      <c r="J557" s="42"/>
    </row>
    <row r="558" customFormat="false" ht="21" hidden="false" customHeight="true" outlineLevel="0" collapsed="false">
      <c r="B558" s="41"/>
      <c r="C558" s="9"/>
      <c r="D558" s="9"/>
      <c r="E558" s="42"/>
      <c r="F558" s="43"/>
      <c r="G558" s="27" t="str">
        <f aca="false">IF(OR(C558="",AND(D558="",F558="")),"",IF(N(E558)=0,1,E558)*IF(F558="",IFERROR(N(INDEX(Produtos!$L$5:$L$104,MATCH(D558,Produtos!$B$5:$B$104,0))),0),F558))</f>
        <v/>
      </c>
      <c r="H558" s="27" t="str">
        <f aca="false">IF(G558="","",IF(N(E558)=0,1,E558)*IFERROR(N(INDEX(Produtos!$G$5:$G$104,MATCH(D558,Produtos!$B$5:$B$104,0))),0))</f>
        <v/>
      </c>
      <c r="I558" s="27" t="str">
        <f aca="false">IF(G558="","",G558-H558)</f>
        <v/>
      </c>
      <c r="J558" s="42"/>
    </row>
    <row r="559" customFormat="false" ht="21" hidden="false" customHeight="true" outlineLevel="0" collapsed="false">
      <c r="B559" s="41"/>
      <c r="C559" s="9"/>
      <c r="D559" s="9"/>
      <c r="E559" s="42"/>
      <c r="F559" s="43"/>
      <c r="G559" s="27" t="str">
        <f aca="false">IF(OR(C559="",AND(D559="",F559="")),"",IF(N(E559)=0,1,E559)*IF(F559="",IFERROR(N(INDEX(Produtos!$L$5:$L$104,MATCH(D559,Produtos!$B$5:$B$104,0))),0),F559))</f>
        <v/>
      </c>
      <c r="H559" s="27" t="str">
        <f aca="false">IF(G559="","",IF(N(E559)=0,1,E559)*IFERROR(N(INDEX(Produtos!$G$5:$G$104,MATCH(D559,Produtos!$B$5:$B$104,0))),0))</f>
        <v/>
      </c>
      <c r="I559" s="27" t="str">
        <f aca="false">IF(G559="","",G559-H559)</f>
        <v/>
      </c>
      <c r="J559" s="42"/>
    </row>
    <row r="560" customFormat="false" ht="21" hidden="false" customHeight="true" outlineLevel="0" collapsed="false">
      <c r="B560" s="41"/>
      <c r="C560" s="9"/>
      <c r="D560" s="9"/>
      <c r="E560" s="42"/>
      <c r="F560" s="43"/>
      <c r="G560" s="27" t="str">
        <f aca="false">IF(OR(C560="",AND(D560="",F560="")),"",IF(N(E560)=0,1,E560)*IF(F560="",IFERROR(N(INDEX(Produtos!$L$5:$L$104,MATCH(D560,Produtos!$B$5:$B$104,0))),0),F560))</f>
        <v/>
      </c>
      <c r="H560" s="27" t="str">
        <f aca="false">IF(G560="","",IF(N(E560)=0,1,E560)*IFERROR(N(INDEX(Produtos!$G$5:$G$104,MATCH(D560,Produtos!$B$5:$B$104,0))),0))</f>
        <v/>
      </c>
      <c r="I560" s="27" t="str">
        <f aca="false">IF(G560="","",G560-H560)</f>
        <v/>
      </c>
      <c r="J560" s="42"/>
    </row>
    <row r="561" customFormat="false" ht="21" hidden="false" customHeight="true" outlineLevel="0" collapsed="false">
      <c r="B561" s="41"/>
      <c r="C561" s="9"/>
      <c r="D561" s="9"/>
      <c r="E561" s="42"/>
      <c r="F561" s="43"/>
      <c r="G561" s="27" t="str">
        <f aca="false">IF(OR(C561="",AND(D561="",F561="")),"",IF(N(E561)=0,1,E561)*IF(F561="",IFERROR(N(INDEX(Produtos!$L$5:$L$104,MATCH(D561,Produtos!$B$5:$B$104,0))),0),F561))</f>
        <v/>
      </c>
      <c r="H561" s="27" t="str">
        <f aca="false">IF(G561="","",IF(N(E561)=0,1,E561)*IFERROR(N(INDEX(Produtos!$G$5:$G$104,MATCH(D561,Produtos!$B$5:$B$104,0))),0))</f>
        <v/>
      </c>
      <c r="I561" s="27" t="str">
        <f aca="false">IF(G561="","",G561-H561)</f>
        <v/>
      </c>
      <c r="J561" s="42"/>
    </row>
    <row r="562" customFormat="false" ht="21" hidden="false" customHeight="true" outlineLevel="0" collapsed="false">
      <c r="B562" s="41"/>
      <c r="C562" s="9"/>
      <c r="D562" s="9"/>
      <c r="E562" s="42"/>
      <c r="F562" s="43"/>
      <c r="G562" s="27" t="str">
        <f aca="false">IF(OR(C562="",AND(D562="",F562="")),"",IF(N(E562)=0,1,E562)*IF(F562="",IFERROR(N(INDEX(Produtos!$L$5:$L$104,MATCH(D562,Produtos!$B$5:$B$104,0))),0),F562))</f>
        <v/>
      </c>
      <c r="H562" s="27" t="str">
        <f aca="false">IF(G562="","",IF(N(E562)=0,1,E562)*IFERROR(N(INDEX(Produtos!$G$5:$G$104,MATCH(D562,Produtos!$B$5:$B$104,0))),0))</f>
        <v/>
      </c>
      <c r="I562" s="27" t="str">
        <f aca="false">IF(G562="","",G562-H562)</f>
        <v/>
      </c>
      <c r="J562" s="42"/>
    </row>
    <row r="563" customFormat="false" ht="21" hidden="false" customHeight="true" outlineLevel="0" collapsed="false">
      <c r="B563" s="41"/>
      <c r="C563" s="9"/>
      <c r="D563" s="9"/>
      <c r="E563" s="42"/>
      <c r="F563" s="43"/>
      <c r="G563" s="27" t="str">
        <f aca="false">IF(OR(C563="",AND(D563="",F563="")),"",IF(N(E563)=0,1,E563)*IF(F563="",IFERROR(N(INDEX(Produtos!$L$5:$L$104,MATCH(D563,Produtos!$B$5:$B$104,0))),0),F563))</f>
        <v/>
      </c>
      <c r="H563" s="27" t="str">
        <f aca="false">IF(G563="","",IF(N(E563)=0,1,E563)*IFERROR(N(INDEX(Produtos!$G$5:$G$104,MATCH(D563,Produtos!$B$5:$B$104,0))),0))</f>
        <v/>
      </c>
      <c r="I563" s="27" t="str">
        <f aca="false">IF(G563="","",G563-H563)</f>
        <v/>
      </c>
      <c r="J563" s="42"/>
    </row>
    <row r="564" customFormat="false" ht="21" hidden="false" customHeight="true" outlineLevel="0" collapsed="false">
      <c r="B564" s="41"/>
      <c r="C564" s="9"/>
      <c r="D564" s="9"/>
      <c r="E564" s="42"/>
      <c r="F564" s="43"/>
      <c r="G564" s="27" t="str">
        <f aca="false">IF(OR(C564="",AND(D564="",F564="")),"",IF(N(E564)=0,1,E564)*IF(F564="",IFERROR(N(INDEX(Produtos!$L$5:$L$104,MATCH(D564,Produtos!$B$5:$B$104,0))),0),F564))</f>
        <v/>
      </c>
      <c r="H564" s="27" t="str">
        <f aca="false">IF(G564="","",IF(N(E564)=0,1,E564)*IFERROR(N(INDEX(Produtos!$G$5:$G$104,MATCH(D564,Produtos!$B$5:$B$104,0))),0))</f>
        <v/>
      </c>
      <c r="I564" s="27" t="str">
        <f aca="false">IF(G564="","",G564-H564)</f>
        <v/>
      </c>
      <c r="J564" s="42"/>
    </row>
    <row r="565" customFormat="false" ht="21" hidden="false" customHeight="true" outlineLevel="0" collapsed="false">
      <c r="B565" s="41"/>
      <c r="C565" s="9"/>
      <c r="D565" s="9"/>
      <c r="E565" s="42"/>
      <c r="F565" s="43"/>
      <c r="G565" s="27" t="str">
        <f aca="false">IF(OR(C565="",AND(D565="",F565="")),"",IF(N(E565)=0,1,E565)*IF(F565="",IFERROR(N(INDEX(Produtos!$L$5:$L$104,MATCH(D565,Produtos!$B$5:$B$104,0))),0),F565))</f>
        <v/>
      </c>
      <c r="H565" s="27" t="str">
        <f aca="false">IF(G565="","",IF(N(E565)=0,1,E565)*IFERROR(N(INDEX(Produtos!$G$5:$G$104,MATCH(D565,Produtos!$B$5:$B$104,0))),0))</f>
        <v/>
      </c>
      <c r="I565" s="27" t="str">
        <f aca="false">IF(G565="","",G565-H565)</f>
        <v/>
      </c>
      <c r="J565" s="42"/>
    </row>
    <row r="566" customFormat="false" ht="21" hidden="false" customHeight="true" outlineLevel="0" collapsed="false">
      <c r="B566" s="41"/>
      <c r="C566" s="9"/>
      <c r="D566" s="9"/>
      <c r="E566" s="42"/>
      <c r="F566" s="43"/>
      <c r="G566" s="27" t="str">
        <f aca="false">IF(OR(C566="",AND(D566="",F566="")),"",IF(N(E566)=0,1,E566)*IF(F566="",IFERROR(N(INDEX(Produtos!$L$5:$L$104,MATCH(D566,Produtos!$B$5:$B$104,0))),0),F566))</f>
        <v/>
      </c>
      <c r="H566" s="27" t="str">
        <f aca="false">IF(G566="","",IF(N(E566)=0,1,E566)*IFERROR(N(INDEX(Produtos!$G$5:$G$104,MATCH(D566,Produtos!$B$5:$B$104,0))),0))</f>
        <v/>
      </c>
      <c r="I566" s="27" t="str">
        <f aca="false">IF(G566="","",G566-H566)</f>
        <v/>
      </c>
      <c r="J566" s="42"/>
    </row>
    <row r="567" customFormat="false" ht="21" hidden="false" customHeight="true" outlineLevel="0" collapsed="false">
      <c r="B567" s="41"/>
      <c r="C567" s="9"/>
      <c r="D567" s="9"/>
      <c r="E567" s="42"/>
      <c r="F567" s="43"/>
      <c r="G567" s="27" t="str">
        <f aca="false">IF(OR(C567="",AND(D567="",F567="")),"",IF(N(E567)=0,1,E567)*IF(F567="",IFERROR(N(INDEX(Produtos!$L$5:$L$104,MATCH(D567,Produtos!$B$5:$B$104,0))),0),F567))</f>
        <v/>
      </c>
      <c r="H567" s="27" t="str">
        <f aca="false">IF(G567="","",IF(N(E567)=0,1,E567)*IFERROR(N(INDEX(Produtos!$G$5:$G$104,MATCH(D567,Produtos!$B$5:$B$104,0))),0))</f>
        <v/>
      </c>
      <c r="I567" s="27" t="str">
        <f aca="false">IF(G567="","",G567-H567)</f>
        <v/>
      </c>
      <c r="J567" s="42"/>
    </row>
    <row r="568" customFormat="false" ht="21" hidden="false" customHeight="true" outlineLevel="0" collapsed="false">
      <c r="B568" s="41"/>
      <c r="C568" s="9"/>
      <c r="D568" s="9"/>
      <c r="E568" s="42"/>
      <c r="F568" s="43"/>
      <c r="G568" s="27" t="str">
        <f aca="false">IF(OR(C568="",AND(D568="",F568="")),"",IF(N(E568)=0,1,E568)*IF(F568="",IFERROR(N(INDEX(Produtos!$L$5:$L$104,MATCH(D568,Produtos!$B$5:$B$104,0))),0),F568))</f>
        <v/>
      </c>
      <c r="H568" s="27" t="str">
        <f aca="false">IF(G568="","",IF(N(E568)=0,1,E568)*IFERROR(N(INDEX(Produtos!$G$5:$G$104,MATCH(D568,Produtos!$B$5:$B$104,0))),0))</f>
        <v/>
      </c>
      <c r="I568" s="27" t="str">
        <f aca="false">IF(G568="","",G568-H568)</f>
        <v/>
      </c>
      <c r="J568" s="42"/>
    </row>
    <row r="569" customFormat="false" ht="21" hidden="false" customHeight="true" outlineLevel="0" collapsed="false">
      <c r="B569" s="41"/>
      <c r="C569" s="9"/>
      <c r="D569" s="9"/>
      <c r="E569" s="42"/>
      <c r="F569" s="43"/>
      <c r="G569" s="27" t="str">
        <f aca="false">IF(OR(C569="",AND(D569="",F569="")),"",IF(N(E569)=0,1,E569)*IF(F569="",IFERROR(N(INDEX(Produtos!$L$5:$L$104,MATCH(D569,Produtos!$B$5:$B$104,0))),0),F569))</f>
        <v/>
      </c>
      <c r="H569" s="27" t="str">
        <f aca="false">IF(G569="","",IF(N(E569)=0,1,E569)*IFERROR(N(INDEX(Produtos!$G$5:$G$104,MATCH(D569,Produtos!$B$5:$B$104,0))),0))</f>
        <v/>
      </c>
      <c r="I569" s="27" t="str">
        <f aca="false">IF(G569="","",G569-H569)</f>
        <v/>
      </c>
      <c r="J569" s="42"/>
    </row>
    <row r="570" customFormat="false" ht="21" hidden="false" customHeight="true" outlineLevel="0" collapsed="false">
      <c r="B570" s="41"/>
      <c r="C570" s="9"/>
      <c r="D570" s="9"/>
      <c r="E570" s="42"/>
      <c r="F570" s="43"/>
      <c r="G570" s="27" t="str">
        <f aca="false">IF(OR(C570="",AND(D570="",F570="")),"",IF(N(E570)=0,1,E570)*IF(F570="",IFERROR(N(INDEX(Produtos!$L$5:$L$104,MATCH(D570,Produtos!$B$5:$B$104,0))),0),F570))</f>
        <v/>
      </c>
      <c r="H570" s="27" t="str">
        <f aca="false">IF(G570="","",IF(N(E570)=0,1,E570)*IFERROR(N(INDEX(Produtos!$G$5:$G$104,MATCH(D570,Produtos!$B$5:$B$104,0))),0))</f>
        <v/>
      </c>
      <c r="I570" s="27" t="str">
        <f aca="false">IF(G570="","",G570-H570)</f>
        <v/>
      </c>
      <c r="J570" s="42"/>
    </row>
    <row r="571" customFormat="false" ht="21" hidden="false" customHeight="true" outlineLevel="0" collapsed="false">
      <c r="B571" s="41"/>
      <c r="C571" s="9"/>
      <c r="D571" s="9"/>
      <c r="E571" s="42"/>
      <c r="F571" s="43"/>
      <c r="G571" s="27" t="str">
        <f aca="false">IF(OR(C571="",AND(D571="",F571="")),"",IF(N(E571)=0,1,E571)*IF(F571="",IFERROR(N(INDEX(Produtos!$L$5:$L$104,MATCH(D571,Produtos!$B$5:$B$104,0))),0),F571))</f>
        <v/>
      </c>
      <c r="H571" s="27" t="str">
        <f aca="false">IF(G571="","",IF(N(E571)=0,1,E571)*IFERROR(N(INDEX(Produtos!$G$5:$G$104,MATCH(D571,Produtos!$B$5:$B$104,0))),0))</f>
        <v/>
      </c>
      <c r="I571" s="27" t="str">
        <f aca="false">IF(G571="","",G571-H571)</f>
        <v/>
      </c>
      <c r="J571" s="42"/>
    </row>
    <row r="572" customFormat="false" ht="21" hidden="false" customHeight="true" outlineLevel="0" collapsed="false">
      <c r="B572" s="41"/>
      <c r="C572" s="9"/>
      <c r="D572" s="9"/>
      <c r="E572" s="42"/>
      <c r="F572" s="43"/>
      <c r="G572" s="27" t="str">
        <f aca="false">IF(OR(C572="",AND(D572="",F572="")),"",IF(N(E572)=0,1,E572)*IF(F572="",IFERROR(N(INDEX(Produtos!$L$5:$L$104,MATCH(D572,Produtos!$B$5:$B$104,0))),0),F572))</f>
        <v/>
      </c>
      <c r="H572" s="27" t="str">
        <f aca="false">IF(G572="","",IF(N(E572)=0,1,E572)*IFERROR(N(INDEX(Produtos!$G$5:$G$104,MATCH(D572,Produtos!$B$5:$B$104,0))),0))</f>
        <v/>
      </c>
      <c r="I572" s="27" t="str">
        <f aca="false">IF(G572="","",G572-H572)</f>
        <v/>
      </c>
      <c r="J572" s="42"/>
    </row>
    <row r="573" customFormat="false" ht="21" hidden="false" customHeight="true" outlineLevel="0" collapsed="false">
      <c r="B573" s="41"/>
      <c r="C573" s="9"/>
      <c r="D573" s="9"/>
      <c r="E573" s="42"/>
      <c r="F573" s="43"/>
      <c r="G573" s="27" t="str">
        <f aca="false">IF(OR(C573="",AND(D573="",F573="")),"",IF(N(E573)=0,1,E573)*IF(F573="",IFERROR(N(INDEX(Produtos!$L$5:$L$104,MATCH(D573,Produtos!$B$5:$B$104,0))),0),F573))</f>
        <v/>
      </c>
      <c r="H573" s="27" t="str">
        <f aca="false">IF(G573="","",IF(N(E573)=0,1,E573)*IFERROR(N(INDEX(Produtos!$G$5:$G$104,MATCH(D573,Produtos!$B$5:$B$104,0))),0))</f>
        <v/>
      </c>
      <c r="I573" s="27" t="str">
        <f aca="false">IF(G573="","",G573-H573)</f>
        <v/>
      </c>
      <c r="J573" s="42"/>
    </row>
    <row r="574" customFormat="false" ht="21" hidden="false" customHeight="true" outlineLevel="0" collapsed="false">
      <c r="B574" s="41"/>
      <c r="C574" s="9"/>
      <c r="D574" s="9"/>
      <c r="E574" s="42"/>
      <c r="F574" s="43"/>
      <c r="G574" s="27" t="str">
        <f aca="false">IF(OR(C574="",AND(D574="",F574="")),"",IF(N(E574)=0,1,E574)*IF(F574="",IFERROR(N(INDEX(Produtos!$L$5:$L$104,MATCH(D574,Produtos!$B$5:$B$104,0))),0),F574))</f>
        <v/>
      </c>
      <c r="H574" s="27" t="str">
        <f aca="false">IF(G574="","",IF(N(E574)=0,1,E574)*IFERROR(N(INDEX(Produtos!$G$5:$G$104,MATCH(D574,Produtos!$B$5:$B$104,0))),0))</f>
        <v/>
      </c>
      <c r="I574" s="27" t="str">
        <f aca="false">IF(G574="","",G574-H574)</f>
        <v/>
      </c>
      <c r="J574" s="42"/>
    </row>
    <row r="575" customFormat="false" ht="21" hidden="false" customHeight="true" outlineLevel="0" collapsed="false">
      <c r="B575" s="41"/>
      <c r="C575" s="9"/>
      <c r="D575" s="9"/>
      <c r="E575" s="42"/>
      <c r="F575" s="43"/>
      <c r="G575" s="27" t="str">
        <f aca="false">IF(OR(C575="",AND(D575="",F575="")),"",IF(N(E575)=0,1,E575)*IF(F575="",IFERROR(N(INDEX(Produtos!$L$5:$L$104,MATCH(D575,Produtos!$B$5:$B$104,0))),0),F575))</f>
        <v/>
      </c>
      <c r="H575" s="27" t="str">
        <f aca="false">IF(G575="","",IF(N(E575)=0,1,E575)*IFERROR(N(INDEX(Produtos!$G$5:$G$104,MATCH(D575,Produtos!$B$5:$B$104,0))),0))</f>
        <v/>
      </c>
      <c r="I575" s="27" t="str">
        <f aca="false">IF(G575="","",G575-H575)</f>
        <v/>
      </c>
      <c r="J575" s="42"/>
    </row>
    <row r="576" customFormat="false" ht="21" hidden="false" customHeight="true" outlineLevel="0" collapsed="false">
      <c r="B576" s="41"/>
      <c r="C576" s="9"/>
      <c r="D576" s="9"/>
      <c r="E576" s="42"/>
      <c r="F576" s="43"/>
      <c r="G576" s="27" t="str">
        <f aca="false">IF(OR(C576="",AND(D576="",F576="")),"",IF(N(E576)=0,1,E576)*IF(F576="",IFERROR(N(INDEX(Produtos!$L$5:$L$104,MATCH(D576,Produtos!$B$5:$B$104,0))),0),F576))</f>
        <v/>
      </c>
      <c r="H576" s="27" t="str">
        <f aca="false">IF(G576="","",IF(N(E576)=0,1,E576)*IFERROR(N(INDEX(Produtos!$G$5:$G$104,MATCH(D576,Produtos!$B$5:$B$104,0))),0))</f>
        <v/>
      </c>
      <c r="I576" s="27" t="str">
        <f aca="false">IF(G576="","",G576-H576)</f>
        <v/>
      </c>
      <c r="J576" s="42"/>
    </row>
    <row r="577" customFormat="false" ht="21" hidden="false" customHeight="true" outlineLevel="0" collapsed="false">
      <c r="B577" s="41"/>
      <c r="C577" s="9"/>
      <c r="D577" s="9"/>
      <c r="E577" s="42"/>
      <c r="F577" s="43"/>
      <c r="G577" s="27" t="str">
        <f aca="false">IF(OR(C577="",AND(D577="",F577="")),"",IF(N(E577)=0,1,E577)*IF(F577="",IFERROR(N(INDEX(Produtos!$L$5:$L$104,MATCH(D577,Produtos!$B$5:$B$104,0))),0),F577))</f>
        <v/>
      </c>
      <c r="H577" s="27" t="str">
        <f aca="false">IF(G577="","",IF(N(E577)=0,1,E577)*IFERROR(N(INDEX(Produtos!$G$5:$G$104,MATCH(D577,Produtos!$B$5:$B$104,0))),0))</f>
        <v/>
      </c>
      <c r="I577" s="27" t="str">
        <f aca="false">IF(G577="","",G577-H577)</f>
        <v/>
      </c>
      <c r="J577" s="42"/>
    </row>
    <row r="578" customFormat="false" ht="21" hidden="false" customHeight="true" outlineLevel="0" collapsed="false">
      <c r="B578" s="41"/>
      <c r="C578" s="9"/>
      <c r="D578" s="9"/>
      <c r="E578" s="42"/>
      <c r="F578" s="43"/>
      <c r="G578" s="27" t="str">
        <f aca="false">IF(OR(C578="",AND(D578="",F578="")),"",IF(N(E578)=0,1,E578)*IF(F578="",IFERROR(N(INDEX(Produtos!$L$5:$L$104,MATCH(D578,Produtos!$B$5:$B$104,0))),0),F578))</f>
        <v/>
      </c>
      <c r="H578" s="27" t="str">
        <f aca="false">IF(G578="","",IF(N(E578)=0,1,E578)*IFERROR(N(INDEX(Produtos!$G$5:$G$104,MATCH(D578,Produtos!$B$5:$B$104,0))),0))</f>
        <v/>
      </c>
      <c r="I578" s="27" t="str">
        <f aca="false">IF(G578="","",G578-H578)</f>
        <v/>
      </c>
      <c r="J578" s="42"/>
    </row>
    <row r="579" customFormat="false" ht="21" hidden="false" customHeight="true" outlineLevel="0" collapsed="false">
      <c r="B579" s="41"/>
      <c r="C579" s="9"/>
      <c r="D579" s="9"/>
      <c r="E579" s="42"/>
      <c r="F579" s="43"/>
      <c r="G579" s="27" t="str">
        <f aca="false">IF(OR(C579="",AND(D579="",F579="")),"",IF(N(E579)=0,1,E579)*IF(F579="",IFERROR(N(INDEX(Produtos!$L$5:$L$104,MATCH(D579,Produtos!$B$5:$B$104,0))),0),F579))</f>
        <v/>
      </c>
      <c r="H579" s="27" t="str">
        <f aca="false">IF(G579="","",IF(N(E579)=0,1,E579)*IFERROR(N(INDEX(Produtos!$G$5:$G$104,MATCH(D579,Produtos!$B$5:$B$104,0))),0))</f>
        <v/>
      </c>
      <c r="I579" s="27" t="str">
        <f aca="false">IF(G579="","",G579-H579)</f>
        <v/>
      </c>
      <c r="J579" s="42"/>
    </row>
    <row r="580" customFormat="false" ht="21" hidden="false" customHeight="true" outlineLevel="0" collapsed="false">
      <c r="B580" s="41"/>
      <c r="C580" s="9"/>
      <c r="D580" s="9"/>
      <c r="E580" s="42"/>
      <c r="F580" s="43"/>
      <c r="G580" s="27" t="str">
        <f aca="false">IF(OR(C580="",AND(D580="",F580="")),"",IF(N(E580)=0,1,E580)*IF(F580="",IFERROR(N(INDEX(Produtos!$L$5:$L$104,MATCH(D580,Produtos!$B$5:$B$104,0))),0),F580))</f>
        <v/>
      </c>
      <c r="H580" s="27" t="str">
        <f aca="false">IF(G580="","",IF(N(E580)=0,1,E580)*IFERROR(N(INDEX(Produtos!$G$5:$G$104,MATCH(D580,Produtos!$B$5:$B$104,0))),0))</f>
        <v/>
      </c>
      <c r="I580" s="27" t="str">
        <f aca="false">IF(G580="","",G580-H580)</f>
        <v/>
      </c>
      <c r="J580" s="42"/>
    </row>
    <row r="581" customFormat="false" ht="21" hidden="false" customHeight="true" outlineLevel="0" collapsed="false">
      <c r="B581" s="41"/>
      <c r="C581" s="9"/>
      <c r="D581" s="9"/>
      <c r="E581" s="42"/>
      <c r="F581" s="43"/>
      <c r="G581" s="27" t="str">
        <f aca="false">IF(OR(C581="",AND(D581="",F581="")),"",IF(N(E581)=0,1,E581)*IF(F581="",IFERROR(N(INDEX(Produtos!$L$5:$L$104,MATCH(D581,Produtos!$B$5:$B$104,0))),0),F581))</f>
        <v/>
      </c>
      <c r="H581" s="27" t="str">
        <f aca="false">IF(G581="","",IF(N(E581)=0,1,E581)*IFERROR(N(INDEX(Produtos!$G$5:$G$104,MATCH(D581,Produtos!$B$5:$B$104,0))),0))</f>
        <v/>
      </c>
      <c r="I581" s="27" t="str">
        <f aca="false">IF(G581="","",G581-H581)</f>
        <v/>
      </c>
      <c r="J581" s="42"/>
    </row>
    <row r="582" customFormat="false" ht="21" hidden="false" customHeight="true" outlineLevel="0" collapsed="false">
      <c r="B582" s="41"/>
      <c r="C582" s="9"/>
      <c r="D582" s="9"/>
      <c r="E582" s="42"/>
      <c r="F582" s="43"/>
      <c r="G582" s="27" t="str">
        <f aca="false">IF(OR(C582="",AND(D582="",F582="")),"",IF(N(E582)=0,1,E582)*IF(F582="",IFERROR(N(INDEX(Produtos!$L$5:$L$104,MATCH(D582,Produtos!$B$5:$B$104,0))),0),F582))</f>
        <v/>
      </c>
      <c r="H582" s="27" t="str">
        <f aca="false">IF(G582="","",IF(N(E582)=0,1,E582)*IFERROR(N(INDEX(Produtos!$G$5:$G$104,MATCH(D582,Produtos!$B$5:$B$104,0))),0))</f>
        <v/>
      </c>
      <c r="I582" s="27" t="str">
        <f aca="false">IF(G582="","",G582-H582)</f>
        <v/>
      </c>
      <c r="J582" s="42"/>
    </row>
    <row r="583" customFormat="false" ht="21" hidden="false" customHeight="true" outlineLevel="0" collapsed="false">
      <c r="B583" s="41"/>
      <c r="C583" s="9"/>
      <c r="D583" s="9"/>
      <c r="E583" s="42"/>
      <c r="F583" s="43"/>
      <c r="G583" s="27" t="str">
        <f aca="false">IF(OR(C583="",AND(D583="",F583="")),"",IF(N(E583)=0,1,E583)*IF(F583="",IFERROR(N(INDEX(Produtos!$L$5:$L$104,MATCH(D583,Produtos!$B$5:$B$104,0))),0),F583))</f>
        <v/>
      </c>
      <c r="H583" s="27" t="str">
        <f aca="false">IF(G583="","",IF(N(E583)=0,1,E583)*IFERROR(N(INDEX(Produtos!$G$5:$G$104,MATCH(D583,Produtos!$B$5:$B$104,0))),0))</f>
        <v/>
      </c>
      <c r="I583" s="27" t="str">
        <f aca="false">IF(G583="","",G583-H583)</f>
        <v/>
      </c>
      <c r="J583" s="42"/>
    </row>
    <row r="584" customFormat="false" ht="21" hidden="false" customHeight="true" outlineLevel="0" collapsed="false">
      <c r="B584" s="41"/>
      <c r="C584" s="9"/>
      <c r="D584" s="9"/>
      <c r="E584" s="42"/>
      <c r="F584" s="43"/>
      <c r="G584" s="27" t="str">
        <f aca="false">IF(OR(C584="",AND(D584="",F584="")),"",IF(N(E584)=0,1,E584)*IF(F584="",IFERROR(N(INDEX(Produtos!$L$5:$L$104,MATCH(D584,Produtos!$B$5:$B$104,0))),0),F584))</f>
        <v/>
      </c>
      <c r="H584" s="27" t="str">
        <f aca="false">IF(G584="","",IF(N(E584)=0,1,E584)*IFERROR(N(INDEX(Produtos!$G$5:$G$104,MATCH(D584,Produtos!$B$5:$B$104,0))),0))</f>
        <v/>
      </c>
      <c r="I584" s="27" t="str">
        <f aca="false">IF(G584="","",G584-H584)</f>
        <v/>
      </c>
      <c r="J584" s="42"/>
    </row>
    <row r="585" customFormat="false" ht="21" hidden="false" customHeight="true" outlineLevel="0" collapsed="false">
      <c r="B585" s="41"/>
      <c r="C585" s="9"/>
      <c r="D585" s="9"/>
      <c r="E585" s="42"/>
      <c r="F585" s="43"/>
      <c r="G585" s="27" t="str">
        <f aca="false">IF(OR(C585="",AND(D585="",F585="")),"",IF(N(E585)=0,1,E585)*IF(F585="",IFERROR(N(INDEX(Produtos!$L$5:$L$104,MATCH(D585,Produtos!$B$5:$B$104,0))),0),F585))</f>
        <v/>
      </c>
      <c r="H585" s="27" t="str">
        <f aca="false">IF(G585="","",IF(N(E585)=0,1,E585)*IFERROR(N(INDEX(Produtos!$G$5:$G$104,MATCH(D585,Produtos!$B$5:$B$104,0))),0))</f>
        <v/>
      </c>
      <c r="I585" s="27" t="str">
        <f aca="false">IF(G585="","",G585-H585)</f>
        <v/>
      </c>
      <c r="J585" s="42"/>
    </row>
    <row r="586" customFormat="false" ht="21" hidden="false" customHeight="true" outlineLevel="0" collapsed="false">
      <c r="B586" s="41"/>
      <c r="C586" s="9"/>
      <c r="D586" s="9"/>
      <c r="E586" s="42"/>
      <c r="F586" s="43"/>
      <c r="G586" s="27" t="str">
        <f aca="false">IF(OR(C586="",AND(D586="",F586="")),"",IF(N(E586)=0,1,E586)*IF(F586="",IFERROR(N(INDEX(Produtos!$L$5:$L$104,MATCH(D586,Produtos!$B$5:$B$104,0))),0),F586))</f>
        <v/>
      </c>
      <c r="H586" s="27" t="str">
        <f aca="false">IF(G586="","",IF(N(E586)=0,1,E586)*IFERROR(N(INDEX(Produtos!$G$5:$G$104,MATCH(D586,Produtos!$B$5:$B$104,0))),0))</f>
        <v/>
      </c>
      <c r="I586" s="27" t="str">
        <f aca="false">IF(G586="","",G586-H586)</f>
        <v/>
      </c>
      <c r="J586" s="42"/>
    </row>
    <row r="587" customFormat="false" ht="21" hidden="false" customHeight="true" outlineLevel="0" collapsed="false">
      <c r="B587" s="41"/>
      <c r="C587" s="9"/>
      <c r="D587" s="9"/>
      <c r="E587" s="42"/>
      <c r="F587" s="43"/>
      <c r="G587" s="27" t="str">
        <f aca="false">IF(OR(C587="",AND(D587="",F587="")),"",IF(N(E587)=0,1,E587)*IF(F587="",IFERROR(N(INDEX(Produtos!$L$5:$L$104,MATCH(D587,Produtos!$B$5:$B$104,0))),0),F587))</f>
        <v/>
      </c>
      <c r="H587" s="27" t="str">
        <f aca="false">IF(G587="","",IF(N(E587)=0,1,E587)*IFERROR(N(INDEX(Produtos!$G$5:$G$104,MATCH(D587,Produtos!$B$5:$B$104,0))),0))</f>
        <v/>
      </c>
      <c r="I587" s="27" t="str">
        <f aca="false">IF(G587="","",G587-H587)</f>
        <v/>
      </c>
      <c r="J587" s="42"/>
    </row>
    <row r="588" customFormat="false" ht="21" hidden="false" customHeight="true" outlineLevel="0" collapsed="false">
      <c r="B588" s="41"/>
      <c r="C588" s="9"/>
      <c r="D588" s="9"/>
      <c r="E588" s="42"/>
      <c r="F588" s="43"/>
      <c r="G588" s="27" t="str">
        <f aca="false">IF(OR(C588="",AND(D588="",F588="")),"",IF(N(E588)=0,1,E588)*IF(F588="",IFERROR(N(INDEX(Produtos!$L$5:$L$104,MATCH(D588,Produtos!$B$5:$B$104,0))),0),F588))</f>
        <v/>
      </c>
      <c r="H588" s="27" t="str">
        <f aca="false">IF(G588="","",IF(N(E588)=0,1,E588)*IFERROR(N(INDEX(Produtos!$G$5:$G$104,MATCH(D588,Produtos!$B$5:$B$104,0))),0))</f>
        <v/>
      </c>
      <c r="I588" s="27" t="str">
        <f aca="false">IF(G588="","",G588-H588)</f>
        <v/>
      </c>
      <c r="J588" s="42"/>
    </row>
    <row r="589" customFormat="false" ht="21" hidden="false" customHeight="true" outlineLevel="0" collapsed="false">
      <c r="B589" s="41"/>
      <c r="C589" s="9"/>
      <c r="D589" s="9"/>
      <c r="E589" s="42"/>
      <c r="F589" s="43"/>
      <c r="G589" s="27" t="str">
        <f aca="false">IF(OR(C589="",AND(D589="",F589="")),"",IF(N(E589)=0,1,E589)*IF(F589="",IFERROR(N(INDEX(Produtos!$L$5:$L$104,MATCH(D589,Produtos!$B$5:$B$104,0))),0),F589))</f>
        <v/>
      </c>
      <c r="H589" s="27" t="str">
        <f aca="false">IF(G589="","",IF(N(E589)=0,1,E589)*IFERROR(N(INDEX(Produtos!$G$5:$G$104,MATCH(D589,Produtos!$B$5:$B$104,0))),0))</f>
        <v/>
      </c>
      <c r="I589" s="27" t="str">
        <f aca="false">IF(G589="","",G589-H589)</f>
        <v/>
      </c>
      <c r="J589" s="42"/>
    </row>
    <row r="590" customFormat="false" ht="21" hidden="false" customHeight="true" outlineLevel="0" collapsed="false">
      <c r="B590" s="41"/>
      <c r="C590" s="9"/>
      <c r="D590" s="9"/>
      <c r="E590" s="42"/>
      <c r="F590" s="43"/>
      <c r="G590" s="27" t="str">
        <f aca="false">IF(OR(C590="",AND(D590="",F590="")),"",IF(N(E590)=0,1,E590)*IF(F590="",IFERROR(N(INDEX(Produtos!$L$5:$L$104,MATCH(D590,Produtos!$B$5:$B$104,0))),0),F590))</f>
        <v/>
      </c>
      <c r="H590" s="27" t="str">
        <f aca="false">IF(G590="","",IF(N(E590)=0,1,E590)*IFERROR(N(INDEX(Produtos!$G$5:$G$104,MATCH(D590,Produtos!$B$5:$B$104,0))),0))</f>
        <v/>
      </c>
      <c r="I590" s="27" t="str">
        <f aca="false">IF(G590="","",G590-H590)</f>
        <v/>
      </c>
      <c r="J590" s="42"/>
    </row>
    <row r="591" customFormat="false" ht="21" hidden="false" customHeight="true" outlineLevel="0" collapsed="false">
      <c r="B591" s="41"/>
      <c r="C591" s="9"/>
      <c r="D591" s="9"/>
      <c r="E591" s="42"/>
      <c r="F591" s="43"/>
      <c r="G591" s="27" t="str">
        <f aca="false">IF(OR(C591="",AND(D591="",F591="")),"",IF(N(E591)=0,1,E591)*IF(F591="",IFERROR(N(INDEX(Produtos!$L$5:$L$104,MATCH(D591,Produtos!$B$5:$B$104,0))),0),F591))</f>
        <v/>
      </c>
      <c r="H591" s="27" t="str">
        <f aca="false">IF(G591="","",IF(N(E591)=0,1,E591)*IFERROR(N(INDEX(Produtos!$G$5:$G$104,MATCH(D591,Produtos!$B$5:$B$104,0))),0))</f>
        <v/>
      </c>
      <c r="I591" s="27" t="str">
        <f aca="false">IF(G591="","",G591-H591)</f>
        <v/>
      </c>
      <c r="J591" s="42"/>
    </row>
    <row r="592" customFormat="false" ht="21" hidden="false" customHeight="true" outlineLevel="0" collapsed="false">
      <c r="B592" s="41"/>
      <c r="C592" s="9"/>
      <c r="D592" s="9"/>
      <c r="E592" s="42"/>
      <c r="F592" s="43"/>
      <c r="G592" s="27" t="str">
        <f aca="false">IF(OR(C592="",AND(D592="",F592="")),"",IF(N(E592)=0,1,E592)*IF(F592="",IFERROR(N(INDEX(Produtos!$L$5:$L$104,MATCH(D592,Produtos!$B$5:$B$104,0))),0),F592))</f>
        <v/>
      </c>
      <c r="H592" s="27" t="str">
        <f aca="false">IF(G592="","",IF(N(E592)=0,1,E592)*IFERROR(N(INDEX(Produtos!$G$5:$G$104,MATCH(D592,Produtos!$B$5:$B$104,0))),0))</f>
        <v/>
      </c>
      <c r="I592" s="27" t="str">
        <f aca="false">IF(G592="","",G592-H592)</f>
        <v/>
      </c>
      <c r="J592" s="42"/>
    </row>
    <row r="593" customFormat="false" ht="21" hidden="false" customHeight="true" outlineLevel="0" collapsed="false">
      <c r="B593" s="41"/>
      <c r="C593" s="9"/>
      <c r="D593" s="9"/>
      <c r="E593" s="42"/>
      <c r="F593" s="43"/>
      <c r="G593" s="27" t="str">
        <f aca="false">IF(OR(C593="",AND(D593="",F593="")),"",IF(N(E593)=0,1,E593)*IF(F593="",IFERROR(N(INDEX(Produtos!$L$5:$L$104,MATCH(D593,Produtos!$B$5:$B$104,0))),0),F593))</f>
        <v/>
      </c>
      <c r="H593" s="27" t="str">
        <f aca="false">IF(G593="","",IF(N(E593)=0,1,E593)*IFERROR(N(INDEX(Produtos!$G$5:$G$104,MATCH(D593,Produtos!$B$5:$B$104,0))),0))</f>
        <v/>
      </c>
      <c r="I593" s="27" t="str">
        <f aca="false">IF(G593="","",G593-H593)</f>
        <v/>
      </c>
      <c r="J593" s="42"/>
    </row>
    <row r="594" customFormat="false" ht="21" hidden="false" customHeight="true" outlineLevel="0" collapsed="false">
      <c r="B594" s="41"/>
      <c r="C594" s="9"/>
      <c r="D594" s="9"/>
      <c r="E594" s="42"/>
      <c r="F594" s="43"/>
      <c r="G594" s="27" t="str">
        <f aca="false">IF(OR(C594="",AND(D594="",F594="")),"",IF(N(E594)=0,1,E594)*IF(F594="",IFERROR(N(INDEX(Produtos!$L$5:$L$104,MATCH(D594,Produtos!$B$5:$B$104,0))),0),F594))</f>
        <v/>
      </c>
      <c r="H594" s="27" t="str">
        <f aca="false">IF(G594="","",IF(N(E594)=0,1,E594)*IFERROR(N(INDEX(Produtos!$G$5:$G$104,MATCH(D594,Produtos!$B$5:$B$104,0))),0))</f>
        <v/>
      </c>
      <c r="I594" s="27" t="str">
        <f aca="false">IF(G594="","",G594-H594)</f>
        <v/>
      </c>
      <c r="J594" s="42"/>
    </row>
    <row r="595" customFormat="false" ht="21" hidden="false" customHeight="true" outlineLevel="0" collapsed="false">
      <c r="B595" s="41"/>
      <c r="C595" s="9"/>
      <c r="D595" s="9"/>
      <c r="E595" s="42"/>
      <c r="F595" s="43"/>
      <c r="G595" s="27" t="str">
        <f aca="false">IF(OR(C595="",AND(D595="",F595="")),"",IF(N(E595)=0,1,E595)*IF(F595="",IFERROR(N(INDEX(Produtos!$L$5:$L$104,MATCH(D595,Produtos!$B$5:$B$104,0))),0),F595))</f>
        <v/>
      </c>
      <c r="H595" s="27" t="str">
        <f aca="false">IF(G595="","",IF(N(E595)=0,1,E595)*IFERROR(N(INDEX(Produtos!$G$5:$G$104,MATCH(D595,Produtos!$B$5:$B$104,0))),0))</f>
        <v/>
      </c>
      <c r="I595" s="27" t="str">
        <f aca="false">IF(G595="","",G595-H595)</f>
        <v/>
      </c>
      <c r="J595" s="42"/>
    </row>
    <row r="596" customFormat="false" ht="21" hidden="false" customHeight="true" outlineLevel="0" collapsed="false">
      <c r="B596" s="41"/>
      <c r="C596" s="9"/>
      <c r="D596" s="9"/>
      <c r="E596" s="42"/>
      <c r="F596" s="43"/>
      <c r="G596" s="27" t="str">
        <f aca="false">IF(OR(C596="",AND(D596="",F596="")),"",IF(N(E596)=0,1,E596)*IF(F596="",IFERROR(N(INDEX(Produtos!$L$5:$L$104,MATCH(D596,Produtos!$B$5:$B$104,0))),0),F596))</f>
        <v/>
      </c>
      <c r="H596" s="27" t="str">
        <f aca="false">IF(G596="","",IF(N(E596)=0,1,E596)*IFERROR(N(INDEX(Produtos!$G$5:$G$104,MATCH(D596,Produtos!$B$5:$B$104,0))),0))</f>
        <v/>
      </c>
      <c r="I596" s="27" t="str">
        <f aca="false">IF(G596="","",G596-H596)</f>
        <v/>
      </c>
      <c r="J596" s="42"/>
    </row>
    <row r="597" customFormat="false" ht="21" hidden="false" customHeight="true" outlineLevel="0" collapsed="false">
      <c r="B597" s="41"/>
      <c r="C597" s="9"/>
      <c r="D597" s="9"/>
      <c r="E597" s="42"/>
      <c r="F597" s="43"/>
      <c r="G597" s="27" t="str">
        <f aca="false">IF(OR(C597="",AND(D597="",F597="")),"",IF(N(E597)=0,1,E597)*IF(F597="",IFERROR(N(INDEX(Produtos!$L$5:$L$104,MATCH(D597,Produtos!$B$5:$B$104,0))),0),F597))</f>
        <v/>
      </c>
      <c r="H597" s="27" t="str">
        <f aca="false">IF(G597="","",IF(N(E597)=0,1,E597)*IFERROR(N(INDEX(Produtos!$G$5:$G$104,MATCH(D597,Produtos!$B$5:$B$104,0))),0))</f>
        <v/>
      </c>
      <c r="I597" s="27" t="str">
        <f aca="false">IF(G597="","",G597-H597)</f>
        <v/>
      </c>
      <c r="J597" s="42"/>
    </row>
    <row r="598" customFormat="false" ht="21" hidden="false" customHeight="true" outlineLevel="0" collapsed="false">
      <c r="B598" s="41"/>
      <c r="C598" s="9"/>
      <c r="D598" s="9"/>
      <c r="E598" s="42"/>
      <c r="F598" s="43"/>
      <c r="G598" s="27" t="str">
        <f aca="false">IF(OR(C598="",AND(D598="",F598="")),"",IF(N(E598)=0,1,E598)*IF(F598="",IFERROR(N(INDEX(Produtos!$L$5:$L$104,MATCH(D598,Produtos!$B$5:$B$104,0))),0),F598))</f>
        <v/>
      </c>
      <c r="H598" s="27" t="str">
        <f aca="false">IF(G598="","",IF(N(E598)=0,1,E598)*IFERROR(N(INDEX(Produtos!$G$5:$G$104,MATCH(D598,Produtos!$B$5:$B$104,0))),0))</f>
        <v/>
      </c>
      <c r="I598" s="27" t="str">
        <f aca="false">IF(G598="","",G598-H598)</f>
        <v/>
      </c>
      <c r="J598" s="42"/>
    </row>
    <row r="599" customFormat="false" ht="21" hidden="false" customHeight="true" outlineLevel="0" collapsed="false">
      <c r="B599" s="41"/>
      <c r="C599" s="9"/>
      <c r="D599" s="9"/>
      <c r="E599" s="42"/>
      <c r="F599" s="43"/>
      <c r="G599" s="27" t="str">
        <f aca="false">IF(OR(C599="",AND(D599="",F599="")),"",IF(N(E599)=0,1,E599)*IF(F599="",IFERROR(N(INDEX(Produtos!$L$5:$L$104,MATCH(D599,Produtos!$B$5:$B$104,0))),0),F599))</f>
        <v/>
      </c>
      <c r="H599" s="27" t="str">
        <f aca="false">IF(G599="","",IF(N(E599)=0,1,E599)*IFERROR(N(INDEX(Produtos!$G$5:$G$104,MATCH(D599,Produtos!$B$5:$B$104,0))),0))</f>
        <v/>
      </c>
      <c r="I599" s="27" t="str">
        <f aca="false">IF(G599="","",G599-H599)</f>
        <v/>
      </c>
      <c r="J599" s="42"/>
    </row>
    <row r="600" customFormat="false" ht="21" hidden="false" customHeight="true" outlineLevel="0" collapsed="false">
      <c r="B600" s="41"/>
      <c r="C600" s="9"/>
      <c r="D600" s="9"/>
      <c r="E600" s="42"/>
      <c r="F600" s="43"/>
      <c r="G600" s="27" t="str">
        <f aca="false">IF(OR(C600="",AND(D600="",F600="")),"",IF(N(E600)=0,1,E600)*IF(F600="",IFERROR(N(INDEX(Produtos!$L$5:$L$104,MATCH(D600,Produtos!$B$5:$B$104,0))),0),F600))</f>
        <v/>
      </c>
      <c r="H600" s="27" t="str">
        <f aca="false">IF(G600="","",IF(N(E600)=0,1,E600)*IFERROR(N(INDEX(Produtos!$G$5:$G$104,MATCH(D600,Produtos!$B$5:$B$104,0))),0))</f>
        <v/>
      </c>
      <c r="I600" s="27" t="str">
        <f aca="false">IF(G600="","",G600-H600)</f>
        <v/>
      </c>
      <c r="J600" s="42"/>
    </row>
    <row r="601" customFormat="false" ht="21" hidden="false" customHeight="true" outlineLevel="0" collapsed="false">
      <c r="B601" s="41"/>
      <c r="C601" s="9"/>
      <c r="D601" s="9"/>
      <c r="E601" s="42"/>
      <c r="F601" s="43"/>
      <c r="G601" s="27" t="str">
        <f aca="false">IF(OR(C601="",AND(D601="",F601="")),"",IF(N(E601)=0,1,E601)*IF(F601="",IFERROR(N(INDEX(Produtos!$L$5:$L$104,MATCH(D601,Produtos!$B$5:$B$104,0))),0),F601))</f>
        <v/>
      </c>
      <c r="H601" s="27" t="str">
        <f aca="false">IF(G601="","",IF(N(E601)=0,1,E601)*IFERROR(N(INDEX(Produtos!$G$5:$G$104,MATCH(D601,Produtos!$B$5:$B$104,0))),0))</f>
        <v/>
      </c>
      <c r="I601" s="27" t="str">
        <f aca="false">IF(G601="","",G601-H601)</f>
        <v/>
      </c>
      <c r="J601" s="42"/>
    </row>
    <row r="602" customFormat="false" ht="21" hidden="false" customHeight="true" outlineLevel="0" collapsed="false">
      <c r="B602" s="41"/>
      <c r="C602" s="9"/>
      <c r="D602" s="9"/>
      <c r="E602" s="42"/>
      <c r="F602" s="43"/>
      <c r="G602" s="27" t="str">
        <f aca="false">IF(OR(C602="",AND(D602="",F602="")),"",IF(N(E602)=0,1,E602)*IF(F602="",IFERROR(N(INDEX(Produtos!$L$5:$L$104,MATCH(D602,Produtos!$B$5:$B$104,0))),0),F602))</f>
        <v/>
      </c>
      <c r="H602" s="27" t="str">
        <f aca="false">IF(G602="","",IF(N(E602)=0,1,E602)*IFERROR(N(INDEX(Produtos!$G$5:$G$104,MATCH(D602,Produtos!$B$5:$B$104,0))),0))</f>
        <v/>
      </c>
      <c r="I602" s="27" t="str">
        <f aca="false">IF(G602="","",G602-H602)</f>
        <v/>
      </c>
      <c r="J602" s="42"/>
    </row>
    <row r="603" customFormat="false" ht="21" hidden="false" customHeight="true" outlineLevel="0" collapsed="false">
      <c r="B603" s="41"/>
      <c r="C603" s="9"/>
      <c r="D603" s="9"/>
      <c r="E603" s="42"/>
      <c r="F603" s="43"/>
      <c r="G603" s="27" t="str">
        <f aca="false">IF(OR(C603="",AND(D603="",F603="")),"",IF(N(E603)=0,1,E603)*IF(F603="",IFERROR(N(INDEX(Produtos!$L$5:$L$104,MATCH(D603,Produtos!$B$5:$B$104,0))),0),F603))</f>
        <v/>
      </c>
      <c r="H603" s="27" t="str">
        <f aca="false">IF(G603="","",IF(N(E603)=0,1,E603)*IFERROR(N(INDEX(Produtos!$G$5:$G$104,MATCH(D603,Produtos!$B$5:$B$104,0))),0))</f>
        <v/>
      </c>
      <c r="I603" s="27" t="str">
        <f aca="false">IF(G603="","",G603-H603)</f>
        <v/>
      </c>
      <c r="J603" s="42"/>
    </row>
    <row r="604" customFormat="false" ht="21" hidden="false" customHeight="true" outlineLevel="0" collapsed="false">
      <c r="B604" s="41"/>
      <c r="C604" s="9"/>
      <c r="D604" s="9"/>
      <c r="E604" s="42"/>
      <c r="F604" s="43"/>
      <c r="G604" s="27" t="str">
        <f aca="false">IF(OR(C604="",AND(D604="",F604="")),"",IF(N(E604)=0,1,E604)*IF(F604="",IFERROR(N(INDEX(Produtos!$L$5:$L$104,MATCH(D604,Produtos!$B$5:$B$104,0))),0),F604))</f>
        <v/>
      </c>
      <c r="H604" s="27" t="str">
        <f aca="false">IF(G604="","",IF(N(E604)=0,1,E604)*IFERROR(N(INDEX(Produtos!$G$5:$G$104,MATCH(D604,Produtos!$B$5:$B$104,0))),0))</f>
        <v/>
      </c>
      <c r="I604" s="27" t="str">
        <f aca="false">IF(G604="","",G604-H604)</f>
        <v/>
      </c>
      <c r="J604" s="42"/>
    </row>
    <row r="605" customFormat="false" ht="21" hidden="false" customHeight="true" outlineLevel="0" collapsed="false">
      <c r="B605" s="41"/>
      <c r="C605" s="9"/>
      <c r="D605" s="9"/>
      <c r="E605" s="42"/>
      <c r="F605" s="43"/>
      <c r="G605" s="27" t="str">
        <f aca="false">IF(OR(C605="",AND(D605="",F605="")),"",IF(N(E605)=0,1,E605)*IF(F605="",IFERROR(N(INDEX(Produtos!$L$5:$L$104,MATCH(D605,Produtos!$B$5:$B$104,0))),0),F605))</f>
        <v/>
      </c>
      <c r="H605" s="27" t="str">
        <f aca="false">IF(G605="","",IF(N(E605)=0,1,E605)*IFERROR(N(INDEX(Produtos!$G$5:$G$104,MATCH(D605,Produtos!$B$5:$B$104,0))),0))</f>
        <v/>
      </c>
      <c r="I605" s="27" t="str">
        <f aca="false">IF(G605="","",G605-H605)</f>
        <v/>
      </c>
      <c r="J605" s="42"/>
    </row>
    <row r="606" customFormat="false" ht="21" hidden="false" customHeight="true" outlineLevel="0" collapsed="false">
      <c r="B606" s="41"/>
      <c r="C606" s="9"/>
      <c r="D606" s="9"/>
      <c r="E606" s="42"/>
      <c r="F606" s="43"/>
      <c r="G606" s="27" t="str">
        <f aca="false">IF(OR(C606="",AND(D606="",F606="")),"",IF(N(E606)=0,1,E606)*IF(F606="",IFERROR(N(INDEX(Produtos!$L$5:$L$104,MATCH(D606,Produtos!$B$5:$B$104,0))),0),F606))</f>
        <v/>
      </c>
      <c r="H606" s="27" t="str">
        <f aca="false">IF(G606="","",IF(N(E606)=0,1,E606)*IFERROR(N(INDEX(Produtos!$G$5:$G$104,MATCH(D606,Produtos!$B$5:$B$104,0))),0))</f>
        <v/>
      </c>
      <c r="I606" s="27" t="str">
        <f aca="false">IF(G606="","",G606-H606)</f>
        <v/>
      </c>
      <c r="J606" s="42"/>
    </row>
    <row r="607" customFormat="false" ht="21" hidden="false" customHeight="true" outlineLevel="0" collapsed="false">
      <c r="B607" s="41"/>
      <c r="C607" s="9"/>
      <c r="D607" s="9"/>
      <c r="E607" s="42"/>
      <c r="F607" s="43"/>
      <c r="G607" s="27" t="str">
        <f aca="false">IF(OR(C607="",AND(D607="",F607="")),"",IF(N(E607)=0,1,E607)*IF(F607="",IFERROR(N(INDEX(Produtos!$L$5:$L$104,MATCH(D607,Produtos!$B$5:$B$104,0))),0),F607))</f>
        <v/>
      </c>
      <c r="H607" s="27" t="str">
        <f aca="false">IF(G607="","",IF(N(E607)=0,1,E607)*IFERROR(N(INDEX(Produtos!$G$5:$G$104,MATCH(D607,Produtos!$B$5:$B$104,0))),0))</f>
        <v/>
      </c>
      <c r="I607" s="27" t="str">
        <f aca="false">IF(G607="","",G607-H607)</f>
        <v/>
      </c>
      <c r="J607" s="42"/>
    </row>
    <row r="608" customFormat="false" ht="21" hidden="false" customHeight="true" outlineLevel="0" collapsed="false">
      <c r="B608" s="41"/>
      <c r="C608" s="9"/>
      <c r="D608" s="9"/>
      <c r="E608" s="42"/>
      <c r="F608" s="43"/>
      <c r="G608" s="27" t="str">
        <f aca="false">IF(OR(C608="",AND(D608="",F608="")),"",IF(N(E608)=0,1,E608)*IF(F608="",IFERROR(N(INDEX(Produtos!$L$5:$L$104,MATCH(D608,Produtos!$B$5:$B$104,0))),0),F608))</f>
        <v/>
      </c>
      <c r="H608" s="27" t="str">
        <f aca="false">IF(G608="","",IF(N(E608)=0,1,E608)*IFERROR(N(INDEX(Produtos!$G$5:$G$104,MATCH(D608,Produtos!$B$5:$B$104,0))),0))</f>
        <v/>
      </c>
      <c r="I608" s="27" t="str">
        <f aca="false">IF(G608="","",G608-H608)</f>
        <v/>
      </c>
      <c r="J608" s="42"/>
    </row>
    <row r="609" customFormat="false" ht="21" hidden="false" customHeight="true" outlineLevel="0" collapsed="false">
      <c r="B609" s="41"/>
      <c r="C609" s="9"/>
      <c r="D609" s="9"/>
      <c r="E609" s="42"/>
      <c r="F609" s="43"/>
      <c r="G609" s="27" t="str">
        <f aca="false">IF(OR(C609="",AND(D609="",F609="")),"",IF(N(E609)=0,1,E609)*IF(F609="",IFERROR(N(INDEX(Produtos!$L$5:$L$104,MATCH(D609,Produtos!$B$5:$B$104,0))),0),F609))</f>
        <v/>
      </c>
      <c r="H609" s="27" t="str">
        <f aca="false">IF(G609="","",IF(N(E609)=0,1,E609)*IFERROR(N(INDEX(Produtos!$G$5:$G$104,MATCH(D609,Produtos!$B$5:$B$104,0))),0))</f>
        <v/>
      </c>
      <c r="I609" s="27" t="str">
        <f aca="false">IF(G609="","",G609-H609)</f>
        <v/>
      </c>
      <c r="J609" s="42"/>
    </row>
    <row r="610" customFormat="false" ht="21" hidden="false" customHeight="true" outlineLevel="0" collapsed="false">
      <c r="B610" s="41"/>
      <c r="C610" s="9"/>
      <c r="D610" s="9"/>
      <c r="E610" s="42"/>
      <c r="F610" s="43"/>
      <c r="G610" s="27" t="str">
        <f aca="false">IF(OR(C610="",AND(D610="",F610="")),"",IF(N(E610)=0,1,E610)*IF(F610="",IFERROR(N(INDEX(Produtos!$L$5:$L$104,MATCH(D610,Produtos!$B$5:$B$104,0))),0),F610))</f>
        <v/>
      </c>
      <c r="H610" s="27" t="str">
        <f aca="false">IF(G610="","",IF(N(E610)=0,1,E610)*IFERROR(N(INDEX(Produtos!$G$5:$G$104,MATCH(D610,Produtos!$B$5:$B$104,0))),0))</f>
        <v/>
      </c>
      <c r="I610" s="27" t="str">
        <f aca="false">IF(G610="","",G610-H610)</f>
        <v/>
      </c>
      <c r="J610" s="42"/>
    </row>
    <row r="611" customFormat="false" ht="21" hidden="false" customHeight="true" outlineLevel="0" collapsed="false">
      <c r="B611" s="41"/>
      <c r="C611" s="9"/>
      <c r="D611" s="9"/>
      <c r="E611" s="42"/>
      <c r="F611" s="43"/>
      <c r="G611" s="27" t="str">
        <f aca="false">IF(OR(C611="",AND(D611="",F611="")),"",IF(N(E611)=0,1,E611)*IF(F611="",IFERROR(N(INDEX(Produtos!$L$5:$L$104,MATCH(D611,Produtos!$B$5:$B$104,0))),0),F611))</f>
        <v/>
      </c>
      <c r="H611" s="27" t="str">
        <f aca="false">IF(G611="","",IF(N(E611)=0,1,E611)*IFERROR(N(INDEX(Produtos!$G$5:$G$104,MATCH(D611,Produtos!$B$5:$B$104,0))),0))</f>
        <v/>
      </c>
      <c r="I611" s="27" t="str">
        <f aca="false">IF(G611="","",G611-H611)</f>
        <v/>
      </c>
      <c r="J611" s="42"/>
    </row>
    <row r="612" customFormat="false" ht="21" hidden="false" customHeight="true" outlineLevel="0" collapsed="false">
      <c r="B612" s="41"/>
      <c r="C612" s="9"/>
      <c r="D612" s="9"/>
      <c r="E612" s="42"/>
      <c r="F612" s="43"/>
      <c r="G612" s="27" t="str">
        <f aca="false">IF(OR(C612="",AND(D612="",F612="")),"",IF(N(E612)=0,1,E612)*IF(F612="",IFERROR(N(INDEX(Produtos!$L$5:$L$104,MATCH(D612,Produtos!$B$5:$B$104,0))),0),F612))</f>
        <v/>
      </c>
      <c r="H612" s="27" t="str">
        <f aca="false">IF(G612="","",IF(N(E612)=0,1,E612)*IFERROR(N(INDEX(Produtos!$G$5:$G$104,MATCH(D612,Produtos!$B$5:$B$104,0))),0))</f>
        <v/>
      </c>
      <c r="I612" s="27" t="str">
        <f aca="false">IF(G612="","",G612-H612)</f>
        <v/>
      </c>
      <c r="J612" s="42"/>
    </row>
    <row r="613" customFormat="false" ht="21" hidden="false" customHeight="true" outlineLevel="0" collapsed="false">
      <c r="B613" s="41"/>
      <c r="C613" s="9"/>
      <c r="D613" s="9"/>
      <c r="E613" s="42"/>
      <c r="F613" s="43"/>
      <c r="G613" s="27" t="str">
        <f aca="false">IF(OR(C613="",AND(D613="",F613="")),"",IF(N(E613)=0,1,E613)*IF(F613="",IFERROR(N(INDEX(Produtos!$L$5:$L$104,MATCH(D613,Produtos!$B$5:$B$104,0))),0),F613))</f>
        <v/>
      </c>
      <c r="H613" s="27" t="str">
        <f aca="false">IF(G613="","",IF(N(E613)=0,1,E613)*IFERROR(N(INDEX(Produtos!$G$5:$G$104,MATCH(D613,Produtos!$B$5:$B$104,0))),0))</f>
        <v/>
      </c>
      <c r="I613" s="27" t="str">
        <f aca="false">IF(G613="","",G613-H613)</f>
        <v/>
      </c>
      <c r="J613" s="42"/>
    </row>
    <row r="614" customFormat="false" ht="21" hidden="false" customHeight="true" outlineLevel="0" collapsed="false">
      <c r="B614" s="41"/>
      <c r="C614" s="9"/>
      <c r="D614" s="9"/>
      <c r="E614" s="42"/>
      <c r="F614" s="43"/>
      <c r="G614" s="27" t="str">
        <f aca="false">IF(OR(C614="",AND(D614="",F614="")),"",IF(N(E614)=0,1,E614)*IF(F614="",IFERROR(N(INDEX(Produtos!$L$5:$L$104,MATCH(D614,Produtos!$B$5:$B$104,0))),0),F614))</f>
        <v/>
      </c>
      <c r="H614" s="27" t="str">
        <f aca="false">IF(G614="","",IF(N(E614)=0,1,E614)*IFERROR(N(INDEX(Produtos!$G$5:$G$104,MATCH(D614,Produtos!$B$5:$B$104,0))),0))</f>
        <v/>
      </c>
      <c r="I614" s="27" t="str">
        <f aca="false">IF(G614="","",G614-H614)</f>
        <v/>
      </c>
      <c r="J614" s="42"/>
    </row>
    <row r="615" customFormat="false" ht="21" hidden="false" customHeight="true" outlineLevel="0" collapsed="false">
      <c r="B615" s="41"/>
      <c r="C615" s="9"/>
      <c r="D615" s="9"/>
      <c r="E615" s="42"/>
      <c r="F615" s="43"/>
      <c r="G615" s="27" t="str">
        <f aca="false">IF(OR(C615="",AND(D615="",F615="")),"",IF(N(E615)=0,1,E615)*IF(F615="",IFERROR(N(INDEX(Produtos!$L$5:$L$104,MATCH(D615,Produtos!$B$5:$B$104,0))),0),F615))</f>
        <v/>
      </c>
      <c r="H615" s="27" t="str">
        <f aca="false">IF(G615="","",IF(N(E615)=0,1,E615)*IFERROR(N(INDEX(Produtos!$G$5:$G$104,MATCH(D615,Produtos!$B$5:$B$104,0))),0))</f>
        <v/>
      </c>
      <c r="I615" s="27" t="str">
        <f aca="false">IF(G615="","",G615-H615)</f>
        <v/>
      </c>
      <c r="J615" s="42"/>
    </row>
    <row r="616" customFormat="false" ht="21" hidden="false" customHeight="true" outlineLevel="0" collapsed="false">
      <c r="B616" s="41"/>
      <c r="C616" s="9"/>
      <c r="D616" s="9"/>
      <c r="E616" s="42"/>
      <c r="F616" s="43"/>
      <c r="G616" s="27" t="str">
        <f aca="false">IF(OR(C616="",AND(D616="",F616="")),"",IF(N(E616)=0,1,E616)*IF(F616="",IFERROR(N(INDEX(Produtos!$L$5:$L$104,MATCH(D616,Produtos!$B$5:$B$104,0))),0),F616))</f>
        <v/>
      </c>
      <c r="H616" s="27" t="str">
        <f aca="false">IF(G616="","",IF(N(E616)=0,1,E616)*IFERROR(N(INDEX(Produtos!$G$5:$G$104,MATCH(D616,Produtos!$B$5:$B$104,0))),0))</f>
        <v/>
      </c>
      <c r="I616" s="27" t="str">
        <f aca="false">IF(G616="","",G616-H616)</f>
        <v/>
      </c>
      <c r="J616" s="42"/>
    </row>
    <row r="617" customFormat="false" ht="21" hidden="false" customHeight="true" outlineLevel="0" collapsed="false">
      <c r="B617" s="41"/>
      <c r="C617" s="9"/>
      <c r="D617" s="9"/>
      <c r="E617" s="42"/>
      <c r="F617" s="43"/>
      <c r="G617" s="27" t="str">
        <f aca="false">IF(OR(C617="",AND(D617="",F617="")),"",IF(N(E617)=0,1,E617)*IF(F617="",IFERROR(N(INDEX(Produtos!$L$5:$L$104,MATCH(D617,Produtos!$B$5:$B$104,0))),0),F617))</f>
        <v/>
      </c>
      <c r="H617" s="27" t="str">
        <f aca="false">IF(G617="","",IF(N(E617)=0,1,E617)*IFERROR(N(INDEX(Produtos!$G$5:$G$104,MATCH(D617,Produtos!$B$5:$B$104,0))),0))</f>
        <v/>
      </c>
      <c r="I617" s="27" t="str">
        <f aca="false">IF(G617="","",G617-H617)</f>
        <v/>
      </c>
      <c r="J617" s="42"/>
    </row>
    <row r="618" customFormat="false" ht="21" hidden="false" customHeight="true" outlineLevel="0" collapsed="false">
      <c r="B618" s="41"/>
      <c r="C618" s="9"/>
      <c r="D618" s="9"/>
      <c r="E618" s="42"/>
      <c r="F618" s="43"/>
      <c r="G618" s="27" t="str">
        <f aca="false">IF(OR(C618="",AND(D618="",F618="")),"",IF(N(E618)=0,1,E618)*IF(F618="",IFERROR(N(INDEX(Produtos!$L$5:$L$104,MATCH(D618,Produtos!$B$5:$B$104,0))),0),F618))</f>
        <v/>
      </c>
      <c r="H618" s="27" t="str">
        <f aca="false">IF(G618="","",IF(N(E618)=0,1,E618)*IFERROR(N(INDEX(Produtos!$G$5:$G$104,MATCH(D618,Produtos!$B$5:$B$104,0))),0))</f>
        <v/>
      </c>
      <c r="I618" s="27" t="str">
        <f aca="false">IF(G618="","",G618-H618)</f>
        <v/>
      </c>
      <c r="J618" s="42"/>
    </row>
    <row r="619" customFormat="false" ht="21" hidden="false" customHeight="true" outlineLevel="0" collapsed="false">
      <c r="B619" s="41"/>
      <c r="C619" s="9"/>
      <c r="D619" s="9"/>
      <c r="E619" s="42"/>
      <c r="F619" s="43"/>
      <c r="G619" s="27" t="str">
        <f aca="false">IF(OR(C619="",AND(D619="",F619="")),"",IF(N(E619)=0,1,E619)*IF(F619="",IFERROR(N(INDEX(Produtos!$L$5:$L$104,MATCH(D619,Produtos!$B$5:$B$104,0))),0),F619))</f>
        <v/>
      </c>
      <c r="H619" s="27" t="str">
        <f aca="false">IF(G619="","",IF(N(E619)=0,1,E619)*IFERROR(N(INDEX(Produtos!$G$5:$G$104,MATCH(D619,Produtos!$B$5:$B$104,0))),0))</f>
        <v/>
      </c>
      <c r="I619" s="27" t="str">
        <f aca="false">IF(G619="","",G619-H619)</f>
        <v/>
      </c>
      <c r="J619" s="42"/>
    </row>
    <row r="620" customFormat="false" ht="21" hidden="false" customHeight="true" outlineLevel="0" collapsed="false">
      <c r="B620" s="41"/>
      <c r="C620" s="9"/>
      <c r="D620" s="9"/>
      <c r="E620" s="42"/>
      <c r="F620" s="43"/>
      <c r="G620" s="27" t="str">
        <f aca="false">IF(OR(C620="",AND(D620="",F620="")),"",IF(N(E620)=0,1,E620)*IF(F620="",IFERROR(N(INDEX(Produtos!$L$5:$L$104,MATCH(D620,Produtos!$B$5:$B$104,0))),0),F620))</f>
        <v/>
      </c>
      <c r="H620" s="27" t="str">
        <f aca="false">IF(G620="","",IF(N(E620)=0,1,E620)*IFERROR(N(INDEX(Produtos!$G$5:$G$104,MATCH(D620,Produtos!$B$5:$B$104,0))),0))</f>
        <v/>
      </c>
      <c r="I620" s="27" t="str">
        <f aca="false">IF(G620="","",G620-H620)</f>
        <v/>
      </c>
      <c r="J620" s="42"/>
    </row>
    <row r="621" customFormat="false" ht="21" hidden="false" customHeight="true" outlineLevel="0" collapsed="false">
      <c r="B621" s="41"/>
      <c r="C621" s="9"/>
      <c r="D621" s="9"/>
      <c r="E621" s="42"/>
      <c r="F621" s="43"/>
      <c r="G621" s="27" t="str">
        <f aca="false">IF(OR(C621="",AND(D621="",F621="")),"",IF(N(E621)=0,1,E621)*IF(F621="",IFERROR(N(INDEX(Produtos!$L$5:$L$104,MATCH(D621,Produtos!$B$5:$B$104,0))),0),F621))</f>
        <v/>
      </c>
      <c r="H621" s="27" t="str">
        <f aca="false">IF(G621="","",IF(N(E621)=0,1,E621)*IFERROR(N(INDEX(Produtos!$G$5:$G$104,MATCH(D621,Produtos!$B$5:$B$104,0))),0))</f>
        <v/>
      </c>
      <c r="I621" s="27" t="str">
        <f aca="false">IF(G621="","",G621-H621)</f>
        <v/>
      </c>
      <c r="J621" s="42"/>
    </row>
    <row r="622" customFormat="false" ht="21" hidden="false" customHeight="true" outlineLevel="0" collapsed="false">
      <c r="B622" s="41"/>
      <c r="C622" s="9"/>
      <c r="D622" s="9"/>
      <c r="E622" s="42"/>
      <c r="F622" s="43"/>
      <c r="G622" s="27" t="str">
        <f aca="false">IF(OR(C622="",AND(D622="",F622="")),"",IF(N(E622)=0,1,E622)*IF(F622="",IFERROR(N(INDEX(Produtos!$L$5:$L$104,MATCH(D622,Produtos!$B$5:$B$104,0))),0),F622))</f>
        <v/>
      </c>
      <c r="H622" s="27" t="str">
        <f aca="false">IF(G622="","",IF(N(E622)=0,1,E622)*IFERROR(N(INDEX(Produtos!$G$5:$G$104,MATCH(D622,Produtos!$B$5:$B$104,0))),0))</f>
        <v/>
      </c>
      <c r="I622" s="27" t="str">
        <f aca="false">IF(G622="","",G622-H622)</f>
        <v/>
      </c>
      <c r="J622" s="42"/>
    </row>
    <row r="623" customFormat="false" ht="21" hidden="false" customHeight="true" outlineLevel="0" collapsed="false">
      <c r="B623" s="41"/>
      <c r="C623" s="9"/>
      <c r="D623" s="9"/>
      <c r="E623" s="42"/>
      <c r="F623" s="43"/>
      <c r="G623" s="27" t="str">
        <f aca="false">IF(OR(C623="",AND(D623="",F623="")),"",IF(N(E623)=0,1,E623)*IF(F623="",IFERROR(N(INDEX(Produtos!$L$5:$L$104,MATCH(D623,Produtos!$B$5:$B$104,0))),0),F623))</f>
        <v/>
      </c>
      <c r="H623" s="27" t="str">
        <f aca="false">IF(G623="","",IF(N(E623)=0,1,E623)*IFERROR(N(INDEX(Produtos!$G$5:$G$104,MATCH(D623,Produtos!$B$5:$B$104,0))),0))</f>
        <v/>
      </c>
      <c r="I623" s="27" t="str">
        <f aca="false">IF(G623="","",G623-H623)</f>
        <v/>
      </c>
      <c r="J623" s="42"/>
    </row>
    <row r="624" customFormat="false" ht="21" hidden="false" customHeight="true" outlineLevel="0" collapsed="false">
      <c r="B624" s="41"/>
      <c r="C624" s="9"/>
      <c r="D624" s="9"/>
      <c r="E624" s="42"/>
      <c r="F624" s="43"/>
      <c r="G624" s="27" t="str">
        <f aca="false">IF(OR(C624="",AND(D624="",F624="")),"",IF(N(E624)=0,1,E624)*IF(F624="",IFERROR(N(INDEX(Produtos!$L$5:$L$104,MATCH(D624,Produtos!$B$5:$B$104,0))),0),F624))</f>
        <v/>
      </c>
      <c r="H624" s="27" t="str">
        <f aca="false">IF(G624="","",IF(N(E624)=0,1,E624)*IFERROR(N(INDEX(Produtos!$G$5:$G$104,MATCH(D624,Produtos!$B$5:$B$104,0))),0))</f>
        <v/>
      </c>
      <c r="I624" s="27" t="str">
        <f aca="false">IF(G624="","",G624-H624)</f>
        <v/>
      </c>
      <c r="J624" s="42"/>
    </row>
    <row r="625" customFormat="false" ht="21" hidden="false" customHeight="true" outlineLevel="0" collapsed="false">
      <c r="B625" s="41"/>
      <c r="C625" s="9"/>
      <c r="D625" s="9"/>
      <c r="E625" s="42"/>
      <c r="F625" s="43"/>
      <c r="G625" s="27" t="str">
        <f aca="false">IF(OR(C625="",AND(D625="",F625="")),"",IF(N(E625)=0,1,E625)*IF(F625="",IFERROR(N(INDEX(Produtos!$L$5:$L$104,MATCH(D625,Produtos!$B$5:$B$104,0))),0),F625))</f>
        <v/>
      </c>
      <c r="H625" s="27" t="str">
        <f aca="false">IF(G625="","",IF(N(E625)=0,1,E625)*IFERROR(N(INDEX(Produtos!$G$5:$G$104,MATCH(D625,Produtos!$B$5:$B$104,0))),0))</f>
        <v/>
      </c>
      <c r="I625" s="27" t="str">
        <f aca="false">IF(G625="","",G625-H625)</f>
        <v/>
      </c>
      <c r="J625" s="42"/>
    </row>
    <row r="626" customFormat="false" ht="21" hidden="false" customHeight="true" outlineLevel="0" collapsed="false">
      <c r="B626" s="41"/>
      <c r="C626" s="9"/>
      <c r="D626" s="9"/>
      <c r="E626" s="42"/>
      <c r="F626" s="43"/>
      <c r="G626" s="27" t="str">
        <f aca="false">IF(OR(C626="",AND(D626="",F626="")),"",IF(N(E626)=0,1,E626)*IF(F626="",IFERROR(N(INDEX(Produtos!$L$5:$L$104,MATCH(D626,Produtos!$B$5:$B$104,0))),0),F626))</f>
        <v/>
      </c>
      <c r="H626" s="27" t="str">
        <f aca="false">IF(G626="","",IF(N(E626)=0,1,E626)*IFERROR(N(INDEX(Produtos!$G$5:$G$104,MATCH(D626,Produtos!$B$5:$B$104,0))),0))</f>
        <v/>
      </c>
      <c r="I626" s="27" t="str">
        <f aca="false">IF(G626="","",G626-H626)</f>
        <v/>
      </c>
      <c r="J626" s="42"/>
    </row>
    <row r="627" customFormat="false" ht="21" hidden="false" customHeight="true" outlineLevel="0" collapsed="false">
      <c r="B627" s="41"/>
      <c r="C627" s="9"/>
      <c r="D627" s="9"/>
      <c r="E627" s="42"/>
      <c r="F627" s="43"/>
      <c r="G627" s="27" t="str">
        <f aca="false">IF(OR(C627="",AND(D627="",F627="")),"",IF(N(E627)=0,1,E627)*IF(F627="",IFERROR(N(INDEX(Produtos!$L$5:$L$104,MATCH(D627,Produtos!$B$5:$B$104,0))),0),F627))</f>
        <v/>
      </c>
      <c r="H627" s="27" t="str">
        <f aca="false">IF(G627="","",IF(N(E627)=0,1,E627)*IFERROR(N(INDEX(Produtos!$G$5:$G$104,MATCH(D627,Produtos!$B$5:$B$104,0))),0))</f>
        <v/>
      </c>
      <c r="I627" s="27" t="str">
        <f aca="false">IF(G627="","",G627-H627)</f>
        <v/>
      </c>
      <c r="J627" s="42"/>
    </row>
    <row r="628" customFormat="false" ht="21" hidden="false" customHeight="true" outlineLevel="0" collapsed="false">
      <c r="B628" s="41"/>
      <c r="C628" s="9"/>
      <c r="D628" s="9"/>
      <c r="E628" s="42"/>
      <c r="F628" s="43"/>
      <c r="G628" s="27" t="str">
        <f aca="false">IF(OR(C628="",AND(D628="",F628="")),"",IF(N(E628)=0,1,E628)*IF(F628="",IFERROR(N(INDEX(Produtos!$L$5:$L$104,MATCH(D628,Produtos!$B$5:$B$104,0))),0),F628))</f>
        <v/>
      </c>
      <c r="H628" s="27" t="str">
        <f aca="false">IF(G628="","",IF(N(E628)=0,1,E628)*IFERROR(N(INDEX(Produtos!$G$5:$G$104,MATCH(D628,Produtos!$B$5:$B$104,0))),0))</f>
        <v/>
      </c>
      <c r="I628" s="27" t="str">
        <f aca="false">IF(G628="","",G628-H628)</f>
        <v/>
      </c>
      <c r="J628" s="42"/>
    </row>
    <row r="629" customFormat="false" ht="21" hidden="false" customHeight="true" outlineLevel="0" collapsed="false">
      <c r="B629" s="41"/>
      <c r="C629" s="9"/>
      <c r="D629" s="9"/>
      <c r="E629" s="42"/>
      <c r="F629" s="43"/>
      <c r="G629" s="27" t="str">
        <f aca="false">IF(OR(C629="",AND(D629="",F629="")),"",IF(N(E629)=0,1,E629)*IF(F629="",IFERROR(N(INDEX(Produtos!$L$5:$L$104,MATCH(D629,Produtos!$B$5:$B$104,0))),0),F629))</f>
        <v/>
      </c>
      <c r="H629" s="27" t="str">
        <f aca="false">IF(G629="","",IF(N(E629)=0,1,E629)*IFERROR(N(INDEX(Produtos!$G$5:$G$104,MATCH(D629,Produtos!$B$5:$B$104,0))),0))</f>
        <v/>
      </c>
      <c r="I629" s="27" t="str">
        <f aca="false">IF(G629="","",G629-H629)</f>
        <v/>
      </c>
      <c r="J629" s="42"/>
    </row>
    <row r="630" customFormat="false" ht="21" hidden="false" customHeight="true" outlineLevel="0" collapsed="false">
      <c r="B630" s="41"/>
      <c r="C630" s="9"/>
      <c r="D630" s="9"/>
      <c r="E630" s="42"/>
      <c r="F630" s="43"/>
      <c r="G630" s="27" t="str">
        <f aca="false">IF(OR(C630="",AND(D630="",F630="")),"",IF(N(E630)=0,1,E630)*IF(F630="",IFERROR(N(INDEX(Produtos!$L$5:$L$104,MATCH(D630,Produtos!$B$5:$B$104,0))),0),F630))</f>
        <v/>
      </c>
      <c r="H630" s="27" t="str">
        <f aca="false">IF(G630="","",IF(N(E630)=0,1,E630)*IFERROR(N(INDEX(Produtos!$G$5:$G$104,MATCH(D630,Produtos!$B$5:$B$104,0))),0))</f>
        <v/>
      </c>
      <c r="I630" s="27" t="str">
        <f aca="false">IF(G630="","",G630-H630)</f>
        <v/>
      </c>
      <c r="J630" s="42"/>
    </row>
    <row r="631" customFormat="false" ht="21" hidden="false" customHeight="true" outlineLevel="0" collapsed="false">
      <c r="B631" s="41"/>
      <c r="C631" s="9"/>
      <c r="D631" s="9"/>
      <c r="E631" s="42"/>
      <c r="F631" s="43"/>
      <c r="G631" s="27" t="str">
        <f aca="false">IF(OR(C631="",AND(D631="",F631="")),"",IF(N(E631)=0,1,E631)*IF(F631="",IFERROR(N(INDEX(Produtos!$L$5:$L$104,MATCH(D631,Produtos!$B$5:$B$104,0))),0),F631))</f>
        <v/>
      </c>
      <c r="H631" s="27" t="str">
        <f aca="false">IF(G631="","",IF(N(E631)=0,1,E631)*IFERROR(N(INDEX(Produtos!$G$5:$G$104,MATCH(D631,Produtos!$B$5:$B$104,0))),0))</f>
        <v/>
      </c>
      <c r="I631" s="27" t="str">
        <f aca="false">IF(G631="","",G631-H631)</f>
        <v/>
      </c>
      <c r="J631" s="42"/>
    </row>
    <row r="632" customFormat="false" ht="21" hidden="false" customHeight="true" outlineLevel="0" collapsed="false">
      <c r="B632" s="41"/>
      <c r="C632" s="9"/>
      <c r="D632" s="9"/>
      <c r="E632" s="42"/>
      <c r="F632" s="43"/>
      <c r="G632" s="27" t="str">
        <f aca="false">IF(OR(C632="",AND(D632="",F632="")),"",IF(N(E632)=0,1,E632)*IF(F632="",IFERROR(N(INDEX(Produtos!$L$5:$L$104,MATCH(D632,Produtos!$B$5:$B$104,0))),0),F632))</f>
        <v/>
      </c>
      <c r="H632" s="27" t="str">
        <f aca="false">IF(G632="","",IF(N(E632)=0,1,E632)*IFERROR(N(INDEX(Produtos!$G$5:$G$104,MATCH(D632,Produtos!$B$5:$B$104,0))),0))</f>
        <v/>
      </c>
      <c r="I632" s="27" t="str">
        <f aca="false">IF(G632="","",G632-H632)</f>
        <v/>
      </c>
      <c r="J632" s="42"/>
    </row>
    <row r="633" customFormat="false" ht="21" hidden="false" customHeight="true" outlineLevel="0" collapsed="false">
      <c r="B633" s="41"/>
      <c r="C633" s="9"/>
      <c r="D633" s="9"/>
      <c r="E633" s="42"/>
      <c r="F633" s="43"/>
      <c r="G633" s="27" t="str">
        <f aca="false">IF(OR(C633="",AND(D633="",F633="")),"",IF(N(E633)=0,1,E633)*IF(F633="",IFERROR(N(INDEX(Produtos!$L$5:$L$104,MATCH(D633,Produtos!$B$5:$B$104,0))),0),F633))</f>
        <v/>
      </c>
      <c r="H633" s="27" t="str">
        <f aca="false">IF(G633="","",IF(N(E633)=0,1,E633)*IFERROR(N(INDEX(Produtos!$G$5:$G$104,MATCH(D633,Produtos!$B$5:$B$104,0))),0))</f>
        <v/>
      </c>
      <c r="I633" s="27" t="str">
        <f aca="false">IF(G633="","",G633-H633)</f>
        <v/>
      </c>
      <c r="J633" s="42"/>
    </row>
    <row r="634" customFormat="false" ht="21" hidden="false" customHeight="true" outlineLevel="0" collapsed="false">
      <c r="B634" s="41"/>
      <c r="C634" s="9"/>
      <c r="D634" s="9"/>
      <c r="E634" s="42"/>
      <c r="F634" s="43"/>
      <c r="G634" s="27" t="str">
        <f aca="false">IF(OR(C634="",AND(D634="",F634="")),"",IF(N(E634)=0,1,E634)*IF(F634="",IFERROR(N(INDEX(Produtos!$L$5:$L$104,MATCH(D634,Produtos!$B$5:$B$104,0))),0),F634))</f>
        <v/>
      </c>
      <c r="H634" s="27" t="str">
        <f aca="false">IF(G634="","",IF(N(E634)=0,1,E634)*IFERROR(N(INDEX(Produtos!$G$5:$G$104,MATCH(D634,Produtos!$B$5:$B$104,0))),0))</f>
        <v/>
      </c>
      <c r="I634" s="27" t="str">
        <f aca="false">IF(G634="","",G634-H634)</f>
        <v/>
      </c>
      <c r="J634" s="42"/>
    </row>
    <row r="635" customFormat="false" ht="21" hidden="false" customHeight="true" outlineLevel="0" collapsed="false">
      <c r="B635" s="41"/>
      <c r="C635" s="9"/>
      <c r="D635" s="9"/>
      <c r="E635" s="42"/>
      <c r="F635" s="43"/>
      <c r="G635" s="27" t="str">
        <f aca="false">IF(OR(C635="",AND(D635="",F635="")),"",IF(N(E635)=0,1,E635)*IF(F635="",IFERROR(N(INDEX(Produtos!$L$5:$L$104,MATCH(D635,Produtos!$B$5:$B$104,0))),0),F635))</f>
        <v/>
      </c>
      <c r="H635" s="27" t="str">
        <f aca="false">IF(G635="","",IF(N(E635)=0,1,E635)*IFERROR(N(INDEX(Produtos!$G$5:$G$104,MATCH(D635,Produtos!$B$5:$B$104,0))),0))</f>
        <v/>
      </c>
      <c r="I635" s="27" t="str">
        <f aca="false">IF(G635="","",G635-H635)</f>
        <v/>
      </c>
      <c r="J635" s="42"/>
    </row>
    <row r="636" customFormat="false" ht="21" hidden="false" customHeight="true" outlineLevel="0" collapsed="false">
      <c r="B636" s="41"/>
      <c r="C636" s="9"/>
      <c r="D636" s="9"/>
      <c r="E636" s="42"/>
      <c r="F636" s="43"/>
      <c r="G636" s="27" t="str">
        <f aca="false">IF(OR(C636="",AND(D636="",F636="")),"",IF(N(E636)=0,1,E636)*IF(F636="",IFERROR(N(INDEX(Produtos!$L$5:$L$104,MATCH(D636,Produtos!$B$5:$B$104,0))),0),F636))</f>
        <v/>
      </c>
      <c r="H636" s="27" t="str">
        <f aca="false">IF(G636="","",IF(N(E636)=0,1,E636)*IFERROR(N(INDEX(Produtos!$G$5:$G$104,MATCH(D636,Produtos!$B$5:$B$104,0))),0))</f>
        <v/>
      </c>
      <c r="I636" s="27" t="str">
        <f aca="false">IF(G636="","",G636-H636)</f>
        <v/>
      </c>
      <c r="J636" s="42"/>
    </row>
    <row r="637" customFormat="false" ht="21" hidden="false" customHeight="true" outlineLevel="0" collapsed="false">
      <c r="B637" s="41"/>
      <c r="C637" s="9"/>
      <c r="D637" s="9"/>
      <c r="E637" s="42"/>
      <c r="F637" s="43"/>
      <c r="G637" s="27" t="str">
        <f aca="false">IF(OR(C637="",AND(D637="",F637="")),"",IF(N(E637)=0,1,E637)*IF(F637="",IFERROR(N(INDEX(Produtos!$L$5:$L$104,MATCH(D637,Produtos!$B$5:$B$104,0))),0),F637))</f>
        <v/>
      </c>
      <c r="H637" s="27" t="str">
        <f aca="false">IF(G637="","",IF(N(E637)=0,1,E637)*IFERROR(N(INDEX(Produtos!$G$5:$G$104,MATCH(D637,Produtos!$B$5:$B$104,0))),0))</f>
        <v/>
      </c>
      <c r="I637" s="27" t="str">
        <f aca="false">IF(G637="","",G637-H637)</f>
        <v/>
      </c>
      <c r="J637" s="42"/>
    </row>
    <row r="638" customFormat="false" ht="21" hidden="false" customHeight="true" outlineLevel="0" collapsed="false">
      <c r="B638" s="41"/>
      <c r="C638" s="9"/>
      <c r="D638" s="9"/>
      <c r="E638" s="42"/>
      <c r="F638" s="43"/>
      <c r="G638" s="27" t="str">
        <f aca="false">IF(OR(C638="",AND(D638="",F638="")),"",IF(N(E638)=0,1,E638)*IF(F638="",IFERROR(N(INDEX(Produtos!$L$5:$L$104,MATCH(D638,Produtos!$B$5:$B$104,0))),0),F638))</f>
        <v/>
      </c>
      <c r="H638" s="27" t="str">
        <f aca="false">IF(G638="","",IF(N(E638)=0,1,E638)*IFERROR(N(INDEX(Produtos!$G$5:$G$104,MATCH(D638,Produtos!$B$5:$B$104,0))),0))</f>
        <v/>
      </c>
      <c r="I638" s="27" t="str">
        <f aca="false">IF(G638="","",G638-H638)</f>
        <v/>
      </c>
      <c r="J638" s="42"/>
    </row>
    <row r="639" customFormat="false" ht="21" hidden="false" customHeight="true" outlineLevel="0" collapsed="false">
      <c r="B639" s="41"/>
      <c r="C639" s="9"/>
      <c r="D639" s="9"/>
      <c r="E639" s="42"/>
      <c r="F639" s="43"/>
      <c r="G639" s="27" t="str">
        <f aca="false">IF(OR(C639="",AND(D639="",F639="")),"",IF(N(E639)=0,1,E639)*IF(F639="",IFERROR(N(INDEX(Produtos!$L$5:$L$104,MATCH(D639,Produtos!$B$5:$B$104,0))),0),F639))</f>
        <v/>
      </c>
      <c r="H639" s="27" t="str">
        <f aca="false">IF(G639="","",IF(N(E639)=0,1,E639)*IFERROR(N(INDEX(Produtos!$G$5:$G$104,MATCH(D639,Produtos!$B$5:$B$104,0))),0))</f>
        <v/>
      </c>
      <c r="I639" s="27" t="str">
        <f aca="false">IF(G639="","",G639-H639)</f>
        <v/>
      </c>
      <c r="J639" s="42"/>
    </row>
    <row r="640" customFormat="false" ht="21" hidden="false" customHeight="true" outlineLevel="0" collapsed="false">
      <c r="B640" s="41"/>
      <c r="C640" s="9"/>
      <c r="D640" s="9"/>
      <c r="E640" s="42"/>
      <c r="F640" s="43"/>
      <c r="G640" s="27" t="str">
        <f aca="false">IF(OR(C640="",AND(D640="",F640="")),"",IF(N(E640)=0,1,E640)*IF(F640="",IFERROR(N(INDEX(Produtos!$L$5:$L$104,MATCH(D640,Produtos!$B$5:$B$104,0))),0),F640))</f>
        <v/>
      </c>
      <c r="H640" s="27" t="str">
        <f aca="false">IF(G640="","",IF(N(E640)=0,1,E640)*IFERROR(N(INDEX(Produtos!$G$5:$G$104,MATCH(D640,Produtos!$B$5:$B$104,0))),0))</f>
        <v/>
      </c>
      <c r="I640" s="27" t="str">
        <f aca="false">IF(G640="","",G640-H640)</f>
        <v/>
      </c>
      <c r="J640" s="42"/>
    </row>
    <row r="641" customFormat="false" ht="21" hidden="false" customHeight="true" outlineLevel="0" collapsed="false">
      <c r="B641" s="41"/>
      <c r="C641" s="9"/>
      <c r="D641" s="9"/>
      <c r="E641" s="42"/>
      <c r="F641" s="43"/>
      <c r="G641" s="27" t="str">
        <f aca="false">IF(OR(C641="",AND(D641="",F641="")),"",IF(N(E641)=0,1,E641)*IF(F641="",IFERROR(N(INDEX(Produtos!$L$5:$L$104,MATCH(D641,Produtos!$B$5:$B$104,0))),0),F641))</f>
        <v/>
      </c>
      <c r="H641" s="27" t="str">
        <f aca="false">IF(G641="","",IF(N(E641)=0,1,E641)*IFERROR(N(INDEX(Produtos!$G$5:$G$104,MATCH(D641,Produtos!$B$5:$B$104,0))),0))</f>
        <v/>
      </c>
      <c r="I641" s="27" t="str">
        <f aca="false">IF(G641="","",G641-H641)</f>
        <v/>
      </c>
      <c r="J641" s="42"/>
    </row>
    <row r="642" customFormat="false" ht="21" hidden="false" customHeight="true" outlineLevel="0" collapsed="false">
      <c r="B642" s="41"/>
      <c r="C642" s="9"/>
      <c r="D642" s="9"/>
      <c r="E642" s="42"/>
      <c r="F642" s="43"/>
      <c r="G642" s="27" t="str">
        <f aca="false">IF(OR(C642="",AND(D642="",F642="")),"",IF(N(E642)=0,1,E642)*IF(F642="",IFERROR(N(INDEX(Produtos!$L$5:$L$104,MATCH(D642,Produtos!$B$5:$B$104,0))),0),F642))</f>
        <v/>
      </c>
      <c r="H642" s="27" t="str">
        <f aca="false">IF(G642="","",IF(N(E642)=0,1,E642)*IFERROR(N(INDEX(Produtos!$G$5:$G$104,MATCH(D642,Produtos!$B$5:$B$104,0))),0))</f>
        <v/>
      </c>
      <c r="I642" s="27" t="str">
        <f aca="false">IF(G642="","",G642-H642)</f>
        <v/>
      </c>
      <c r="J642" s="42"/>
    </row>
    <row r="643" customFormat="false" ht="21" hidden="false" customHeight="true" outlineLevel="0" collapsed="false">
      <c r="B643" s="41"/>
      <c r="C643" s="9"/>
      <c r="D643" s="9"/>
      <c r="E643" s="42"/>
      <c r="F643" s="43"/>
      <c r="G643" s="27" t="str">
        <f aca="false">IF(OR(C643="",AND(D643="",F643="")),"",IF(N(E643)=0,1,E643)*IF(F643="",IFERROR(N(INDEX(Produtos!$L$5:$L$104,MATCH(D643,Produtos!$B$5:$B$104,0))),0),F643))</f>
        <v/>
      </c>
      <c r="H643" s="27" t="str">
        <f aca="false">IF(G643="","",IF(N(E643)=0,1,E643)*IFERROR(N(INDEX(Produtos!$G$5:$G$104,MATCH(D643,Produtos!$B$5:$B$104,0))),0))</f>
        <v/>
      </c>
      <c r="I643" s="27" t="str">
        <f aca="false">IF(G643="","",G643-H643)</f>
        <v/>
      </c>
      <c r="J643" s="42"/>
    </row>
    <row r="644" customFormat="false" ht="21" hidden="false" customHeight="true" outlineLevel="0" collapsed="false">
      <c r="B644" s="41"/>
      <c r="C644" s="9"/>
      <c r="D644" s="9"/>
      <c r="E644" s="42"/>
      <c r="F644" s="43"/>
      <c r="G644" s="27" t="str">
        <f aca="false">IF(OR(C644="",AND(D644="",F644="")),"",IF(N(E644)=0,1,E644)*IF(F644="",IFERROR(N(INDEX(Produtos!$L$5:$L$104,MATCH(D644,Produtos!$B$5:$B$104,0))),0),F644))</f>
        <v/>
      </c>
      <c r="H644" s="27" t="str">
        <f aca="false">IF(G644="","",IF(N(E644)=0,1,E644)*IFERROR(N(INDEX(Produtos!$G$5:$G$104,MATCH(D644,Produtos!$B$5:$B$104,0))),0))</f>
        <v/>
      </c>
      <c r="I644" s="27" t="str">
        <f aca="false">IF(G644="","",G644-H644)</f>
        <v/>
      </c>
      <c r="J644" s="42"/>
    </row>
    <row r="645" customFormat="false" ht="21" hidden="false" customHeight="true" outlineLevel="0" collapsed="false">
      <c r="B645" s="41"/>
      <c r="C645" s="9"/>
      <c r="D645" s="9"/>
      <c r="E645" s="42"/>
      <c r="F645" s="43"/>
      <c r="G645" s="27" t="str">
        <f aca="false">IF(OR(C645="",AND(D645="",F645="")),"",IF(N(E645)=0,1,E645)*IF(F645="",IFERROR(N(INDEX(Produtos!$L$5:$L$104,MATCH(D645,Produtos!$B$5:$B$104,0))),0),F645))</f>
        <v/>
      </c>
      <c r="H645" s="27" t="str">
        <f aca="false">IF(G645="","",IF(N(E645)=0,1,E645)*IFERROR(N(INDEX(Produtos!$G$5:$G$104,MATCH(D645,Produtos!$B$5:$B$104,0))),0))</f>
        <v/>
      </c>
      <c r="I645" s="27" t="str">
        <f aca="false">IF(G645="","",G645-H645)</f>
        <v/>
      </c>
      <c r="J645" s="42"/>
    </row>
    <row r="646" customFormat="false" ht="21" hidden="false" customHeight="true" outlineLevel="0" collapsed="false">
      <c r="B646" s="41"/>
      <c r="C646" s="9"/>
      <c r="D646" s="9"/>
      <c r="E646" s="42"/>
      <c r="F646" s="43"/>
      <c r="G646" s="27" t="str">
        <f aca="false">IF(OR(C646="",AND(D646="",F646="")),"",IF(N(E646)=0,1,E646)*IF(F646="",IFERROR(N(INDEX(Produtos!$L$5:$L$104,MATCH(D646,Produtos!$B$5:$B$104,0))),0),F646))</f>
        <v/>
      </c>
      <c r="H646" s="27" t="str">
        <f aca="false">IF(G646="","",IF(N(E646)=0,1,E646)*IFERROR(N(INDEX(Produtos!$G$5:$G$104,MATCH(D646,Produtos!$B$5:$B$104,0))),0))</f>
        <v/>
      </c>
      <c r="I646" s="27" t="str">
        <f aca="false">IF(G646="","",G646-H646)</f>
        <v/>
      </c>
      <c r="J646" s="42"/>
    </row>
    <row r="647" customFormat="false" ht="21" hidden="false" customHeight="true" outlineLevel="0" collapsed="false">
      <c r="B647" s="41"/>
      <c r="C647" s="9"/>
      <c r="D647" s="9"/>
      <c r="E647" s="42"/>
      <c r="F647" s="43"/>
      <c r="G647" s="27" t="str">
        <f aca="false">IF(OR(C647="",AND(D647="",F647="")),"",IF(N(E647)=0,1,E647)*IF(F647="",IFERROR(N(INDEX(Produtos!$L$5:$L$104,MATCH(D647,Produtos!$B$5:$B$104,0))),0),F647))</f>
        <v/>
      </c>
      <c r="H647" s="27" t="str">
        <f aca="false">IF(G647="","",IF(N(E647)=0,1,E647)*IFERROR(N(INDEX(Produtos!$G$5:$G$104,MATCH(D647,Produtos!$B$5:$B$104,0))),0))</f>
        <v/>
      </c>
      <c r="I647" s="27" t="str">
        <f aca="false">IF(G647="","",G647-H647)</f>
        <v/>
      </c>
      <c r="J647" s="42"/>
    </row>
    <row r="648" customFormat="false" ht="21" hidden="false" customHeight="true" outlineLevel="0" collapsed="false">
      <c r="B648" s="41"/>
      <c r="C648" s="9"/>
      <c r="D648" s="9"/>
      <c r="E648" s="42"/>
      <c r="F648" s="43"/>
      <c r="G648" s="27" t="str">
        <f aca="false">IF(OR(C648="",AND(D648="",F648="")),"",IF(N(E648)=0,1,E648)*IF(F648="",IFERROR(N(INDEX(Produtos!$L$5:$L$104,MATCH(D648,Produtos!$B$5:$B$104,0))),0),F648))</f>
        <v/>
      </c>
      <c r="H648" s="27" t="str">
        <f aca="false">IF(G648="","",IF(N(E648)=0,1,E648)*IFERROR(N(INDEX(Produtos!$G$5:$G$104,MATCH(D648,Produtos!$B$5:$B$104,0))),0))</f>
        <v/>
      </c>
      <c r="I648" s="27" t="str">
        <f aca="false">IF(G648="","",G648-H648)</f>
        <v/>
      </c>
      <c r="J648" s="42"/>
    </row>
    <row r="649" customFormat="false" ht="21" hidden="false" customHeight="true" outlineLevel="0" collapsed="false">
      <c r="B649" s="41"/>
      <c r="C649" s="9"/>
      <c r="D649" s="9"/>
      <c r="E649" s="42"/>
      <c r="F649" s="43"/>
      <c r="G649" s="27" t="str">
        <f aca="false">IF(OR(C649="",AND(D649="",F649="")),"",IF(N(E649)=0,1,E649)*IF(F649="",IFERROR(N(INDEX(Produtos!$L$5:$L$104,MATCH(D649,Produtos!$B$5:$B$104,0))),0),F649))</f>
        <v/>
      </c>
      <c r="H649" s="27" t="str">
        <f aca="false">IF(G649="","",IF(N(E649)=0,1,E649)*IFERROR(N(INDEX(Produtos!$G$5:$G$104,MATCH(D649,Produtos!$B$5:$B$104,0))),0))</f>
        <v/>
      </c>
      <c r="I649" s="27" t="str">
        <f aca="false">IF(G649="","",G649-H649)</f>
        <v/>
      </c>
      <c r="J649" s="42"/>
    </row>
    <row r="650" customFormat="false" ht="21" hidden="false" customHeight="true" outlineLevel="0" collapsed="false">
      <c r="B650" s="41"/>
      <c r="C650" s="9"/>
      <c r="D650" s="9"/>
      <c r="E650" s="42"/>
      <c r="F650" s="43"/>
      <c r="G650" s="27" t="str">
        <f aca="false">IF(OR(C650="",AND(D650="",F650="")),"",IF(N(E650)=0,1,E650)*IF(F650="",IFERROR(N(INDEX(Produtos!$L$5:$L$104,MATCH(D650,Produtos!$B$5:$B$104,0))),0),F650))</f>
        <v/>
      </c>
      <c r="H650" s="27" t="str">
        <f aca="false">IF(G650="","",IF(N(E650)=0,1,E650)*IFERROR(N(INDEX(Produtos!$G$5:$G$104,MATCH(D650,Produtos!$B$5:$B$104,0))),0))</f>
        <v/>
      </c>
      <c r="I650" s="27" t="str">
        <f aca="false">IF(G650="","",G650-H650)</f>
        <v/>
      </c>
      <c r="J650" s="42"/>
    </row>
    <row r="651" customFormat="false" ht="21" hidden="false" customHeight="true" outlineLevel="0" collapsed="false">
      <c r="B651" s="41"/>
      <c r="C651" s="9"/>
      <c r="D651" s="9"/>
      <c r="E651" s="42"/>
      <c r="F651" s="43"/>
      <c r="G651" s="27" t="str">
        <f aca="false">IF(OR(C651="",AND(D651="",F651="")),"",IF(N(E651)=0,1,E651)*IF(F651="",IFERROR(N(INDEX(Produtos!$L$5:$L$104,MATCH(D651,Produtos!$B$5:$B$104,0))),0),F651))</f>
        <v/>
      </c>
      <c r="H651" s="27" t="str">
        <f aca="false">IF(G651="","",IF(N(E651)=0,1,E651)*IFERROR(N(INDEX(Produtos!$G$5:$G$104,MATCH(D651,Produtos!$B$5:$B$104,0))),0))</f>
        <v/>
      </c>
      <c r="I651" s="27" t="str">
        <f aca="false">IF(G651="","",G651-H651)</f>
        <v/>
      </c>
      <c r="J651" s="42"/>
    </row>
    <row r="652" customFormat="false" ht="21" hidden="false" customHeight="true" outlineLevel="0" collapsed="false">
      <c r="B652" s="41"/>
      <c r="C652" s="9"/>
      <c r="D652" s="9"/>
      <c r="E652" s="42"/>
      <c r="F652" s="43"/>
      <c r="G652" s="27" t="str">
        <f aca="false">IF(OR(C652="",AND(D652="",F652="")),"",IF(N(E652)=0,1,E652)*IF(F652="",IFERROR(N(INDEX(Produtos!$L$5:$L$104,MATCH(D652,Produtos!$B$5:$B$104,0))),0),F652))</f>
        <v/>
      </c>
      <c r="H652" s="27" t="str">
        <f aca="false">IF(G652="","",IF(N(E652)=0,1,E652)*IFERROR(N(INDEX(Produtos!$G$5:$G$104,MATCH(D652,Produtos!$B$5:$B$104,0))),0))</f>
        <v/>
      </c>
      <c r="I652" s="27" t="str">
        <f aca="false">IF(G652="","",G652-H652)</f>
        <v/>
      </c>
      <c r="J652" s="42"/>
    </row>
    <row r="653" customFormat="false" ht="21" hidden="false" customHeight="true" outlineLevel="0" collapsed="false">
      <c r="B653" s="41"/>
      <c r="C653" s="9"/>
      <c r="D653" s="9"/>
      <c r="E653" s="42"/>
      <c r="F653" s="43"/>
      <c r="G653" s="27" t="str">
        <f aca="false">IF(OR(C653="",AND(D653="",F653="")),"",IF(N(E653)=0,1,E653)*IF(F653="",IFERROR(N(INDEX(Produtos!$L$5:$L$104,MATCH(D653,Produtos!$B$5:$B$104,0))),0),F653))</f>
        <v/>
      </c>
      <c r="H653" s="27" t="str">
        <f aca="false">IF(G653="","",IF(N(E653)=0,1,E653)*IFERROR(N(INDEX(Produtos!$G$5:$G$104,MATCH(D653,Produtos!$B$5:$B$104,0))),0))</f>
        <v/>
      </c>
      <c r="I653" s="27" t="str">
        <f aca="false">IF(G653="","",G653-H653)</f>
        <v/>
      </c>
      <c r="J653" s="42"/>
    </row>
    <row r="654" customFormat="false" ht="21" hidden="false" customHeight="true" outlineLevel="0" collapsed="false">
      <c r="B654" s="41"/>
      <c r="C654" s="9"/>
      <c r="D654" s="9"/>
      <c r="E654" s="42"/>
      <c r="F654" s="43"/>
      <c r="G654" s="27" t="str">
        <f aca="false">IF(OR(C654="",AND(D654="",F654="")),"",IF(N(E654)=0,1,E654)*IF(F654="",IFERROR(N(INDEX(Produtos!$L$5:$L$104,MATCH(D654,Produtos!$B$5:$B$104,0))),0),F654))</f>
        <v/>
      </c>
      <c r="H654" s="27" t="str">
        <f aca="false">IF(G654="","",IF(N(E654)=0,1,E654)*IFERROR(N(INDEX(Produtos!$G$5:$G$104,MATCH(D654,Produtos!$B$5:$B$104,0))),0))</f>
        <v/>
      </c>
      <c r="I654" s="27" t="str">
        <f aca="false">IF(G654="","",G654-H654)</f>
        <v/>
      </c>
      <c r="J654" s="42"/>
    </row>
    <row r="655" customFormat="false" ht="21" hidden="false" customHeight="true" outlineLevel="0" collapsed="false">
      <c r="B655" s="41"/>
      <c r="C655" s="9"/>
      <c r="D655" s="9"/>
      <c r="E655" s="42"/>
      <c r="F655" s="43"/>
      <c r="G655" s="27" t="str">
        <f aca="false">IF(OR(C655="",AND(D655="",F655="")),"",IF(N(E655)=0,1,E655)*IF(F655="",IFERROR(N(INDEX(Produtos!$L$5:$L$104,MATCH(D655,Produtos!$B$5:$B$104,0))),0),F655))</f>
        <v/>
      </c>
      <c r="H655" s="27" t="str">
        <f aca="false">IF(G655="","",IF(N(E655)=0,1,E655)*IFERROR(N(INDEX(Produtos!$G$5:$G$104,MATCH(D655,Produtos!$B$5:$B$104,0))),0))</f>
        <v/>
      </c>
      <c r="I655" s="27" t="str">
        <f aca="false">IF(G655="","",G655-H655)</f>
        <v/>
      </c>
      <c r="J655" s="42"/>
    </row>
    <row r="656" customFormat="false" ht="21" hidden="false" customHeight="true" outlineLevel="0" collapsed="false">
      <c r="B656" s="41"/>
      <c r="C656" s="9"/>
      <c r="D656" s="9"/>
      <c r="E656" s="42"/>
      <c r="F656" s="43"/>
      <c r="G656" s="27" t="str">
        <f aca="false">IF(OR(C656="",AND(D656="",F656="")),"",IF(N(E656)=0,1,E656)*IF(F656="",IFERROR(N(INDEX(Produtos!$L$5:$L$104,MATCH(D656,Produtos!$B$5:$B$104,0))),0),F656))</f>
        <v/>
      </c>
      <c r="H656" s="27" t="str">
        <f aca="false">IF(G656="","",IF(N(E656)=0,1,E656)*IFERROR(N(INDEX(Produtos!$G$5:$G$104,MATCH(D656,Produtos!$B$5:$B$104,0))),0))</f>
        <v/>
      </c>
      <c r="I656" s="27" t="str">
        <f aca="false">IF(G656="","",G656-H656)</f>
        <v/>
      </c>
      <c r="J656" s="42"/>
    </row>
    <row r="657" customFormat="false" ht="21" hidden="false" customHeight="true" outlineLevel="0" collapsed="false">
      <c r="B657" s="41"/>
      <c r="C657" s="9"/>
      <c r="D657" s="9"/>
      <c r="E657" s="42"/>
      <c r="F657" s="43"/>
      <c r="G657" s="27" t="str">
        <f aca="false">IF(OR(C657="",AND(D657="",F657="")),"",IF(N(E657)=0,1,E657)*IF(F657="",IFERROR(N(INDEX(Produtos!$L$5:$L$104,MATCH(D657,Produtos!$B$5:$B$104,0))),0),F657))</f>
        <v/>
      </c>
      <c r="H657" s="27" t="str">
        <f aca="false">IF(G657="","",IF(N(E657)=0,1,E657)*IFERROR(N(INDEX(Produtos!$G$5:$G$104,MATCH(D657,Produtos!$B$5:$B$104,0))),0))</f>
        <v/>
      </c>
      <c r="I657" s="27" t="str">
        <f aca="false">IF(G657="","",G657-H657)</f>
        <v/>
      </c>
      <c r="J657" s="42"/>
    </row>
    <row r="658" customFormat="false" ht="21" hidden="false" customHeight="true" outlineLevel="0" collapsed="false">
      <c r="B658" s="41"/>
      <c r="C658" s="9"/>
      <c r="D658" s="9"/>
      <c r="E658" s="42"/>
      <c r="F658" s="43"/>
      <c r="G658" s="27" t="str">
        <f aca="false">IF(OR(C658="",AND(D658="",F658="")),"",IF(N(E658)=0,1,E658)*IF(F658="",IFERROR(N(INDEX(Produtos!$L$5:$L$104,MATCH(D658,Produtos!$B$5:$B$104,0))),0),F658))</f>
        <v/>
      </c>
      <c r="H658" s="27" t="str">
        <f aca="false">IF(G658="","",IF(N(E658)=0,1,E658)*IFERROR(N(INDEX(Produtos!$G$5:$G$104,MATCH(D658,Produtos!$B$5:$B$104,0))),0))</f>
        <v/>
      </c>
      <c r="I658" s="27" t="str">
        <f aca="false">IF(G658="","",G658-H658)</f>
        <v/>
      </c>
      <c r="J658" s="42"/>
    </row>
    <row r="659" customFormat="false" ht="21" hidden="false" customHeight="true" outlineLevel="0" collapsed="false">
      <c r="B659" s="41"/>
      <c r="C659" s="9"/>
      <c r="D659" s="9"/>
      <c r="E659" s="42"/>
      <c r="F659" s="43"/>
      <c r="G659" s="27" t="str">
        <f aca="false">IF(OR(C659="",AND(D659="",F659="")),"",IF(N(E659)=0,1,E659)*IF(F659="",IFERROR(N(INDEX(Produtos!$L$5:$L$104,MATCH(D659,Produtos!$B$5:$B$104,0))),0),F659))</f>
        <v/>
      </c>
      <c r="H659" s="27" t="str">
        <f aca="false">IF(G659="","",IF(N(E659)=0,1,E659)*IFERROR(N(INDEX(Produtos!$G$5:$G$104,MATCH(D659,Produtos!$B$5:$B$104,0))),0))</f>
        <v/>
      </c>
      <c r="I659" s="27" t="str">
        <f aca="false">IF(G659="","",G659-H659)</f>
        <v/>
      </c>
      <c r="J659" s="42"/>
    </row>
    <row r="660" customFormat="false" ht="21" hidden="false" customHeight="true" outlineLevel="0" collapsed="false">
      <c r="B660" s="41"/>
      <c r="C660" s="9"/>
      <c r="D660" s="9"/>
      <c r="E660" s="42"/>
      <c r="F660" s="43"/>
      <c r="G660" s="27" t="str">
        <f aca="false">IF(OR(C660="",AND(D660="",F660="")),"",IF(N(E660)=0,1,E660)*IF(F660="",IFERROR(N(INDEX(Produtos!$L$5:$L$104,MATCH(D660,Produtos!$B$5:$B$104,0))),0),F660))</f>
        <v/>
      </c>
      <c r="H660" s="27" t="str">
        <f aca="false">IF(G660="","",IF(N(E660)=0,1,E660)*IFERROR(N(INDEX(Produtos!$G$5:$G$104,MATCH(D660,Produtos!$B$5:$B$104,0))),0))</f>
        <v/>
      </c>
      <c r="I660" s="27" t="str">
        <f aca="false">IF(G660="","",G660-H660)</f>
        <v/>
      </c>
      <c r="J660" s="42"/>
    </row>
    <row r="661" customFormat="false" ht="21" hidden="false" customHeight="true" outlineLevel="0" collapsed="false">
      <c r="B661" s="41"/>
      <c r="C661" s="9"/>
      <c r="D661" s="9"/>
      <c r="E661" s="42"/>
      <c r="F661" s="43"/>
      <c r="G661" s="27" t="str">
        <f aca="false">IF(OR(C661="",AND(D661="",F661="")),"",IF(N(E661)=0,1,E661)*IF(F661="",IFERROR(N(INDEX(Produtos!$L$5:$L$104,MATCH(D661,Produtos!$B$5:$B$104,0))),0),F661))</f>
        <v/>
      </c>
      <c r="H661" s="27" t="str">
        <f aca="false">IF(G661="","",IF(N(E661)=0,1,E661)*IFERROR(N(INDEX(Produtos!$G$5:$G$104,MATCH(D661,Produtos!$B$5:$B$104,0))),0))</f>
        <v/>
      </c>
      <c r="I661" s="27" t="str">
        <f aca="false">IF(G661="","",G661-H661)</f>
        <v/>
      </c>
      <c r="J661" s="42"/>
    </row>
    <row r="662" customFormat="false" ht="21" hidden="false" customHeight="true" outlineLevel="0" collapsed="false">
      <c r="B662" s="41"/>
      <c r="C662" s="9"/>
      <c r="D662" s="9"/>
      <c r="E662" s="42"/>
      <c r="F662" s="43"/>
      <c r="G662" s="27" t="str">
        <f aca="false">IF(OR(C662="",AND(D662="",F662="")),"",IF(N(E662)=0,1,E662)*IF(F662="",IFERROR(N(INDEX(Produtos!$L$5:$L$104,MATCH(D662,Produtos!$B$5:$B$104,0))),0),F662))</f>
        <v/>
      </c>
      <c r="H662" s="27" t="str">
        <f aca="false">IF(G662="","",IF(N(E662)=0,1,E662)*IFERROR(N(INDEX(Produtos!$G$5:$G$104,MATCH(D662,Produtos!$B$5:$B$104,0))),0))</f>
        <v/>
      </c>
      <c r="I662" s="27" t="str">
        <f aca="false">IF(G662="","",G662-H662)</f>
        <v/>
      </c>
      <c r="J662" s="42"/>
    </row>
    <row r="663" customFormat="false" ht="21" hidden="false" customHeight="true" outlineLevel="0" collapsed="false">
      <c r="B663" s="41"/>
      <c r="C663" s="9"/>
      <c r="D663" s="9"/>
      <c r="E663" s="42"/>
      <c r="F663" s="43"/>
      <c r="G663" s="27" t="str">
        <f aca="false">IF(OR(C663="",AND(D663="",F663="")),"",IF(N(E663)=0,1,E663)*IF(F663="",IFERROR(N(INDEX(Produtos!$L$5:$L$104,MATCH(D663,Produtos!$B$5:$B$104,0))),0),F663))</f>
        <v/>
      </c>
      <c r="H663" s="27" t="str">
        <f aca="false">IF(G663="","",IF(N(E663)=0,1,E663)*IFERROR(N(INDEX(Produtos!$G$5:$G$104,MATCH(D663,Produtos!$B$5:$B$104,0))),0))</f>
        <v/>
      </c>
      <c r="I663" s="27" t="str">
        <f aca="false">IF(G663="","",G663-H663)</f>
        <v/>
      </c>
      <c r="J663" s="42"/>
    </row>
    <row r="664" customFormat="false" ht="21" hidden="false" customHeight="true" outlineLevel="0" collapsed="false">
      <c r="B664" s="41"/>
      <c r="C664" s="9"/>
      <c r="D664" s="9"/>
      <c r="E664" s="42"/>
      <c r="F664" s="43"/>
      <c r="G664" s="27" t="str">
        <f aca="false">IF(OR(C664="",AND(D664="",F664="")),"",IF(N(E664)=0,1,E664)*IF(F664="",IFERROR(N(INDEX(Produtos!$L$5:$L$104,MATCH(D664,Produtos!$B$5:$B$104,0))),0),F664))</f>
        <v/>
      </c>
      <c r="H664" s="27" t="str">
        <f aca="false">IF(G664="","",IF(N(E664)=0,1,E664)*IFERROR(N(INDEX(Produtos!$G$5:$G$104,MATCH(D664,Produtos!$B$5:$B$104,0))),0))</f>
        <v/>
      </c>
      <c r="I664" s="27" t="str">
        <f aca="false">IF(G664="","",G664-H664)</f>
        <v/>
      </c>
      <c r="J664" s="42"/>
    </row>
    <row r="665" customFormat="false" ht="21" hidden="false" customHeight="true" outlineLevel="0" collapsed="false">
      <c r="B665" s="41"/>
      <c r="C665" s="9"/>
      <c r="D665" s="9"/>
      <c r="E665" s="42"/>
      <c r="F665" s="43"/>
      <c r="G665" s="27" t="str">
        <f aca="false">IF(OR(C665="",AND(D665="",F665="")),"",IF(N(E665)=0,1,E665)*IF(F665="",IFERROR(N(INDEX(Produtos!$L$5:$L$104,MATCH(D665,Produtos!$B$5:$B$104,0))),0),F665))</f>
        <v/>
      </c>
      <c r="H665" s="27" t="str">
        <f aca="false">IF(G665="","",IF(N(E665)=0,1,E665)*IFERROR(N(INDEX(Produtos!$G$5:$G$104,MATCH(D665,Produtos!$B$5:$B$104,0))),0))</f>
        <v/>
      </c>
      <c r="I665" s="27" t="str">
        <f aca="false">IF(G665="","",G665-H665)</f>
        <v/>
      </c>
      <c r="J665" s="42"/>
    </row>
    <row r="666" customFormat="false" ht="21" hidden="false" customHeight="true" outlineLevel="0" collapsed="false">
      <c r="B666" s="41"/>
      <c r="C666" s="9"/>
      <c r="D666" s="9"/>
      <c r="E666" s="42"/>
      <c r="F666" s="43"/>
      <c r="G666" s="27" t="str">
        <f aca="false">IF(OR(C666="",AND(D666="",F666="")),"",IF(N(E666)=0,1,E666)*IF(F666="",IFERROR(N(INDEX(Produtos!$L$5:$L$104,MATCH(D666,Produtos!$B$5:$B$104,0))),0),F666))</f>
        <v/>
      </c>
      <c r="H666" s="27" t="str">
        <f aca="false">IF(G666="","",IF(N(E666)=0,1,E666)*IFERROR(N(INDEX(Produtos!$G$5:$G$104,MATCH(D666,Produtos!$B$5:$B$104,0))),0))</f>
        <v/>
      </c>
      <c r="I666" s="27" t="str">
        <f aca="false">IF(G666="","",G666-H666)</f>
        <v/>
      </c>
      <c r="J666" s="42"/>
    </row>
    <row r="667" customFormat="false" ht="21" hidden="false" customHeight="true" outlineLevel="0" collapsed="false">
      <c r="B667" s="41"/>
      <c r="C667" s="9"/>
      <c r="D667" s="9"/>
      <c r="E667" s="42"/>
      <c r="F667" s="43"/>
      <c r="G667" s="27" t="str">
        <f aca="false">IF(OR(C667="",AND(D667="",F667="")),"",IF(N(E667)=0,1,E667)*IF(F667="",IFERROR(N(INDEX(Produtos!$L$5:$L$104,MATCH(D667,Produtos!$B$5:$B$104,0))),0),F667))</f>
        <v/>
      </c>
      <c r="H667" s="27" t="str">
        <f aca="false">IF(G667="","",IF(N(E667)=0,1,E667)*IFERROR(N(INDEX(Produtos!$G$5:$G$104,MATCH(D667,Produtos!$B$5:$B$104,0))),0))</f>
        <v/>
      </c>
      <c r="I667" s="27" t="str">
        <f aca="false">IF(G667="","",G667-H667)</f>
        <v/>
      </c>
      <c r="J667" s="42"/>
    </row>
    <row r="668" customFormat="false" ht="21" hidden="false" customHeight="true" outlineLevel="0" collapsed="false">
      <c r="B668" s="41"/>
      <c r="C668" s="9"/>
      <c r="D668" s="9"/>
      <c r="E668" s="42"/>
      <c r="F668" s="43"/>
      <c r="G668" s="27" t="str">
        <f aca="false">IF(OR(C668="",AND(D668="",F668="")),"",IF(N(E668)=0,1,E668)*IF(F668="",IFERROR(N(INDEX(Produtos!$L$5:$L$104,MATCH(D668,Produtos!$B$5:$B$104,0))),0),F668))</f>
        <v/>
      </c>
      <c r="H668" s="27" t="str">
        <f aca="false">IF(G668="","",IF(N(E668)=0,1,E668)*IFERROR(N(INDEX(Produtos!$G$5:$G$104,MATCH(D668,Produtos!$B$5:$B$104,0))),0))</f>
        <v/>
      </c>
      <c r="I668" s="27" t="str">
        <f aca="false">IF(G668="","",G668-H668)</f>
        <v/>
      </c>
      <c r="J668" s="42"/>
    </row>
    <row r="669" customFormat="false" ht="21" hidden="false" customHeight="true" outlineLevel="0" collapsed="false">
      <c r="B669" s="41"/>
      <c r="C669" s="9"/>
      <c r="D669" s="9"/>
      <c r="E669" s="42"/>
      <c r="F669" s="43"/>
      <c r="G669" s="27" t="str">
        <f aca="false">IF(OR(C669="",AND(D669="",F669="")),"",IF(N(E669)=0,1,E669)*IF(F669="",IFERROR(N(INDEX(Produtos!$L$5:$L$104,MATCH(D669,Produtos!$B$5:$B$104,0))),0),F669))</f>
        <v/>
      </c>
      <c r="H669" s="27" t="str">
        <f aca="false">IF(G669="","",IF(N(E669)=0,1,E669)*IFERROR(N(INDEX(Produtos!$G$5:$G$104,MATCH(D669,Produtos!$B$5:$B$104,0))),0))</f>
        <v/>
      </c>
      <c r="I669" s="27" t="str">
        <f aca="false">IF(G669="","",G669-H669)</f>
        <v/>
      </c>
      <c r="J669" s="42"/>
    </row>
    <row r="670" customFormat="false" ht="21" hidden="false" customHeight="true" outlineLevel="0" collapsed="false">
      <c r="B670" s="41"/>
      <c r="C670" s="9"/>
      <c r="D670" s="9"/>
      <c r="E670" s="42"/>
      <c r="F670" s="43"/>
      <c r="G670" s="27" t="str">
        <f aca="false">IF(OR(C670="",AND(D670="",F670="")),"",IF(N(E670)=0,1,E670)*IF(F670="",IFERROR(N(INDEX(Produtos!$L$5:$L$104,MATCH(D670,Produtos!$B$5:$B$104,0))),0),F670))</f>
        <v/>
      </c>
      <c r="H670" s="27" t="str">
        <f aca="false">IF(G670="","",IF(N(E670)=0,1,E670)*IFERROR(N(INDEX(Produtos!$G$5:$G$104,MATCH(D670,Produtos!$B$5:$B$104,0))),0))</f>
        <v/>
      </c>
      <c r="I670" s="27" t="str">
        <f aca="false">IF(G670="","",G670-H670)</f>
        <v/>
      </c>
      <c r="J670" s="42"/>
    </row>
    <row r="671" customFormat="false" ht="21" hidden="false" customHeight="true" outlineLevel="0" collapsed="false">
      <c r="B671" s="41"/>
      <c r="C671" s="9"/>
      <c r="D671" s="9"/>
      <c r="E671" s="42"/>
      <c r="F671" s="43"/>
      <c r="G671" s="27" t="str">
        <f aca="false">IF(OR(C671="",AND(D671="",F671="")),"",IF(N(E671)=0,1,E671)*IF(F671="",IFERROR(N(INDEX(Produtos!$L$5:$L$104,MATCH(D671,Produtos!$B$5:$B$104,0))),0),F671))</f>
        <v/>
      </c>
      <c r="H671" s="27" t="str">
        <f aca="false">IF(G671="","",IF(N(E671)=0,1,E671)*IFERROR(N(INDEX(Produtos!$G$5:$G$104,MATCH(D671,Produtos!$B$5:$B$104,0))),0))</f>
        <v/>
      </c>
      <c r="I671" s="27" t="str">
        <f aca="false">IF(G671="","",G671-H671)</f>
        <v/>
      </c>
      <c r="J671" s="42"/>
    </row>
    <row r="672" customFormat="false" ht="21" hidden="false" customHeight="true" outlineLevel="0" collapsed="false">
      <c r="B672" s="41"/>
      <c r="C672" s="9"/>
      <c r="D672" s="9"/>
      <c r="E672" s="42"/>
      <c r="F672" s="43"/>
      <c r="G672" s="27" t="str">
        <f aca="false">IF(OR(C672="",AND(D672="",F672="")),"",IF(N(E672)=0,1,E672)*IF(F672="",IFERROR(N(INDEX(Produtos!$L$5:$L$104,MATCH(D672,Produtos!$B$5:$B$104,0))),0),F672))</f>
        <v/>
      </c>
      <c r="H672" s="27" t="str">
        <f aca="false">IF(G672="","",IF(N(E672)=0,1,E672)*IFERROR(N(INDEX(Produtos!$G$5:$G$104,MATCH(D672,Produtos!$B$5:$B$104,0))),0))</f>
        <v/>
      </c>
      <c r="I672" s="27" t="str">
        <f aca="false">IF(G672="","",G672-H672)</f>
        <v/>
      </c>
      <c r="J672" s="42"/>
    </row>
    <row r="673" customFormat="false" ht="21" hidden="false" customHeight="true" outlineLevel="0" collapsed="false">
      <c r="B673" s="41"/>
      <c r="C673" s="9"/>
      <c r="D673" s="9"/>
      <c r="E673" s="42"/>
      <c r="F673" s="43"/>
      <c r="G673" s="27" t="str">
        <f aca="false">IF(OR(C673="",AND(D673="",F673="")),"",IF(N(E673)=0,1,E673)*IF(F673="",IFERROR(N(INDEX(Produtos!$L$5:$L$104,MATCH(D673,Produtos!$B$5:$B$104,0))),0),F673))</f>
        <v/>
      </c>
      <c r="H673" s="27" t="str">
        <f aca="false">IF(G673="","",IF(N(E673)=0,1,E673)*IFERROR(N(INDEX(Produtos!$G$5:$G$104,MATCH(D673,Produtos!$B$5:$B$104,0))),0))</f>
        <v/>
      </c>
      <c r="I673" s="27" t="str">
        <f aca="false">IF(G673="","",G673-H673)</f>
        <v/>
      </c>
      <c r="J673" s="42"/>
    </row>
    <row r="674" customFormat="false" ht="21" hidden="false" customHeight="true" outlineLevel="0" collapsed="false">
      <c r="B674" s="41"/>
      <c r="C674" s="9"/>
      <c r="D674" s="9"/>
      <c r="E674" s="42"/>
      <c r="F674" s="43"/>
      <c r="G674" s="27" t="str">
        <f aca="false">IF(OR(C674="",AND(D674="",F674="")),"",IF(N(E674)=0,1,E674)*IF(F674="",IFERROR(N(INDEX(Produtos!$L$5:$L$104,MATCH(D674,Produtos!$B$5:$B$104,0))),0),F674))</f>
        <v/>
      </c>
      <c r="H674" s="27" t="str">
        <f aca="false">IF(G674="","",IF(N(E674)=0,1,E674)*IFERROR(N(INDEX(Produtos!$G$5:$G$104,MATCH(D674,Produtos!$B$5:$B$104,0))),0))</f>
        <v/>
      </c>
      <c r="I674" s="27" t="str">
        <f aca="false">IF(G674="","",G674-H674)</f>
        <v/>
      </c>
      <c r="J674" s="42"/>
    </row>
    <row r="675" customFormat="false" ht="21" hidden="false" customHeight="true" outlineLevel="0" collapsed="false">
      <c r="B675" s="41"/>
      <c r="C675" s="9"/>
      <c r="D675" s="9"/>
      <c r="E675" s="42"/>
      <c r="F675" s="43"/>
      <c r="G675" s="27" t="str">
        <f aca="false">IF(OR(C675="",AND(D675="",F675="")),"",IF(N(E675)=0,1,E675)*IF(F675="",IFERROR(N(INDEX(Produtos!$L$5:$L$104,MATCH(D675,Produtos!$B$5:$B$104,0))),0),F675))</f>
        <v/>
      </c>
      <c r="H675" s="27" t="str">
        <f aca="false">IF(G675="","",IF(N(E675)=0,1,E675)*IFERROR(N(INDEX(Produtos!$G$5:$G$104,MATCH(D675,Produtos!$B$5:$B$104,0))),0))</f>
        <v/>
      </c>
      <c r="I675" s="27" t="str">
        <f aca="false">IF(G675="","",G675-H675)</f>
        <v/>
      </c>
      <c r="J675" s="42"/>
    </row>
    <row r="676" customFormat="false" ht="21" hidden="false" customHeight="true" outlineLevel="0" collapsed="false">
      <c r="B676" s="41"/>
      <c r="C676" s="9"/>
      <c r="D676" s="9"/>
      <c r="E676" s="42"/>
      <c r="F676" s="43"/>
      <c r="G676" s="27" t="str">
        <f aca="false">IF(OR(C676="",AND(D676="",F676="")),"",IF(N(E676)=0,1,E676)*IF(F676="",IFERROR(N(INDEX(Produtos!$L$5:$L$104,MATCH(D676,Produtos!$B$5:$B$104,0))),0),F676))</f>
        <v/>
      </c>
      <c r="H676" s="27" t="str">
        <f aca="false">IF(G676="","",IF(N(E676)=0,1,E676)*IFERROR(N(INDEX(Produtos!$G$5:$G$104,MATCH(D676,Produtos!$B$5:$B$104,0))),0))</f>
        <v/>
      </c>
      <c r="I676" s="27" t="str">
        <f aca="false">IF(G676="","",G676-H676)</f>
        <v/>
      </c>
      <c r="J676" s="42"/>
    </row>
    <row r="677" customFormat="false" ht="21" hidden="false" customHeight="true" outlineLevel="0" collapsed="false">
      <c r="B677" s="41"/>
      <c r="C677" s="9"/>
      <c r="D677" s="9"/>
      <c r="E677" s="42"/>
      <c r="F677" s="43"/>
      <c r="G677" s="27" t="str">
        <f aca="false">IF(OR(C677="",AND(D677="",F677="")),"",IF(N(E677)=0,1,E677)*IF(F677="",IFERROR(N(INDEX(Produtos!$L$5:$L$104,MATCH(D677,Produtos!$B$5:$B$104,0))),0),F677))</f>
        <v/>
      </c>
      <c r="H677" s="27" t="str">
        <f aca="false">IF(G677="","",IF(N(E677)=0,1,E677)*IFERROR(N(INDEX(Produtos!$G$5:$G$104,MATCH(D677,Produtos!$B$5:$B$104,0))),0))</f>
        <v/>
      </c>
      <c r="I677" s="27" t="str">
        <f aca="false">IF(G677="","",G677-H677)</f>
        <v/>
      </c>
      <c r="J677" s="42"/>
    </row>
    <row r="678" customFormat="false" ht="21" hidden="false" customHeight="true" outlineLevel="0" collapsed="false">
      <c r="B678" s="41"/>
      <c r="C678" s="9"/>
      <c r="D678" s="9"/>
      <c r="E678" s="42"/>
      <c r="F678" s="43"/>
      <c r="G678" s="27" t="str">
        <f aca="false">IF(OR(C678="",AND(D678="",F678="")),"",IF(N(E678)=0,1,E678)*IF(F678="",IFERROR(N(INDEX(Produtos!$L$5:$L$104,MATCH(D678,Produtos!$B$5:$B$104,0))),0),F678))</f>
        <v/>
      </c>
      <c r="H678" s="27" t="str">
        <f aca="false">IF(G678="","",IF(N(E678)=0,1,E678)*IFERROR(N(INDEX(Produtos!$G$5:$G$104,MATCH(D678,Produtos!$B$5:$B$104,0))),0))</f>
        <v/>
      </c>
      <c r="I678" s="27" t="str">
        <f aca="false">IF(G678="","",G678-H678)</f>
        <v/>
      </c>
      <c r="J678" s="42"/>
    </row>
    <row r="679" customFormat="false" ht="21" hidden="false" customHeight="true" outlineLevel="0" collapsed="false">
      <c r="B679" s="41"/>
      <c r="C679" s="9"/>
      <c r="D679" s="9"/>
      <c r="E679" s="42"/>
      <c r="F679" s="43"/>
      <c r="G679" s="27" t="str">
        <f aca="false">IF(OR(C679="",AND(D679="",F679="")),"",IF(N(E679)=0,1,E679)*IF(F679="",IFERROR(N(INDEX(Produtos!$L$5:$L$104,MATCH(D679,Produtos!$B$5:$B$104,0))),0),F679))</f>
        <v/>
      </c>
      <c r="H679" s="27" t="str">
        <f aca="false">IF(G679="","",IF(N(E679)=0,1,E679)*IFERROR(N(INDEX(Produtos!$G$5:$G$104,MATCH(D679,Produtos!$B$5:$B$104,0))),0))</f>
        <v/>
      </c>
      <c r="I679" s="27" t="str">
        <f aca="false">IF(G679="","",G679-H679)</f>
        <v/>
      </c>
      <c r="J679" s="42"/>
    </row>
    <row r="680" customFormat="false" ht="21" hidden="false" customHeight="true" outlineLevel="0" collapsed="false">
      <c r="B680" s="41"/>
      <c r="C680" s="9"/>
      <c r="D680" s="9"/>
      <c r="E680" s="42"/>
      <c r="F680" s="43"/>
      <c r="G680" s="27" t="str">
        <f aca="false">IF(OR(C680="",AND(D680="",F680="")),"",IF(N(E680)=0,1,E680)*IF(F680="",IFERROR(N(INDEX(Produtos!$L$5:$L$104,MATCH(D680,Produtos!$B$5:$B$104,0))),0),F680))</f>
        <v/>
      </c>
      <c r="H680" s="27" t="str">
        <f aca="false">IF(G680="","",IF(N(E680)=0,1,E680)*IFERROR(N(INDEX(Produtos!$G$5:$G$104,MATCH(D680,Produtos!$B$5:$B$104,0))),0))</f>
        <v/>
      </c>
      <c r="I680" s="27" t="str">
        <f aca="false">IF(G680="","",G680-H680)</f>
        <v/>
      </c>
      <c r="J680" s="42"/>
    </row>
    <row r="681" customFormat="false" ht="21" hidden="false" customHeight="true" outlineLevel="0" collapsed="false">
      <c r="B681" s="41"/>
      <c r="C681" s="9"/>
      <c r="D681" s="9"/>
      <c r="E681" s="42"/>
      <c r="F681" s="43"/>
      <c r="G681" s="27" t="str">
        <f aca="false">IF(OR(C681="",AND(D681="",F681="")),"",IF(N(E681)=0,1,E681)*IF(F681="",IFERROR(N(INDEX(Produtos!$L$5:$L$104,MATCH(D681,Produtos!$B$5:$B$104,0))),0),F681))</f>
        <v/>
      </c>
      <c r="H681" s="27" t="str">
        <f aca="false">IF(G681="","",IF(N(E681)=0,1,E681)*IFERROR(N(INDEX(Produtos!$G$5:$G$104,MATCH(D681,Produtos!$B$5:$B$104,0))),0))</f>
        <v/>
      </c>
      <c r="I681" s="27" t="str">
        <f aca="false">IF(G681="","",G681-H681)</f>
        <v/>
      </c>
      <c r="J681" s="42"/>
    </row>
    <row r="682" customFormat="false" ht="21" hidden="false" customHeight="true" outlineLevel="0" collapsed="false">
      <c r="B682" s="41"/>
      <c r="C682" s="9"/>
      <c r="D682" s="9"/>
      <c r="E682" s="42"/>
      <c r="F682" s="43"/>
      <c r="G682" s="27" t="str">
        <f aca="false">IF(OR(C682="",AND(D682="",F682="")),"",IF(N(E682)=0,1,E682)*IF(F682="",IFERROR(N(INDEX(Produtos!$L$5:$L$104,MATCH(D682,Produtos!$B$5:$B$104,0))),0),F682))</f>
        <v/>
      </c>
      <c r="H682" s="27" t="str">
        <f aca="false">IF(G682="","",IF(N(E682)=0,1,E682)*IFERROR(N(INDEX(Produtos!$G$5:$G$104,MATCH(D682,Produtos!$B$5:$B$104,0))),0))</f>
        <v/>
      </c>
      <c r="I682" s="27" t="str">
        <f aca="false">IF(G682="","",G682-H682)</f>
        <v/>
      </c>
      <c r="J682" s="42"/>
    </row>
    <row r="683" customFormat="false" ht="21" hidden="false" customHeight="true" outlineLevel="0" collapsed="false">
      <c r="B683" s="41"/>
      <c r="C683" s="9"/>
      <c r="D683" s="9"/>
      <c r="E683" s="42"/>
      <c r="F683" s="43"/>
      <c r="G683" s="27" t="str">
        <f aca="false">IF(OR(C683="",AND(D683="",F683="")),"",IF(N(E683)=0,1,E683)*IF(F683="",IFERROR(N(INDEX(Produtos!$L$5:$L$104,MATCH(D683,Produtos!$B$5:$B$104,0))),0),F683))</f>
        <v/>
      </c>
      <c r="H683" s="27" t="str">
        <f aca="false">IF(G683="","",IF(N(E683)=0,1,E683)*IFERROR(N(INDEX(Produtos!$G$5:$G$104,MATCH(D683,Produtos!$B$5:$B$104,0))),0))</f>
        <v/>
      </c>
      <c r="I683" s="27" t="str">
        <f aca="false">IF(G683="","",G683-H683)</f>
        <v/>
      </c>
      <c r="J683" s="42"/>
    </row>
    <row r="684" customFormat="false" ht="21" hidden="false" customHeight="true" outlineLevel="0" collapsed="false">
      <c r="B684" s="41"/>
      <c r="C684" s="9"/>
      <c r="D684" s="9"/>
      <c r="E684" s="42"/>
      <c r="F684" s="43"/>
      <c r="G684" s="27" t="str">
        <f aca="false">IF(OR(C684="",AND(D684="",F684="")),"",IF(N(E684)=0,1,E684)*IF(F684="",IFERROR(N(INDEX(Produtos!$L$5:$L$104,MATCH(D684,Produtos!$B$5:$B$104,0))),0),F684))</f>
        <v/>
      </c>
      <c r="H684" s="27" t="str">
        <f aca="false">IF(G684="","",IF(N(E684)=0,1,E684)*IFERROR(N(INDEX(Produtos!$G$5:$G$104,MATCH(D684,Produtos!$B$5:$B$104,0))),0))</f>
        <v/>
      </c>
      <c r="I684" s="27" t="str">
        <f aca="false">IF(G684="","",G684-H684)</f>
        <v/>
      </c>
      <c r="J684" s="42"/>
    </row>
    <row r="685" customFormat="false" ht="21" hidden="false" customHeight="true" outlineLevel="0" collapsed="false">
      <c r="B685" s="41"/>
      <c r="C685" s="9"/>
      <c r="D685" s="9"/>
      <c r="E685" s="42"/>
      <c r="F685" s="43"/>
      <c r="G685" s="27" t="str">
        <f aca="false">IF(OR(C685="",AND(D685="",F685="")),"",IF(N(E685)=0,1,E685)*IF(F685="",IFERROR(N(INDEX(Produtos!$L$5:$L$104,MATCH(D685,Produtos!$B$5:$B$104,0))),0),F685))</f>
        <v/>
      </c>
      <c r="H685" s="27" t="str">
        <f aca="false">IF(G685="","",IF(N(E685)=0,1,E685)*IFERROR(N(INDEX(Produtos!$G$5:$G$104,MATCH(D685,Produtos!$B$5:$B$104,0))),0))</f>
        <v/>
      </c>
      <c r="I685" s="27" t="str">
        <f aca="false">IF(G685="","",G685-H685)</f>
        <v/>
      </c>
      <c r="J685" s="42"/>
    </row>
    <row r="686" customFormat="false" ht="21" hidden="false" customHeight="true" outlineLevel="0" collapsed="false">
      <c r="B686" s="41"/>
      <c r="C686" s="9"/>
      <c r="D686" s="9"/>
      <c r="E686" s="42"/>
      <c r="F686" s="43"/>
      <c r="G686" s="27" t="str">
        <f aca="false">IF(OR(C686="",AND(D686="",F686="")),"",IF(N(E686)=0,1,E686)*IF(F686="",IFERROR(N(INDEX(Produtos!$L$5:$L$104,MATCH(D686,Produtos!$B$5:$B$104,0))),0),F686))</f>
        <v/>
      </c>
      <c r="H686" s="27" t="str">
        <f aca="false">IF(G686="","",IF(N(E686)=0,1,E686)*IFERROR(N(INDEX(Produtos!$G$5:$G$104,MATCH(D686,Produtos!$B$5:$B$104,0))),0))</f>
        <v/>
      </c>
      <c r="I686" s="27" t="str">
        <f aca="false">IF(G686="","",G686-H686)</f>
        <v/>
      </c>
      <c r="J686" s="42"/>
    </row>
    <row r="687" customFormat="false" ht="21" hidden="false" customHeight="true" outlineLevel="0" collapsed="false">
      <c r="B687" s="41"/>
      <c r="C687" s="9"/>
      <c r="D687" s="9"/>
      <c r="E687" s="42"/>
      <c r="F687" s="43"/>
      <c r="G687" s="27" t="str">
        <f aca="false">IF(OR(C687="",AND(D687="",F687="")),"",IF(N(E687)=0,1,E687)*IF(F687="",IFERROR(N(INDEX(Produtos!$L$5:$L$104,MATCH(D687,Produtos!$B$5:$B$104,0))),0),F687))</f>
        <v/>
      </c>
      <c r="H687" s="27" t="str">
        <f aca="false">IF(G687="","",IF(N(E687)=0,1,E687)*IFERROR(N(INDEX(Produtos!$G$5:$G$104,MATCH(D687,Produtos!$B$5:$B$104,0))),0))</f>
        <v/>
      </c>
      <c r="I687" s="27" t="str">
        <f aca="false">IF(G687="","",G687-H687)</f>
        <v/>
      </c>
      <c r="J687" s="42"/>
    </row>
    <row r="688" customFormat="false" ht="21" hidden="false" customHeight="true" outlineLevel="0" collapsed="false">
      <c r="B688" s="41"/>
      <c r="C688" s="9"/>
      <c r="D688" s="9"/>
      <c r="E688" s="42"/>
      <c r="F688" s="43"/>
      <c r="G688" s="27" t="str">
        <f aca="false">IF(OR(C688="",AND(D688="",F688="")),"",IF(N(E688)=0,1,E688)*IF(F688="",IFERROR(N(INDEX(Produtos!$L$5:$L$104,MATCH(D688,Produtos!$B$5:$B$104,0))),0),F688))</f>
        <v/>
      </c>
      <c r="H688" s="27" t="str">
        <f aca="false">IF(G688="","",IF(N(E688)=0,1,E688)*IFERROR(N(INDEX(Produtos!$G$5:$G$104,MATCH(D688,Produtos!$B$5:$B$104,0))),0))</f>
        <v/>
      </c>
      <c r="I688" s="27" t="str">
        <f aca="false">IF(G688="","",G688-H688)</f>
        <v/>
      </c>
      <c r="J688" s="42"/>
    </row>
    <row r="689" customFormat="false" ht="21" hidden="false" customHeight="true" outlineLevel="0" collapsed="false">
      <c r="B689" s="41"/>
      <c r="C689" s="9"/>
      <c r="D689" s="9"/>
      <c r="E689" s="42"/>
      <c r="F689" s="43"/>
      <c r="G689" s="27" t="str">
        <f aca="false">IF(OR(C689="",AND(D689="",F689="")),"",IF(N(E689)=0,1,E689)*IF(F689="",IFERROR(N(INDEX(Produtos!$L$5:$L$104,MATCH(D689,Produtos!$B$5:$B$104,0))),0),F689))</f>
        <v/>
      </c>
      <c r="H689" s="27" t="str">
        <f aca="false">IF(G689="","",IF(N(E689)=0,1,E689)*IFERROR(N(INDEX(Produtos!$G$5:$G$104,MATCH(D689,Produtos!$B$5:$B$104,0))),0))</f>
        <v/>
      </c>
      <c r="I689" s="27" t="str">
        <f aca="false">IF(G689="","",G689-H689)</f>
        <v/>
      </c>
      <c r="J689" s="42"/>
    </row>
    <row r="690" customFormat="false" ht="21" hidden="false" customHeight="true" outlineLevel="0" collapsed="false">
      <c r="B690" s="41"/>
      <c r="C690" s="9"/>
      <c r="D690" s="9"/>
      <c r="E690" s="42"/>
      <c r="F690" s="43"/>
      <c r="G690" s="27" t="str">
        <f aca="false">IF(OR(C690="",AND(D690="",F690="")),"",IF(N(E690)=0,1,E690)*IF(F690="",IFERROR(N(INDEX(Produtos!$L$5:$L$104,MATCH(D690,Produtos!$B$5:$B$104,0))),0),F690))</f>
        <v/>
      </c>
      <c r="H690" s="27" t="str">
        <f aca="false">IF(G690="","",IF(N(E690)=0,1,E690)*IFERROR(N(INDEX(Produtos!$G$5:$G$104,MATCH(D690,Produtos!$B$5:$B$104,0))),0))</f>
        <v/>
      </c>
      <c r="I690" s="27" t="str">
        <f aca="false">IF(G690="","",G690-H690)</f>
        <v/>
      </c>
      <c r="J690" s="42"/>
    </row>
    <row r="691" customFormat="false" ht="21" hidden="false" customHeight="true" outlineLevel="0" collapsed="false">
      <c r="B691" s="41"/>
      <c r="C691" s="9"/>
      <c r="D691" s="9"/>
      <c r="E691" s="42"/>
      <c r="F691" s="43"/>
      <c r="G691" s="27" t="str">
        <f aca="false">IF(OR(C691="",AND(D691="",F691="")),"",IF(N(E691)=0,1,E691)*IF(F691="",IFERROR(N(INDEX(Produtos!$L$5:$L$104,MATCH(D691,Produtos!$B$5:$B$104,0))),0),F691))</f>
        <v/>
      </c>
      <c r="H691" s="27" t="str">
        <f aca="false">IF(G691="","",IF(N(E691)=0,1,E691)*IFERROR(N(INDEX(Produtos!$G$5:$G$104,MATCH(D691,Produtos!$B$5:$B$104,0))),0))</f>
        <v/>
      </c>
      <c r="I691" s="27" t="str">
        <f aca="false">IF(G691="","",G691-H691)</f>
        <v/>
      </c>
      <c r="J691" s="42"/>
    </row>
    <row r="692" customFormat="false" ht="21" hidden="false" customHeight="true" outlineLevel="0" collapsed="false">
      <c r="B692" s="41"/>
      <c r="C692" s="9"/>
      <c r="D692" s="9"/>
      <c r="E692" s="42"/>
      <c r="F692" s="43"/>
      <c r="G692" s="27" t="str">
        <f aca="false">IF(OR(C692="",AND(D692="",F692="")),"",IF(N(E692)=0,1,E692)*IF(F692="",IFERROR(N(INDEX(Produtos!$L$5:$L$104,MATCH(D692,Produtos!$B$5:$B$104,0))),0),F692))</f>
        <v/>
      </c>
      <c r="H692" s="27" t="str">
        <f aca="false">IF(G692="","",IF(N(E692)=0,1,E692)*IFERROR(N(INDEX(Produtos!$G$5:$G$104,MATCH(D692,Produtos!$B$5:$B$104,0))),0))</f>
        <v/>
      </c>
      <c r="I692" s="27" t="str">
        <f aca="false">IF(G692="","",G692-H692)</f>
        <v/>
      </c>
      <c r="J692" s="42"/>
    </row>
    <row r="693" customFormat="false" ht="21" hidden="false" customHeight="true" outlineLevel="0" collapsed="false">
      <c r="B693" s="41"/>
      <c r="C693" s="9"/>
      <c r="D693" s="9"/>
      <c r="E693" s="42"/>
      <c r="F693" s="43"/>
      <c r="G693" s="27" t="str">
        <f aca="false">IF(OR(C693="",AND(D693="",F693="")),"",IF(N(E693)=0,1,E693)*IF(F693="",IFERROR(N(INDEX(Produtos!$L$5:$L$104,MATCH(D693,Produtos!$B$5:$B$104,0))),0),F693))</f>
        <v/>
      </c>
      <c r="H693" s="27" t="str">
        <f aca="false">IF(G693="","",IF(N(E693)=0,1,E693)*IFERROR(N(INDEX(Produtos!$G$5:$G$104,MATCH(D693,Produtos!$B$5:$B$104,0))),0))</f>
        <v/>
      </c>
      <c r="I693" s="27" t="str">
        <f aca="false">IF(G693="","",G693-H693)</f>
        <v/>
      </c>
      <c r="J693" s="42"/>
    </row>
    <row r="694" customFormat="false" ht="21" hidden="false" customHeight="true" outlineLevel="0" collapsed="false">
      <c r="B694" s="41"/>
      <c r="C694" s="9"/>
      <c r="D694" s="9"/>
      <c r="E694" s="42"/>
      <c r="F694" s="43"/>
      <c r="G694" s="27" t="str">
        <f aca="false">IF(OR(C694="",AND(D694="",F694="")),"",IF(N(E694)=0,1,E694)*IF(F694="",IFERROR(N(INDEX(Produtos!$L$5:$L$104,MATCH(D694,Produtos!$B$5:$B$104,0))),0),F694))</f>
        <v/>
      </c>
      <c r="H694" s="27" t="str">
        <f aca="false">IF(G694="","",IF(N(E694)=0,1,E694)*IFERROR(N(INDEX(Produtos!$G$5:$G$104,MATCH(D694,Produtos!$B$5:$B$104,0))),0))</f>
        <v/>
      </c>
      <c r="I694" s="27" t="str">
        <f aca="false">IF(G694="","",G694-H694)</f>
        <v/>
      </c>
      <c r="J694" s="42"/>
    </row>
    <row r="695" customFormat="false" ht="21" hidden="false" customHeight="true" outlineLevel="0" collapsed="false">
      <c r="B695" s="41"/>
      <c r="C695" s="9"/>
      <c r="D695" s="9"/>
      <c r="E695" s="42"/>
      <c r="F695" s="43"/>
      <c r="G695" s="27" t="str">
        <f aca="false">IF(OR(C695="",AND(D695="",F695="")),"",IF(N(E695)=0,1,E695)*IF(F695="",IFERROR(N(INDEX(Produtos!$L$5:$L$104,MATCH(D695,Produtos!$B$5:$B$104,0))),0),F695))</f>
        <v/>
      </c>
      <c r="H695" s="27" t="str">
        <f aca="false">IF(G695="","",IF(N(E695)=0,1,E695)*IFERROR(N(INDEX(Produtos!$G$5:$G$104,MATCH(D695,Produtos!$B$5:$B$104,0))),0))</f>
        <v/>
      </c>
      <c r="I695" s="27" t="str">
        <f aca="false">IF(G695="","",G695-H695)</f>
        <v/>
      </c>
      <c r="J695" s="42"/>
    </row>
    <row r="696" customFormat="false" ht="21" hidden="false" customHeight="true" outlineLevel="0" collapsed="false">
      <c r="B696" s="41"/>
      <c r="C696" s="9"/>
      <c r="D696" s="9"/>
      <c r="E696" s="42"/>
      <c r="F696" s="43"/>
      <c r="G696" s="27" t="str">
        <f aca="false">IF(OR(C696="",AND(D696="",F696="")),"",IF(N(E696)=0,1,E696)*IF(F696="",IFERROR(N(INDEX(Produtos!$L$5:$L$104,MATCH(D696,Produtos!$B$5:$B$104,0))),0),F696))</f>
        <v/>
      </c>
      <c r="H696" s="27" t="str">
        <f aca="false">IF(G696="","",IF(N(E696)=0,1,E696)*IFERROR(N(INDEX(Produtos!$G$5:$G$104,MATCH(D696,Produtos!$B$5:$B$104,0))),0))</f>
        <v/>
      </c>
      <c r="I696" s="27" t="str">
        <f aca="false">IF(G696="","",G696-H696)</f>
        <v/>
      </c>
      <c r="J696" s="42"/>
    </row>
    <row r="697" customFormat="false" ht="21" hidden="false" customHeight="true" outlineLevel="0" collapsed="false">
      <c r="B697" s="41"/>
      <c r="C697" s="9"/>
      <c r="D697" s="9"/>
      <c r="E697" s="42"/>
      <c r="F697" s="43"/>
      <c r="G697" s="27" t="str">
        <f aca="false">IF(OR(C697="",AND(D697="",F697="")),"",IF(N(E697)=0,1,E697)*IF(F697="",IFERROR(N(INDEX(Produtos!$L$5:$L$104,MATCH(D697,Produtos!$B$5:$B$104,0))),0),F697))</f>
        <v/>
      </c>
      <c r="H697" s="27" t="str">
        <f aca="false">IF(G697="","",IF(N(E697)=0,1,E697)*IFERROR(N(INDEX(Produtos!$G$5:$G$104,MATCH(D697,Produtos!$B$5:$B$104,0))),0))</f>
        <v/>
      </c>
      <c r="I697" s="27" t="str">
        <f aca="false">IF(G697="","",G697-H697)</f>
        <v/>
      </c>
      <c r="J697" s="42"/>
    </row>
    <row r="698" customFormat="false" ht="21" hidden="false" customHeight="true" outlineLevel="0" collapsed="false">
      <c r="B698" s="41"/>
      <c r="C698" s="9"/>
      <c r="D698" s="9"/>
      <c r="E698" s="42"/>
      <c r="F698" s="43"/>
      <c r="G698" s="27" t="str">
        <f aca="false">IF(OR(C698="",AND(D698="",F698="")),"",IF(N(E698)=0,1,E698)*IF(F698="",IFERROR(N(INDEX(Produtos!$L$5:$L$104,MATCH(D698,Produtos!$B$5:$B$104,0))),0),F698))</f>
        <v/>
      </c>
      <c r="H698" s="27" t="str">
        <f aca="false">IF(G698="","",IF(N(E698)=0,1,E698)*IFERROR(N(INDEX(Produtos!$G$5:$G$104,MATCH(D698,Produtos!$B$5:$B$104,0))),0))</f>
        <v/>
      </c>
      <c r="I698" s="27" t="str">
        <f aca="false">IF(G698="","",G698-H698)</f>
        <v/>
      </c>
      <c r="J698" s="42"/>
    </row>
    <row r="699" customFormat="false" ht="21" hidden="false" customHeight="true" outlineLevel="0" collapsed="false">
      <c r="B699" s="41"/>
      <c r="C699" s="9"/>
      <c r="D699" s="9"/>
      <c r="E699" s="42"/>
      <c r="F699" s="43"/>
      <c r="G699" s="27" t="str">
        <f aca="false">IF(OR(C699="",AND(D699="",F699="")),"",IF(N(E699)=0,1,E699)*IF(F699="",IFERROR(N(INDEX(Produtos!$L$5:$L$104,MATCH(D699,Produtos!$B$5:$B$104,0))),0),F699))</f>
        <v/>
      </c>
      <c r="H699" s="27" t="str">
        <f aca="false">IF(G699="","",IF(N(E699)=0,1,E699)*IFERROR(N(INDEX(Produtos!$G$5:$G$104,MATCH(D699,Produtos!$B$5:$B$104,0))),0))</f>
        <v/>
      </c>
      <c r="I699" s="27" t="str">
        <f aca="false">IF(G699="","",G699-H699)</f>
        <v/>
      </c>
      <c r="J699" s="42"/>
    </row>
    <row r="700" customFormat="false" ht="21" hidden="false" customHeight="true" outlineLevel="0" collapsed="false">
      <c r="B700" s="41"/>
      <c r="C700" s="9"/>
      <c r="D700" s="9"/>
      <c r="E700" s="42"/>
      <c r="F700" s="43"/>
      <c r="G700" s="27" t="str">
        <f aca="false">IF(OR(C700="",AND(D700="",F700="")),"",IF(N(E700)=0,1,E700)*IF(F700="",IFERROR(N(INDEX(Produtos!$L$5:$L$104,MATCH(D700,Produtos!$B$5:$B$104,0))),0),F700))</f>
        <v/>
      </c>
      <c r="H700" s="27" t="str">
        <f aca="false">IF(G700="","",IF(N(E700)=0,1,E700)*IFERROR(N(INDEX(Produtos!$G$5:$G$104,MATCH(D700,Produtos!$B$5:$B$104,0))),0))</f>
        <v/>
      </c>
      <c r="I700" s="27" t="str">
        <f aca="false">IF(G700="","",G700-H700)</f>
        <v/>
      </c>
      <c r="J700" s="42"/>
    </row>
    <row r="701" customFormat="false" ht="21" hidden="false" customHeight="true" outlineLevel="0" collapsed="false">
      <c r="B701" s="41"/>
      <c r="C701" s="9"/>
      <c r="D701" s="9"/>
      <c r="E701" s="42"/>
      <c r="F701" s="43"/>
      <c r="G701" s="27" t="str">
        <f aca="false">IF(OR(C701="",AND(D701="",F701="")),"",IF(N(E701)=0,1,E701)*IF(F701="",IFERROR(N(INDEX(Produtos!$L$5:$L$104,MATCH(D701,Produtos!$B$5:$B$104,0))),0),F701))</f>
        <v/>
      </c>
      <c r="H701" s="27" t="str">
        <f aca="false">IF(G701="","",IF(N(E701)=0,1,E701)*IFERROR(N(INDEX(Produtos!$G$5:$G$104,MATCH(D701,Produtos!$B$5:$B$104,0))),0))</f>
        <v/>
      </c>
      <c r="I701" s="27" t="str">
        <f aca="false">IF(G701="","",G701-H701)</f>
        <v/>
      </c>
      <c r="J701" s="42"/>
    </row>
    <row r="702" customFormat="false" ht="21" hidden="false" customHeight="true" outlineLevel="0" collapsed="false">
      <c r="B702" s="41"/>
      <c r="C702" s="9"/>
      <c r="D702" s="9"/>
      <c r="E702" s="42"/>
      <c r="F702" s="43"/>
      <c r="G702" s="27" t="str">
        <f aca="false">IF(OR(C702="",AND(D702="",F702="")),"",IF(N(E702)=0,1,E702)*IF(F702="",IFERROR(N(INDEX(Produtos!$L$5:$L$104,MATCH(D702,Produtos!$B$5:$B$104,0))),0),F702))</f>
        <v/>
      </c>
      <c r="H702" s="27" t="str">
        <f aca="false">IF(G702="","",IF(N(E702)=0,1,E702)*IFERROR(N(INDEX(Produtos!$G$5:$G$104,MATCH(D702,Produtos!$B$5:$B$104,0))),0))</f>
        <v/>
      </c>
      <c r="I702" s="27" t="str">
        <f aca="false">IF(G702="","",G702-H702)</f>
        <v/>
      </c>
      <c r="J702" s="42"/>
    </row>
    <row r="703" customFormat="false" ht="21" hidden="false" customHeight="true" outlineLevel="0" collapsed="false">
      <c r="B703" s="41"/>
      <c r="C703" s="9"/>
      <c r="D703" s="9"/>
      <c r="E703" s="42"/>
      <c r="F703" s="43"/>
      <c r="G703" s="27" t="str">
        <f aca="false">IF(OR(C703="",AND(D703="",F703="")),"",IF(N(E703)=0,1,E703)*IF(F703="",IFERROR(N(INDEX(Produtos!$L$5:$L$104,MATCH(D703,Produtos!$B$5:$B$104,0))),0),F703))</f>
        <v/>
      </c>
      <c r="H703" s="27" t="str">
        <f aca="false">IF(G703="","",IF(N(E703)=0,1,E703)*IFERROR(N(INDEX(Produtos!$G$5:$G$104,MATCH(D703,Produtos!$B$5:$B$104,0))),0))</f>
        <v/>
      </c>
      <c r="I703" s="27" t="str">
        <f aca="false">IF(G703="","",G703-H703)</f>
        <v/>
      </c>
      <c r="J703" s="42"/>
    </row>
    <row r="704" customFormat="false" ht="21" hidden="false" customHeight="true" outlineLevel="0" collapsed="false">
      <c r="B704" s="41"/>
      <c r="C704" s="9"/>
      <c r="D704" s="9"/>
      <c r="E704" s="42"/>
      <c r="F704" s="43"/>
      <c r="G704" s="27" t="str">
        <f aca="false">IF(OR(C704="",AND(D704="",F704="")),"",IF(N(E704)=0,1,E704)*IF(F704="",IFERROR(N(INDEX(Produtos!$L$5:$L$104,MATCH(D704,Produtos!$B$5:$B$104,0))),0),F704))</f>
        <v/>
      </c>
      <c r="H704" s="27" t="str">
        <f aca="false">IF(G704="","",IF(N(E704)=0,1,E704)*IFERROR(N(INDEX(Produtos!$G$5:$G$104,MATCH(D704,Produtos!$B$5:$B$104,0))),0))</f>
        <v/>
      </c>
      <c r="I704" s="27" t="str">
        <f aca="false">IF(G704="","",G704-H704)</f>
        <v/>
      </c>
      <c r="J704" s="42"/>
    </row>
    <row r="705" customFormat="false" ht="21" hidden="false" customHeight="true" outlineLevel="0" collapsed="false">
      <c r="B705" s="41"/>
      <c r="C705" s="9"/>
      <c r="D705" s="9"/>
      <c r="E705" s="42"/>
      <c r="F705" s="43"/>
      <c r="G705" s="27" t="str">
        <f aca="false">IF(OR(C705="",AND(D705="",F705="")),"",IF(N(E705)=0,1,E705)*IF(F705="",IFERROR(N(INDEX(Produtos!$L$5:$L$104,MATCH(D705,Produtos!$B$5:$B$104,0))),0),F705))</f>
        <v/>
      </c>
      <c r="H705" s="27" t="str">
        <f aca="false">IF(G705="","",IF(N(E705)=0,1,E705)*IFERROR(N(INDEX(Produtos!$G$5:$G$104,MATCH(D705,Produtos!$B$5:$B$104,0))),0))</f>
        <v/>
      </c>
      <c r="I705" s="27" t="str">
        <f aca="false">IF(G705="","",G705-H705)</f>
        <v/>
      </c>
      <c r="J705" s="42"/>
    </row>
    <row r="706" customFormat="false" ht="21" hidden="false" customHeight="true" outlineLevel="0" collapsed="false">
      <c r="B706" s="41"/>
      <c r="C706" s="9"/>
      <c r="D706" s="9"/>
      <c r="E706" s="42"/>
      <c r="F706" s="43"/>
      <c r="G706" s="27" t="str">
        <f aca="false">IF(OR(C706="",AND(D706="",F706="")),"",IF(N(E706)=0,1,E706)*IF(F706="",IFERROR(N(INDEX(Produtos!$L$5:$L$104,MATCH(D706,Produtos!$B$5:$B$104,0))),0),F706))</f>
        <v/>
      </c>
      <c r="H706" s="27" t="str">
        <f aca="false">IF(G706="","",IF(N(E706)=0,1,E706)*IFERROR(N(INDEX(Produtos!$G$5:$G$104,MATCH(D706,Produtos!$B$5:$B$104,0))),0))</f>
        <v/>
      </c>
      <c r="I706" s="27" t="str">
        <f aca="false">IF(G706="","",G706-H706)</f>
        <v/>
      </c>
      <c r="J706" s="42"/>
    </row>
    <row r="707" customFormat="false" ht="21" hidden="false" customHeight="true" outlineLevel="0" collapsed="false">
      <c r="B707" s="41"/>
      <c r="C707" s="9"/>
      <c r="D707" s="9"/>
      <c r="E707" s="42"/>
      <c r="F707" s="43"/>
      <c r="G707" s="27" t="str">
        <f aca="false">IF(OR(C707="",AND(D707="",F707="")),"",IF(N(E707)=0,1,E707)*IF(F707="",IFERROR(N(INDEX(Produtos!$L$5:$L$104,MATCH(D707,Produtos!$B$5:$B$104,0))),0),F707))</f>
        <v/>
      </c>
      <c r="H707" s="27" t="str">
        <f aca="false">IF(G707="","",IF(N(E707)=0,1,E707)*IFERROR(N(INDEX(Produtos!$G$5:$G$104,MATCH(D707,Produtos!$B$5:$B$104,0))),0))</f>
        <v/>
      </c>
      <c r="I707" s="27" t="str">
        <f aca="false">IF(G707="","",G707-H707)</f>
        <v/>
      </c>
      <c r="J707" s="42"/>
    </row>
    <row r="708" customFormat="false" ht="21" hidden="false" customHeight="true" outlineLevel="0" collapsed="false">
      <c r="B708" s="41"/>
      <c r="C708" s="9"/>
      <c r="D708" s="9"/>
      <c r="E708" s="42"/>
      <c r="F708" s="43"/>
      <c r="G708" s="27" t="str">
        <f aca="false">IF(OR(C708="",AND(D708="",F708="")),"",IF(N(E708)=0,1,E708)*IF(F708="",IFERROR(N(INDEX(Produtos!$L$5:$L$104,MATCH(D708,Produtos!$B$5:$B$104,0))),0),F708))</f>
        <v/>
      </c>
      <c r="H708" s="27" t="str">
        <f aca="false">IF(G708="","",IF(N(E708)=0,1,E708)*IFERROR(N(INDEX(Produtos!$G$5:$G$104,MATCH(D708,Produtos!$B$5:$B$104,0))),0))</f>
        <v/>
      </c>
      <c r="I708" s="27" t="str">
        <f aca="false">IF(G708="","",G708-H708)</f>
        <v/>
      </c>
      <c r="J708" s="42"/>
    </row>
    <row r="709" customFormat="false" ht="21" hidden="false" customHeight="true" outlineLevel="0" collapsed="false">
      <c r="B709" s="41"/>
      <c r="C709" s="9"/>
      <c r="D709" s="9"/>
      <c r="E709" s="42"/>
      <c r="F709" s="43"/>
      <c r="G709" s="27" t="str">
        <f aca="false">IF(OR(C709="",AND(D709="",F709="")),"",IF(N(E709)=0,1,E709)*IF(F709="",IFERROR(N(INDEX(Produtos!$L$5:$L$104,MATCH(D709,Produtos!$B$5:$B$104,0))),0),F709))</f>
        <v/>
      </c>
      <c r="H709" s="27" t="str">
        <f aca="false">IF(G709="","",IF(N(E709)=0,1,E709)*IFERROR(N(INDEX(Produtos!$G$5:$G$104,MATCH(D709,Produtos!$B$5:$B$104,0))),0))</f>
        <v/>
      </c>
      <c r="I709" s="27" t="str">
        <f aca="false">IF(G709="","",G709-H709)</f>
        <v/>
      </c>
      <c r="J709" s="42"/>
    </row>
    <row r="710" customFormat="false" ht="21" hidden="false" customHeight="true" outlineLevel="0" collapsed="false">
      <c r="B710" s="41"/>
      <c r="C710" s="9"/>
      <c r="D710" s="9"/>
      <c r="E710" s="42"/>
      <c r="F710" s="43"/>
      <c r="G710" s="27" t="str">
        <f aca="false">IF(OR(C710="",AND(D710="",F710="")),"",IF(N(E710)=0,1,E710)*IF(F710="",IFERROR(N(INDEX(Produtos!$L$5:$L$104,MATCH(D710,Produtos!$B$5:$B$104,0))),0),F710))</f>
        <v/>
      </c>
      <c r="H710" s="27" t="str">
        <f aca="false">IF(G710="","",IF(N(E710)=0,1,E710)*IFERROR(N(INDEX(Produtos!$G$5:$G$104,MATCH(D710,Produtos!$B$5:$B$104,0))),0))</f>
        <v/>
      </c>
      <c r="I710" s="27" t="str">
        <f aca="false">IF(G710="","",G710-H710)</f>
        <v/>
      </c>
      <c r="J710" s="42"/>
    </row>
    <row r="711" customFormat="false" ht="21" hidden="false" customHeight="true" outlineLevel="0" collapsed="false">
      <c r="B711" s="41"/>
      <c r="C711" s="9"/>
      <c r="D711" s="9"/>
      <c r="E711" s="42"/>
      <c r="F711" s="43"/>
      <c r="G711" s="27" t="str">
        <f aca="false">IF(OR(C711="",AND(D711="",F711="")),"",IF(N(E711)=0,1,E711)*IF(F711="",IFERROR(N(INDEX(Produtos!$L$5:$L$104,MATCH(D711,Produtos!$B$5:$B$104,0))),0),F711))</f>
        <v/>
      </c>
      <c r="H711" s="27" t="str">
        <f aca="false">IF(G711="","",IF(N(E711)=0,1,E711)*IFERROR(N(INDEX(Produtos!$G$5:$G$104,MATCH(D711,Produtos!$B$5:$B$104,0))),0))</f>
        <v/>
      </c>
      <c r="I711" s="27" t="str">
        <f aca="false">IF(G711="","",G711-H711)</f>
        <v/>
      </c>
      <c r="J711" s="42"/>
    </row>
    <row r="712" customFormat="false" ht="21" hidden="false" customHeight="true" outlineLevel="0" collapsed="false">
      <c r="B712" s="41"/>
      <c r="C712" s="9"/>
      <c r="D712" s="9"/>
      <c r="E712" s="42"/>
      <c r="F712" s="43"/>
      <c r="G712" s="27" t="str">
        <f aca="false">IF(OR(C712="",AND(D712="",F712="")),"",IF(N(E712)=0,1,E712)*IF(F712="",IFERROR(N(INDEX(Produtos!$L$5:$L$104,MATCH(D712,Produtos!$B$5:$B$104,0))),0),F712))</f>
        <v/>
      </c>
      <c r="H712" s="27" t="str">
        <f aca="false">IF(G712="","",IF(N(E712)=0,1,E712)*IFERROR(N(INDEX(Produtos!$G$5:$G$104,MATCH(D712,Produtos!$B$5:$B$104,0))),0))</f>
        <v/>
      </c>
      <c r="I712" s="27" t="str">
        <f aca="false">IF(G712="","",G712-H712)</f>
        <v/>
      </c>
      <c r="J712" s="42"/>
    </row>
    <row r="713" customFormat="false" ht="21" hidden="false" customHeight="true" outlineLevel="0" collapsed="false">
      <c r="B713" s="41"/>
      <c r="C713" s="9"/>
      <c r="D713" s="9"/>
      <c r="E713" s="42"/>
      <c r="F713" s="43"/>
      <c r="G713" s="27" t="str">
        <f aca="false">IF(OR(C713="",AND(D713="",F713="")),"",IF(N(E713)=0,1,E713)*IF(F713="",IFERROR(N(INDEX(Produtos!$L$5:$L$104,MATCH(D713,Produtos!$B$5:$B$104,0))),0),F713))</f>
        <v/>
      </c>
      <c r="H713" s="27" t="str">
        <f aca="false">IF(G713="","",IF(N(E713)=0,1,E713)*IFERROR(N(INDEX(Produtos!$G$5:$G$104,MATCH(D713,Produtos!$B$5:$B$104,0))),0))</f>
        <v/>
      </c>
      <c r="I713" s="27" t="str">
        <f aca="false">IF(G713="","",G713-H713)</f>
        <v/>
      </c>
      <c r="J713" s="42"/>
    </row>
    <row r="714" customFormat="false" ht="21" hidden="false" customHeight="true" outlineLevel="0" collapsed="false">
      <c r="B714" s="41"/>
      <c r="C714" s="9"/>
      <c r="D714" s="9"/>
      <c r="E714" s="42"/>
      <c r="F714" s="43"/>
      <c r="G714" s="27" t="str">
        <f aca="false">IF(OR(C714="",AND(D714="",F714="")),"",IF(N(E714)=0,1,E714)*IF(F714="",IFERROR(N(INDEX(Produtos!$L$5:$L$104,MATCH(D714,Produtos!$B$5:$B$104,0))),0),F714))</f>
        <v/>
      </c>
      <c r="H714" s="27" t="str">
        <f aca="false">IF(G714="","",IF(N(E714)=0,1,E714)*IFERROR(N(INDEX(Produtos!$G$5:$G$104,MATCH(D714,Produtos!$B$5:$B$104,0))),0))</f>
        <v/>
      </c>
      <c r="I714" s="27" t="str">
        <f aca="false">IF(G714="","",G714-H714)</f>
        <v/>
      </c>
      <c r="J714" s="42"/>
    </row>
    <row r="715" customFormat="false" ht="21" hidden="false" customHeight="true" outlineLevel="0" collapsed="false">
      <c r="B715" s="41"/>
      <c r="C715" s="9"/>
      <c r="D715" s="9"/>
      <c r="E715" s="42"/>
      <c r="F715" s="43"/>
      <c r="G715" s="27" t="str">
        <f aca="false">IF(OR(C715="",AND(D715="",F715="")),"",IF(N(E715)=0,1,E715)*IF(F715="",IFERROR(N(INDEX(Produtos!$L$5:$L$104,MATCH(D715,Produtos!$B$5:$B$104,0))),0),F715))</f>
        <v/>
      </c>
      <c r="H715" s="27" t="str">
        <f aca="false">IF(G715="","",IF(N(E715)=0,1,E715)*IFERROR(N(INDEX(Produtos!$G$5:$G$104,MATCH(D715,Produtos!$B$5:$B$104,0))),0))</f>
        <v/>
      </c>
      <c r="I715" s="27" t="str">
        <f aca="false">IF(G715="","",G715-H715)</f>
        <v/>
      </c>
      <c r="J715" s="42"/>
    </row>
    <row r="716" customFormat="false" ht="21" hidden="false" customHeight="true" outlineLevel="0" collapsed="false">
      <c r="B716" s="41"/>
      <c r="C716" s="9"/>
      <c r="D716" s="9"/>
      <c r="E716" s="42"/>
      <c r="F716" s="43"/>
      <c r="G716" s="27" t="str">
        <f aca="false">IF(OR(C716="",AND(D716="",F716="")),"",IF(N(E716)=0,1,E716)*IF(F716="",IFERROR(N(INDEX(Produtos!$L$5:$L$104,MATCH(D716,Produtos!$B$5:$B$104,0))),0),F716))</f>
        <v/>
      </c>
      <c r="H716" s="27" t="str">
        <f aca="false">IF(G716="","",IF(N(E716)=0,1,E716)*IFERROR(N(INDEX(Produtos!$G$5:$G$104,MATCH(D716,Produtos!$B$5:$B$104,0))),0))</f>
        <v/>
      </c>
      <c r="I716" s="27" t="str">
        <f aca="false">IF(G716="","",G716-H716)</f>
        <v/>
      </c>
      <c r="J716" s="42"/>
    </row>
    <row r="717" customFormat="false" ht="21" hidden="false" customHeight="true" outlineLevel="0" collapsed="false">
      <c r="B717" s="41"/>
      <c r="C717" s="9"/>
      <c r="D717" s="9"/>
      <c r="E717" s="42"/>
      <c r="F717" s="43"/>
      <c r="G717" s="27" t="str">
        <f aca="false">IF(OR(C717="",AND(D717="",F717="")),"",IF(N(E717)=0,1,E717)*IF(F717="",IFERROR(N(INDEX(Produtos!$L$5:$L$104,MATCH(D717,Produtos!$B$5:$B$104,0))),0),F717))</f>
        <v/>
      </c>
      <c r="H717" s="27" t="str">
        <f aca="false">IF(G717="","",IF(N(E717)=0,1,E717)*IFERROR(N(INDEX(Produtos!$G$5:$G$104,MATCH(D717,Produtos!$B$5:$B$104,0))),0))</f>
        <v/>
      </c>
      <c r="I717" s="27" t="str">
        <f aca="false">IF(G717="","",G717-H717)</f>
        <v/>
      </c>
      <c r="J717" s="42"/>
    </row>
    <row r="718" customFormat="false" ht="21" hidden="false" customHeight="true" outlineLevel="0" collapsed="false">
      <c r="B718" s="41"/>
      <c r="C718" s="9"/>
      <c r="D718" s="9"/>
      <c r="E718" s="42"/>
      <c r="F718" s="43"/>
      <c r="G718" s="27" t="str">
        <f aca="false">IF(OR(C718="",AND(D718="",F718="")),"",IF(N(E718)=0,1,E718)*IF(F718="",IFERROR(N(INDEX(Produtos!$L$5:$L$104,MATCH(D718,Produtos!$B$5:$B$104,0))),0),F718))</f>
        <v/>
      </c>
      <c r="H718" s="27" t="str">
        <f aca="false">IF(G718="","",IF(N(E718)=0,1,E718)*IFERROR(N(INDEX(Produtos!$G$5:$G$104,MATCH(D718,Produtos!$B$5:$B$104,0))),0))</f>
        <v/>
      </c>
      <c r="I718" s="27" t="str">
        <f aca="false">IF(G718="","",G718-H718)</f>
        <v/>
      </c>
      <c r="J718" s="42"/>
    </row>
    <row r="719" customFormat="false" ht="21" hidden="false" customHeight="true" outlineLevel="0" collapsed="false">
      <c r="B719" s="41"/>
      <c r="C719" s="9"/>
      <c r="D719" s="9"/>
      <c r="E719" s="42"/>
      <c r="F719" s="43"/>
      <c r="G719" s="27" t="str">
        <f aca="false">IF(OR(C719="",AND(D719="",F719="")),"",IF(N(E719)=0,1,E719)*IF(F719="",IFERROR(N(INDEX(Produtos!$L$5:$L$104,MATCH(D719,Produtos!$B$5:$B$104,0))),0),F719))</f>
        <v/>
      </c>
      <c r="H719" s="27" t="str">
        <f aca="false">IF(G719="","",IF(N(E719)=0,1,E719)*IFERROR(N(INDEX(Produtos!$G$5:$G$104,MATCH(D719,Produtos!$B$5:$B$104,0))),0))</f>
        <v/>
      </c>
      <c r="I719" s="27" t="str">
        <f aca="false">IF(G719="","",G719-H719)</f>
        <v/>
      </c>
      <c r="J719" s="42"/>
    </row>
    <row r="720" customFormat="false" ht="21" hidden="false" customHeight="true" outlineLevel="0" collapsed="false">
      <c r="B720" s="41"/>
      <c r="C720" s="9"/>
      <c r="D720" s="9"/>
      <c r="E720" s="42"/>
      <c r="F720" s="43"/>
      <c r="G720" s="27" t="str">
        <f aca="false">IF(OR(C720="",AND(D720="",F720="")),"",IF(N(E720)=0,1,E720)*IF(F720="",IFERROR(N(INDEX(Produtos!$L$5:$L$104,MATCH(D720,Produtos!$B$5:$B$104,0))),0),F720))</f>
        <v/>
      </c>
      <c r="H720" s="27" t="str">
        <f aca="false">IF(G720="","",IF(N(E720)=0,1,E720)*IFERROR(N(INDEX(Produtos!$G$5:$G$104,MATCH(D720,Produtos!$B$5:$B$104,0))),0))</f>
        <v/>
      </c>
      <c r="I720" s="27" t="str">
        <f aca="false">IF(G720="","",G720-H720)</f>
        <v/>
      </c>
      <c r="J720" s="42"/>
    </row>
    <row r="721" customFormat="false" ht="21" hidden="false" customHeight="true" outlineLevel="0" collapsed="false">
      <c r="B721" s="41"/>
      <c r="C721" s="9"/>
      <c r="D721" s="9"/>
      <c r="E721" s="42"/>
      <c r="F721" s="43"/>
      <c r="G721" s="27" t="str">
        <f aca="false">IF(OR(C721="",AND(D721="",F721="")),"",IF(N(E721)=0,1,E721)*IF(F721="",IFERROR(N(INDEX(Produtos!$L$5:$L$104,MATCH(D721,Produtos!$B$5:$B$104,0))),0),F721))</f>
        <v/>
      </c>
      <c r="H721" s="27" t="str">
        <f aca="false">IF(G721="","",IF(N(E721)=0,1,E721)*IFERROR(N(INDEX(Produtos!$G$5:$G$104,MATCH(D721,Produtos!$B$5:$B$104,0))),0))</f>
        <v/>
      </c>
      <c r="I721" s="27" t="str">
        <f aca="false">IF(G721="","",G721-H721)</f>
        <v/>
      </c>
      <c r="J721" s="42"/>
    </row>
    <row r="722" customFormat="false" ht="21" hidden="false" customHeight="true" outlineLevel="0" collapsed="false">
      <c r="B722" s="41"/>
      <c r="C722" s="9"/>
      <c r="D722" s="9"/>
      <c r="E722" s="42"/>
      <c r="F722" s="43"/>
      <c r="G722" s="27" t="str">
        <f aca="false">IF(OR(C722="",AND(D722="",F722="")),"",IF(N(E722)=0,1,E722)*IF(F722="",IFERROR(N(INDEX(Produtos!$L$5:$L$104,MATCH(D722,Produtos!$B$5:$B$104,0))),0),F722))</f>
        <v/>
      </c>
      <c r="H722" s="27" t="str">
        <f aca="false">IF(G722="","",IF(N(E722)=0,1,E722)*IFERROR(N(INDEX(Produtos!$G$5:$G$104,MATCH(D722,Produtos!$B$5:$B$104,0))),0))</f>
        <v/>
      </c>
      <c r="I722" s="27" t="str">
        <f aca="false">IF(G722="","",G722-H722)</f>
        <v/>
      </c>
      <c r="J722" s="42"/>
    </row>
    <row r="723" customFormat="false" ht="21" hidden="false" customHeight="true" outlineLevel="0" collapsed="false">
      <c r="B723" s="41"/>
      <c r="C723" s="9"/>
      <c r="D723" s="9"/>
      <c r="E723" s="42"/>
      <c r="F723" s="43"/>
      <c r="G723" s="27" t="str">
        <f aca="false">IF(OR(C723="",AND(D723="",F723="")),"",IF(N(E723)=0,1,E723)*IF(F723="",IFERROR(N(INDEX(Produtos!$L$5:$L$104,MATCH(D723,Produtos!$B$5:$B$104,0))),0),F723))</f>
        <v/>
      </c>
      <c r="H723" s="27" t="str">
        <f aca="false">IF(G723="","",IF(N(E723)=0,1,E723)*IFERROR(N(INDEX(Produtos!$G$5:$G$104,MATCH(D723,Produtos!$B$5:$B$104,0))),0))</f>
        <v/>
      </c>
      <c r="I723" s="27" t="str">
        <f aca="false">IF(G723="","",G723-H723)</f>
        <v/>
      </c>
      <c r="J723" s="42"/>
    </row>
    <row r="724" customFormat="false" ht="21" hidden="false" customHeight="true" outlineLevel="0" collapsed="false">
      <c r="B724" s="41"/>
      <c r="C724" s="9"/>
      <c r="D724" s="9"/>
      <c r="E724" s="42"/>
      <c r="F724" s="43"/>
      <c r="G724" s="27" t="str">
        <f aca="false">IF(OR(C724="",AND(D724="",F724="")),"",IF(N(E724)=0,1,E724)*IF(F724="",IFERROR(N(INDEX(Produtos!$L$5:$L$104,MATCH(D724,Produtos!$B$5:$B$104,0))),0),F724))</f>
        <v/>
      </c>
      <c r="H724" s="27" t="str">
        <f aca="false">IF(G724="","",IF(N(E724)=0,1,E724)*IFERROR(N(INDEX(Produtos!$G$5:$G$104,MATCH(D724,Produtos!$B$5:$B$104,0))),0))</f>
        <v/>
      </c>
      <c r="I724" s="27" t="str">
        <f aca="false">IF(G724="","",G724-H724)</f>
        <v/>
      </c>
      <c r="J724" s="42"/>
    </row>
    <row r="725" customFormat="false" ht="21" hidden="false" customHeight="true" outlineLevel="0" collapsed="false">
      <c r="B725" s="41"/>
      <c r="C725" s="9"/>
      <c r="D725" s="9"/>
      <c r="E725" s="42"/>
      <c r="F725" s="43"/>
      <c r="G725" s="27" t="str">
        <f aca="false">IF(OR(C725="",AND(D725="",F725="")),"",IF(N(E725)=0,1,E725)*IF(F725="",IFERROR(N(INDEX(Produtos!$L$5:$L$104,MATCH(D725,Produtos!$B$5:$B$104,0))),0),F725))</f>
        <v/>
      </c>
      <c r="H725" s="27" t="str">
        <f aca="false">IF(G725="","",IF(N(E725)=0,1,E725)*IFERROR(N(INDEX(Produtos!$G$5:$G$104,MATCH(D725,Produtos!$B$5:$B$104,0))),0))</f>
        <v/>
      </c>
      <c r="I725" s="27" t="str">
        <f aca="false">IF(G725="","",G725-H725)</f>
        <v/>
      </c>
      <c r="J725" s="42"/>
    </row>
    <row r="726" customFormat="false" ht="21" hidden="false" customHeight="true" outlineLevel="0" collapsed="false">
      <c r="B726" s="41"/>
      <c r="C726" s="9"/>
      <c r="D726" s="9"/>
      <c r="E726" s="42"/>
      <c r="F726" s="43"/>
      <c r="G726" s="27" t="str">
        <f aca="false">IF(OR(C726="",AND(D726="",F726="")),"",IF(N(E726)=0,1,E726)*IF(F726="",IFERROR(N(INDEX(Produtos!$L$5:$L$104,MATCH(D726,Produtos!$B$5:$B$104,0))),0),F726))</f>
        <v/>
      </c>
      <c r="H726" s="27" t="str">
        <f aca="false">IF(G726="","",IF(N(E726)=0,1,E726)*IFERROR(N(INDEX(Produtos!$G$5:$G$104,MATCH(D726,Produtos!$B$5:$B$104,0))),0))</f>
        <v/>
      </c>
      <c r="I726" s="27" t="str">
        <f aca="false">IF(G726="","",G726-H726)</f>
        <v/>
      </c>
      <c r="J726" s="42"/>
    </row>
    <row r="727" customFormat="false" ht="21" hidden="false" customHeight="true" outlineLevel="0" collapsed="false">
      <c r="B727" s="41"/>
      <c r="C727" s="9"/>
      <c r="D727" s="9"/>
      <c r="E727" s="42"/>
      <c r="F727" s="43"/>
      <c r="G727" s="27" t="str">
        <f aca="false">IF(OR(C727="",AND(D727="",F727="")),"",IF(N(E727)=0,1,E727)*IF(F727="",IFERROR(N(INDEX(Produtos!$L$5:$L$104,MATCH(D727,Produtos!$B$5:$B$104,0))),0),F727))</f>
        <v/>
      </c>
      <c r="H727" s="27" t="str">
        <f aca="false">IF(G727="","",IF(N(E727)=0,1,E727)*IFERROR(N(INDEX(Produtos!$G$5:$G$104,MATCH(D727,Produtos!$B$5:$B$104,0))),0))</f>
        <v/>
      </c>
      <c r="I727" s="27" t="str">
        <f aca="false">IF(G727="","",G727-H727)</f>
        <v/>
      </c>
      <c r="J727" s="42"/>
    </row>
    <row r="728" customFormat="false" ht="21" hidden="false" customHeight="true" outlineLevel="0" collapsed="false">
      <c r="B728" s="41"/>
      <c r="C728" s="9"/>
      <c r="D728" s="9"/>
      <c r="E728" s="42"/>
      <c r="F728" s="43"/>
      <c r="G728" s="27" t="str">
        <f aca="false">IF(OR(C728="",AND(D728="",F728="")),"",IF(N(E728)=0,1,E728)*IF(F728="",IFERROR(N(INDEX(Produtos!$L$5:$L$104,MATCH(D728,Produtos!$B$5:$B$104,0))),0),F728))</f>
        <v/>
      </c>
      <c r="H728" s="27" t="str">
        <f aca="false">IF(G728="","",IF(N(E728)=0,1,E728)*IFERROR(N(INDEX(Produtos!$G$5:$G$104,MATCH(D728,Produtos!$B$5:$B$104,0))),0))</f>
        <v/>
      </c>
      <c r="I728" s="27" t="str">
        <f aca="false">IF(G728="","",G728-H728)</f>
        <v/>
      </c>
      <c r="J728" s="42"/>
    </row>
    <row r="729" customFormat="false" ht="21" hidden="false" customHeight="true" outlineLevel="0" collapsed="false">
      <c r="B729" s="41"/>
      <c r="C729" s="9"/>
      <c r="D729" s="9"/>
      <c r="E729" s="42"/>
      <c r="F729" s="43"/>
      <c r="G729" s="27" t="str">
        <f aca="false">IF(OR(C729="",AND(D729="",F729="")),"",IF(N(E729)=0,1,E729)*IF(F729="",IFERROR(N(INDEX(Produtos!$L$5:$L$104,MATCH(D729,Produtos!$B$5:$B$104,0))),0),F729))</f>
        <v/>
      </c>
      <c r="H729" s="27" t="str">
        <f aca="false">IF(G729="","",IF(N(E729)=0,1,E729)*IFERROR(N(INDEX(Produtos!$G$5:$G$104,MATCH(D729,Produtos!$B$5:$B$104,0))),0))</f>
        <v/>
      </c>
      <c r="I729" s="27" t="str">
        <f aca="false">IF(G729="","",G729-H729)</f>
        <v/>
      </c>
      <c r="J729" s="42"/>
    </row>
    <row r="730" customFormat="false" ht="21" hidden="false" customHeight="true" outlineLevel="0" collapsed="false">
      <c r="B730" s="41"/>
      <c r="C730" s="9"/>
      <c r="D730" s="9"/>
      <c r="E730" s="42"/>
      <c r="F730" s="43"/>
      <c r="G730" s="27" t="str">
        <f aca="false">IF(OR(C730="",AND(D730="",F730="")),"",IF(N(E730)=0,1,E730)*IF(F730="",IFERROR(N(INDEX(Produtos!$L$5:$L$104,MATCH(D730,Produtos!$B$5:$B$104,0))),0),F730))</f>
        <v/>
      </c>
      <c r="H730" s="27" t="str">
        <f aca="false">IF(G730="","",IF(N(E730)=0,1,E730)*IFERROR(N(INDEX(Produtos!$G$5:$G$104,MATCH(D730,Produtos!$B$5:$B$104,0))),0))</f>
        <v/>
      </c>
      <c r="I730" s="27" t="str">
        <f aca="false">IF(G730="","",G730-H730)</f>
        <v/>
      </c>
      <c r="J730" s="42"/>
    </row>
    <row r="731" customFormat="false" ht="21" hidden="false" customHeight="true" outlineLevel="0" collapsed="false">
      <c r="B731" s="41"/>
      <c r="C731" s="9"/>
      <c r="D731" s="9"/>
      <c r="E731" s="42"/>
      <c r="F731" s="43"/>
      <c r="G731" s="27" t="str">
        <f aca="false">IF(OR(C731="",AND(D731="",F731="")),"",IF(N(E731)=0,1,E731)*IF(F731="",IFERROR(N(INDEX(Produtos!$L$5:$L$104,MATCH(D731,Produtos!$B$5:$B$104,0))),0),F731))</f>
        <v/>
      </c>
      <c r="H731" s="27" t="str">
        <f aca="false">IF(G731="","",IF(N(E731)=0,1,E731)*IFERROR(N(INDEX(Produtos!$G$5:$G$104,MATCH(D731,Produtos!$B$5:$B$104,0))),0))</f>
        <v/>
      </c>
      <c r="I731" s="27" t="str">
        <f aca="false">IF(G731="","",G731-H731)</f>
        <v/>
      </c>
      <c r="J731" s="42"/>
    </row>
    <row r="732" customFormat="false" ht="21" hidden="false" customHeight="true" outlineLevel="0" collapsed="false">
      <c r="B732" s="41"/>
      <c r="C732" s="9"/>
      <c r="D732" s="9"/>
      <c r="E732" s="42"/>
      <c r="F732" s="43"/>
      <c r="G732" s="27" t="str">
        <f aca="false">IF(OR(C732="",AND(D732="",F732="")),"",IF(N(E732)=0,1,E732)*IF(F732="",IFERROR(N(INDEX(Produtos!$L$5:$L$104,MATCH(D732,Produtos!$B$5:$B$104,0))),0),F732))</f>
        <v/>
      </c>
      <c r="H732" s="27" t="str">
        <f aca="false">IF(G732="","",IF(N(E732)=0,1,E732)*IFERROR(N(INDEX(Produtos!$G$5:$G$104,MATCH(D732,Produtos!$B$5:$B$104,0))),0))</f>
        <v/>
      </c>
      <c r="I732" s="27" t="str">
        <f aca="false">IF(G732="","",G732-H732)</f>
        <v/>
      </c>
      <c r="J732" s="42"/>
    </row>
    <row r="733" customFormat="false" ht="21" hidden="false" customHeight="true" outlineLevel="0" collapsed="false">
      <c r="B733" s="41"/>
      <c r="C733" s="9"/>
      <c r="D733" s="9"/>
      <c r="E733" s="42"/>
      <c r="F733" s="43"/>
      <c r="G733" s="27" t="str">
        <f aca="false">IF(OR(C733="",AND(D733="",F733="")),"",IF(N(E733)=0,1,E733)*IF(F733="",IFERROR(N(INDEX(Produtos!$L$5:$L$104,MATCH(D733,Produtos!$B$5:$B$104,0))),0),F733))</f>
        <v/>
      </c>
      <c r="H733" s="27" t="str">
        <f aca="false">IF(G733="","",IF(N(E733)=0,1,E733)*IFERROR(N(INDEX(Produtos!$G$5:$G$104,MATCH(D733,Produtos!$B$5:$B$104,0))),0))</f>
        <v/>
      </c>
      <c r="I733" s="27" t="str">
        <f aca="false">IF(G733="","",G733-H733)</f>
        <v/>
      </c>
      <c r="J733" s="42"/>
    </row>
    <row r="734" customFormat="false" ht="21" hidden="false" customHeight="true" outlineLevel="0" collapsed="false">
      <c r="B734" s="41"/>
      <c r="C734" s="9"/>
      <c r="D734" s="9"/>
      <c r="E734" s="42"/>
      <c r="F734" s="43"/>
      <c r="G734" s="27" t="str">
        <f aca="false">IF(OR(C734="",AND(D734="",F734="")),"",IF(N(E734)=0,1,E734)*IF(F734="",IFERROR(N(INDEX(Produtos!$L$5:$L$104,MATCH(D734,Produtos!$B$5:$B$104,0))),0),F734))</f>
        <v/>
      </c>
      <c r="H734" s="27" t="str">
        <f aca="false">IF(G734="","",IF(N(E734)=0,1,E734)*IFERROR(N(INDEX(Produtos!$G$5:$G$104,MATCH(D734,Produtos!$B$5:$B$104,0))),0))</f>
        <v/>
      </c>
      <c r="I734" s="27" t="str">
        <f aca="false">IF(G734="","",G734-H734)</f>
        <v/>
      </c>
      <c r="J734" s="42"/>
    </row>
    <row r="735" customFormat="false" ht="21" hidden="false" customHeight="true" outlineLevel="0" collapsed="false">
      <c r="B735" s="41"/>
      <c r="C735" s="9"/>
      <c r="D735" s="9"/>
      <c r="E735" s="42"/>
      <c r="F735" s="43"/>
      <c r="G735" s="27" t="str">
        <f aca="false">IF(OR(C735="",AND(D735="",F735="")),"",IF(N(E735)=0,1,E735)*IF(F735="",IFERROR(N(INDEX(Produtos!$L$5:$L$104,MATCH(D735,Produtos!$B$5:$B$104,0))),0),F735))</f>
        <v/>
      </c>
      <c r="H735" s="27" t="str">
        <f aca="false">IF(G735="","",IF(N(E735)=0,1,E735)*IFERROR(N(INDEX(Produtos!$G$5:$G$104,MATCH(D735,Produtos!$B$5:$B$104,0))),0))</f>
        <v/>
      </c>
      <c r="I735" s="27" t="str">
        <f aca="false">IF(G735="","",G735-H735)</f>
        <v/>
      </c>
      <c r="J735" s="42"/>
    </row>
    <row r="736" customFormat="false" ht="21" hidden="false" customHeight="true" outlineLevel="0" collapsed="false">
      <c r="B736" s="41"/>
      <c r="C736" s="9"/>
      <c r="D736" s="9"/>
      <c r="E736" s="42"/>
      <c r="F736" s="43"/>
      <c r="G736" s="27" t="str">
        <f aca="false">IF(OR(C736="",AND(D736="",F736="")),"",IF(N(E736)=0,1,E736)*IF(F736="",IFERROR(N(INDEX(Produtos!$L$5:$L$104,MATCH(D736,Produtos!$B$5:$B$104,0))),0),F736))</f>
        <v/>
      </c>
      <c r="H736" s="27" t="str">
        <f aca="false">IF(G736="","",IF(N(E736)=0,1,E736)*IFERROR(N(INDEX(Produtos!$G$5:$G$104,MATCH(D736,Produtos!$B$5:$B$104,0))),0))</f>
        <v/>
      </c>
      <c r="I736" s="27" t="str">
        <f aca="false">IF(G736="","",G736-H736)</f>
        <v/>
      </c>
      <c r="J736" s="42"/>
    </row>
    <row r="737" customFormat="false" ht="21" hidden="false" customHeight="true" outlineLevel="0" collapsed="false">
      <c r="B737" s="41"/>
      <c r="C737" s="9"/>
      <c r="D737" s="9"/>
      <c r="E737" s="42"/>
      <c r="F737" s="43"/>
      <c r="G737" s="27" t="str">
        <f aca="false">IF(OR(C737="",AND(D737="",F737="")),"",IF(N(E737)=0,1,E737)*IF(F737="",IFERROR(N(INDEX(Produtos!$L$5:$L$104,MATCH(D737,Produtos!$B$5:$B$104,0))),0),F737))</f>
        <v/>
      </c>
      <c r="H737" s="27" t="str">
        <f aca="false">IF(G737="","",IF(N(E737)=0,1,E737)*IFERROR(N(INDEX(Produtos!$G$5:$G$104,MATCH(D737,Produtos!$B$5:$B$104,0))),0))</f>
        <v/>
      </c>
      <c r="I737" s="27" t="str">
        <f aca="false">IF(G737="","",G737-H737)</f>
        <v/>
      </c>
      <c r="J737" s="42"/>
    </row>
    <row r="738" customFormat="false" ht="21" hidden="false" customHeight="true" outlineLevel="0" collapsed="false">
      <c r="B738" s="41"/>
      <c r="C738" s="9"/>
      <c r="D738" s="9"/>
      <c r="E738" s="42"/>
      <c r="F738" s="43"/>
      <c r="G738" s="27" t="str">
        <f aca="false">IF(OR(C738="",AND(D738="",F738="")),"",IF(N(E738)=0,1,E738)*IF(F738="",IFERROR(N(INDEX(Produtos!$L$5:$L$104,MATCH(D738,Produtos!$B$5:$B$104,0))),0),F738))</f>
        <v/>
      </c>
      <c r="H738" s="27" t="str">
        <f aca="false">IF(G738="","",IF(N(E738)=0,1,E738)*IFERROR(N(INDEX(Produtos!$G$5:$G$104,MATCH(D738,Produtos!$B$5:$B$104,0))),0))</f>
        <v/>
      </c>
      <c r="I738" s="27" t="str">
        <f aca="false">IF(G738="","",G738-H738)</f>
        <v/>
      </c>
      <c r="J738" s="42"/>
    </row>
    <row r="739" customFormat="false" ht="21" hidden="false" customHeight="true" outlineLevel="0" collapsed="false">
      <c r="B739" s="41"/>
      <c r="C739" s="9"/>
      <c r="D739" s="9"/>
      <c r="E739" s="42"/>
      <c r="F739" s="43"/>
      <c r="G739" s="27" t="str">
        <f aca="false">IF(OR(C739="",AND(D739="",F739="")),"",IF(N(E739)=0,1,E739)*IF(F739="",IFERROR(N(INDEX(Produtos!$L$5:$L$104,MATCH(D739,Produtos!$B$5:$B$104,0))),0),F739))</f>
        <v/>
      </c>
      <c r="H739" s="27" t="str">
        <f aca="false">IF(G739="","",IF(N(E739)=0,1,E739)*IFERROR(N(INDEX(Produtos!$G$5:$G$104,MATCH(D739,Produtos!$B$5:$B$104,0))),0))</f>
        <v/>
      </c>
      <c r="I739" s="27" t="str">
        <f aca="false">IF(G739="","",G739-H739)</f>
        <v/>
      </c>
      <c r="J739" s="42"/>
    </row>
    <row r="740" customFormat="false" ht="21" hidden="false" customHeight="true" outlineLevel="0" collapsed="false">
      <c r="B740" s="41"/>
      <c r="C740" s="9"/>
      <c r="D740" s="9"/>
      <c r="E740" s="42"/>
      <c r="F740" s="43"/>
      <c r="G740" s="27" t="str">
        <f aca="false">IF(OR(C740="",AND(D740="",F740="")),"",IF(N(E740)=0,1,E740)*IF(F740="",IFERROR(N(INDEX(Produtos!$L$5:$L$104,MATCH(D740,Produtos!$B$5:$B$104,0))),0),F740))</f>
        <v/>
      </c>
      <c r="H740" s="27" t="str">
        <f aca="false">IF(G740="","",IF(N(E740)=0,1,E740)*IFERROR(N(INDEX(Produtos!$G$5:$G$104,MATCH(D740,Produtos!$B$5:$B$104,0))),0))</f>
        <v/>
      </c>
      <c r="I740" s="27" t="str">
        <f aca="false">IF(G740="","",G740-H740)</f>
        <v/>
      </c>
      <c r="J740" s="42"/>
    </row>
    <row r="741" customFormat="false" ht="21" hidden="false" customHeight="true" outlineLevel="0" collapsed="false">
      <c r="B741" s="41"/>
      <c r="C741" s="9"/>
      <c r="D741" s="9"/>
      <c r="E741" s="42"/>
      <c r="F741" s="43"/>
      <c r="G741" s="27" t="str">
        <f aca="false">IF(OR(C741="",AND(D741="",F741="")),"",IF(N(E741)=0,1,E741)*IF(F741="",IFERROR(N(INDEX(Produtos!$L$5:$L$104,MATCH(D741,Produtos!$B$5:$B$104,0))),0),F741))</f>
        <v/>
      </c>
      <c r="H741" s="27" t="str">
        <f aca="false">IF(G741="","",IF(N(E741)=0,1,E741)*IFERROR(N(INDEX(Produtos!$G$5:$G$104,MATCH(D741,Produtos!$B$5:$B$104,0))),0))</f>
        <v/>
      </c>
      <c r="I741" s="27" t="str">
        <f aca="false">IF(G741="","",G741-H741)</f>
        <v/>
      </c>
      <c r="J741" s="42"/>
    </row>
    <row r="742" customFormat="false" ht="21" hidden="false" customHeight="true" outlineLevel="0" collapsed="false">
      <c r="B742" s="41"/>
      <c r="C742" s="9"/>
      <c r="D742" s="9"/>
      <c r="E742" s="42"/>
      <c r="F742" s="43"/>
      <c r="G742" s="27" t="str">
        <f aca="false">IF(OR(C742="",AND(D742="",F742="")),"",IF(N(E742)=0,1,E742)*IF(F742="",IFERROR(N(INDEX(Produtos!$L$5:$L$104,MATCH(D742,Produtos!$B$5:$B$104,0))),0),F742))</f>
        <v/>
      </c>
      <c r="H742" s="27" t="str">
        <f aca="false">IF(G742="","",IF(N(E742)=0,1,E742)*IFERROR(N(INDEX(Produtos!$G$5:$G$104,MATCH(D742,Produtos!$B$5:$B$104,0))),0))</f>
        <v/>
      </c>
      <c r="I742" s="27" t="str">
        <f aca="false">IF(G742="","",G742-H742)</f>
        <v/>
      </c>
      <c r="J742" s="42"/>
    </row>
    <row r="743" customFormat="false" ht="21" hidden="false" customHeight="true" outlineLevel="0" collapsed="false">
      <c r="B743" s="41"/>
      <c r="C743" s="9"/>
      <c r="D743" s="9"/>
      <c r="E743" s="42"/>
      <c r="F743" s="43"/>
      <c r="G743" s="27" t="str">
        <f aca="false">IF(OR(C743="",AND(D743="",F743="")),"",IF(N(E743)=0,1,E743)*IF(F743="",IFERROR(N(INDEX(Produtos!$L$5:$L$104,MATCH(D743,Produtos!$B$5:$B$104,0))),0),F743))</f>
        <v/>
      </c>
      <c r="H743" s="27" t="str">
        <f aca="false">IF(G743="","",IF(N(E743)=0,1,E743)*IFERROR(N(INDEX(Produtos!$G$5:$G$104,MATCH(D743,Produtos!$B$5:$B$104,0))),0))</f>
        <v/>
      </c>
      <c r="I743" s="27" t="str">
        <f aca="false">IF(G743="","",G743-H743)</f>
        <v/>
      </c>
      <c r="J743" s="42"/>
    </row>
    <row r="744" customFormat="false" ht="21" hidden="false" customHeight="true" outlineLevel="0" collapsed="false">
      <c r="B744" s="41"/>
      <c r="C744" s="9"/>
      <c r="D744" s="9"/>
      <c r="E744" s="42"/>
      <c r="F744" s="43"/>
      <c r="G744" s="27" t="str">
        <f aca="false">IF(OR(C744="",AND(D744="",F744="")),"",IF(N(E744)=0,1,E744)*IF(F744="",IFERROR(N(INDEX(Produtos!$L$5:$L$104,MATCH(D744,Produtos!$B$5:$B$104,0))),0),F744))</f>
        <v/>
      </c>
      <c r="H744" s="27" t="str">
        <f aca="false">IF(G744="","",IF(N(E744)=0,1,E744)*IFERROR(N(INDEX(Produtos!$G$5:$G$104,MATCH(D744,Produtos!$B$5:$B$104,0))),0))</f>
        <v/>
      </c>
      <c r="I744" s="27" t="str">
        <f aca="false">IF(G744="","",G744-H744)</f>
        <v/>
      </c>
      <c r="J744" s="42"/>
    </row>
    <row r="745" customFormat="false" ht="21" hidden="false" customHeight="true" outlineLevel="0" collapsed="false">
      <c r="B745" s="41"/>
      <c r="C745" s="9"/>
      <c r="D745" s="9"/>
      <c r="E745" s="42"/>
      <c r="F745" s="43"/>
      <c r="G745" s="27" t="str">
        <f aca="false">IF(OR(C745="",AND(D745="",F745="")),"",IF(N(E745)=0,1,E745)*IF(F745="",IFERROR(N(INDEX(Produtos!$L$5:$L$104,MATCH(D745,Produtos!$B$5:$B$104,0))),0),F745))</f>
        <v/>
      </c>
      <c r="H745" s="27" t="str">
        <f aca="false">IF(G745="","",IF(N(E745)=0,1,E745)*IFERROR(N(INDEX(Produtos!$G$5:$G$104,MATCH(D745,Produtos!$B$5:$B$104,0))),0))</f>
        <v/>
      </c>
      <c r="I745" s="27" t="str">
        <f aca="false">IF(G745="","",G745-H745)</f>
        <v/>
      </c>
      <c r="J745" s="42"/>
    </row>
    <row r="746" customFormat="false" ht="21" hidden="false" customHeight="true" outlineLevel="0" collapsed="false">
      <c r="B746" s="41"/>
      <c r="C746" s="9"/>
      <c r="D746" s="9"/>
      <c r="E746" s="42"/>
      <c r="F746" s="43"/>
      <c r="G746" s="27" t="str">
        <f aca="false">IF(OR(C746="",AND(D746="",F746="")),"",IF(N(E746)=0,1,E746)*IF(F746="",IFERROR(N(INDEX(Produtos!$L$5:$L$104,MATCH(D746,Produtos!$B$5:$B$104,0))),0),F746))</f>
        <v/>
      </c>
      <c r="H746" s="27" t="str">
        <f aca="false">IF(G746="","",IF(N(E746)=0,1,E746)*IFERROR(N(INDEX(Produtos!$G$5:$G$104,MATCH(D746,Produtos!$B$5:$B$104,0))),0))</f>
        <v/>
      </c>
      <c r="I746" s="27" t="str">
        <f aca="false">IF(G746="","",G746-H746)</f>
        <v/>
      </c>
      <c r="J746" s="42"/>
    </row>
    <row r="747" customFormat="false" ht="21" hidden="false" customHeight="true" outlineLevel="0" collapsed="false">
      <c r="B747" s="41"/>
      <c r="C747" s="9"/>
      <c r="D747" s="9"/>
      <c r="E747" s="42"/>
      <c r="F747" s="43"/>
      <c r="G747" s="27" t="str">
        <f aca="false">IF(OR(C747="",AND(D747="",F747="")),"",IF(N(E747)=0,1,E747)*IF(F747="",IFERROR(N(INDEX(Produtos!$L$5:$L$104,MATCH(D747,Produtos!$B$5:$B$104,0))),0),F747))</f>
        <v/>
      </c>
      <c r="H747" s="27" t="str">
        <f aca="false">IF(G747="","",IF(N(E747)=0,1,E747)*IFERROR(N(INDEX(Produtos!$G$5:$G$104,MATCH(D747,Produtos!$B$5:$B$104,0))),0))</f>
        <v/>
      </c>
      <c r="I747" s="27" t="str">
        <f aca="false">IF(G747="","",G747-H747)</f>
        <v/>
      </c>
      <c r="J747" s="42"/>
    </row>
    <row r="748" customFormat="false" ht="21" hidden="false" customHeight="true" outlineLevel="0" collapsed="false">
      <c r="B748" s="41"/>
      <c r="C748" s="9"/>
      <c r="D748" s="9"/>
      <c r="E748" s="42"/>
      <c r="F748" s="43"/>
      <c r="G748" s="27" t="str">
        <f aca="false">IF(OR(C748="",AND(D748="",F748="")),"",IF(N(E748)=0,1,E748)*IF(F748="",IFERROR(N(INDEX(Produtos!$L$5:$L$104,MATCH(D748,Produtos!$B$5:$B$104,0))),0),F748))</f>
        <v/>
      </c>
      <c r="H748" s="27" t="str">
        <f aca="false">IF(G748="","",IF(N(E748)=0,1,E748)*IFERROR(N(INDEX(Produtos!$G$5:$G$104,MATCH(D748,Produtos!$B$5:$B$104,0))),0))</f>
        <v/>
      </c>
      <c r="I748" s="27" t="str">
        <f aca="false">IF(G748="","",G748-H748)</f>
        <v/>
      </c>
      <c r="J748" s="42"/>
    </row>
    <row r="749" customFormat="false" ht="21" hidden="false" customHeight="true" outlineLevel="0" collapsed="false">
      <c r="B749" s="41"/>
      <c r="C749" s="9"/>
      <c r="D749" s="9"/>
      <c r="E749" s="42"/>
      <c r="F749" s="43"/>
      <c r="G749" s="27" t="str">
        <f aca="false">IF(OR(C749="",AND(D749="",F749="")),"",IF(N(E749)=0,1,E749)*IF(F749="",IFERROR(N(INDEX(Produtos!$L$5:$L$104,MATCH(D749,Produtos!$B$5:$B$104,0))),0),F749))</f>
        <v/>
      </c>
      <c r="H749" s="27" t="str">
        <f aca="false">IF(G749="","",IF(N(E749)=0,1,E749)*IFERROR(N(INDEX(Produtos!$G$5:$G$104,MATCH(D749,Produtos!$B$5:$B$104,0))),0))</f>
        <v/>
      </c>
      <c r="I749" s="27" t="str">
        <f aca="false">IF(G749="","",G749-H749)</f>
        <v/>
      </c>
      <c r="J749" s="42"/>
    </row>
    <row r="750" customFormat="false" ht="21" hidden="false" customHeight="true" outlineLevel="0" collapsed="false">
      <c r="B750" s="41"/>
      <c r="C750" s="9"/>
      <c r="D750" s="9"/>
      <c r="E750" s="42"/>
      <c r="F750" s="43"/>
      <c r="G750" s="27" t="str">
        <f aca="false">IF(OR(C750="",AND(D750="",F750="")),"",IF(N(E750)=0,1,E750)*IF(F750="",IFERROR(N(INDEX(Produtos!$L$5:$L$104,MATCH(D750,Produtos!$B$5:$B$104,0))),0),F750))</f>
        <v/>
      </c>
      <c r="H750" s="27" t="str">
        <f aca="false">IF(G750="","",IF(N(E750)=0,1,E750)*IFERROR(N(INDEX(Produtos!$G$5:$G$104,MATCH(D750,Produtos!$B$5:$B$104,0))),0))</f>
        <v/>
      </c>
      <c r="I750" s="27" t="str">
        <f aca="false">IF(G750="","",G750-H750)</f>
        <v/>
      </c>
      <c r="J750" s="42"/>
    </row>
    <row r="751" customFormat="false" ht="21" hidden="false" customHeight="true" outlineLevel="0" collapsed="false">
      <c r="B751" s="41"/>
      <c r="C751" s="9"/>
      <c r="D751" s="9"/>
      <c r="E751" s="42"/>
      <c r="F751" s="43"/>
      <c r="G751" s="27" t="str">
        <f aca="false">IF(OR(C751="",AND(D751="",F751="")),"",IF(N(E751)=0,1,E751)*IF(F751="",IFERROR(N(INDEX(Produtos!$L$5:$L$104,MATCH(D751,Produtos!$B$5:$B$104,0))),0),F751))</f>
        <v/>
      </c>
      <c r="H751" s="27" t="str">
        <f aca="false">IF(G751="","",IF(N(E751)=0,1,E751)*IFERROR(N(INDEX(Produtos!$G$5:$G$104,MATCH(D751,Produtos!$B$5:$B$104,0))),0))</f>
        <v/>
      </c>
      <c r="I751" s="27" t="str">
        <f aca="false">IF(G751="","",G751-H751)</f>
        <v/>
      </c>
      <c r="J751" s="42"/>
    </row>
    <row r="752" customFormat="false" ht="21" hidden="false" customHeight="true" outlineLevel="0" collapsed="false">
      <c r="B752" s="41"/>
      <c r="C752" s="9"/>
      <c r="D752" s="9"/>
      <c r="E752" s="42"/>
      <c r="F752" s="43"/>
      <c r="G752" s="27" t="str">
        <f aca="false">IF(OR(C752="",AND(D752="",F752="")),"",IF(N(E752)=0,1,E752)*IF(F752="",IFERROR(N(INDEX(Produtos!$L$5:$L$104,MATCH(D752,Produtos!$B$5:$B$104,0))),0),F752))</f>
        <v/>
      </c>
      <c r="H752" s="27" t="str">
        <f aca="false">IF(G752="","",IF(N(E752)=0,1,E752)*IFERROR(N(INDEX(Produtos!$G$5:$G$104,MATCH(D752,Produtos!$B$5:$B$104,0))),0))</f>
        <v/>
      </c>
      <c r="I752" s="27" t="str">
        <f aca="false">IF(G752="","",G752-H752)</f>
        <v/>
      </c>
      <c r="J752" s="42"/>
    </row>
    <row r="753" customFormat="false" ht="21" hidden="false" customHeight="true" outlineLevel="0" collapsed="false">
      <c r="B753" s="41"/>
      <c r="C753" s="9"/>
      <c r="D753" s="9"/>
      <c r="E753" s="42"/>
      <c r="F753" s="43"/>
      <c r="G753" s="27" t="str">
        <f aca="false">IF(OR(C753="",AND(D753="",F753="")),"",IF(N(E753)=0,1,E753)*IF(F753="",IFERROR(N(INDEX(Produtos!$L$5:$L$104,MATCH(D753,Produtos!$B$5:$B$104,0))),0),F753))</f>
        <v/>
      </c>
      <c r="H753" s="27" t="str">
        <f aca="false">IF(G753="","",IF(N(E753)=0,1,E753)*IFERROR(N(INDEX(Produtos!$G$5:$G$104,MATCH(D753,Produtos!$B$5:$B$104,0))),0))</f>
        <v/>
      </c>
      <c r="I753" s="27" t="str">
        <f aca="false">IF(G753="","",G753-H753)</f>
        <v/>
      </c>
      <c r="J753" s="42"/>
    </row>
    <row r="754" customFormat="false" ht="21" hidden="false" customHeight="true" outlineLevel="0" collapsed="false">
      <c r="B754" s="41"/>
      <c r="C754" s="9"/>
      <c r="D754" s="9"/>
      <c r="E754" s="42"/>
      <c r="F754" s="43"/>
      <c r="G754" s="27" t="str">
        <f aca="false">IF(OR(C754="",AND(D754="",F754="")),"",IF(N(E754)=0,1,E754)*IF(F754="",IFERROR(N(INDEX(Produtos!$L$5:$L$104,MATCH(D754,Produtos!$B$5:$B$104,0))),0),F754))</f>
        <v/>
      </c>
      <c r="H754" s="27" t="str">
        <f aca="false">IF(G754="","",IF(N(E754)=0,1,E754)*IFERROR(N(INDEX(Produtos!$G$5:$G$104,MATCH(D754,Produtos!$B$5:$B$104,0))),0))</f>
        <v/>
      </c>
      <c r="I754" s="27" t="str">
        <f aca="false">IF(G754="","",G754-H754)</f>
        <v/>
      </c>
      <c r="J754" s="42"/>
    </row>
    <row r="755" customFormat="false" ht="21" hidden="false" customHeight="true" outlineLevel="0" collapsed="false">
      <c r="B755" s="41"/>
      <c r="C755" s="9"/>
      <c r="D755" s="9"/>
      <c r="E755" s="42"/>
      <c r="F755" s="43"/>
      <c r="G755" s="27" t="str">
        <f aca="false">IF(OR(C755="",AND(D755="",F755="")),"",IF(N(E755)=0,1,E755)*IF(F755="",IFERROR(N(INDEX(Produtos!$L$5:$L$104,MATCH(D755,Produtos!$B$5:$B$104,0))),0),F755))</f>
        <v/>
      </c>
      <c r="H755" s="27" t="str">
        <f aca="false">IF(G755="","",IF(N(E755)=0,1,E755)*IFERROR(N(INDEX(Produtos!$G$5:$G$104,MATCH(D755,Produtos!$B$5:$B$104,0))),0))</f>
        <v/>
      </c>
      <c r="I755" s="27" t="str">
        <f aca="false">IF(G755="","",G755-H755)</f>
        <v/>
      </c>
      <c r="J755" s="42"/>
    </row>
    <row r="756" customFormat="false" ht="21" hidden="false" customHeight="true" outlineLevel="0" collapsed="false">
      <c r="B756" s="41"/>
      <c r="C756" s="9"/>
      <c r="D756" s="9"/>
      <c r="E756" s="42"/>
      <c r="F756" s="43"/>
      <c r="G756" s="27" t="str">
        <f aca="false">IF(OR(C756="",AND(D756="",F756="")),"",IF(N(E756)=0,1,E756)*IF(F756="",IFERROR(N(INDEX(Produtos!$L$5:$L$104,MATCH(D756,Produtos!$B$5:$B$104,0))),0),F756))</f>
        <v/>
      </c>
      <c r="H756" s="27" t="str">
        <f aca="false">IF(G756="","",IF(N(E756)=0,1,E756)*IFERROR(N(INDEX(Produtos!$G$5:$G$104,MATCH(D756,Produtos!$B$5:$B$104,0))),0))</f>
        <v/>
      </c>
      <c r="I756" s="27" t="str">
        <f aca="false">IF(G756="","",G756-H756)</f>
        <v/>
      </c>
      <c r="J756" s="42"/>
    </row>
    <row r="757" customFormat="false" ht="21" hidden="false" customHeight="true" outlineLevel="0" collapsed="false">
      <c r="B757" s="41"/>
      <c r="C757" s="9"/>
      <c r="D757" s="9"/>
      <c r="E757" s="42"/>
      <c r="F757" s="43"/>
      <c r="G757" s="27" t="str">
        <f aca="false">IF(OR(C757="",AND(D757="",F757="")),"",IF(N(E757)=0,1,E757)*IF(F757="",IFERROR(N(INDEX(Produtos!$L$5:$L$104,MATCH(D757,Produtos!$B$5:$B$104,0))),0),F757))</f>
        <v/>
      </c>
      <c r="H757" s="27" t="str">
        <f aca="false">IF(G757="","",IF(N(E757)=0,1,E757)*IFERROR(N(INDEX(Produtos!$G$5:$G$104,MATCH(D757,Produtos!$B$5:$B$104,0))),0))</f>
        <v/>
      </c>
      <c r="I757" s="27" t="str">
        <f aca="false">IF(G757="","",G757-H757)</f>
        <v/>
      </c>
      <c r="J757" s="42"/>
    </row>
    <row r="758" customFormat="false" ht="21" hidden="false" customHeight="true" outlineLevel="0" collapsed="false">
      <c r="B758" s="41"/>
      <c r="C758" s="9"/>
      <c r="D758" s="9"/>
      <c r="E758" s="42"/>
      <c r="F758" s="43"/>
      <c r="G758" s="27" t="str">
        <f aca="false">IF(OR(C758="",AND(D758="",F758="")),"",IF(N(E758)=0,1,E758)*IF(F758="",IFERROR(N(INDEX(Produtos!$L$5:$L$104,MATCH(D758,Produtos!$B$5:$B$104,0))),0),F758))</f>
        <v/>
      </c>
      <c r="H758" s="27" t="str">
        <f aca="false">IF(G758="","",IF(N(E758)=0,1,E758)*IFERROR(N(INDEX(Produtos!$G$5:$G$104,MATCH(D758,Produtos!$B$5:$B$104,0))),0))</f>
        <v/>
      </c>
      <c r="I758" s="27" t="str">
        <f aca="false">IF(G758="","",G758-H758)</f>
        <v/>
      </c>
      <c r="J758" s="42"/>
    </row>
    <row r="759" customFormat="false" ht="21" hidden="false" customHeight="true" outlineLevel="0" collapsed="false">
      <c r="B759" s="41"/>
      <c r="C759" s="9"/>
      <c r="D759" s="9"/>
      <c r="E759" s="42"/>
      <c r="F759" s="43"/>
      <c r="G759" s="27" t="str">
        <f aca="false">IF(OR(C759="",AND(D759="",F759="")),"",IF(N(E759)=0,1,E759)*IF(F759="",IFERROR(N(INDEX(Produtos!$L$5:$L$104,MATCH(D759,Produtos!$B$5:$B$104,0))),0),F759))</f>
        <v/>
      </c>
      <c r="H759" s="27" t="str">
        <f aca="false">IF(G759="","",IF(N(E759)=0,1,E759)*IFERROR(N(INDEX(Produtos!$G$5:$G$104,MATCH(D759,Produtos!$B$5:$B$104,0))),0))</f>
        <v/>
      </c>
      <c r="I759" s="27" t="str">
        <f aca="false">IF(G759="","",G759-H759)</f>
        <v/>
      </c>
      <c r="J759" s="42"/>
    </row>
    <row r="760" customFormat="false" ht="21" hidden="false" customHeight="true" outlineLevel="0" collapsed="false">
      <c r="B760" s="41"/>
      <c r="C760" s="9"/>
      <c r="D760" s="9"/>
      <c r="E760" s="42"/>
      <c r="F760" s="43"/>
      <c r="G760" s="27" t="str">
        <f aca="false">IF(OR(C760="",AND(D760="",F760="")),"",IF(N(E760)=0,1,E760)*IF(F760="",IFERROR(N(INDEX(Produtos!$L$5:$L$104,MATCH(D760,Produtos!$B$5:$B$104,0))),0),F760))</f>
        <v/>
      </c>
      <c r="H760" s="27" t="str">
        <f aca="false">IF(G760="","",IF(N(E760)=0,1,E760)*IFERROR(N(INDEX(Produtos!$G$5:$G$104,MATCH(D760,Produtos!$B$5:$B$104,0))),0))</f>
        <v/>
      </c>
      <c r="I760" s="27" t="str">
        <f aca="false">IF(G760="","",G760-H760)</f>
        <v/>
      </c>
      <c r="J760" s="42"/>
    </row>
    <row r="761" customFormat="false" ht="21" hidden="false" customHeight="true" outlineLevel="0" collapsed="false">
      <c r="B761" s="41"/>
      <c r="C761" s="9"/>
      <c r="D761" s="9"/>
      <c r="E761" s="42"/>
      <c r="F761" s="43"/>
      <c r="G761" s="27" t="str">
        <f aca="false">IF(OR(C761="",AND(D761="",F761="")),"",IF(N(E761)=0,1,E761)*IF(F761="",IFERROR(N(INDEX(Produtos!$L$5:$L$104,MATCH(D761,Produtos!$B$5:$B$104,0))),0),F761))</f>
        <v/>
      </c>
      <c r="H761" s="27" t="str">
        <f aca="false">IF(G761="","",IF(N(E761)=0,1,E761)*IFERROR(N(INDEX(Produtos!$G$5:$G$104,MATCH(D761,Produtos!$B$5:$B$104,0))),0))</f>
        <v/>
      </c>
      <c r="I761" s="27" t="str">
        <f aca="false">IF(G761="","",G761-H761)</f>
        <v/>
      </c>
      <c r="J761" s="42"/>
    </row>
    <row r="762" customFormat="false" ht="21" hidden="false" customHeight="true" outlineLevel="0" collapsed="false">
      <c r="B762" s="41"/>
      <c r="C762" s="9"/>
      <c r="D762" s="9"/>
      <c r="E762" s="42"/>
      <c r="F762" s="43"/>
      <c r="G762" s="27" t="str">
        <f aca="false">IF(OR(C762="",AND(D762="",F762="")),"",IF(N(E762)=0,1,E762)*IF(F762="",IFERROR(N(INDEX(Produtos!$L$5:$L$104,MATCH(D762,Produtos!$B$5:$B$104,0))),0),F762))</f>
        <v/>
      </c>
      <c r="H762" s="27" t="str">
        <f aca="false">IF(G762="","",IF(N(E762)=0,1,E762)*IFERROR(N(INDEX(Produtos!$G$5:$G$104,MATCH(D762,Produtos!$B$5:$B$104,0))),0))</f>
        <v/>
      </c>
      <c r="I762" s="27" t="str">
        <f aca="false">IF(G762="","",G762-H762)</f>
        <v/>
      </c>
      <c r="J762" s="42"/>
    </row>
    <row r="763" customFormat="false" ht="21" hidden="false" customHeight="true" outlineLevel="0" collapsed="false">
      <c r="B763" s="41"/>
      <c r="C763" s="9"/>
      <c r="D763" s="9"/>
      <c r="E763" s="42"/>
      <c r="F763" s="43"/>
      <c r="G763" s="27" t="str">
        <f aca="false">IF(OR(C763="",AND(D763="",F763="")),"",IF(N(E763)=0,1,E763)*IF(F763="",IFERROR(N(INDEX(Produtos!$L$5:$L$104,MATCH(D763,Produtos!$B$5:$B$104,0))),0),F763))</f>
        <v/>
      </c>
      <c r="H763" s="27" t="str">
        <f aca="false">IF(G763="","",IF(N(E763)=0,1,E763)*IFERROR(N(INDEX(Produtos!$G$5:$G$104,MATCH(D763,Produtos!$B$5:$B$104,0))),0))</f>
        <v/>
      </c>
      <c r="I763" s="27" t="str">
        <f aca="false">IF(G763="","",G763-H763)</f>
        <v/>
      </c>
      <c r="J763" s="42"/>
    </row>
    <row r="764" customFormat="false" ht="21" hidden="false" customHeight="true" outlineLevel="0" collapsed="false">
      <c r="B764" s="41"/>
      <c r="C764" s="9"/>
      <c r="D764" s="9"/>
      <c r="E764" s="42"/>
      <c r="F764" s="43"/>
      <c r="G764" s="27" t="str">
        <f aca="false">IF(OR(C764="",AND(D764="",F764="")),"",IF(N(E764)=0,1,E764)*IF(F764="",IFERROR(N(INDEX(Produtos!$L$5:$L$104,MATCH(D764,Produtos!$B$5:$B$104,0))),0),F764))</f>
        <v/>
      </c>
      <c r="H764" s="27" t="str">
        <f aca="false">IF(G764="","",IF(N(E764)=0,1,E764)*IFERROR(N(INDEX(Produtos!$G$5:$G$104,MATCH(D764,Produtos!$B$5:$B$104,0))),0))</f>
        <v/>
      </c>
      <c r="I764" s="27" t="str">
        <f aca="false">IF(G764="","",G764-H764)</f>
        <v/>
      </c>
      <c r="J764" s="42"/>
    </row>
    <row r="765" customFormat="false" ht="21" hidden="false" customHeight="true" outlineLevel="0" collapsed="false">
      <c r="B765" s="41"/>
      <c r="C765" s="9"/>
      <c r="D765" s="9"/>
      <c r="E765" s="42"/>
      <c r="F765" s="43"/>
      <c r="G765" s="27" t="str">
        <f aca="false">IF(OR(C765="",AND(D765="",F765="")),"",IF(N(E765)=0,1,E765)*IF(F765="",IFERROR(N(INDEX(Produtos!$L$5:$L$104,MATCH(D765,Produtos!$B$5:$B$104,0))),0),F765))</f>
        <v/>
      </c>
      <c r="H765" s="27" t="str">
        <f aca="false">IF(G765="","",IF(N(E765)=0,1,E765)*IFERROR(N(INDEX(Produtos!$G$5:$G$104,MATCH(D765,Produtos!$B$5:$B$104,0))),0))</f>
        <v/>
      </c>
      <c r="I765" s="27" t="str">
        <f aca="false">IF(G765="","",G765-H765)</f>
        <v/>
      </c>
      <c r="J765" s="42"/>
    </row>
    <row r="766" customFormat="false" ht="21" hidden="false" customHeight="true" outlineLevel="0" collapsed="false">
      <c r="B766" s="41"/>
      <c r="C766" s="9"/>
      <c r="D766" s="9"/>
      <c r="E766" s="42"/>
      <c r="F766" s="43"/>
      <c r="G766" s="27" t="str">
        <f aca="false">IF(OR(C766="",AND(D766="",F766="")),"",IF(N(E766)=0,1,E766)*IF(F766="",IFERROR(N(INDEX(Produtos!$L$5:$L$104,MATCH(D766,Produtos!$B$5:$B$104,0))),0),F766))</f>
        <v/>
      </c>
      <c r="H766" s="27" t="str">
        <f aca="false">IF(G766="","",IF(N(E766)=0,1,E766)*IFERROR(N(INDEX(Produtos!$G$5:$G$104,MATCH(D766,Produtos!$B$5:$B$104,0))),0))</f>
        <v/>
      </c>
      <c r="I766" s="27" t="str">
        <f aca="false">IF(G766="","",G766-H766)</f>
        <v/>
      </c>
      <c r="J766" s="42"/>
    </row>
    <row r="767" customFormat="false" ht="21" hidden="false" customHeight="true" outlineLevel="0" collapsed="false">
      <c r="B767" s="41"/>
      <c r="C767" s="9"/>
      <c r="D767" s="9"/>
      <c r="E767" s="42"/>
      <c r="F767" s="43"/>
      <c r="G767" s="27" t="str">
        <f aca="false">IF(OR(C767="",AND(D767="",F767="")),"",IF(N(E767)=0,1,E767)*IF(F767="",IFERROR(N(INDEX(Produtos!$L$5:$L$104,MATCH(D767,Produtos!$B$5:$B$104,0))),0),F767))</f>
        <v/>
      </c>
      <c r="H767" s="27" t="str">
        <f aca="false">IF(G767="","",IF(N(E767)=0,1,E767)*IFERROR(N(INDEX(Produtos!$G$5:$G$104,MATCH(D767,Produtos!$B$5:$B$104,0))),0))</f>
        <v/>
      </c>
      <c r="I767" s="27" t="str">
        <f aca="false">IF(G767="","",G767-H767)</f>
        <v/>
      </c>
      <c r="J767" s="42"/>
    </row>
    <row r="768" customFormat="false" ht="21" hidden="false" customHeight="true" outlineLevel="0" collapsed="false">
      <c r="B768" s="41"/>
      <c r="C768" s="9"/>
      <c r="D768" s="9"/>
      <c r="E768" s="42"/>
      <c r="F768" s="43"/>
      <c r="G768" s="27" t="str">
        <f aca="false">IF(OR(C768="",AND(D768="",F768="")),"",IF(N(E768)=0,1,E768)*IF(F768="",IFERROR(N(INDEX(Produtos!$L$5:$L$104,MATCH(D768,Produtos!$B$5:$B$104,0))),0),F768))</f>
        <v/>
      </c>
      <c r="H768" s="27" t="str">
        <f aca="false">IF(G768="","",IF(N(E768)=0,1,E768)*IFERROR(N(INDEX(Produtos!$G$5:$G$104,MATCH(D768,Produtos!$B$5:$B$104,0))),0))</f>
        <v/>
      </c>
      <c r="I768" s="27" t="str">
        <f aca="false">IF(G768="","",G768-H768)</f>
        <v/>
      </c>
      <c r="J768" s="42"/>
    </row>
    <row r="769" customFormat="false" ht="21" hidden="false" customHeight="true" outlineLevel="0" collapsed="false">
      <c r="B769" s="41"/>
      <c r="C769" s="9"/>
      <c r="D769" s="9"/>
      <c r="E769" s="42"/>
      <c r="F769" s="43"/>
      <c r="G769" s="27" t="str">
        <f aca="false">IF(OR(C769="",AND(D769="",F769="")),"",IF(N(E769)=0,1,E769)*IF(F769="",IFERROR(N(INDEX(Produtos!$L$5:$L$104,MATCH(D769,Produtos!$B$5:$B$104,0))),0),F769))</f>
        <v/>
      </c>
      <c r="H769" s="27" t="str">
        <f aca="false">IF(G769="","",IF(N(E769)=0,1,E769)*IFERROR(N(INDEX(Produtos!$G$5:$G$104,MATCH(D769,Produtos!$B$5:$B$104,0))),0))</f>
        <v/>
      </c>
      <c r="I769" s="27" t="str">
        <f aca="false">IF(G769="","",G769-H769)</f>
        <v/>
      </c>
      <c r="J769" s="42"/>
    </row>
    <row r="770" customFormat="false" ht="21" hidden="false" customHeight="true" outlineLevel="0" collapsed="false">
      <c r="B770" s="41"/>
      <c r="C770" s="9"/>
      <c r="D770" s="9"/>
      <c r="E770" s="42"/>
      <c r="F770" s="43"/>
      <c r="G770" s="27" t="str">
        <f aca="false">IF(OR(C770="",AND(D770="",F770="")),"",IF(N(E770)=0,1,E770)*IF(F770="",IFERROR(N(INDEX(Produtos!$L$5:$L$104,MATCH(D770,Produtos!$B$5:$B$104,0))),0),F770))</f>
        <v/>
      </c>
      <c r="H770" s="27" t="str">
        <f aca="false">IF(G770="","",IF(N(E770)=0,1,E770)*IFERROR(N(INDEX(Produtos!$G$5:$G$104,MATCH(D770,Produtos!$B$5:$B$104,0))),0))</f>
        <v/>
      </c>
      <c r="I770" s="27" t="str">
        <f aca="false">IF(G770="","",G770-H770)</f>
        <v/>
      </c>
      <c r="J770" s="42"/>
    </row>
    <row r="771" customFormat="false" ht="21" hidden="false" customHeight="true" outlineLevel="0" collapsed="false">
      <c r="B771" s="41"/>
      <c r="C771" s="9"/>
      <c r="D771" s="9"/>
      <c r="E771" s="42"/>
      <c r="F771" s="43"/>
      <c r="G771" s="27" t="str">
        <f aca="false">IF(OR(C771="",AND(D771="",F771="")),"",IF(N(E771)=0,1,E771)*IF(F771="",IFERROR(N(INDEX(Produtos!$L$5:$L$104,MATCH(D771,Produtos!$B$5:$B$104,0))),0),F771))</f>
        <v/>
      </c>
      <c r="H771" s="27" t="str">
        <f aca="false">IF(G771="","",IF(N(E771)=0,1,E771)*IFERROR(N(INDEX(Produtos!$G$5:$G$104,MATCH(D771,Produtos!$B$5:$B$104,0))),0))</f>
        <v/>
      </c>
      <c r="I771" s="27" t="str">
        <f aca="false">IF(G771="","",G771-H771)</f>
        <v/>
      </c>
      <c r="J771" s="42"/>
    </row>
    <row r="772" customFormat="false" ht="21" hidden="false" customHeight="true" outlineLevel="0" collapsed="false">
      <c r="B772" s="41"/>
      <c r="C772" s="9"/>
      <c r="D772" s="9"/>
      <c r="E772" s="42"/>
      <c r="F772" s="43"/>
      <c r="G772" s="27" t="str">
        <f aca="false">IF(OR(C772="",AND(D772="",F772="")),"",IF(N(E772)=0,1,E772)*IF(F772="",IFERROR(N(INDEX(Produtos!$L$5:$L$104,MATCH(D772,Produtos!$B$5:$B$104,0))),0),F772))</f>
        <v/>
      </c>
      <c r="H772" s="27" t="str">
        <f aca="false">IF(G772="","",IF(N(E772)=0,1,E772)*IFERROR(N(INDEX(Produtos!$G$5:$G$104,MATCH(D772,Produtos!$B$5:$B$104,0))),0))</f>
        <v/>
      </c>
      <c r="I772" s="27" t="str">
        <f aca="false">IF(G772="","",G772-H772)</f>
        <v/>
      </c>
      <c r="J772" s="42"/>
    </row>
    <row r="773" customFormat="false" ht="21" hidden="false" customHeight="true" outlineLevel="0" collapsed="false">
      <c r="B773" s="41"/>
      <c r="C773" s="9"/>
      <c r="D773" s="9"/>
      <c r="E773" s="42"/>
      <c r="F773" s="43"/>
      <c r="G773" s="27" t="str">
        <f aca="false">IF(OR(C773="",AND(D773="",F773="")),"",IF(N(E773)=0,1,E773)*IF(F773="",IFERROR(N(INDEX(Produtos!$L$5:$L$104,MATCH(D773,Produtos!$B$5:$B$104,0))),0),F773))</f>
        <v/>
      </c>
      <c r="H773" s="27" t="str">
        <f aca="false">IF(G773="","",IF(N(E773)=0,1,E773)*IFERROR(N(INDEX(Produtos!$G$5:$G$104,MATCH(D773,Produtos!$B$5:$B$104,0))),0))</f>
        <v/>
      </c>
      <c r="I773" s="27" t="str">
        <f aca="false">IF(G773="","",G773-H773)</f>
        <v/>
      </c>
      <c r="J773" s="42"/>
    </row>
    <row r="774" customFormat="false" ht="21" hidden="false" customHeight="true" outlineLevel="0" collapsed="false">
      <c r="B774" s="41"/>
      <c r="C774" s="9"/>
      <c r="D774" s="9"/>
      <c r="E774" s="42"/>
      <c r="F774" s="43"/>
      <c r="G774" s="27" t="str">
        <f aca="false">IF(OR(C774="",AND(D774="",F774="")),"",IF(N(E774)=0,1,E774)*IF(F774="",IFERROR(N(INDEX(Produtos!$L$5:$L$104,MATCH(D774,Produtos!$B$5:$B$104,0))),0),F774))</f>
        <v/>
      </c>
      <c r="H774" s="27" t="str">
        <f aca="false">IF(G774="","",IF(N(E774)=0,1,E774)*IFERROR(N(INDEX(Produtos!$G$5:$G$104,MATCH(D774,Produtos!$B$5:$B$104,0))),0))</f>
        <v/>
      </c>
      <c r="I774" s="27" t="str">
        <f aca="false">IF(G774="","",G774-H774)</f>
        <v/>
      </c>
      <c r="J774" s="42"/>
    </row>
    <row r="775" customFormat="false" ht="21" hidden="false" customHeight="true" outlineLevel="0" collapsed="false">
      <c r="B775" s="41"/>
      <c r="C775" s="9"/>
      <c r="D775" s="9"/>
      <c r="E775" s="42"/>
      <c r="F775" s="43"/>
      <c r="G775" s="27" t="str">
        <f aca="false">IF(OR(C775="",AND(D775="",F775="")),"",IF(N(E775)=0,1,E775)*IF(F775="",IFERROR(N(INDEX(Produtos!$L$5:$L$104,MATCH(D775,Produtos!$B$5:$B$104,0))),0),F775))</f>
        <v/>
      </c>
      <c r="H775" s="27" t="str">
        <f aca="false">IF(G775="","",IF(N(E775)=0,1,E775)*IFERROR(N(INDEX(Produtos!$G$5:$G$104,MATCH(D775,Produtos!$B$5:$B$104,0))),0))</f>
        <v/>
      </c>
      <c r="I775" s="27" t="str">
        <f aca="false">IF(G775="","",G775-H775)</f>
        <v/>
      </c>
      <c r="J775" s="42"/>
    </row>
    <row r="776" customFormat="false" ht="21" hidden="false" customHeight="true" outlineLevel="0" collapsed="false">
      <c r="B776" s="41"/>
      <c r="C776" s="9"/>
      <c r="D776" s="9"/>
      <c r="E776" s="42"/>
      <c r="F776" s="43"/>
      <c r="G776" s="27" t="str">
        <f aca="false">IF(OR(C776="",AND(D776="",F776="")),"",IF(N(E776)=0,1,E776)*IF(F776="",IFERROR(N(INDEX(Produtos!$L$5:$L$104,MATCH(D776,Produtos!$B$5:$B$104,0))),0),F776))</f>
        <v/>
      </c>
      <c r="H776" s="27" t="str">
        <f aca="false">IF(G776="","",IF(N(E776)=0,1,E776)*IFERROR(N(INDEX(Produtos!$G$5:$G$104,MATCH(D776,Produtos!$B$5:$B$104,0))),0))</f>
        <v/>
      </c>
      <c r="I776" s="27" t="str">
        <f aca="false">IF(G776="","",G776-H776)</f>
        <v/>
      </c>
      <c r="J776" s="42"/>
    </row>
    <row r="777" customFormat="false" ht="21" hidden="false" customHeight="true" outlineLevel="0" collapsed="false">
      <c r="B777" s="41"/>
      <c r="C777" s="9"/>
      <c r="D777" s="9"/>
      <c r="E777" s="42"/>
      <c r="F777" s="43"/>
      <c r="G777" s="27" t="str">
        <f aca="false">IF(OR(C777="",AND(D777="",F777="")),"",IF(N(E777)=0,1,E777)*IF(F777="",IFERROR(N(INDEX(Produtos!$L$5:$L$104,MATCH(D777,Produtos!$B$5:$B$104,0))),0),F777))</f>
        <v/>
      </c>
      <c r="H777" s="27" t="str">
        <f aca="false">IF(G777="","",IF(N(E777)=0,1,E777)*IFERROR(N(INDEX(Produtos!$G$5:$G$104,MATCH(D777,Produtos!$B$5:$B$104,0))),0))</f>
        <v/>
      </c>
      <c r="I777" s="27" t="str">
        <f aca="false">IF(G777="","",G777-H777)</f>
        <v/>
      </c>
      <c r="J777" s="42"/>
    </row>
    <row r="778" customFormat="false" ht="21" hidden="false" customHeight="true" outlineLevel="0" collapsed="false">
      <c r="B778" s="41"/>
      <c r="C778" s="9"/>
      <c r="D778" s="9"/>
      <c r="E778" s="42"/>
      <c r="F778" s="43"/>
      <c r="G778" s="27" t="str">
        <f aca="false">IF(OR(C778="",AND(D778="",F778="")),"",IF(N(E778)=0,1,E778)*IF(F778="",IFERROR(N(INDEX(Produtos!$L$5:$L$104,MATCH(D778,Produtos!$B$5:$B$104,0))),0),F778))</f>
        <v/>
      </c>
      <c r="H778" s="27" t="str">
        <f aca="false">IF(G778="","",IF(N(E778)=0,1,E778)*IFERROR(N(INDEX(Produtos!$G$5:$G$104,MATCH(D778,Produtos!$B$5:$B$104,0))),0))</f>
        <v/>
      </c>
      <c r="I778" s="27" t="str">
        <f aca="false">IF(G778="","",G778-H778)</f>
        <v/>
      </c>
      <c r="J778" s="42"/>
    </row>
    <row r="779" customFormat="false" ht="21" hidden="false" customHeight="true" outlineLevel="0" collapsed="false">
      <c r="B779" s="41"/>
      <c r="C779" s="9"/>
      <c r="D779" s="9"/>
      <c r="E779" s="42"/>
      <c r="F779" s="43"/>
      <c r="G779" s="27" t="str">
        <f aca="false">IF(OR(C779="",AND(D779="",F779="")),"",IF(N(E779)=0,1,E779)*IF(F779="",IFERROR(N(INDEX(Produtos!$L$5:$L$104,MATCH(D779,Produtos!$B$5:$B$104,0))),0),F779))</f>
        <v/>
      </c>
      <c r="H779" s="27" t="str">
        <f aca="false">IF(G779="","",IF(N(E779)=0,1,E779)*IFERROR(N(INDEX(Produtos!$G$5:$G$104,MATCH(D779,Produtos!$B$5:$B$104,0))),0))</f>
        <v/>
      </c>
      <c r="I779" s="27" t="str">
        <f aca="false">IF(G779="","",G779-H779)</f>
        <v/>
      </c>
      <c r="J779" s="42"/>
    </row>
    <row r="780" customFormat="false" ht="21" hidden="false" customHeight="true" outlineLevel="0" collapsed="false">
      <c r="B780" s="41"/>
      <c r="C780" s="9"/>
      <c r="D780" s="9"/>
      <c r="E780" s="42"/>
      <c r="F780" s="43"/>
      <c r="G780" s="27" t="str">
        <f aca="false">IF(OR(C780="",AND(D780="",F780="")),"",IF(N(E780)=0,1,E780)*IF(F780="",IFERROR(N(INDEX(Produtos!$L$5:$L$104,MATCH(D780,Produtos!$B$5:$B$104,0))),0),F780))</f>
        <v/>
      </c>
      <c r="H780" s="27" t="str">
        <f aca="false">IF(G780="","",IF(N(E780)=0,1,E780)*IFERROR(N(INDEX(Produtos!$G$5:$G$104,MATCH(D780,Produtos!$B$5:$B$104,0))),0))</f>
        <v/>
      </c>
      <c r="I780" s="27" t="str">
        <f aca="false">IF(G780="","",G780-H780)</f>
        <v/>
      </c>
      <c r="J780" s="42"/>
    </row>
    <row r="781" customFormat="false" ht="21" hidden="false" customHeight="true" outlineLevel="0" collapsed="false">
      <c r="B781" s="41"/>
      <c r="C781" s="9"/>
      <c r="D781" s="9"/>
      <c r="E781" s="42"/>
      <c r="F781" s="43"/>
      <c r="G781" s="27" t="str">
        <f aca="false">IF(OR(C781="",AND(D781="",F781="")),"",IF(N(E781)=0,1,E781)*IF(F781="",IFERROR(N(INDEX(Produtos!$L$5:$L$104,MATCH(D781,Produtos!$B$5:$B$104,0))),0),F781))</f>
        <v/>
      </c>
      <c r="H781" s="27" t="str">
        <f aca="false">IF(G781="","",IF(N(E781)=0,1,E781)*IFERROR(N(INDEX(Produtos!$G$5:$G$104,MATCH(D781,Produtos!$B$5:$B$104,0))),0))</f>
        <v/>
      </c>
      <c r="I781" s="27" t="str">
        <f aca="false">IF(G781="","",G781-H781)</f>
        <v/>
      </c>
      <c r="J781" s="42"/>
    </row>
    <row r="782" customFormat="false" ht="21" hidden="false" customHeight="true" outlineLevel="0" collapsed="false">
      <c r="B782" s="41"/>
      <c r="C782" s="9"/>
      <c r="D782" s="9"/>
      <c r="E782" s="42"/>
      <c r="F782" s="43"/>
      <c r="G782" s="27" t="str">
        <f aca="false">IF(OR(C782="",AND(D782="",F782="")),"",IF(N(E782)=0,1,E782)*IF(F782="",IFERROR(N(INDEX(Produtos!$L$5:$L$104,MATCH(D782,Produtos!$B$5:$B$104,0))),0),F782))</f>
        <v/>
      </c>
      <c r="H782" s="27" t="str">
        <f aca="false">IF(G782="","",IF(N(E782)=0,1,E782)*IFERROR(N(INDEX(Produtos!$G$5:$G$104,MATCH(D782,Produtos!$B$5:$B$104,0))),0))</f>
        <v/>
      </c>
      <c r="I782" s="27" t="str">
        <f aca="false">IF(G782="","",G782-H782)</f>
        <v/>
      </c>
      <c r="J782" s="42"/>
    </row>
    <row r="783" customFormat="false" ht="21" hidden="false" customHeight="true" outlineLevel="0" collapsed="false">
      <c r="B783" s="41"/>
      <c r="C783" s="9"/>
      <c r="D783" s="9"/>
      <c r="E783" s="42"/>
      <c r="F783" s="43"/>
      <c r="G783" s="27" t="str">
        <f aca="false">IF(OR(C783="",AND(D783="",F783="")),"",IF(N(E783)=0,1,E783)*IF(F783="",IFERROR(N(INDEX(Produtos!$L$5:$L$104,MATCH(D783,Produtos!$B$5:$B$104,0))),0),F783))</f>
        <v/>
      </c>
      <c r="H783" s="27" t="str">
        <f aca="false">IF(G783="","",IF(N(E783)=0,1,E783)*IFERROR(N(INDEX(Produtos!$G$5:$G$104,MATCH(D783,Produtos!$B$5:$B$104,0))),0))</f>
        <v/>
      </c>
      <c r="I783" s="27" t="str">
        <f aca="false">IF(G783="","",G783-H783)</f>
        <v/>
      </c>
      <c r="J783" s="42"/>
    </row>
    <row r="784" customFormat="false" ht="21" hidden="false" customHeight="true" outlineLevel="0" collapsed="false">
      <c r="B784" s="41"/>
      <c r="C784" s="9"/>
      <c r="D784" s="9"/>
      <c r="E784" s="42"/>
      <c r="F784" s="43"/>
      <c r="G784" s="27" t="str">
        <f aca="false">IF(OR(C784="",AND(D784="",F784="")),"",IF(N(E784)=0,1,E784)*IF(F784="",IFERROR(N(INDEX(Produtos!$L$5:$L$104,MATCH(D784,Produtos!$B$5:$B$104,0))),0),F784))</f>
        <v/>
      </c>
      <c r="H784" s="27" t="str">
        <f aca="false">IF(G784="","",IF(N(E784)=0,1,E784)*IFERROR(N(INDEX(Produtos!$G$5:$G$104,MATCH(D784,Produtos!$B$5:$B$104,0))),0))</f>
        <v/>
      </c>
      <c r="I784" s="27" t="str">
        <f aca="false">IF(G784="","",G784-H784)</f>
        <v/>
      </c>
      <c r="J784" s="42"/>
    </row>
    <row r="785" customFormat="false" ht="21" hidden="false" customHeight="true" outlineLevel="0" collapsed="false">
      <c r="B785" s="41"/>
      <c r="C785" s="9"/>
      <c r="D785" s="9"/>
      <c r="E785" s="42"/>
      <c r="F785" s="43"/>
      <c r="G785" s="27" t="str">
        <f aca="false">IF(OR(C785="",AND(D785="",F785="")),"",IF(N(E785)=0,1,E785)*IF(F785="",IFERROR(N(INDEX(Produtos!$L$5:$L$104,MATCH(D785,Produtos!$B$5:$B$104,0))),0),F785))</f>
        <v/>
      </c>
      <c r="H785" s="27" t="str">
        <f aca="false">IF(G785="","",IF(N(E785)=0,1,E785)*IFERROR(N(INDEX(Produtos!$G$5:$G$104,MATCH(D785,Produtos!$B$5:$B$104,0))),0))</f>
        <v/>
      </c>
      <c r="I785" s="27" t="str">
        <f aca="false">IF(G785="","",G785-H785)</f>
        <v/>
      </c>
      <c r="J785" s="42"/>
    </row>
    <row r="786" customFormat="false" ht="21" hidden="false" customHeight="true" outlineLevel="0" collapsed="false">
      <c r="B786" s="41"/>
      <c r="C786" s="9"/>
      <c r="D786" s="9"/>
      <c r="E786" s="42"/>
      <c r="F786" s="43"/>
      <c r="G786" s="27" t="str">
        <f aca="false">IF(OR(C786="",AND(D786="",F786="")),"",IF(N(E786)=0,1,E786)*IF(F786="",IFERROR(N(INDEX(Produtos!$L$5:$L$104,MATCH(D786,Produtos!$B$5:$B$104,0))),0),F786))</f>
        <v/>
      </c>
      <c r="H786" s="27" t="str">
        <f aca="false">IF(G786="","",IF(N(E786)=0,1,E786)*IFERROR(N(INDEX(Produtos!$G$5:$G$104,MATCH(D786,Produtos!$B$5:$B$104,0))),0))</f>
        <v/>
      </c>
      <c r="I786" s="27" t="str">
        <f aca="false">IF(G786="","",G786-H786)</f>
        <v/>
      </c>
      <c r="J786" s="42"/>
    </row>
    <row r="787" customFormat="false" ht="21" hidden="false" customHeight="true" outlineLevel="0" collapsed="false">
      <c r="B787" s="41"/>
      <c r="C787" s="9"/>
      <c r="D787" s="9"/>
      <c r="E787" s="42"/>
      <c r="F787" s="43"/>
      <c r="G787" s="27" t="str">
        <f aca="false">IF(OR(C787="",AND(D787="",F787="")),"",IF(N(E787)=0,1,E787)*IF(F787="",IFERROR(N(INDEX(Produtos!$L$5:$L$104,MATCH(D787,Produtos!$B$5:$B$104,0))),0),F787))</f>
        <v/>
      </c>
      <c r="H787" s="27" t="str">
        <f aca="false">IF(G787="","",IF(N(E787)=0,1,E787)*IFERROR(N(INDEX(Produtos!$G$5:$G$104,MATCH(D787,Produtos!$B$5:$B$104,0))),0))</f>
        <v/>
      </c>
      <c r="I787" s="27" t="str">
        <f aca="false">IF(G787="","",G787-H787)</f>
        <v/>
      </c>
      <c r="J787" s="42"/>
    </row>
    <row r="788" customFormat="false" ht="21" hidden="false" customHeight="true" outlineLevel="0" collapsed="false">
      <c r="B788" s="41"/>
      <c r="C788" s="9"/>
      <c r="D788" s="9"/>
      <c r="E788" s="42"/>
      <c r="F788" s="43"/>
      <c r="G788" s="27" t="str">
        <f aca="false">IF(OR(C788="",AND(D788="",F788="")),"",IF(N(E788)=0,1,E788)*IF(F788="",IFERROR(N(INDEX(Produtos!$L$5:$L$104,MATCH(D788,Produtos!$B$5:$B$104,0))),0),F788))</f>
        <v/>
      </c>
      <c r="H788" s="27" t="str">
        <f aca="false">IF(G788="","",IF(N(E788)=0,1,E788)*IFERROR(N(INDEX(Produtos!$G$5:$G$104,MATCH(D788,Produtos!$B$5:$B$104,0))),0))</f>
        <v/>
      </c>
      <c r="I788" s="27" t="str">
        <f aca="false">IF(G788="","",G788-H788)</f>
        <v/>
      </c>
      <c r="J788" s="42"/>
    </row>
    <row r="789" customFormat="false" ht="21" hidden="false" customHeight="true" outlineLevel="0" collapsed="false">
      <c r="B789" s="41"/>
      <c r="C789" s="9"/>
      <c r="D789" s="9"/>
      <c r="E789" s="42"/>
      <c r="F789" s="43"/>
      <c r="G789" s="27" t="str">
        <f aca="false">IF(OR(C789="",AND(D789="",F789="")),"",IF(N(E789)=0,1,E789)*IF(F789="",IFERROR(N(INDEX(Produtos!$L$5:$L$104,MATCH(D789,Produtos!$B$5:$B$104,0))),0),F789))</f>
        <v/>
      </c>
      <c r="H789" s="27" t="str">
        <f aca="false">IF(G789="","",IF(N(E789)=0,1,E789)*IFERROR(N(INDEX(Produtos!$G$5:$G$104,MATCH(D789,Produtos!$B$5:$B$104,0))),0))</f>
        <v/>
      </c>
      <c r="I789" s="27" t="str">
        <f aca="false">IF(G789="","",G789-H789)</f>
        <v/>
      </c>
      <c r="J789" s="42"/>
    </row>
    <row r="790" customFormat="false" ht="21" hidden="false" customHeight="true" outlineLevel="0" collapsed="false">
      <c r="B790" s="41"/>
      <c r="C790" s="9"/>
      <c r="D790" s="9"/>
      <c r="E790" s="42"/>
      <c r="F790" s="43"/>
      <c r="G790" s="27" t="str">
        <f aca="false">IF(OR(C790="",AND(D790="",F790="")),"",IF(N(E790)=0,1,E790)*IF(F790="",IFERROR(N(INDEX(Produtos!$L$5:$L$104,MATCH(D790,Produtos!$B$5:$B$104,0))),0),F790))</f>
        <v/>
      </c>
      <c r="H790" s="27" t="str">
        <f aca="false">IF(G790="","",IF(N(E790)=0,1,E790)*IFERROR(N(INDEX(Produtos!$G$5:$G$104,MATCH(D790,Produtos!$B$5:$B$104,0))),0))</f>
        <v/>
      </c>
      <c r="I790" s="27" t="str">
        <f aca="false">IF(G790="","",G790-H790)</f>
        <v/>
      </c>
      <c r="J790" s="42"/>
    </row>
    <row r="791" customFormat="false" ht="21" hidden="false" customHeight="true" outlineLevel="0" collapsed="false">
      <c r="B791" s="41"/>
      <c r="C791" s="9"/>
      <c r="D791" s="9"/>
      <c r="E791" s="42"/>
      <c r="F791" s="43"/>
      <c r="G791" s="27" t="str">
        <f aca="false">IF(OR(C791="",AND(D791="",F791="")),"",IF(N(E791)=0,1,E791)*IF(F791="",IFERROR(N(INDEX(Produtos!$L$5:$L$104,MATCH(D791,Produtos!$B$5:$B$104,0))),0),F791))</f>
        <v/>
      </c>
      <c r="H791" s="27" t="str">
        <f aca="false">IF(G791="","",IF(N(E791)=0,1,E791)*IFERROR(N(INDEX(Produtos!$G$5:$G$104,MATCH(D791,Produtos!$B$5:$B$104,0))),0))</f>
        <v/>
      </c>
      <c r="I791" s="27" t="str">
        <f aca="false">IF(G791="","",G791-H791)</f>
        <v/>
      </c>
      <c r="J791" s="42"/>
    </row>
    <row r="792" customFormat="false" ht="21" hidden="false" customHeight="true" outlineLevel="0" collapsed="false">
      <c r="B792" s="41"/>
      <c r="C792" s="9"/>
      <c r="D792" s="9"/>
      <c r="E792" s="42"/>
      <c r="F792" s="43"/>
      <c r="G792" s="27" t="str">
        <f aca="false">IF(OR(C792="",AND(D792="",F792="")),"",IF(N(E792)=0,1,E792)*IF(F792="",IFERROR(N(INDEX(Produtos!$L$5:$L$104,MATCH(D792,Produtos!$B$5:$B$104,0))),0),F792))</f>
        <v/>
      </c>
      <c r="H792" s="27" t="str">
        <f aca="false">IF(G792="","",IF(N(E792)=0,1,E792)*IFERROR(N(INDEX(Produtos!$G$5:$G$104,MATCH(D792,Produtos!$B$5:$B$104,0))),0))</f>
        <v/>
      </c>
      <c r="I792" s="27" t="str">
        <f aca="false">IF(G792="","",G792-H792)</f>
        <v/>
      </c>
      <c r="J792" s="42"/>
    </row>
    <row r="793" customFormat="false" ht="21" hidden="false" customHeight="true" outlineLevel="0" collapsed="false">
      <c r="B793" s="41"/>
      <c r="C793" s="9"/>
      <c r="D793" s="9"/>
      <c r="E793" s="42"/>
      <c r="F793" s="43"/>
      <c r="G793" s="27" t="str">
        <f aca="false">IF(OR(C793="",AND(D793="",F793="")),"",IF(N(E793)=0,1,E793)*IF(F793="",IFERROR(N(INDEX(Produtos!$L$5:$L$104,MATCH(D793,Produtos!$B$5:$B$104,0))),0),F793))</f>
        <v/>
      </c>
      <c r="H793" s="27" t="str">
        <f aca="false">IF(G793="","",IF(N(E793)=0,1,E793)*IFERROR(N(INDEX(Produtos!$G$5:$G$104,MATCH(D793,Produtos!$B$5:$B$104,0))),0))</f>
        <v/>
      </c>
      <c r="I793" s="27" t="str">
        <f aca="false">IF(G793="","",G793-H793)</f>
        <v/>
      </c>
      <c r="J793" s="42"/>
    </row>
    <row r="794" customFormat="false" ht="21" hidden="false" customHeight="true" outlineLevel="0" collapsed="false">
      <c r="B794" s="41"/>
      <c r="C794" s="9"/>
      <c r="D794" s="9"/>
      <c r="E794" s="42"/>
      <c r="F794" s="43"/>
      <c r="G794" s="27" t="str">
        <f aca="false">IF(OR(C794="",AND(D794="",F794="")),"",IF(N(E794)=0,1,E794)*IF(F794="",IFERROR(N(INDEX(Produtos!$L$5:$L$104,MATCH(D794,Produtos!$B$5:$B$104,0))),0),F794))</f>
        <v/>
      </c>
      <c r="H794" s="27" t="str">
        <f aca="false">IF(G794="","",IF(N(E794)=0,1,E794)*IFERROR(N(INDEX(Produtos!$G$5:$G$104,MATCH(D794,Produtos!$B$5:$B$104,0))),0))</f>
        <v/>
      </c>
      <c r="I794" s="27" t="str">
        <f aca="false">IF(G794="","",G794-H794)</f>
        <v/>
      </c>
      <c r="J794" s="42"/>
    </row>
    <row r="795" customFormat="false" ht="21" hidden="false" customHeight="true" outlineLevel="0" collapsed="false">
      <c r="B795" s="41"/>
      <c r="C795" s="9"/>
      <c r="D795" s="9"/>
      <c r="E795" s="42"/>
      <c r="F795" s="43"/>
      <c r="G795" s="27" t="str">
        <f aca="false">IF(OR(C795="",AND(D795="",F795="")),"",IF(N(E795)=0,1,E795)*IF(F795="",IFERROR(N(INDEX(Produtos!$L$5:$L$104,MATCH(D795,Produtos!$B$5:$B$104,0))),0),F795))</f>
        <v/>
      </c>
      <c r="H795" s="27" t="str">
        <f aca="false">IF(G795="","",IF(N(E795)=0,1,E795)*IFERROR(N(INDEX(Produtos!$G$5:$G$104,MATCH(D795,Produtos!$B$5:$B$104,0))),0))</f>
        <v/>
      </c>
      <c r="I795" s="27" t="str">
        <f aca="false">IF(G795="","",G795-H795)</f>
        <v/>
      </c>
      <c r="J795" s="42"/>
    </row>
    <row r="796" customFormat="false" ht="21" hidden="false" customHeight="true" outlineLevel="0" collapsed="false">
      <c r="B796" s="41"/>
      <c r="C796" s="9"/>
      <c r="D796" s="9"/>
      <c r="E796" s="42"/>
      <c r="F796" s="43"/>
      <c r="G796" s="27" t="str">
        <f aca="false">IF(OR(C796="",AND(D796="",F796="")),"",IF(N(E796)=0,1,E796)*IF(F796="",IFERROR(N(INDEX(Produtos!$L$5:$L$104,MATCH(D796,Produtos!$B$5:$B$104,0))),0),F796))</f>
        <v/>
      </c>
      <c r="H796" s="27" t="str">
        <f aca="false">IF(G796="","",IF(N(E796)=0,1,E796)*IFERROR(N(INDEX(Produtos!$G$5:$G$104,MATCH(D796,Produtos!$B$5:$B$104,0))),0))</f>
        <v/>
      </c>
      <c r="I796" s="27" t="str">
        <f aca="false">IF(G796="","",G796-H796)</f>
        <v/>
      </c>
      <c r="J796" s="42"/>
    </row>
    <row r="797" customFormat="false" ht="21" hidden="false" customHeight="true" outlineLevel="0" collapsed="false">
      <c r="B797" s="41"/>
      <c r="C797" s="9"/>
      <c r="D797" s="9"/>
      <c r="E797" s="42"/>
      <c r="F797" s="43"/>
      <c r="G797" s="27" t="str">
        <f aca="false">IF(OR(C797="",AND(D797="",F797="")),"",IF(N(E797)=0,1,E797)*IF(F797="",IFERROR(N(INDEX(Produtos!$L$5:$L$104,MATCH(D797,Produtos!$B$5:$B$104,0))),0),F797))</f>
        <v/>
      </c>
      <c r="H797" s="27" t="str">
        <f aca="false">IF(G797="","",IF(N(E797)=0,1,E797)*IFERROR(N(INDEX(Produtos!$G$5:$G$104,MATCH(D797,Produtos!$B$5:$B$104,0))),0))</f>
        <v/>
      </c>
      <c r="I797" s="27" t="str">
        <f aca="false">IF(G797="","",G797-H797)</f>
        <v/>
      </c>
      <c r="J797" s="42"/>
    </row>
    <row r="798" customFormat="false" ht="21" hidden="false" customHeight="true" outlineLevel="0" collapsed="false">
      <c r="B798" s="41"/>
      <c r="C798" s="9"/>
      <c r="D798" s="9"/>
      <c r="E798" s="42"/>
      <c r="F798" s="43"/>
      <c r="G798" s="27" t="str">
        <f aca="false">IF(OR(C798="",AND(D798="",F798="")),"",IF(N(E798)=0,1,E798)*IF(F798="",IFERROR(N(INDEX(Produtos!$L$5:$L$104,MATCH(D798,Produtos!$B$5:$B$104,0))),0),F798))</f>
        <v/>
      </c>
      <c r="H798" s="27" t="str">
        <f aca="false">IF(G798="","",IF(N(E798)=0,1,E798)*IFERROR(N(INDEX(Produtos!$G$5:$G$104,MATCH(D798,Produtos!$B$5:$B$104,0))),0))</f>
        <v/>
      </c>
      <c r="I798" s="27" t="str">
        <f aca="false">IF(G798="","",G798-H798)</f>
        <v/>
      </c>
      <c r="J798" s="42"/>
    </row>
    <row r="799" customFormat="false" ht="21" hidden="false" customHeight="true" outlineLevel="0" collapsed="false">
      <c r="B799" s="41"/>
      <c r="C799" s="9"/>
      <c r="D799" s="9"/>
      <c r="E799" s="42"/>
      <c r="F799" s="43"/>
      <c r="G799" s="27" t="str">
        <f aca="false">IF(OR(C799="",AND(D799="",F799="")),"",IF(N(E799)=0,1,E799)*IF(F799="",IFERROR(N(INDEX(Produtos!$L$5:$L$104,MATCH(D799,Produtos!$B$5:$B$104,0))),0),F799))</f>
        <v/>
      </c>
      <c r="H799" s="27" t="str">
        <f aca="false">IF(G799="","",IF(N(E799)=0,1,E799)*IFERROR(N(INDEX(Produtos!$G$5:$G$104,MATCH(D799,Produtos!$B$5:$B$104,0))),0))</f>
        <v/>
      </c>
      <c r="I799" s="27" t="str">
        <f aca="false">IF(G799="","",G799-H799)</f>
        <v/>
      </c>
      <c r="J799" s="42"/>
    </row>
    <row r="800" customFormat="false" ht="21" hidden="false" customHeight="true" outlineLevel="0" collapsed="false">
      <c r="B800" s="41"/>
      <c r="C800" s="9"/>
      <c r="D800" s="9"/>
      <c r="E800" s="42"/>
      <c r="F800" s="43"/>
      <c r="G800" s="27" t="str">
        <f aca="false">IF(OR(C800="",AND(D800="",F800="")),"",IF(N(E800)=0,1,E800)*IF(F800="",IFERROR(N(INDEX(Produtos!$L$5:$L$104,MATCH(D800,Produtos!$B$5:$B$104,0))),0),F800))</f>
        <v/>
      </c>
      <c r="H800" s="27" t="str">
        <f aca="false">IF(G800="","",IF(N(E800)=0,1,E800)*IFERROR(N(INDEX(Produtos!$G$5:$G$104,MATCH(D800,Produtos!$B$5:$B$104,0))),0))</f>
        <v/>
      </c>
      <c r="I800" s="27" t="str">
        <f aca="false">IF(G800="","",G800-H800)</f>
        <v/>
      </c>
      <c r="J800" s="42"/>
    </row>
    <row r="801" customFormat="false" ht="21" hidden="false" customHeight="true" outlineLevel="0" collapsed="false">
      <c r="B801" s="41"/>
      <c r="C801" s="9"/>
      <c r="D801" s="9"/>
      <c r="E801" s="42"/>
      <c r="F801" s="43"/>
      <c r="G801" s="27" t="str">
        <f aca="false">IF(OR(C801="",AND(D801="",F801="")),"",IF(N(E801)=0,1,E801)*IF(F801="",IFERROR(N(INDEX(Produtos!$L$5:$L$104,MATCH(D801,Produtos!$B$5:$B$104,0))),0),F801))</f>
        <v/>
      </c>
      <c r="H801" s="27" t="str">
        <f aca="false">IF(G801="","",IF(N(E801)=0,1,E801)*IFERROR(N(INDEX(Produtos!$G$5:$G$104,MATCH(D801,Produtos!$B$5:$B$104,0))),0))</f>
        <v/>
      </c>
      <c r="I801" s="27" t="str">
        <f aca="false">IF(G801="","",G801-H801)</f>
        <v/>
      </c>
      <c r="J801" s="42"/>
    </row>
    <row r="802" customFormat="false" ht="21" hidden="false" customHeight="true" outlineLevel="0" collapsed="false">
      <c r="B802" s="41"/>
      <c r="C802" s="9"/>
      <c r="D802" s="9"/>
      <c r="E802" s="42"/>
      <c r="F802" s="43"/>
      <c r="G802" s="27" t="str">
        <f aca="false">IF(OR(C802="",AND(D802="",F802="")),"",IF(N(E802)=0,1,E802)*IF(F802="",IFERROR(N(INDEX(Produtos!$L$5:$L$104,MATCH(D802,Produtos!$B$5:$B$104,0))),0),F802))</f>
        <v/>
      </c>
      <c r="H802" s="27" t="str">
        <f aca="false">IF(G802="","",IF(N(E802)=0,1,E802)*IFERROR(N(INDEX(Produtos!$G$5:$G$104,MATCH(D802,Produtos!$B$5:$B$104,0))),0))</f>
        <v/>
      </c>
      <c r="I802" s="27" t="str">
        <f aca="false">IF(G802="","",G802-H802)</f>
        <v/>
      </c>
      <c r="J802" s="42"/>
    </row>
    <row r="803" customFormat="false" ht="21" hidden="false" customHeight="true" outlineLevel="0" collapsed="false">
      <c r="B803" s="41"/>
      <c r="C803" s="9"/>
      <c r="D803" s="9"/>
      <c r="E803" s="42"/>
      <c r="F803" s="43"/>
      <c r="G803" s="27" t="str">
        <f aca="false">IF(OR(C803="",AND(D803="",F803="")),"",IF(N(E803)=0,1,E803)*IF(F803="",IFERROR(N(INDEX(Produtos!$L$5:$L$104,MATCH(D803,Produtos!$B$5:$B$104,0))),0),F803))</f>
        <v/>
      </c>
      <c r="H803" s="27" t="str">
        <f aca="false">IF(G803="","",IF(N(E803)=0,1,E803)*IFERROR(N(INDEX(Produtos!$G$5:$G$104,MATCH(D803,Produtos!$B$5:$B$104,0))),0))</f>
        <v/>
      </c>
      <c r="I803" s="27" t="str">
        <f aca="false">IF(G803="","",G803-H803)</f>
        <v/>
      </c>
      <c r="J803" s="42"/>
    </row>
    <row r="804" customFormat="false" ht="21" hidden="false" customHeight="true" outlineLevel="0" collapsed="false">
      <c r="B804" s="41"/>
      <c r="C804" s="9"/>
      <c r="D804" s="9"/>
      <c r="E804" s="42"/>
      <c r="F804" s="43"/>
      <c r="G804" s="27" t="str">
        <f aca="false">IF(OR(C804="",AND(D804="",F804="")),"",IF(N(E804)=0,1,E804)*IF(F804="",IFERROR(N(INDEX(Produtos!$L$5:$L$104,MATCH(D804,Produtos!$B$5:$B$104,0))),0),F804))</f>
        <v/>
      </c>
      <c r="H804" s="27" t="str">
        <f aca="false">IF(G804="","",IF(N(E804)=0,1,E804)*IFERROR(N(INDEX(Produtos!$G$5:$G$104,MATCH(D804,Produtos!$B$5:$B$104,0))),0))</f>
        <v/>
      </c>
      <c r="I804" s="27" t="str">
        <f aca="false">IF(G804="","",G804-H804)</f>
        <v/>
      </c>
      <c r="J804" s="42"/>
    </row>
    <row r="805" customFormat="false" ht="21" hidden="false" customHeight="true" outlineLevel="0" collapsed="false">
      <c r="B805" s="41"/>
      <c r="C805" s="9"/>
      <c r="D805" s="9"/>
      <c r="E805" s="42"/>
      <c r="F805" s="43"/>
      <c r="G805" s="27" t="str">
        <f aca="false">IF(OR(C805="",AND(D805="",F805="")),"",IF(N(E805)=0,1,E805)*IF(F805="",IFERROR(N(INDEX(Produtos!$L$5:$L$104,MATCH(D805,Produtos!$B$5:$B$104,0))),0),F805))</f>
        <v/>
      </c>
      <c r="H805" s="27" t="str">
        <f aca="false">IF(G805="","",IF(N(E805)=0,1,E805)*IFERROR(N(INDEX(Produtos!$G$5:$G$104,MATCH(D805,Produtos!$B$5:$B$104,0))),0))</f>
        <v/>
      </c>
      <c r="I805" s="27" t="str">
        <f aca="false">IF(G805="","",G805-H805)</f>
        <v/>
      </c>
      <c r="J805" s="42"/>
    </row>
    <row r="806" customFormat="false" ht="21" hidden="false" customHeight="true" outlineLevel="0" collapsed="false">
      <c r="B806" s="41"/>
      <c r="C806" s="9"/>
      <c r="D806" s="9"/>
      <c r="E806" s="42"/>
      <c r="F806" s="43"/>
      <c r="G806" s="27" t="str">
        <f aca="false">IF(OR(C806="",AND(D806="",F806="")),"",IF(N(E806)=0,1,E806)*IF(F806="",IFERROR(N(INDEX(Produtos!$L$5:$L$104,MATCH(D806,Produtos!$B$5:$B$104,0))),0),F806))</f>
        <v/>
      </c>
      <c r="H806" s="27" t="str">
        <f aca="false">IF(G806="","",IF(N(E806)=0,1,E806)*IFERROR(N(INDEX(Produtos!$G$5:$G$104,MATCH(D806,Produtos!$B$5:$B$104,0))),0))</f>
        <v/>
      </c>
      <c r="I806" s="27" t="str">
        <f aca="false">IF(G806="","",G806-H806)</f>
        <v/>
      </c>
      <c r="J806" s="42"/>
    </row>
    <row r="807" customFormat="false" ht="21" hidden="false" customHeight="true" outlineLevel="0" collapsed="false">
      <c r="B807" s="41"/>
      <c r="C807" s="9"/>
      <c r="D807" s="9"/>
      <c r="E807" s="42"/>
      <c r="F807" s="43"/>
      <c r="G807" s="27" t="str">
        <f aca="false">IF(OR(C807="",AND(D807="",F807="")),"",IF(N(E807)=0,1,E807)*IF(F807="",IFERROR(N(INDEX(Produtos!$L$5:$L$104,MATCH(D807,Produtos!$B$5:$B$104,0))),0),F807))</f>
        <v/>
      </c>
      <c r="H807" s="27" t="str">
        <f aca="false">IF(G807="","",IF(N(E807)=0,1,E807)*IFERROR(N(INDEX(Produtos!$G$5:$G$104,MATCH(D807,Produtos!$B$5:$B$104,0))),0))</f>
        <v/>
      </c>
      <c r="I807" s="27" t="str">
        <f aca="false">IF(G807="","",G807-H807)</f>
        <v/>
      </c>
      <c r="J807" s="42"/>
    </row>
    <row r="808" customFormat="false" ht="21" hidden="false" customHeight="true" outlineLevel="0" collapsed="false">
      <c r="B808" s="41"/>
      <c r="C808" s="9"/>
      <c r="D808" s="9"/>
      <c r="E808" s="42"/>
      <c r="F808" s="43"/>
      <c r="G808" s="27" t="str">
        <f aca="false">IF(OR(C808="",AND(D808="",F808="")),"",IF(N(E808)=0,1,E808)*IF(F808="",IFERROR(N(INDEX(Produtos!$L$5:$L$104,MATCH(D808,Produtos!$B$5:$B$104,0))),0),F808))</f>
        <v/>
      </c>
      <c r="H808" s="27" t="str">
        <f aca="false">IF(G808="","",IF(N(E808)=0,1,E808)*IFERROR(N(INDEX(Produtos!$G$5:$G$104,MATCH(D808,Produtos!$B$5:$B$104,0))),0))</f>
        <v/>
      </c>
      <c r="I808" s="27" t="str">
        <f aca="false">IF(G808="","",G808-H808)</f>
        <v/>
      </c>
      <c r="J808" s="42"/>
    </row>
    <row r="809" customFormat="false" ht="21" hidden="false" customHeight="true" outlineLevel="0" collapsed="false">
      <c r="B809" s="41"/>
      <c r="C809" s="9"/>
      <c r="D809" s="9"/>
      <c r="E809" s="42"/>
      <c r="F809" s="43"/>
      <c r="G809" s="27" t="str">
        <f aca="false">IF(OR(C809="",AND(D809="",F809="")),"",IF(N(E809)=0,1,E809)*IF(F809="",IFERROR(N(INDEX(Produtos!$L$5:$L$104,MATCH(D809,Produtos!$B$5:$B$104,0))),0),F809))</f>
        <v/>
      </c>
      <c r="H809" s="27" t="str">
        <f aca="false">IF(G809="","",IF(N(E809)=0,1,E809)*IFERROR(N(INDEX(Produtos!$G$5:$G$104,MATCH(D809,Produtos!$B$5:$B$104,0))),0))</f>
        <v/>
      </c>
      <c r="I809" s="27" t="str">
        <f aca="false">IF(G809="","",G809-H809)</f>
        <v/>
      </c>
      <c r="J809" s="42"/>
    </row>
    <row r="810" customFormat="false" ht="21" hidden="false" customHeight="true" outlineLevel="0" collapsed="false">
      <c r="B810" s="41"/>
      <c r="C810" s="9"/>
      <c r="D810" s="9"/>
      <c r="E810" s="42"/>
      <c r="F810" s="43"/>
      <c r="G810" s="27" t="str">
        <f aca="false">IF(OR(C810="",AND(D810="",F810="")),"",IF(N(E810)=0,1,E810)*IF(F810="",IFERROR(N(INDEX(Produtos!$L$5:$L$104,MATCH(D810,Produtos!$B$5:$B$104,0))),0),F810))</f>
        <v/>
      </c>
      <c r="H810" s="27" t="str">
        <f aca="false">IF(G810="","",IF(N(E810)=0,1,E810)*IFERROR(N(INDEX(Produtos!$G$5:$G$104,MATCH(D810,Produtos!$B$5:$B$104,0))),0))</f>
        <v/>
      </c>
      <c r="I810" s="27" t="str">
        <f aca="false">IF(G810="","",G810-H810)</f>
        <v/>
      </c>
      <c r="J810" s="42"/>
    </row>
    <row r="811" customFormat="false" ht="21" hidden="false" customHeight="true" outlineLevel="0" collapsed="false">
      <c r="B811" s="41"/>
      <c r="C811" s="9"/>
      <c r="D811" s="9"/>
      <c r="E811" s="42"/>
      <c r="F811" s="43"/>
      <c r="G811" s="27" t="str">
        <f aca="false">IF(OR(C811="",AND(D811="",F811="")),"",IF(N(E811)=0,1,E811)*IF(F811="",IFERROR(N(INDEX(Produtos!$L$5:$L$104,MATCH(D811,Produtos!$B$5:$B$104,0))),0),F811))</f>
        <v/>
      </c>
      <c r="H811" s="27" t="str">
        <f aca="false">IF(G811="","",IF(N(E811)=0,1,E811)*IFERROR(N(INDEX(Produtos!$G$5:$G$104,MATCH(D811,Produtos!$B$5:$B$104,0))),0))</f>
        <v/>
      </c>
      <c r="I811" s="27" t="str">
        <f aca="false">IF(G811="","",G811-H811)</f>
        <v/>
      </c>
      <c r="J811" s="42"/>
    </row>
    <row r="812" customFormat="false" ht="21" hidden="false" customHeight="true" outlineLevel="0" collapsed="false">
      <c r="B812" s="41"/>
      <c r="C812" s="9"/>
      <c r="D812" s="9"/>
      <c r="E812" s="42"/>
      <c r="F812" s="43"/>
      <c r="G812" s="27" t="str">
        <f aca="false">IF(OR(C812="",AND(D812="",F812="")),"",IF(N(E812)=0,1,E812)*IF(F812="",IFERROR(N(INDEX(Produtos!$L$5:$L$104,MATCH(D812,Produtos!$B$5:$B$104,0))),0),F812))</f>
        <v/>
      </c>
      <c r="H812" s="27" t="str">
        <f aca="false">IF(G812="","",IF(N(E812)=0,1,E812)*IFERROR(N(INDEX(Produtos!$G$5:$G$104,MATCH(D812,Produtos!$B$5:$B$104,0))),0))</f>
        <v/>
      </c>
      <c r="I812" s="27" t="str">
        <f aca="false">IF(G812="","",G812-H812)</f>
        <v/>
      </c>
      <c r="J812" s="42"/>
    </row>
    <row r="813" customFormat="false" ht="21" hidden="false" customHeight="true" outlineLevel="0" collapsed="false">
      <c r="B813" s="41"/>
      <c r="C813" s="9"/>
      <c r="D813" s="9"/>
      <c r="E813" s="42"/>
      <c r="F813" s="43"/>
      <c r="G813" s="27" t="str">
        <f aca="false">IF(OR(C813="",AND(D813="",F813="")),"",IF(N(E813)=0,1,E813)*IF(F813="",IFERROR(N(INDEX(Produtos!$L$5:$L$104,MATCH(D813,Produtos!$B$5:$B$104,0))),0),F813))</f>
        <v/>
      </c>
      <c r="H813" s="27" t="str">
        <f aca="false">IF(G813="","",IF(N(E813)=0,1,E813)*IFERROR(N(INDEX(Produtos!$G$5:$G$104,MATCH(D813,Produtos!$B$5:$B$104,0))),0))</f>
        <v/>
      </c>
      <c r="I813" s="27" t="str">
        <f aca="false">IF(G813="","",G813-H813)</f>
        <v/>
      </c>
      <c r="J813" s="42"/>
    </row>
    <row r="814" customFormat="false" ht="21" hidden="false" customHeight="true" outlineLevel="0" collapsed="false">
      <c r="B814" s="41"/>
      <c r="C814" s="9"/>
      <c r="D814" s="9"/>
      <c r="E814" s="42"/>
      <c r="F814" s="43"/>
      <c r="G814" s="27" t="str">
        <f aca="false">IF(OR(C814="",AND(D814="",F814="")),"",IF(N(E814)=0,1,E814)*IF(F814="",IFERROR(N(INDEX(Produtos!$L$5:$L$104,MATCH(D814,Produtos!$B$5:$B$104,0))),0),F814))</f>
        <v/>
      </c>
      <c r="H814" s="27" t="str">
        <f aca="false">IF(G814="","",IF(N(E814)=0,1,E814)*IFERROR(N(INDEX(Produtos!$G$5:$G$104,MATCH(D814,Produtos!$B$5:$B$104,0))),0))</f>
        <v/>
      </c>
      <c r="I814" s="27" t="str">
        <f aca="false">IF(G814="","",G814-H814)</f>
        <v/>
      </c>
      <c r="J814" s="42"/>
    </row>
    <row r="815" customFormat="false" ht="21" hidden="false" customHeight="true" outlineLevel="0" collapsed="false">
      <c r="B815" s="41"/>
      <c r="C815" s="9"/>
      <c r="D815" s="9"/>
      <c r="E815" s="42"/>
      <c r="F815" s="43"/>
      <c r="G815" s="27" t="str">
        <f aca="false">IF(OR(C815="",AND(D815="",F815="")),"",IF(N(E815)=0,1,E815)*IF(F815="",IFERROR(N(INDEX(Produtos!$L$5:$L$104,MATCH(D815,Produtos!$B$5:$B$104,0))),0),F815))</f>
        <v/>
      </c>
      <c r="H815" s="27" t="str">
        <f aca="false">IF(G815="","",IF(N(E815)=0,1,E815)*IFERROR(N(INDEX(Produtos!$G$5:$G$104,MATCH(D815,Produtos!$B$5:$B$104,0))),0))</f>
        <v/>
      </c>
      <c r="I815" s="27" t="str">
        <f aca="false">IF(G815="","",G815-H815)</f>
        <v/>
      </c>
      <c r="J815" s="42"/>
    </row>
    <row r="816" customFormat="false" ht="21" hidden="false" customHeight="true" outlineLevel="0" collapsed="false">
      <c r="B816" s="41"/>
      <c r="C816" s="9"/>
      <c r="D816" s="9"/>
      <c r="E816" s="42"/>
      <c r="F816" s="43"/>
      <c r="G816" s="27" t="str">
        <f aca="false">IF(OR(C816="",AND(D816="",F816="")),"",IF(N(E816)=0,1,E816)*IF(F816="",IFERROR(N(INDEX(Produtos!$L$5:$L$104,MATCH(D816,Produtos!$B$5:$B$104,0))),0),F816))</f>
        <v/>
      </c>
      <c r="H816" s="27" t="str">
        <f aca="false">IF(G816="","",IF(N(E816)=0,1,E816)*IFERROR(N(INDEX(Produtos!$G$5:$G$104,MATCH(D816,Produtos!$B$5:$B$104,0))),0))</f>
        <v/>
      </c>
      <c r="I816" s="27" t="str">
        <f aca="false">IF(G816="","",G816-H816)</f>
        <v/>
      </c>
      <c r="J816" s="42"/>
    </row>
    <row r="817" customFormat="false" ht="21" hidden="false" customHeight="true" outlineLevel="0" collapsed="false">
      <c r="B817" s="41"/>
      <c r="C817" s="9"/>
      <c r="D817" s="9"/>
      <c r="E817" s="42"/>
      <c r="F817" s="43"/>
      <c r="G817" s="27" t="str">
        <f aca="false">IF(OR(C817="",AND(D817="",F817="")),"",IF(N(E817)=0,1,E817)*IF(F817="",IFERROR(N(INDEX(Produtos!$L$5:$L$104,MATCH(D817,Produtos!$B$5:$B$104,0))),0),F817))</f>
        <v/>
      </c>
      <c r="H817" s="27" t="str">
        <f aca="false">IF(G817="","",IF(N(E817)=0,1,E817)*IFERROR(N(INDEX(Produtos!$G$5:$G$104,MATCH(D817,Produtos!$B$5:$B$104,0))),0))</f>
        <v/>
      </c>
      <c r="I817" s="27" t="str">
        <f aca="false">IF(G817="","",G817-H817)</f>
        <v/>
      </c>
      <c r="J817" s="42"/>
    </row>
    <row r="818" customFormat="false" ht="21" hidden="false" customHeight="true" outlineLevel="0" collapsed="false">
      <c r="B818" s="41"/>
      <c r="C818" s="9"/>
      <c r="D818" s="9"/>
      <c r="E818" s="42"/>
      <c r="F818" s="43"/>
      <c r="G818" s="27" t="str">
        <f aca="false">IF(OR(C818="",AND(D818="",F818="")),"",IF(N(E818)=0,1,E818)*IF(F818="",IFERROR(N(INDEX(Produtos!$L$5:$L$104,MATCH(D818,Produtos!$B$5:$B$104,0))),0),F818))</f>
        <v/>
      </c>
      <c r="H818" s="27" t="str">
        <f aca="false">IF(G818="","",IF(N(E818)=0,1,E818)*IFERROR(N(INDEX(Produtos!$G$5:$G$104,MATCH(D818,Produtos!$B$5:$B$104,0))),0))</f>
        <v/>
      </c>
      <c r="I818" s="27" t="str">
        <f aca="false">IF(G818="","",G818-H818)</f>
        <v/>
      </c>
      <c r="J818" s="42"/>
    </row>
    <row r="819" customFormat="false" ht="21" hidden="false" customHeight="true" outlineLevel="0" collapsed="false">
      <c r="B819" s="41"/>
      <c r="C819" s="9"/>
      <c r="D819" s="9"/>
      <c r="E819" s="42"/>
      <c r="F819" s="43"/>
      <c r="G819" s="27" t="str">
        <f aca="false">IF(OR(C819="",AND(D819="",F819="")),"",IF(N(E819)=0,1,E819)*IF(F819="",IFERROR(N(INDEX(Produtos!$L$5:$L$104,MATCH(D819,Produtos!$B$5:$B$104,0))),0),F819))</f>
        <v/>
      </c>
      <c r="H819" s="27" t="str">
        <f aca="false">IF(G819="","",IF(N(E819)=0,1,E819)*IFERROR(N(INDEX(Produtos!$G$5:$G$104,MATCH(D819,Produtos!$B$5:$B$104,0))),0))</f>
        <v/>
      </c>
      <c r="I819" s="27" t="str">
        <f aca="false">IF(G819="","",G819-H819)</f>
        <v/>
      </c>
      <c r="J819" s="42"/>
    </row>
    <row r="820" customFormat="false" ht="21" hidden="false" customHeight="true" outlineLevel="0" collapsed="false">
      <c r="B820" s="41"/>
      <c r="C820" s="9"/>
      <c r="D820" s="9"/>
      <c r="E820" s="42"/>
      <c r="F820" s="43"/>
      <c r="G820" s="27" t="str">
        <f aca="false">IF(OR(C820="",AND(D820="",F820="")),"",IF(N(E820)=0,1,E820)*IF(F820="",IFERROR(N(INDEX(Produtos!$L$5:$L$104,MATCH(D820,Produtos!$B$5:$B$104,0))),0),F820))</f>
        <v/>
      </c>
      <c r="H820" s="27" t="str">
        <f aca="false">IF(G820="","",IF(N(E820)=0,1,E820)*IFERROR(N(INDEX(Produtos!$G$5:$G$104,MATCH(D820,Produtos!$B$5:$B$104,0))),0))</f>
        <v/>
      </c>
      <c r="I820" s="27" t="str">
        <f aca="false">IF(G820="","",G820-H820)</f>
        <v/>
      </c>
      <c r="J820" s="42"/>
    </row>
    <row r="821" customFormat="false" ht="21" hidden="false" customHeight="true" outlineLevel="0" collapsed="false">
      <c r="B821" s="41"/>
      <c r="C821" s="9"/>
      <c r="D821" s="9"/>
      <c r="E821" s="42"/>
      <c r="F821" s="43"/>
      <c r="G821" s="27" t="str">
        <f aca="false">IF(OR(C821="",AND(D821="",F821="")),"",IF(N(E821)=0,1,E821)*IF(F821="",IFERROR(N(INDEX(Produtos!$L$5:$L$104,MATCH(D821,Produtos!$B$5:$B$104,0))),0),F821))</f>
        <v/>
      </c>
      <c r="H821" s="27" t="str">
        <f aca="false">IF(G821="","",IF(N(E821)=0,1,E821)*IFERROR(N(INDEX(Produtos!$G$5:$G$104,MATCH(D821,Produtos!$B$5:$B$104,0))),0))</f>
        <v/>
      </c>
      <c r="I821" s="27" t="str">
        <f aca="false">IF(G821="","",G821-H821)</f>
        <v/>
      </c>
      <c r="J821" s="42"/>
    </row>
    <row r="822" customFormat="false" ht="21" hidden="false" customHeight="true" outlineLevel="0" collapsed="false">
      <c r="B822" s="41"/>
      <c r="C822" s="9"/>
      <c r="D822" s="9"/>
      <c r="E822" s="42"/>
      <c r="F822" s="43"/>
      <c r="G822" s="27" t="str">
        <f aca="false">IF(OR(C822="",AND(D822="",F822="")),"",IF(N(E822)=0,1,E822)*IF(F822="",IFERROR(N(INDEX(Produtos!$L$5:$L$104,MATCH(D822,Produtos!$B$5:$B$104,0))),0),F822))</f>
        <v/>
      </c>
      <c r="H822" s="27" t="str">
        <f aca="false">IF(G822="","",IF(N(E822)=0,1,E822)*IFERROR(N(INDEX(Produtos!$G$5:$G$104,MATCH(D822,Produtos!$B$5:$B$104,0))),0))</f>
        <v/>
      </c>
      <c r="I822" s="27" t="str">
        <f aca="false">IF(G822="","",G822-H822)</f>
        <v/>
      </c>
      <c r="J822" s="42"/>
    </row>
    <row r="823" customFormat="false" ht="21" hidden="false" customHeight="true" outlineLevel="0" collapsed="false">
      <c r="B823" s="41"/>
      <c r="C823" s="9"/>
      <c r="D823" s="9"/>
      <c r="E823" s="42"/>
      <c r="F823" s="43"/>
      <c r="G823" s="27" t="str">
        <f aca="false">IF(OR(C823="",AND(D823="",F823="")),"",IF(N(E823)=0,1,E823)*IF(F823="",IFERROR(N(INDEX(Produtos!$L$5:$L$104,MATCH(D823,Produtos!$B$5:$B$104,0))),0),F823))</f>
        <v/>
      </c>
      <c r="H823" s="27" t="str">
        <f aca="false">IF(G823="","",IF(N(E823)=0,1,E823)*IFERROR(N(INDEX(Produtos!$G$5:$G$104,MATCH(D823,Produtos!$B$5:$B$104,0))),0))</f>
        <v/>
      </c>
      <c r="I823" s="27" t="str">
        <f aca="false">IF(G823="","",G823-H823)</f>
        <v/>
      </c>
      <c r="J823" s="42"/>
    </row>
    <row r="824" customFormat="false" ht="21" hidden="false" customHeight="true" outlineLevel="0" collapsed="false">
      <c r="B824" s="41"/>
      <c r="C824" s="9"/>
      <c r="D824" s="9"/>
      <c r="E824" s="42"/>
      <c r="F824" s="43"/>
      <c r="G824" s="27" t="str">
        <f aca="false">IF(OR(C824="",AND(D824="",F824="")),"",IF(N(E824)=0,1,E824)*IF(F824="",IFERROR(N(INDEX(Produtos!$L$5:$L$104,MATCH(D824,Produtos!$B$5:$B$104,0))),0),F824))</f>
        <v/>
      </c>
      <c r="H824" s="27" t="str">
        <f aca="false">IF(G824="","",IF(N(E824)=0,1,E824)*IFERROR(N(INDEX(Produtos!$G$5:$G$104,MATCH(D824,Produtos!$B$5:$B$104,0))),0))</f>
        <v/>
      </c>
      <c r="I824" s="27" t="str">
        <f aca="false">IF(G824="","",G824-H824)</f>
        <v/>
      </c>
      <c r="J824" s="42"/>
    </row>
    <row r="825" customFormat="false" ht="21" hidden="false" customHeight="true" outlineLevel="0" collapsed="false">
      <c r="B825" s="41"/>
      <c r="C825" s="9"/>
      <c r="D825" s="9"/>
      <c r="E825" s="42"/>
      <c r="F825" s="43"/>
      <c r="G825" s="27" t="str">
        <f aca="false">IF(OR(C825="",AND(D825="",F825="")),"",IF(N(E825)=0,1,E825)*IF(F825="",IFERROR(N(INDEX(Produtos!$L$5:$L$104,MATCH(D825,Produtos!$B$5:$B$104,0))),0),F825))</f>
        <v/>
      </c>
      <c r="H825" s="27" t="str">
        <f aca="false">IF(G825="","",IF(N(E825)=0,1,E825)*IFERROR(N(INDEX(Produtos!$G$5:$G$104,MATCH(D825,Produtos!$B$5:$B$104,0))),0))</f>
        <v/>
      </c>
      <c r="I825" s="27" t="str">
        <f aca="false">IF(G825="","",G825-H825)</f>
        <v/>
      </c>
      <c r="J825" s="42"/>
    </row>
    <row r="826" customFormat="false" ht="21" hidden="false" customHeight="true" outlineLevel="0" collapsed="false">
      <c r="B826" s="41"/>
      <c r="C826" s="9"/>
      <c r="D826" s="9"/>
      <c r="E826" s="42"/>
      <c r="F826" s="43"/>
      <c r="G826" s="27" t="str">
        <f aca="false">IF(OR(C826="",AND(D826="",F826="")),"",IF(N(E826)=0,1,E826)*IF(F826="",IFERROR(N(INDEX(Produtos!$L$5:$L$104,MATCH(D826,Produtos!$B$5:$B$104,0))),0),F826))</f>
        <v/>
      </c>
      <c r="H826" s="27" t="str">
        <f aca="false">IF(G826="","",IF(N(E826)=0,1,E826)*IFERROR(N(INDEX(Produtos!$G$5:$G$104,MATCH(D826,Produtos!$B$5:$B$104,0))),0))</f>
        <v/>
      </c>
      <c r="I826" s="27" t="str">
        <f aca="false">IF(G826="","",G826-H826)</f>
        <v/>
      </c>
      <c r="J826" s="42"/>
    </row>
    <row r="827" customFormat="false" ht="21" hidden="false" customHeight="true" outlineLevel="0" collapsed="false">
      <c r="B827" s="41"/>
      <c r="C827" s="9"/>
      <c r="D827" s="9"/>
      <c r="E827" s="42"/>
      <c r="F827" s="43"/>
      <c r="G827" s="27" t="str">
        <f aca="false">IF(OR(C827="",AND(D827="",F827="")),"",IF(N(E827)=0,1,E827)*IF(F827="",IFERROR(N(INDEX(Produtos!$L$5:$L$104,MATCH(D827,Produtos!$B$5:$B$104,0))),0),F827))</f>
        <v/>
      </c>
      <c r="H827" s="27" t="str">
        <f aca="false">IF(G827="","",IF(N(E827)=0,1,E827)*IFERROR(N(INDEX(Produtos!$G$5:$G$104,MATCH(D827,Produtos!$B$5:$B$104,0))),0))</f>
        <v/>
      </c>
      <c r="I827" s="27" t="str">
        <f aca="false">IF(G827="","",G827-H827)</f>
        <v/>
      </c>
      <c r="J827" s="42"/>
    </row>
    <row r="828" customFormat="false" ht="21" hidden="false" customHeight="true" outlineLevel="0" collapsed="false">
      <c r="B828" s="41"/>
      <c r="C828" s="9"/>
      <c r="D828" s="9"/>
      <c r="E828" s="42"/>
      <c r="F828" s="43"/>
      <c r="G828" s="27" t="str">
        <f aca="false">IF(OR(C828="",AND(D828="",F828="")),"",IF(N(E828)=0,1,E828)*IF(F828="",IFERROR(N(INDEX(Produtos!$L$5:$L$104,MATCH(D828,Produtos!$B$5:$B$104,0))),0),F828))</f>
        <v/>
      </c>
      <c r="H828" s="27" t="str">
        <f aca="false">IF(G828="","",IF(N(E828)=0,1,E828)*IFERROR(N(INDEX(Produtos!$G$5:$G$104,MATCH(D828,Produtos!$B$5:$B$104,0))),0))</f>
        <v/>
      </c>
      <c r="I828" s="27" t="str">
        <f aca="false">IF(G828="","",G828-H828)</f>
        <v/>
      </c>
      <c r="J828" s="42"/>
    </row>
    <row r="829" customFormat="false" ht="21" hidden="false" customHeight="true" outlineLevel="0" collapsed="false">
      <c r="B829" s="41"/>
      <c r="C829" s="9"/>
      <c r="D829" s="9"/>
      <c r="E829" s="42"/>
      <c r="F829" s="43"/>
      <c r="G829" s="27" t="str">
        <f aca="false">IF(OR(C829="",AND(D829="",F829="")),"",IF(N(E829)=0,1,E829)*IF(F829="",IFERROR(N(INDEX(Produtos!$L$5:$L$104,MATCH(D829,Produtos!$B$5:$B$104,0))),0),F829))</f>
        <v/>
      </c>
      <c r="H829" s="27" t="str">
        <f aca="false">IF(G829="","",IF(N(E829)=0,1,E829)*IFERROR(N(INDEX(Produtos!$G$5:$G$104,MATCH(D829,Produtos!$B$5:$B$104,0))),0))</f>
        <v/>
      </c>
      <c r="I829" s="27" t="str">
        <f aca="false">IF(G829="","",G829-H829)</f>
        <v/>
      </c>
      <c r="J829" s="42"/>
    </row>
    <row r="830" customFormat="false" ht="21" hidden="false" customHeight="true" outlineLevel="0" collapsed="false">
      <c r="B830" s="41"/>
      <c r="C830" s="9"/>
      <c r="D830" s="9"/>
      <c r="E830" s="42"/>
      <c r="F830" s="43"/>
      <c r="G830" s="27" t="str">
        <f aca="false">IF(OR(C830="",AND(D830="",F830="")),"",IF(N(E830)=0,1,E830)*IF(F830="",IFERROR(N(INDEX(Produtos!$L$5:$L$104,MATCH(D830,Produtos!$B$5:$B$104,0))),0),F830))</f>
        <v/>
      </c>
      <c r="H830" s="27" t="str">
        <f aca="false">IF(G830="","",IF(N(E830)=0,1,E830)*IFERROR(N(INDEX(Produtos!$G$5:$G$104,MATCH(D830,Produtos!$B$5:$B$104,0))),0))</f>
        <v/>
      </c>
      <c r="I830" s="27" t="str">
        <f aca="false">IF(G830="","",G830-H830)</f>
        <v/>
      </c>
      <c r="J830" s="42"/>
    </row>
    <row r="831" customFormat="false" ht="21" hidden="false" customHeight="true" outlineLevel="0" collapsed="false">
      <c r="B831" s="41"/>
      <c r="C831" s="9"/>
      <c r="D831" s="9"/>
      <c r="E831" s="42"/>
      <c r="F831" s="43"/>
      <c r="G831" s="27" t="str">
        <f aca="false">IF(OR(C831="",AND(D831="",F831="")),"",IF(N(E831)=0,1,E831)*IF(F831="",IFERROR(N(INDEX(Produtos!$L$5:$L$104,MATCH(D831,Produtos!$B$5:$B$104,0))),0),F831))</f>
        <v/>
      </c>
      <c r="H831" s="27" t="str">
        <f aca="false">IF(G831="","",IF(N(E831)=0,1,E831)*IFERROR(N(INDEX(Produtos!$G$5:$G$104,MATCH(D831,Produtos!$B$5:$B$104,0))),0))</f>
        <v/>
      </c>
      <c r="I831" s="27" t="str">
        <f aca="false">IF(G831="","",G831-H831)</f>
        <v/>
      </c>
      <c r="J831" s="42"/>
    </row>
    <row r="832" customFormat="false" ht="21" hidden="false" customHeight="true" outlineLevel="0" collapsed="false">
      <c r="B832" s="41"/>
      <c r="C832" s="9"/>
      <c r="D832" s="9"/>
      <c r="E832" s="42"/>
      <c r="F832" s="43"/>
      <c r="G832" s="27" t="str">
        <f aca="false">IF(OR(C832="",AND(D832="",F832="")),"",IF(N(E832)=0,1,E832)*IF(F832="",IFERROR(N(INDEX(Produtos!$L$5:$L$104,MATCH(D832,Produtos!$B$5:$B$104,0))),0),F832))</f>
        <v/>
      </c>
      <c r="H832" s="27" t="str">
        <f aca="false">IF(G832="","",IF(N(E832)=0,1,E832)*IFERROR(N(INDEX(Produtos!$G$5:$G$104,MATCH(D832,Produtos!$B$5:$B$104,0))),0))</f>
        <v/>
      </c>
      <c r="I832" s="27" t="str">
        <f aca="false">IF(G832="","",G832-H832)</f>
        <v/>
      </c>
      <c r="J832" s="42"/>
    </row>
    <row r="833" customFormat="false" ht="21" hidden="false" customHeight="true" outlineLevel="0" collapsed="false">
      <c r="B833" s="41"/>
      <c r="C833" s="9"/>
      <c r="D833" s="9"/>
      <c r="E833" s="42"/>
      <c r="F833" s="43"/>
      <c r="G833" s="27" t="str">
        <f aca="false">IF(OR(C833="",AND(D833="",F833="")),"",IF(N(E833)=0,1,E833)*IF(F833="",IFERROR(N(INDEX(Produtos!$L$5:$L$104,MATCH(D833,Produtos!$B$5:$B$104,0))),0),F833))</f>
        <v/>
      </c>
      <c r="H833" s="27" t="str">
        <f aca="false">IF(G833="","",IF(N(E833)=0,1,E833)*IFERROR(N(INDEX(Produtos!$G$5:$G$104,MATCH(D833,Produtos!$B$5:$B$104,0))),0))</f>
        <v/>
      </c>
      <c r="I833" s="27" t="str">
        <f aca="false">IF(G833="","",G833-H833)</f>
        <v/>
      </c>
      <c r="J833" s="42"/>
    </row>
    <row r="834" customFormat="false" ht="21" hidden="false" customHeight="true" outlineLevel="0" collapsed="false">
      <c r="B834" s="41"/>
      <c r="C834" s="9"/>
      <c r="D834" s="9"/>
      <c r="E834" s="42"/>
      <c r="F834" s="43"/>
      <c r="G834" s="27" t="str">
        <f aca="false">IF(OR(C834="",AND(D834="",F834="")),"",IF(N(E834)=0,1,E834)*IF(F834="",IFERROR(N(INDEX(Produtos!$L$5:$L$104,MATCH(D834,Produtos!$B$5:$B$104,0))),0),F834))</f>
        <v/>
      </c>
      <c r="H834" s="27" t="str">
        <f aca="false">IF(G834="","",IF(N(E834)=0,1,E834)*IFERROR(N(INDEX(Produtos!$G$5:$G$104,MATCH(D834,Produtos!$B$5:$B$104,0))),0))</f>
        <v/>
      </c>
      <c r="I834" s="27" t="str">
        <f aca="false">IF(G834="","",G834-H834)</f>
        <v/>
      </c>
      <c r="J834" s="42"/>
    </row>
    <row r="835" customFormat="false" ht="21" hidden="false" customHeight="true" outlineLevel="0" collapsed="false">
      <c r="B835" s="41"/>
      <c r="C835" s="9"/>
      <c r="D835" s="9"/>
      <c r="E835" s="42"/>
      <c r="F835" s="43"/>
      <c r="G835" s="27" t="str">
        <f aca="false">IF(OR(C835="",AND(D835="",F835="")),"",IF(N(E835)=0,1,E835)*IF(F835="",IFERROR(N(INDEX(Produtos!$L$5:$L$104,MATCH(D835,Produtos!$B$5:$B$104,0))),0),F835))</f>
        <v/>
      </c>
      <c r="H835" s="27" t="str">
        <f aca="false">IF(G835="","",IF(N(E835)=0,1,E835)*IFERROR(N(INDEX(Produtos!$G$5:$G$104,MATCH(D835,Produtos!$B$5:$B$104,0))),0))</f>
        <v/>
      </c>
      <c r="I835" s="27" t="str">
        <f aca="false">IF(G835="","",G835-H835)</f>
        <v/>
      </c>
      <c r="J835" s="42"/>
    </row>
    <row r="836" customFormat="false" ht="21" hidden="false" customHeight="true" outlineLevel="0" collapsed="false">
      <c r="B836" s="41"/>
      <c r="C836" s="9"/>
      <c r="D836" s="9"/>
      <c r="E836" s="42"/>
      <c r="F836" s="43"/>
      <c r="G836" s="27" t="str">
        <f aca="false">IF(OR(C836="",AND(D836="",F836="")),"",IF(N(E836)=0,1,E836)*IF(F836="",IFERROR(N(INDEX(Produtos!$L$5:$L$104,MATCH(D836,Produtos!$B$5:$B$104,0))),0),F836))</f>
        <v/>
      </c>
      <c r="H836" s="27" t="str">
        <f aca="false">IF(G836="","",IF(N(E836)=0,1,E836)*IFERROR(N(INDEX(Produtos!$G$5:$G$104,MATCH(D836,Produtos!$B$5:$B$104,0))),0))</f>
        <v/>
      </c>
      <c r="I836" s="27" t="str">
        <f aca="false">IF(G836="","",G836-H836)</f>
        <v/>
      </c>
      <c r="J836" s="42"/>
    </row>
    <row r="837" customFormat="false" ht="21" hidden="false" customHeight="true" outlineLevel="0" collapsed="false">
      <c r="B837" s="41"/>
      <c r="C837" s="9"/>
      <c r="D837" s="9"/>
      <c r="E837" s="42"/>
      <c r="F837" s="43"/>
      <c r="G837" s="27" t="str">
        <f aca="false">IF(OR(C837="",AND(D837="",F837="")),"",IF(N(E837)=0,1,E837)*IF(F837="",IFERROR(N(INDEX(Produtos!$L$5:$L$104,MATCH(D837,Produtos!$B$5:$B$104,0))),0),F837))</f>
        <v/>
      </c>
      <c r="H837" s="27" t="str">
        <f aca="false">IF(G837="","",IF(N(E837)=0,1,E837)*IFERROR(N(INDEX(Produtos!$G$5:$G$104,MATCH(D837,Produtos!$B$5:$B$104,0))),0))</f>
        <v/>
      </c>
      <c r="I837" s="27" t="str">
        <f aca="false">IF(G837="","",G837-H837)</f>
        <v/>
      </c>
      <c r="J837" s="42"/>
    </row>
    <row r="838" customFormat="false" ht="21" hidden="false" customHeight="true" outlineLevel="0" collapsed="false">
      <c r="B838" s="41"/>
      <c r="C838" s="9"/>
      <c r="D838" s="9"/>
      <c r="E838" s="42"/>
      <c r="F838" s="43"/>
      <c r="G838" s="27" t="str">
        <f aca="false">IF(OR(C838="",AND(D838="",F838="")),"",IF(N(E838)=0,1,E838)*IF(F838="",IFERROR(N(INDEX(Produtos!$L$5:$L$104,MATCH(D838,Produtos!$B$5:$B$104,0))),0),F838))</f>
        <v/>
      </c>
      <c r="H838" s="27" t="str">
        <f aca="false">IF(G838="","",IF(N(E838)=0,1,E838)*IFERROR(N(INDEX(Produtos!$G$5:$G$104,MATCH(D838,Produtos!$B$5:$B$104,0))),0))</f>
        <v/>
      </c>
      <c r="I838" s="27" t="str">
        <f aca="false">IF(G838="","",G838-H838)</f>
        <v/>
      </c>
      <c r="J838" s="42"/>
    </row>
    <row r="839" customFormat="false" ht="21" hidden="false" customHeight="true" outlineLevel="0" collapsed="false">
      <c r="B839" s="41"/>
      <c r="C839" s="9"/>
      <c r="D839" s="9"/>
      <c r="E839" s="42"/>
      <c r="F839" s="43"/>
      <c r="G839" s="27" t="str">
        <f aca="false">IF(OR(C839="",AND(D839="",F839="")),"",IF(N(E839)=0,1,E839)*IF(F839="",IFERROR(N(INDEX(Produtos!$L$5:$L$104,MATCH(D839,Produtos!$B$5:$B$104,0))),0),F839))</f>
        <v/>
      </c>
      <c r="H839" s="27" t="str">
        <f aca="false">IF(G839="","",IF(N(E839)=0,1,E839)*IFERROR(N(INDEX(Produtos!$G$5:$G$104,MATCH(D839,Produtos!$B$5:$B$104,0))),0))</f>
        <v/>
      </c>
      <c r="I839" s="27" t="str">
        <f aca="false">IF(G839="","",G839-H839)</f>
        <v/>
      </c>
      <c r="J839" s="42"/>
    </row>
    <row r="840" customFormat="false" ht="21" hidden="false" customHeight="true" outlineLevel="0" collapsed="false">
      <c r="B840" s="41"/>
      <c r="C840" s="9"/>
      <c r="D840" s="9"/>
      <c r="E840" s="42"/>
      <c r="F840" s="43"/>
      <c r="G840" s="27" t="str">
        <f aca="false">IF(OR(C840="",AND(D840="",F840="")),"",IF(N(E840)=0,1,E840)*IF(F840="",IFERROR(N(INDEX(Produtos!$L$5:$L$104,MATCH(D840,Produtos!$B$5:$B$104,0))),0),F840))</f>
        <v/>
      </c>
      <c r="H840" s="27" t="str">
        <f aca="false">IF(G840="","",IF(N(E840)=0,1,E840)*IFERROR(N(INDEX(Produtos!$G$5:$G$104,MATCH(D840,Produtos!$B$5:$B$104,0))),0))</f>
        <v/>
      </c>
      <c r="I840" s="27" t="str">
        <f aca="false">IF(G840="","",G840-H840)</f>
        <v/>
      </c>
      <c r="J840" s="42"/>
    </row>
    <row r="841" customFormat="false" ht="21" hidden="false" customHeight="true" outlineLevel="0" collapsed="false">
      <c r="B841" s="41"/>
      <c r="C841" s="9"/>
      <c r="D841" s="9"/>
      <c r="E841" s="42"/>
      <c r="F841" s="43"/>
      <c r="G841" s="27" t="str">
        <f aca="false">IF(OR(C841="",AND(D841="",F841="")),"",IF(N(E841)=0,1,E841)*IF(F841="",IFERROR(N(INDEX(Produtos!$L$5:$L$104,MATCH(D841,Produtos!$B$5:$B$104,0))),0),F841))</f>
        <v/>
      </c>
      <c r="H841" s="27" t="str">
        <f aca="false">IF(G841="","",IF(N(E841)=0,1,E841)*IFERROR(N(INDEX(Produtos!$G$5:$G$104,MATCH(D841,Produtos!$B$5:$B$104,0))),0))</f>
        <v/>
      </c>
      <c r="I841" s="27" t="str">
        <f aca="false">IF(G841="","",G841-H841)</f>
        <v/>
      </c>
      <c r="J841" s="42"/>
    </row>
    <row r="842" customFormat="false" ht="21" hidden="false" customHeight="true" outlineLevel="0" collapsed="false">
      <c r="B842" s="41"/>
      <c r="C842" s="9"/>
      <c r="D842" s="9"/>
      <c r="E842" s="42"/>
      <c r="F842" s="43"/>
      <c r="G842" s="27" t="str">
        <f aca="false">IF(OR(C842="",AND(D842="",F842="")),"",IF(N(E842)=0,1,E842)*IF(F842="",IFERROR(N(INDEX(Produtos!$L$5:$L$104,MATCH(D842,Produtos!$B$5:$B$104,0))),0),F842))</f>
        <v/>
      </c>
      <c r="H842" s="27" t="str">
        <f aca="false">IF(G842="","",IF(N(E842)=0,1,E842)*IFERROR(N(INDEX(Produtos!$G$5:$G$104,MATCH(D842,Produtos!$B$5:$B$104,0))),0))</f>
        <v/>
      </c>
      <c r="I842" s="27" t="str">
        <f aca="false">IF(G842="","",G842-H842)</f>
        <v/>
      </c>
      <c r="J842" s="42"/>
    </row>
    <row r="843" customFormat="false" ht="21" hidden="false" customHeight="true" outlineLevel="0" collapsed="false">
      <c r="B843" s="41"/>
      <c r="C843" s="9"/>
      <c r="D843" s="9"/>
      <c r="E843" s="42"/>
      <c r="F843" s="43"/>
      <c r="G843" s="27" t="str">
        <f aca="false">IF(OR(C843="",AND(D843="",F843="")),"",IF(N(E843)=0,1,E843)*IF(F843="",IFERROR(N(INDEX(Produtos!$L$5:$L$104,MATCH(D843,Produtos!$B$5:$B$104,0))),0),F843))</f>
        <v/>
      </c>
      <c r="H843" s="27" t="str">
        <f aca="false">IF(G843="","",IF(N(E843)=0,1,E843)*IFERROR(N(INDEX(Produtos!$G$5:$G$104,MATCH(D843,Produtos!$B$5:$B$104,0))),0))</f>
        <v/>
      </c>
      <c r="I843" s="27" t="str">
        <f aca="false">IF(G843="","",G843-H843)</f>
        <v/>
      </c>
      <c r="J843" s="42"/>
    </row>
    <row r="844" customFormat="false" ht="21" hidden="false" customHeight="true" outlineLevel="0" collapsed="false">
      <c r="B844" s="41"/>
      <c r="C844" s="9"/>
      <c r="D844" s="9"/>
      <c r="E844" s="42"/>
      <c r="F844" s="43"/>
      <c r="G844" s="27" t="str">
        <f aca="false">IF(OR(C844="",AND(D844="",F844="")),"",IF(N(E844)=0,1,E844)*IF(F844="",IFERROR(N(INDEX(Produtos!$L$5:$L$104,MATCH(D844,Produtos!$B$5:$B$104,0))),0),F844))</f>
        <v/>
      </c>
      <c r="H844" s="27" t="str">
        <f aca="false">IF(G844="","",IF(N(E844)=0,1,E844)*IFERROR(N(INDEX(Produtos!$G$5:$G$104,MATCH(D844,Produtos!$B$5:$B$104,0))),0))</f>
        <v/>
      </c>
      <c r="I844" s="27" t="str">
        <f aca="false">IF(G844="","",G844-H844)</f>
        <v/>
      </c>
      <c r="J844" s="42"/>
    </row>
    <row r="845" customFormat="false" ht="21" hidden="false" customHeight="true" outlineLevel="0" collapsed="false">
      <c r="B845" s="41"/>
      <c r="C845" s="9"/>
      <c r="D845" s="9"/>
      <c r="E845" s="42"/>
      <c r="F845" s="43"/>
      <c r="G845" s="27" t="str">
        <f aca="false">IF(OR(C845="",AND(D845="",F845="")),"",IF(N(E845)=0,1,E845)*IF(F845="",IFERROR(N(INDEX(Produtos!$L$5:$L$104,MATCH(D845,Produtos!$B$5:$B$104,0))),0),F845))</f>
        <v/>
      </c>
      <c r="H845" s="27" t="str">
        <f aca="false">IF(G845="","",IF(N(E845)=0,1,E845)*IFERROR(N(INDEX(Produtos!$G$5:$G$104,MATCH(D845,Produtos!$B$5:$B$104,0))),0))</f>
        <v/>
      </c>
      <c r="I845" s="27" t="str">
        <f aca="false">IF(G845="","",G845-H845)</f>
        <v/>
      </c>
      <c r="J845" s="42"/>
    </row>
    <row r="846" customFormat="false" ht="21" hidden="false" customHeight="true" outlineLevel="0" collapsed="false">
      <c r="B846" s="41"/>
      <c r="C846" s="9"/>
      <c r="D846" s="9"/>
      <c r="E846" s="42"/>
      <c r="F846" s="43"/>
      <c r="G846" s="27" t="str">
        <f aca="false">IF(OR(C846="",AND(D846="",F846="")),"",IF(N(E846)=0,1,E846)*IF(F846="",IFERROR(N(INDEX(Produtos!$L$5:$L$104,MATCH(D846,Produtos!$B$5:$B$104,0))),0),F846))</f>
        <v/>
      </c>
      <c r="H846" s="27" t="str">
        <f aca="false">IF(G846="","",IF(N(E846)=0,1,E846)*IFERROR(N(INDEX(Produtos!$G$5:$G$104,MATCH(D846,Produtos!$B$5:$B$104,0))),0))</f>
        <v/>
      </c>
      <c r="I846" s="27" t="str">
        <f aca="false">IF(G846="","",G846-H846)</f>
        <v/>
      </c>
      <c r="J846" s="42"/>
    </row>
    <row r="847" customFormat="false" ht="21" hidden="false" customHeight="true" outlineLevel="0" collapsed="false">
      <c r="B847" s="41"/>
      <c r="C847" s="9"/>
      <c r="D847" s="9"/>
      <c r="E847" s="42"/>
      <c r="F847" s="43"/>
      <c r="G847" s="27" t="str">
        <f aca="false">IF(OR(C847="",AND(D847="",F847="")),"",IF(N(E847)=0,1,E847)*IF(F847="",IFERROR(N(INDEX(Produtos!$L$5:$L$104,MATCH(D847,Produtos!$B$5:$B$104,0))),0),F847))</f>
        <v/>
      </c>
      <c r="H847" s="27" t="str">
        <f aca="false">IF(G847="","",IF(N(E847)=0,1,E847)*IFERROR(N(INDEX(Produtos!$G$5:$G$104,MATCH(D847,Produtos!$B$5:$B$104,0))),0))</f>
        <v/>
      </c>
      <c r="I847" s="27" t="str">
        <f aca="false">IF(G847="","",G847-H847)</f>
        <v/>
      </c>
      <c r="J847" s="42"/>
    </row>
    <row r="848" customFormat="false" ht="21" hidden="false" customHeight="true" outlineLevel="0" collapsed="false">
      <c r="B848" s="41"/>
      <c r="C848" s="9"/>
      <c r="D848" s="9"/>
      <c r="E848" s="42"/>
      <c r="F848" s="43"/>
      <c r="G848" s="27" t="str">
        <f aca="false">IF(OR(C848="",AND(D848="",F848="")),"",IF(N(E848)=0,1,E848)*IF(F848="",IFERROR(N(INDEX(Produtos!$L$5:$L$104,MATCH(D848,Produtos!$B$5:$B$104,0))),0),F848))</f>
        <v/>
      </c>
      <c r="H848" s="27" t="str">
        <f aca="false">IF(G848="","",IF(N(E848)=0,1,E848)*IFERROR(N(INDEX(Produtos!$G$5:$G$104,MATCH(D848,Produtos!$B$5:$B$104,0))),0))</f>
        <v/>
      </c>
      <c r="I848" s="27" t="str">
        <f aca="false">IF(G848="","",G848-H848)</f>
        <v/>
      </c>
      <c r="J848" s="42"/>
    </row>
    <row r="849" customFormat="false" ht="21" hidden="false" customHeight="true" outlineLevel="0" collapsed="false">
      <c r="B849" s="41"/>
      <c r="C849" s="9"/>
      <c r="D849" s="9"/>
      <c r="E849" s="42"/>
      <c r="F849" s="43"/>
      <c r="G849" s="27" t="str">
        <f aca="false">IF(OR(C849="",AND(D849="",F849="")),"",IF(N(E849)=0,1,E849)*IF(F849="",IFERROR(N(INDEX(Produtos!$L$5:$L$104,MATCH(D849,Produtos!$B$5:$B$104,0))),0),F849))</f>
        <v/>
      </c>
      <c r="H849" s="27" t="str">
        <f aca="false">IF(G849="","",IF(N(E849)=0,1,E849)*IFERROR(N(INDEX(Produtos!$G$5:$G$104,MATCH(D849,Produtos!$B$5:$B$104,0))),0))</f>
        <v/>
      </c>
      <c r="I849" s="27" t="str">
        <f aca="false">IF(G849="","",G849-H849)</f>
        <v/>
      </c>
      <c r="J849" s="42"/>
    </row>
    <row r="850" customFormat="false" ht="21" hidden="false" customHeight="true" outlineLevel="0" collapsed="false">
      <c r="B850" s="41"/>
      <c r="C850" s="9"/>
      <c r="D850" s="9"/>
      <c r="E850" s="42"/>
      <c r="F850" s="43"/>
      <c r="G850" s="27" t="str">
        <f aca="false">IF(OR(C850="",AND(D850="",F850="")),"",IF(N(E850)=0,1,E850)*IF(F850="",IFERROR(N(INDEX(Produtos!$L$5:$L$104,MATCH(D850,Produtos!$B$5:$B$104,0))),0),F850))</f>
        <v/>
      </c>
      <c r="H850" s="27" t="str">
        <f aca="false">IF(G850="","",IF(N(E850)=0,1,E850)*IFERROR(N(INDEX(Produtos!$G$5:$G$104,MATCH(D850,Produtos!$B$5:$B$104,0))),0))</f>
        <v/>
      </c>
      <c r="I850" s="27" t="str">
        <f aca="false">IF(G850="","",G850-H850)</f>
        <v/>
      </c>
      <c r="J850" s="42"/>
    </row>
    <row r="851" customFormat="false" ht="21" hidden="false" customHeight="true" outlineLevel="0" collapsed="false">
      <c r="B851" s="41"/>
      <c r="C851" s="9"/>
      <c r="D851" s="9"/>
      <c r="E851" s="42"/>
      <c r="F851" s="43"/>
      <c r="G851" s="27" t="str">
        <f aca="false">IF(OR(C851="",AND(D851="",F851="")),"",IF(N(E851)=0,1,E851)*IF(F851="",IFERROR(N(INDEX(Produtos!$L$5:$L$104,MATCH(D851,Produtos!$B$5:$B$104,0))),0),F851))</f>
        <v/>
      </c>
      <c r="H851" s="27" t="str">
        <f aca="false">IF(G851="","",IF(N(E851)=0,1,E851)*IFERROR(N(INDEX(Produtos!$G$5:$G$104,MATCH(D851,Produtos!$B$5:$B$104,0))),0))</f>
        <v/>
      </c>
      <c r="I851" s="27" t="str">
        <f aca="false">IF(G851="","",G851-H851)</f>
        <v/>
      </c>
      <c r="J851" s="42"/>
    </row>
    <row r="852" customFormat="false" ht="21" hidden="false" customHeight="true" outlineLevel="0" collapsed="false">
      <c r="B852" s="41"/>
      <c r="C852" s="9"/>
      <c r="D852" s="9"/>
      <c r="E852" s="42"/>
      <c r="F852" s="43"/>
      <c r="G852" s="27" t="str">
        <f aca="false">IF(OR(C852="",AND(D852="",F852="")),"",IF(N(E852)=0,1,E852)*IF(F852="",IFERROR(N(INDEX(Produtos!$L$5:$L$104,MATCH(D852,Produtos!$B$5:$B$104,0))),0),F852))</f>
        <v/>
      </c>
      <c r="H852" s="27" t="str">
        <f aca="false">IF(G852="","",IF(N(E852)=0,1,E852)*IFERROR(N(INDEX(Produtos!$G$5:$G$104,MATCH(D852,Produtos!$B$5:$B$104,0))),0))</f>
        <v/>
      </c>
      <c r="I852" s="27" t="str">
        <f aca="false">IF(G852="","",G852-H852)</f>
        <v/>
      </c>
      <c r="J852" s="42"/>
    </row>
    <row r="853" customFormat="false" ht="21" hidden="false" customHeight="true" outlineLevel="0" collapsed="false">
      <c r="B853" s="41"/>
      <c r="C853" s="9"/>
      <c r="D853" s="9"/>
      <c r="E853" s="42"/>
      <c r="F853" s="43"/>
      <c r="G853" s="27" t="str">
        <f aca="false">IF(OR(C853="",AND(D853="",F853="")),"",IF(N(E853)=0,1,E853)*IF(F853="",IFERROR(N(INDEX(Produtos!$L$5:$L$104,MATCH(D853,Produtos!$B$5:$B$104,0))),0),F853))</f>
        <v/>
      </c>
      <c r="H853" s="27" t="str">
        <f aca="false">IF(G853="","",IF(N(E853)=0,1,E853)*IFERROR(N(INDEX(Produtos!$G$5:$G$104,MATCH(D853,Produtos!$B$5:$B$104,0))),0))</f>
        <v/>
      </c>
      <c r="I853" s="27" t="str">
        <f aca="false">IF(G853="","",G853-H853)</f>
        <v/>
      </c>
      <c r="J853" s="42"/>
    </row>
    <row r="854" customFormat="false" ht="21" hidden="false" customHeight="true" outlineLevel="0" collapsed="false">
      <c r="B854" s="41"/>
      <c r="C854" s="9"/>
      <c r="D854" s="9"/>
      <c r="E854" s="42"/>
      <c r="F854" s="43"/>
      <c r="G854" s="27" t="str">
        <f aca="false">IF(OR(C854="",AND(D854="",F854="")),"",IF(N(E854)=0,1,E854)*IF(F854="",IFERROR(N(INDEX(Produtos!$L$5:$L$104,MATCH(D854,Produtos!$B$5:$B$104,0))),0),F854))</f>
        <v/>
      </c>
      <c r="H854" s="27" t="str">
        <f aca="false">IF(G854="","",IF(N(E854)=0,1,E854)*IFERROR(N(INDEX(Produtos!$G$5:$G$104,MATCH(D854,Produtos!$B$5:$B$104,0))),0))</f>
        <v/>
      </c>
      <c r="I854" s="27" t="str">
        <f aca="false">IF(G854="","",G854-H854)</f>
        <v/>
      </c>
      <c r="J854" s="42"/>
    </row>
    <row r="855" customFormat="false" ht="21" hidden="false" customHeight="true" outlineLevel="0" collapsed="false">
      <c r="B855" s="41"/>
      <c r="C855" s="9"/>
      <c r="D855" s="9"/>
      <c r="E855" s="42"/>
      <c r="F855" s="43"/>
      <c r="G855" s="27" t="str">
        <f aca="false">IF(OR(C855="",AND(D855="",F855="")),"",IF(N(E855)=0,1,E855)*IF(F855="",IFERROR(N(INDEX(Produtos!$L$5:$L$104,MATCH(D855,Produtos!$B$5:$B$104,0))),0),F855))</f>
        <v/>
      </c>
      <c r="H855" s="27" t="str">
        <f aca="false">IF(G855="","",IF(N(E855)=0,1,E855)*IFERROR(N(INDEX(Produtos!$G$5:$G$104,MATCH(D855,Produtos!$B$5:$B$104,0))),0))</f>
        <v/>
      </c>
      <c r="I855" s="27" t="str">
        <f aca="false">IF(G855="","",G855-H855)</f>
        <v/>
      </c>
      <c r="J855" s="42"/>
    </row>
    <row r="856" customFormat="false" ht="21" hidden="false" customHeight="true" outlineLevel="0" collapsed="false">
      <c r="B856" s="41"/>
      <c r="C856" s="9"/>
      <c r="D856" s="9"/>
      <c r="E856" s="42"/>
      <c r="F856" s="43"/>
      <c r="G856" s="27" t="str">
        <f aca="false">IF(OR(C856="",AND(D856="",F856="")),"",IF(N(E856)=0,1,E856)*IF(F856="",IFERROR(N(INDEX(Produtos!$L$5:$L$104,MATCH(D856,Produtos!$B$5:$B$104,0))),0),F856))</f>
        <v/>
      </c>
      <c r="H856" s="27" t="str">
        <f aca="false">IF(G856="","",IF(N(E856)=0,1,E856)*IFERROR(N(INDEX(Produtos!$G$5:$G$104,MATCH(D856,Produtos!$B$5:$B$104,0))),0))</f>
        <v/>
      </c>
      <c r="I856" s="27" t="str">
        <f aca="false">IF(G856="","",G856-H856)</f>
        <v/>
      </c>
      <c r="J856" s="42"/>
    </row>
    <row r="857" customFormat="false" ht="21" hidden="false" customHeight="true" outlineLevel="0" collapsed="false">
      <c r="B857" s="41"/>
      <c r="C857" s="9"/>
      <c r="D857" s="9"/>
      <c r="E857" s="42"/>
      <c r="F857" s="43"/>
      <c r="G857" s="27" t="str">
        <f aca="false">IF(OR(C857="",AND(D857="",F857="")),"",IF(N(E857)=0,1,E857)*IF(F857="",IFERROR(N(INDEX(Produtos!$L$5:$L$104,MATCH(D857,Produtos!$B$5:$B$104,0))),0),F857))</f>
        <v/>
      </c>
      <c r="H857" s="27" t="str">
        <f aca="false">IF(G857="","",IF(N(E857)=0,1,E857)*IFERROR(N(INDEX(Produtos!$G$5:$G$104,MATCH(D857,Produtos!$B$5:$B$104,0))),0))</f>
        <v/>
      </c>
      <c r="I857" s="27" t="str">
        <f aca="false">IF(G857="","",G857-H857)</f>
        <v/>
      </c>
      <c r="J857" s="42"/>
    </row>
    <row r="858" customFormat="false" ht="21" hidden="false" customHeight="true" outlineLevel="0" collapsed="false">
      <c r="B858" s="41"/>
      <c r="C858" s="9"/>
      <c r="D858" s="9"/>
      <c r="E858" s="42"/>
      <c r="F858" s="43"/>
      <c r="G858" s="27" t="str">
        <f aca="false">IF(OR(C858="",AND(D858="",F858="")),"",IF(N(E858)=0,1,E858)*IF(F858="",IFERROR(N(INDEX(Produtos!$L$5:$L$104,MATCH(D858,Produtos!$B$5:$B$104,0))),0),F858))</f>
        <v/>
      </c>
      <c r="H858" s="27" t="str">
        <f aca="false">IF(G858="","",IF(N(E858)=0,1,E858)*IFERROR(N(INDEX(Produtos!$G$5:$G$104,MATCH(D858,Produtos!$B$5:$B$104,0))),0))</f>
        <v/>
      </c>
      <c r="I858" s="27" t="str">
        <f aca="false">IF(G858="","",G858-H858)</f>
        <v/>
      </c>
      <c r="J858" s="42"/>
    </row>
    <row r="859" customFormat="false" ht="21" hidden="false" customHeight="true" outlineLevel="0" collapsed="false">
      <c r="B859" s="41"/>
      <c r="C859" s="9"/>
      <c r="D859" s="9"/>
      <c r="E859" s="42"/>
      <c r="F859" s="43"/>
      <c r="G859" s="27" t="str">
        <f aca="false">IF(OR(C859="",AND(D859="",F859="")),"",IF(N(E859)=0,1,E859)*IF(F859="",IFERROR(N(INDEX(Produtos!$L$5:$L$104,MATCH(D859,Produtos!$B$5:$B$104,0))),0),F859))</f>
        <v/>
      </c>
      <c r="H859" s="27" t="str">
        <f aca="false">IF(G859="","",IF(N(E859)=0,1,E859)*IFERROR(N(INDEX(Produtos!$G$5:$G$104,MATCH(D859,Produtos!$B$5:$B$104,0))),0))</f>
        <v/>
      </c>
      <c r="I859" s="27" t="str">
        <f aca="false">IF(G859="","",G859-H859)</f>
        <v/>
      </c>
      <c r="J859" s="42"/>
    </row>
    <row r="860" customFormat="false" ht="21" hidden="false" customHeight="true" outlineLevel="0" collapsed="false">
      <c r="B860" s="41"/>
      <c r="C860" s="9"/>
      <c r="D860" s="9"/>
      <c r="E860" s="42"/>
      <c r="F860" s="43"/>
      <c r="G860" s="27" t="str">
        <f aca="false">IF(OR(C860="",AND(D860="",F860="")),"",IF(N(E860)=0,1,E860)*IF(F860="",IFERROR(N(INDEX(Produtos!$L$5:$L$104,MATCH(D860,Produtos!$B$5:$B$104,0))),0),F860))</f>
        <v/>
      </c>
      <c r="H860" s="27" t="str">
        <f aca="false">IF(G860="","",IF(N(E860)=0,1,E860)*IFERROR(N(INDEX(Produtos!$G$5:$G$104,MATCH(D860,Produtos!$B$5:$B$104,0))),0))</f>
        <v/>
      </c>
      <c r="I860" s="27" t="str">
        <f aca="false">IF(G860="","",G860-H860)</f>
        <v/>
      </c>
      <c r="J860" s="42"/>
    </row>
    <row r="861" customFormat="false" ht="21" hidden="false" customHeight="true" outlineLevel="0" collapsed="false">
      <c r="B861" s="41"/>
      <c r="C861" s="9"/>
      <c r="D861" s="9"/>
      <c r="E861" s="42"/>
      <c r="F861" s="43"/>
      <c r="G861" s="27" t="str">
        <f aca="false">IF(OR(C861="",AND(D861="",F861="")),"",IF(N(E861)=0,1,E861)*IF(F861="",IFERROR(N(INDEX(Produtos!$L$5:$L$104,MATCH(D861,Produtos!$B$5:$B$104,0))),0),F861))</f>
        <v/>
      </c>
      <c r="H861" s="27" t="str">
        <f aca="false">IF(G861="","",IF(N(E861)=0,1,E861)*IFERROR(N(INDEX(Produtos!$G$5:$G$104,MATCH(D861,Produtos!$B$5:$B$104,0))),0))</f>
        <v/>
      </c>
      <c r="I861" s="27" t="str">
        <f aca="false">IF(G861="","",G861-H861)</f>
        <v/>
      </c>
      <c r="J861" s="42"/>
    </row>
    <row r="862" customFormat="false" ht="21" hidden="false" customHeight="true" outlineLevel="0" collapsed="false">
      <c r="B862" s="41"/>
      <c r="C862" s="9"/>
      <c r="D862" s="9"/>
      <c r="E862" s="42"/>
      <c r="F862" s="43"/>
      <c r="G862" s="27" t="str">
        <f aca="false">IF(OR(C862="",AND(D862="",F862="")),"",IF(N(E862)=0,1,E862)*IF(F862="",IFERROR(N(INDEX(Produtos!$L$5:$L$104,MATCH(D862,Produtos!$B$5:$B$104,0))),0),F862))</f>
        <v/>
      </c>
      <c r="H862" s="27" t="str">
        <f aca="false">IF(G862="","",IF(N(E862)=0,1,E862)*IFERROR(N(INDEX(Produtos!$G$5:$G$104,MATCH(D862,Produtos!$B$5:$B$104,0))),0))</f>
        <v/>
      </c>
      <c r="I862" s="27" t="str">
        <f aca="false">IF(G862="","",G862-H862)</f>
        <v/>
      </c>
      <c r="J862" s="42"/>
    </row>
    <row r="863" customFormat="false" ht="21" hidden="false" customHeight="true" outlineLevel="0" collapsed="false">
      <c r="B863" s="41"/>
      <c r="C863" s="9"/>
      <c r="D863" s="9"/>
      <c r="E863" s="42"/>
      <c r="F863" s="43"/>
      <c r="G863" s="27" t="str">
        <f aca="false">IF(OR(C863="",AND(D863="",F863="")),"",IF(N(E863)=0,1,E863)*IF(F863="",IFERROR(N(INDEX(Produtos!$L$5:$L$104,MATCH(D863,Produtos!$B$5:$B$104,0))),0),F863))</f>
        <v/>
      </c>
      <c r="H863" s="27" t="str">
        <f aca="false">IF(G863="","",IF(N(E863)=0,1,E863)*IFERROR(N(INDEX(Produtos!$G$5:$G$104,MATCH(D863,Produtos!$B$5:$B$104,0))),0))</f>
        <v/>
      </c>
      <c r="I863" s="27" t="str">
        <f aca="false">IF(G863="","",G863-H863)</f>
        <v/>
      </c>
      <c r="J863" s="42"/>
    </row>
    <row r="864" customFormat="false" ht="21" hidden="false" customHeight="true" outlineLevel="0" collapsed="false">
      <c r="B864" s="41"/>
      <c r="C864" s="9"/>
      <c r="D864" s="9"/>
      <c r="E864" s="42"/>
      <c r="F864" s="43"/>
      <c r="G864" s="27" t="str">
        <f aca="false">IF(OR(C864="",AND(D864="",F864="")),"",IF(N(E864)=0,1,E864)*IF(F864="",IFERROR(N(INDEX(Produtos!$L$5:$L$104,MATCH(D864,Produtos!$B$5:$B$104,0))),0),F864))</f>
        <v/>
      </c>
      <c r="H864" s="27" t="str">
        <f aca="false">IF(G864="","",IF(N(E864)=0,1,E864)*IFERROR(N(INDEX(Produtos!$G$5:$G$104,MATCH(D864,Produtos!$B$5:$B$104,0))),0))</f>
        <v/>
      </c>
      <c r="I864" s="27" t="str">
        <f aca="false">IF(G864="","",G864-H864)</f>
        <v/>
      </c>
      <c r="J864" s="42"/>
    </row>
    <row r="865" customFormat="false" ht="21" hidden="false" customHeight="true" outlineLevel="0" collapsed="false">
      <c r="B865" s="41"/>
      <c r="C865" s="9"/>
      <c r="D865" s="9"/>
      <c r="E865" s="42"/>
      <c r="F865" s="43"/>
      <c r="G865" s="27" t="str">
        <f aca="false">IF(OR(C865="",AND(D865="",F865="")),"",IF(N(E865)=0,1,E865)*IF(F865="",IFERROR(N(INDEX(Produtos!$L$5:$L$104,MATCH(D865,Produtos!$B$5:$B$104,0))),0),F865))</f>
        <v/>
      </c>
      <c r="H865" s="27" t="str">
        <f aca="false">IF(G865="","",IF(N(E865)=0,1,E865)*IFERROR(N(INDEX(Produtos!$G$5:$G$104,MATCH(D865,Produtos!$B$5:$B$104,0))),0))</f>
        <v/>
      </c>
      <c r="I865" s="27" t="str">
        <f aca="false">IF(G865="","",G865-H865)</f>
        <v/>
      </c>
      <c r="J865" s="42"/>
    </row>
    <row r="866" customFormat="false" ht="21" hidden="false" customHeight="true" outlineLevel="0" collapsed="false">
      <c r="B866" s="41"/>
      <c r="C866" s="9"/>
      <c r="D866" s="9"/>
      <c r="E866" s="42"/>
      <c r="F866" s="43"/>
      <c r="G866" s="27" t="str">
        <f aca="false">IF(OR(C866="",AND(D866="",F866="")),"",IF(N(E866)=0,1,E866)*IF(F866="",IFERROR(N(INDEX(Produtos!$L$5:$L$104,MATCH(D866,Produtos!$B$5:$B$104,0))),0),F866))</f>
        <v/>
      </c>
      <c r="H866" s="27" t="str">
        <f aca="false">IF(G866="","",IF(N(E866)=0,1,E866)*IFERROR(N(INDEX(Produtos!$G$5:$G$104,MATCH(D866,Produtos!$B$5:$B$104,0))),0))</f>
        <v/>
      </c>
      <c r="I866" s="27" t="str">
        <f aca="false">IF(G866="","",G866-H866)</f>
        <v/>
      </c>
      <c r="J866" s="42"/>
    </row>
    <row r="867" customFormat="false" ht="21" hidden="false" customHeight="true" outlineLevel="0" collapsed="false">
      <c r="B867" s="41"/>
      <c r="C867" s="9"/>
      <c r="D867" s="9"/>
      <c r="E867" s="42"/>
      <c r="F867" s="43"/>
      <c r="G867" s="27" t="str">
        <f aca="false">IF(OR(C867="",AND(D867="",F867="")),"",IF(N(E867)=0,1,E867)*IF(F867="",IFERROR(N(INDEX(Produtos!$L$5:$L$104,MATCH(D867,Produtos!$B$5:$B$104,0))),0),F867))</f>
        <v/>
      </c>
      <c r="H867" s="27" t="str">
        <f aca="false">IF(G867="","",IF(N(E867)=0,1,E867)*IFERROR(N(INDEX(Produtos!$G$5:$G$104,MATCH(D867,Produtos!$B$5:$B$104,0))),0))</f>
        <v/>
      </c>
      <c r="I867" s="27" t="str">
        <f aca="false">IF(G867="","",G867-H867)</f>
        <v/>
      </c>
      <c r="J867" s="42"/>
    </row>
    <row r="868" customFormat="false" ht="21" hidden="false" customHeight="true" outlineLevel="0" collapsed="false">
      <c r="B868" s="41"/>
      <c r="C868" s="9"/>
      <c r="D868" s="9"/>
      <c r="E868" s="42"/>
      <c r="F868" s="43"/>
      <c r="G868" s="27" t="str">
        <f aca="false">IF(OR(C868="",AND(D868="",F868="")),"",IF(N(E868)=0,1,E868)*IF(F868="",IFERROR(N(INDEX(Produtos!$L$5:$L$104,MATCH(D868,Produtos!$B$5:$B$104,0))),0),F868))</f>
        <v/>
      </c>
      <c r="H868" s="27" t="str">
        <f aca="false">IF(G868="","",IF(N(E868)=0,1,E868)*IFERROR(N(INDEX(Produtos!$G$5:$G$104,MATCH(D868,Produtos!$B$5:$B$104,0))),0))</f>
        <v/>
      </c>
      <c r="I868" s="27" t="str">
        <f aca="false">IF(G868="","",G868-H868)</f>
        <v/>
      </c>
      <c r="J868" s="42"/>
    </row>
    <row r="869" customFormat="false" ht="21" hidden="false" customHeight="true" outlineLevel="0" collapsed="false">
      <c r="B869" s="41"/>
      <c r="C869" s="9"/>
      <c r="D869" s="9"/>
      <c r="E869" s="42"/>
      <c r="F869" s="43"/>
      <c r="G869" s="27" t="str">
        <f aca="false">IF(OR(C869="",AND(D869="",F869="")),"",IF(N(E869)=0,1,E869)*IF(F869="",IFERROR(N(INDEX(Produtos!$L$5:$L$104,MATCH(D869,Produtos!$B$5:$B$104,0))),0),F869))</f>
        <v/>
      </c>
      <c r="H869" s="27" t="str">
        <f aca="false">IF(G869="","",IF(N(E869)=0,1,E869)*IFERROR(N(INDEX(Produtos!$G$5:$G$104,MATCH(D869,Produtos!$B$5:$B$104,0))),0))</f>
        <v/>
      </c>
      <c r="I869" s="27" t="str">
        <f aca="false">IF(G869="","",G869-H869)</f>
        <v/>
      </c>
      <c r="J869" s="42"/>
    </row>
    <row r="870" customFormat="false" ht="21" hidden="false" customHeight="true" outlineLevel="0" collapsed="false">
      <c r="B870" s="41"/>
      <c r="C870" s="9"/>
      <c r="D870" s="9"/>
      <c r="E870" s="42"/>
      <c r="F870" s="43"/>
      <c r="G870" s="27" t="str">
        <f aca="false">IF(OR(C870="",AND(D870="",F870="")),"",IF(N(E870)=0,1,E870)*IF(F870="",IFERROR(N(INDEX(Produtos!$L$5:$L$104,MATCH(D870,Produtos!$B$5:$B$104,0))),0),F870))</f>
        <v/>
      </c>
      <c r="H870" s="27" t="str">
        <f aca="false">IF(G870="","",IF(N(E870)=0,1,E870)*IFERROR(N(INDEX(Produtos!$G$5:$G$104,MATCH(D870,Produtos!$B$5:$B$104,0))),0))</f>
        <v/>
      </c>
      <c r="I870" s="27" t="str">
        <f aca="false">IF(G870="","",G870-H870)</f>
        <v/>
      </c>
      <c r="J870" s="42"/>
    </row>
    <row r="871" customFormat="false" ht="21" hidden="false" customHeight="true" outlineLevel="0" collapsed="false">
      <c r="B871" s="41"/>
      <c r="C871" s="9"/>
      <c r="D871" s="9"/>
      <c r="E871" s="42"/>
      <c r="F871" s="43"/>
      <c r="G871" s="27" t="str">
        <f aca="false">IF(OR(C871="",AND(D871="",F871="")),"",IF(N(E871)=0,1,E871)*IF(F871="",IFERROR(N(INDEX(Produtos!$L$5:$L$104,MATCH(D871,Produtos!$B$5:$B$104,0))),0),F871))</f>
        <v/>
      </c>
      <c r="H871" s="27" t="str">
        <f aca="false">IF(G871="","",IF(N(E871)=0,1,E871)*IFERROR(N(INDEX(Produtos!$G$5:$G$104,MATCH(D871,Produtos!$B$5:$B$104,0))),0))</f>
        <v/>
      </c>
      <c r="I871" s="27" t="str">
        <f aca="false">IF(G871="","",G871-H871)</f>
        <v/>
      </c>
      <c r="J871" s="42"/>
    </row>
    <row r="872" customFormat="false" ht="21" hidden="false" customHeight="true" outlineLevel="0" collapsed="false">
      <c r="B872" s="41"/>
      <c r="C872" s="9"/>
      <c r="D872" s="9"/>
      <c r="E872" s="42"/>
      <c r="F872" s="43"/>
      <c r="G872" s="27" t="str">
        <f aca="false">IF(OR(C872="",AND(D872="",F872="")),"",IF(N(E872)=0,1,E872)*IF(F872="",IFERROR(N(INDEX(Produtos!$L$5:$L$104,MATCH(D872,Produtos!$B$5:$B$104,0))),0),F872))</f>
        <v/>
      </c>
      <c r="H872" s="27" t="str">
        <f aca="false">IF(G872="","",IF(N(E872)=0,1,E872)*IFERROR(N(INDEX(Produtos!$G$5:$G$104,MATCH(D872,Produtos!$B$5:$B$104,0))),0))</f>
        <v/>
      </c>
      <c r="I872" s="27" t="str">
        <f aca="false">IF(G872="","",G872-H872)</f>
        <v/>
      </c>
      <c r="J872" s="42"/>
    </row>
    <row r="873" customFormat="false" ht="21" hidden="false" customHeight="true" outlineLevel="0" collapsed="false">
      <c r="B873" s="41"/>
      <c r="C873" s="9"/>
      <c r="D873" s="9"/>
      <c r="E873" s="42"/>
      <c r="F873" s="43"/>
      <c r="G873" s="27" t="str">
        <f aca="false">IF(OR(C873="",AND(D873="",F873="")),"",IF(N(E873)=0,1,E873)*IF(F873="",IFERROR(N(INDEX(Produtos!$L$5:$L$104,MATCH(D873,Produtos!$B$5:$B$104,0))),0),F873))</f>
        <v/>
      </c>
      <c r="H873" s="27" t="str">
        <f aca="false">IF(G873="","",IF(N(E873)=0,1,E873)*IFERROR(N(INDEX(Produtos!$G$5:$G$104,MATCH(D873,Produtos!$B$5:$B$104,0))),0))</f>
        <v/>
      </c>
      <c r="I873" s="27" t="str">
        <f aca="false">IF(G873="","",G873-H873)</f>
        <v/>
      </c>
      <c r="J873" s="42"/>
    </row>
    <row r="874" customFormat="false" ht="21" hidden="false" customHeight="true" outlineLevel="0" collapsed="false">
      <c r="B874" s="41"/>
      <c r="C874" s="9"/>
      <c r="D874" s="9"/>
      <c r="E874" s="42"/>
      <c r="F874" s="43"/>
      <c r="G874" s="27" t="str">
        <f aca="false">IF(OR(C874="",AND(D874="",F874="")),"",IF(N(E874)=0,1,E874)*IF(F874="",IFERROR(N(INDEX(Produtos!$L$5:$L$104,MATCH(D874,Produtos!$B$5:$B$104,0))),0),F874))</f>
        <v/>
      </c>
      <c r="H874" s="27" t="str">
        <f aca="false">IF(G874="","",IF(N(E874)=0,1,E874)*IFERROR(N(INDEX(Produtos!$G$5:$G$104,MATCH(D874,Produtos!$B$5:$B$104,0))),0))</f>
        <v/>
      </c>
      <c r="I874" s="27" t="str">
        <f aca="false">IF(G874="","",G874-H874)</f>
        <v/>
      </c>
      <c r="J874" s="42"/>
    </row>
    <row r="875" customFormat="false" ht="21" hidden="false" customHeight="true" outlineLevel="0" collapsed="false">
      <c r="B875" s="41"/>
      <c r="C875" s="9"/>
      <c r="D875" s="9"/>
      <c r="E875" s="42"/>
      <c r="F875" s="43"/>
      <c r="G875" s="27" t="str">
        <f aca="false">IF(OR(C875="",AND(D875="",F875="")),"",IF(N(E875)=0,1,E875)*IF(F875="",IFERROR(N(INDEX(Produtos!$L$5:$L$104,MATCH(D875,Produtos!$B$5:$B$104,0))),0),F875))</f>
        <v/>
      </c>
      <c r="H875" s="27" t="str">
        <f aca="false">IF(G875="","",IF(N(E875)=0,1,E875)*IFERROR(N(INDEX(Produtos!$G$5:$G$104,MATCH(D875,Produtos!$B$5:$B$104,0))),0))</f>
        <v/>
      </c>
      <c r="I875" s="27" t="str">
        <f aca="false">IF(G875="","",G875-H875)</f>
        <v/>
      </c>
      <c r="J875" s="42"/>
    </row>
    <row r="876" customFormat="false" ht="21" hidden="false" customHeight="true" outlineLevel="0" collapsed="false">
      <c r="B876" s="41"/>
      <c r="C876" s="9"/>
      <c r="D876" s="9"/>
      <c r="E876" s="42"/>
      <c r="F876" s="43"/>
      <c r="G876" s="27" t="str">
        <f aca="false">IF(OR(C876="",AND(D876="",F876="")),"",IF(N(E876)=0,1,E876)*IF(F876="",IFERROR(N(INDEX(Produtos!$L$5:$L$104,MATCH(D876,Produtos!$B$5:$B$104,0))),0),F876))</f>
        <v/>
      </c>
      <c r="H876" s="27" t="str">
        <f aca="false">IF(G876="","",IF(N(E876)=0,1,E876)*IFERROR(N(INDEX(Produtos!$G$5:$G$104,MATCH(D876,Produtos!$B$5:$B$104,0))),0))</f>
        <v/>
      </c>
      <c r="I876" s="27" t="str">
        <f aca="false">IF(G876="","",G876-H876)</f>
        <v/>
      </c>
      <c r="J876" s="42"/>
    </row>
    <row r="877" customFormat="false" ht="21" hidden="false" customHeight="true" outlineLevel="0" collapsed="false">
      <c r="B877" s="41"/>
      <c r="C877" s="9"/>
      <c r="D877" s="9"/>
      <c r="E877" s="42"/>
      <c r="F877" s="43"/>
      <c r="G877" s="27" t="str">
        <f aca="false">IF(OR(C877="",AND(D877="",F877="")),"",IF(N(E877)=0,1,E877)*IF(F877="",IFERROR(N(INDEX(Produtos!$L$5:$L$104,MATCH(D877,Produtos!$B$5:$B$104,0))),0),F877))</f>
        <v/>
      </c>
      <c r="H877" s="27" t="str">
        <f aca="false">IF(G877="","",IF(N(E877)=0,1,E877)*IFERROR(N(INDEX(Produtos!$G$5:$G$104,MATCH(D877,Produtos!$B$5:$B$104,0))),0))</f>
        <v/>
      </c>
      <c r="I877" s="27" t="str">
        <f aca="false">IF(G877="","",G877-H877)</f>
        <v/>
      </c>
      <c r="J877" s="42"/>
    </row>
    <row r="878" customFormat="false" ht="21" hidden="false" customHeight="true" outlineLevel="0" collapsed="false">
      <c r="B878" s="41"/>
      <c r="C878" s="9"/>
      <c r="D878" s="9"/>
      <c r="E878" s="42"/>
      <c r="F878" s="43"/>
      <c r="G878" s="27" t="str">
        <f aca="false">IF(OR(C878="",AND(D878="",F878="")),"",IF(N(E878)=0,1,E878)*IF(F878="",IFERROR(N(INDEX(Produtos!$L$5:$L$104,MATCH(D878,Produtos!$B$5:$B$104,0))),0),F878))</f>
        <v/>
      </c>
      <c r="H878" s="27" t="str">
        <f aca="false">IF(G878="","",IF(N(E878)=0,1,E878)*IFERROR(N(INDEX(Produtos!$G$5:$G$104,MATCH(D878,Produtos!$B$5:$B$104,0))),0))</f>
        <v/>
      </c>
      <c r="I878" s="27" t="str">
        <f aca="false">IF(G878="","",G878-H878)</f>
        <v/>
      </c>
      <c r="J878" s="42"/>
    </row>
    <row r="879" customFormat="false" ht="21" hidden="false" customHeight="true" outlineLevel="0" collapsed="false">
      <c r="B879" s="41"/>
      <c r="C879" s="9"/>
      <c r="D879" s="9"/>
      <c r="E879" s="42"/>
      <c r="F879" s="43"/>
      <c r="G879" s="27" t="str">
        <f aca="false">IF(OR(C879="",AND(D879="",F879="")),"",IF(N(E879)=0,1,E879)*IF(F879="",IFERROR(N(INDEX(Produtos!$L$5:$L$104,MATCH(D879,Produtos!$B$5:$B$104,0))),0),F879))</f>
        <v/>
      </c>
      <c r="H879" s="27" t="str">
        <f aca="false">IF(G879="","",IF(N(E879)=0,1,E879)*IFERROR(N(INDEX(Produtos!$G$5:$G$104,MATCH(D879,Produtos!$B$5:$B$104,0))),0))</f>
        <v/>
      </c>
      <c r="I879" s="27" t="str">
        <f aca="false">IF(G879="","",G879-H879)</f>
        <v/>
      </c>
      <c r="J879" s="42"/>
    </row>
    <row r="880" customFormat="false" ht="21" hidden="false" customHeight="true" outlineLevel="0" collapsed="false">
      <c r="B880" s="41"/>
      <c r="C880" s="9"/>
      <c r="D880" s="9"/>
      <c r="E880" s="42"/>
      <c r="F880" s="43"/>
      <c r="G880" s="27" t="str">
        <f aca="false">IF(OR(C880="",AND(D880="",F880="")),"",IF(N(E880)=0,1,E880)*IF(F880="",IFERROR(N(INDEX(Produtos!$L$5:$L$104,MATCH(D880,Produtos!$B$5:$B$104,0))),0),F880))</f>
        <v/>
      </c>
      <c r="H880" s="27" t="str">
        <f aca="false">IF(G880="","",IF(N(E880)=0,1,E880)*IFERROR(N(INDEX(Produtos!$G$5:$G$104,MATCH(D880,Produtos!$B$5:$B$104,0))),0))</f>
        <v/>
      </c>
      <c r="I880" s="27" t="str">
        <f aca="false">IF(G880="","",G880-H880)</f>
        <v/>
      </c>
      <c r="J880" s="42"/>
    </row>
    <row r="881" customFormat="false" ht="21" hidden="false" customHeight="true" outlineLevel="0" collapsed="false">
      <c r="B881" s="41"/>
      <c r="C881" s="9"/>
      <c r="D881" s="9"/>
      <c r="E881" s="42"/>
      <c r="F881" s="43"/>
      <c r="G881" s="27" t="str">
        <f aca="false">IF(OR(C881="",AND(D881="",F881="")),"",IF(N(E881)=0,1,E881)*IF(F881="",IFERROR(N(INDEX(Produtos!$L$5:$L$104,MATCH(D881,Produtos!$B$5:$B$104,0))),0),F881))</f>
        <v/>
      </c>
      <c r="H881" s="27" t="str">
        <f aca="false">IF(G881="","",IF(N(E881)=0,1,E881)*IFERROR(N(INDEX(Produtos!$G$5:$G$104,MATCH(D881,Produtos!$B$5:$B$104,0))),0))</f>
        <v/>
      </c>
      <c r="I881" s="27" t="str">
        <f aca="false">IF(G881="","",G881-H881)</f>
        <v/>
      </c>
      <c r="J881" s="42"/>
    </row>
    <row r="882" customFormat="false" ht="21" hidden="false" customHeight="true" outlineLevel="0" collapsed="false">
      <c r="B882" s="41"/>
      <c r="C882" s="9"/>
      <c r="D882" s="9"/>
      <c r="E882" s="42"/>
      <c r="F882" s="43"/>
      <c r="G882" s="27" t="str">
        <f aca="false">IF(OR(C882="",AND(D882="",F882="")),"",IF(N(E882)=0,1,E882)*IF(F882="",IFERROR(N(INDEX(Produtos!$L$5:$L$104,MATCH(D882,Produtos!$B$5:$B$104,0))),0),F882))</f>
        <v/>
      </c>
      <c r="H882" s="27" t="str">
        <f aca="false">IF(G882="","",IF(N(E882)=0,1,E882)*IFERROR(N(INDEX(Produtos!$G$5:$G$104,MATCH(D882,Produtos!$B$5:$B$104,0))),0))</f>
        <v/>
      </c>
      <c r="I882" s="27" t="str">
        <f aca="false">IF(G882="","",G882-H882)</f>
        <v/>
      </c>
      <c r="J882" s="42"/>
    </row>
    <row r="883" customFormat="false" ht="21" hidden="false" customHeight="true" outlineLevel="0" collapsed="false">
      <c r="B883" s="41"/>
      <c r="C883" s="9"/>
      <c r="D883" s="9"/>
      <c r="E883" s="42"/>
      <c r="F883" s="43"/>
      <c r="G883" s="27" t="str">
        <f aca="false">IF(OR(C883="",AND(D883="",F883="")),"",IF(N(E883)=0,1,E883)*IF(F883="",IFERROR(N(INDEX(Produtos!$L$5:$L$104,MATCH(D883,Produtos!$B$5:$B$104,0))),0),F883))</f>
        <v/>
      </c>
      <c r="H883" s="27" t="str">
        <f aca="false">IF(G883="","",IF(N(E883)=0,1,E883)*IFERROR(N(INDEX(Produtos!$G$5:$G$104,MATCH(D883,Produtos!$B$5:$B$104,0))),0))</f>
        <v/>
      </c>
      <c r="I883" s="27" t="str">
        <f aca="false">IF(G883="","",G883-H883)</f>
        <v/>
      </c>
      <c r="J883" s="42"/>
    </row>
    <row r="884" customFormat="false" ht="21" hidden="false" customHeight="true" outlineLevel="0" collapsed="false">
      <c r="B884" s="41"/>
      <c r="C884" s="9"/>
      <c r="D884" s="9"/>
      <c r="E884" s="42"/>
      <c r="F884" s="43"/>
      <c r="G884" s="27" t="str">
        <f aca="false">IF(OR(C884="",AND(D884="",F884="")),"",IF(N(E884)=0,1,E884)*IF(F884="",IFERROR(N(INDEX(Produtos!$L$5:$L$104,MATCH(D884,Produtos!$B$5:$B$104,0))),0),F884))</f>
        <v/>
      </c>
      <c r="H884" s="27" t="str">
        <f aca="false">IF(G884="","",IF(N(E884)=0,1,E884)*IFERROR(N(INDEX(Produtos!$G$5:$G$104,MATCH(D884,Produtos!$B$5:$B$104,0))),0))</f>
        <v/>
      </c>
      <c r="I884" s="27" t="str">
        <f aca="false">IF(G884="","",G884-H884)</f>
        <v/>
      </c>
      <c r="J884" s="42"/>
    </row>
    <row r="885" customFormat="false" ht="21" hidden="false" customHeight="true" outlineLevel="0" collapsed="false">
      <c r="B885" s="41"/>
      <c r="C885" s="9"/>
      <c r="D885" s="9"/>
      <c r="E885" s="42"/>
      <c r="F885" s="43"/>
      <c r="G885" s="27" t="str">
        <f aca="false">IF(OR(C885="",AND(D885="",F885="")),"",IF(N(E885)=0,1,E885)*IF(F885="",IFERROR(N(INDEX(Produtos!$L$5:$L$104,MATCH(D885,Produtos!$B$5:$B$104,0))),0),F885))</f>
        <v/>
      </c>
      <c r="H885" s="27" t="str">
        <f aca="false">IF(G885="","",IF(N(E885)=0,1,E885)*IFERROR(N(INDEX(Produtos!$G$5:$G$104,MATCH(D885,Produtos!$B$5:$B$104,0))),0))</f>
        <v/>
      </c>
      <c r="I885" s="27" t="str">
        <f aca="false">IF(G885="","",G885-H885)</f>
        <v/>
      </c>
      <c r="J885" s="42"/>
    </row>
    <row r="886" customFormat="false" ht="21" hidden="false" customHeight="true" outlineLevel="0" collapsed="false">
      <c r="B886" s="41"/>
      <c r="C886" s="9"/>
      <c r="D886" s="9"/>
      <c r="E886" s="42"/>
      <c r="F886" s="43"/>
      <c r="G886" s="27" t="str">
        <f aca="false">IF(OR(C886="",AND(D886="",F886="")),"",IF(N(E886)=0,1,E886)*IF(F886="",IFERROR(N(INDEX(Produtos!$L$5:$L$104,MATCH(D886,Produtos!$B$5:$B$104,0))),0),F886))</f>
        <v/>
      </c>
      <c r="H886" s="27" t="str">
        <f aca="false">IF(G886="","",IF(N(E886)=0,1,E886)*IFERROR(N(INDEX(Produtos!$G$5:$G$104,MATCH(D886,Produtos!$B$5:$B$104,0))),0))</f>
        <v/>
      </c>
      <c r="I886" s="27" t="str">
        <f aca="false">IF(G886="","",G886-H886)</f>
        <v/>
      </c>
      <c r="J886" s="42"/>
    </row>
    <row r="887" customFormat="false" ht="21" hidden="false" customHeight="true" outlineLevel="0" collapsed="false">
      <c r="B887" s="41"/>
      <c r="C887" s="9"/>
      <c r="D887" s="9"/>
      <c r="E887" s="42"/>
      <c r="F887" s="43"/>
      <c r="G887" s="27" t="str">
        <f aca="false">IF(OR(C887="",AND(D887="",F887="")),"",IF(N(E887)=0,1,E887)*IF(F887="",IFERROR(N(INDEX(Produtos!$L$5:$L$104,MATCH(D887,Produtos!$B$5:$B$104,0))),0),F887))</f>
        <v/>
      </c>
      <c r="H887" s="27" t="str">
        <f aca="false">IF(G887="","",IF(N(E887)=0,1,E887)*IFERROR(N(INDEX(Produtos!$G$5:$G$104,MATCH(D887,Produtos!$B$5:$B$104,0))),0))</f>
        <v/>
      </c>
      <c r="I887" s="27" t="str">
        <f aca="false">IF(G887="","",G887-H887)</f>
        <v/>
      </c>
      <c r="J887" s="42"/>
    </row>
    <row r="888" customFormat="false" ht="21" hidden="false" customHeight="true" outlineLevel="0" collapsed="false">
      <c r="B888" s="41"/>
      <c r="C888" s="9"/>
      <c r="D888" s="9"/>
      <c r="E888" s="42"/>
      <c r="F888" s="43"/>
      <c r="G888" s="27" t="str">
        <f aca="false">IF(OR(C888="",AND(D888="",F888="")),"",IF(N(E888)=0,1,E888)*IF(F888="",IFERROR(N(INDEX(Produtos!$L$5:$L$104,MATCH(D888,Produtos!$B$5:$B$104,0))),0),F888))</f>
        <v/>
      </c>
      <c r="H888" s="27" t="str">
        <f aca="false">IF(G888="","",IF(N(E888)=0,1,E888)*IFERROR(N(INDEX(Produtos!$G$5:$G$104,MATCH(D888,Produtos!$B$5:$B$104,0))),0))</f>
        <v/>
      </c>
      <c r="I888" s="27" t="str">
        <f aca="false">IF(G888="","",G888-H888)</f>
        <v/>
      </c>
      <c r="J888" s="42"/>
    </row>
    <row r="889" customFormat="false" ht="21" hidden="false" customHeight="true" outlineLevel="0" collapsed="false">
      <c r="B889" s="41"/>
      <c r="C889" s="9"/>
      <c r="D889" s="9"/>
      <c r="E889" s="42"/>
      <c r="F889" s="43"/>
      <c r="G889" s="27" t="str">
        <f aca="false">IF(OR(C889="",AND(D889="",F889="")),"",IF(N(E889)=0,1,E889)*IF(F889="",IFERROR(N(INDEX(Produtos!$L$5:$L$104,MATCH(D889,Produtos!$B$5:$B$104,0))),0),F889))</f>
        <v/>
      </c>
      <c r="H889" s="27" t="str">
        <f aca="false">IF(G889="","",IF(N(E889)=0,1,E889)*IFERROR(N(INDEX(Produtos!$G$5:$G$104,MATCH(D889,Produtos!$B$5:$B$104,0))),0))</f>
        <v/>
      </c>
      <c r="I889" s="27" t="str">
        <f aca="false">IF(G889="","",G889-H889)</f>
        <v/>
      </c>
      <c r="J889" s="42"/>
    </row>
    <row r="890" customFormat="false" ht="21" hidden="false" customHeight="true" outlineLevel="0" collapsed="false">
      <c r="B890" s="41"/>
      <c r="C890" s="9"/>
      <c r="D890" s="9"/>
      <c r="E890" s="42"/>
      <c r="F890" s="43"/>
      <c r="G890" s="27" t="str">
        <f aca="false">IF(OR(C890="",AND(D890="",F890="")),"",IF(N(E890)=0,1,E890)*IF(F890="",IFERROR(N(INDEX(Produtos!$L$5:$L$104,MATCH(D890,Produtos!$B$5:$B$104,0))),0),F890))</f>
        <v/>
      </c>
      <c r="H890" s="27" t="str">
        <f aca="false">IF(G890="","",IF(N(E890)=0,1,E890)*IFERROR(N(INDEX(Produtos!$G$5:$G$104,MATCH(D890,Produtos!$B$5:$B$104,0))),0))</f>
        <v/>
      </c>
      <c r="I890" s="27" t="str">
        <f aca="false">IF(G890="","",G890-H890)</f>
        <v/>
      </c>
      <c r="J890" s="42"/>
    </row>
    <row r="891" customFormat="false" ht="21" hidden="false" customHeight="true" outlineLevel="0" collapsed="false">
      <c r="B891" s="41"/>
      <c r="C891" s="9"/>
      <c r="D891" s="9"/>
      <c r="E891" s="42"/>
      <c r="F891" s="43"/>
      <c r="G891" s="27" t="str">
        <f aca="false">IF(OR(C891="",AND(D891="",F891="")),"",IF(N(E891)=0,1,E891)*IF(F891="",IFERROR(N(INDEX(Produtos!$L$5:$L$104,MATCH(D891,Produtos!$B$5:$B$104,0))),0),F891))</f>
        <v/>
      </c>
      <c r="H891" s="27" t="str">
        <f aca="false">IF(G891="","",IF(N(E891)=0,1,E891)*IFERROR(N(INDEX(Produtos!$G$5:$G$104,MATCH(D891,Produtos!$B$5:$B$104,0))),0))</f>
        <v/>
      </c>
      <c r="I891" s="27" t="str">
        <f aca="false">IF(G891="","",G891-H891)</f>
        <v/>
      </c>
      <c r="J891" s="42"/>
    </row>
    <row r="892" customFormat="false" ht="21" hidden="false" customHeight="true" outlineLevel="0" collapsed="false">
      <c r="B892" s="41"/>
      <c r="C892" s="9"/>
      <c r="D892" s="9"/>
      <c r="E892" s="42"/>
      <c r="F892" s="43"/>
      <c r="G892" s="27" t="str">
        <f aca="false">IF(OR(C892="",AND(D892="",F892="")),"",IF(N(E892)=0,1,E892)*IF(F892="",IFERROR(N(INDEX(Produtos!$L$5:$L$104,MATCH(D892,Produtos!$B$5:$B$104,0))),0),F892))</f>
        <v/>
      </c>
      <c r="H892" s="27" t="str">
        <f aca="false">IF(G892="","",IF(N(E892)=0,1,E892)*IFERROR(N(INDEX(Produtos!$G$5:$G$104,MATCH(D892,Produtos!$B$5:$B$104,0))),0))</f>
        <v/>
      </c>
      <c r="I892" s="27" t="str">
        <f aca="false">IF(G892="","",G892-H892)</f>
        <v/>
      </c>
      <c r="J892" s="42"/>
    </row>
    <row r="893" customFormat="false" ht="21" hidden="false" customHeight="true" outlineLevel="0" collapsed="false">
      <c r="B893" s="41"/>
      <c r="C893" s="9"/>
      <c r="D893" s="9"/>
      <c r="E893" s="42"/>
      <c r="F893" s="43"/>
      <c r="G893" s="27" t="str">
        <f aca="false">IF(OR(C893="",AND(D893="",F893="")),"",IF(N(E893)=0,1,E893)*IF(F893="",IFERROR(N(INDEX(Produtos!$L$5:$L$104,MATCH(D893,Produtos!$B$5:$B$104,0))),0),F893))</f>
        <v/>
      </c>
      <c r="H893" s="27" t="str">
        <f aca="false">IF(G893="","",IF(N(E893)=0,1,E893)*IFERROR(N(INDEX(Produtos!$G$5:$G$104,MATCH(D893,Produtos!$B$5:$B$104,0))),0))</f>
        <v/>
      </c>
      <c r="I893" s="27" t="str">
        <f aca="false">IF(G893="","",G893-H893)</f>
        <v/>
      </c>
      <c r="J893" s="42"/>
    </row>
    <row r="894" customFormat="false" ht="21" hidden="false" customHeight="true" outlineLevel="0" collapsed="false">
      <c r="B894" s="41"/>
      <c r="C894" s="9"/>
      <c r="D894" s="9"/>
      <c r="E894" s="42"/>
      <c r="F894" s="43"/>
      <c r="G894" s="27" t="str">
        <f aca="false">IF(OR(C894="",AND(D894="",F894="")),"",IF(N(E894)=0,1,E894)*IF(F894="",IFERROR(N(INDEX(Produtos!$L$5:$L$104,MATCH(D894,Produtos!$B$5:$B$104,0))),0),F894))</f>
        <v/>
      </c>
      <c r="H894" s="27" t="str">
        <f aca="false">IF(G894="","",IF(N(E894)=0,1,E894)*IFERROR(N(INDEX(Produtos!$G$5:$G$104,MATCH(D894,Produtos!$B$5:$B$104,0))),0))</f>
        <v/>
      </c>
      <c r="I894" s="27" t="str">
        <f aca="false">IF(G894="","",G894-H894)</f>
        <v/>
      </c>
      <c r="J894" s="42"/>
    </row>
    <row r="895" customFormat="false" ht="21" hidden="false" customHeight="true" outlineLevel="0" collapsed="false">
      <c r="B895" s="41"/>
      <c r="C895" s="9"/>
      <c r="D895" s="9"/>
      <c r="E895" s="42"/>
      <c r="F895" s="43"/>
      <c r="G895" s="27" t="str">
        <f aca="false">IF(OR(C895="",AND(D895="",F895="")),"",IF(N(E895)=0,1,E895)*IF(F895="",IFERROR(N(INDEX(Produtos!$L$5:$L$104,MATCH(D895,Produtos!$B$5:$B$104,0))),0),F895))</f>
        <v/>
      </c>
      <c r="H895" s="27" t="str">
        <f aca="false">IF(G895="","",IF(N(E895)=0,1,E895)*IFERROR(N(INDEX(Produtos!$G$5:$G$104,MATCH(D895,Produtos!$B$5:$B$104,0))),0))</f>
        <v/>
      </c>
      <c r="I895" s="27" t="str">
        <f aca="false">IF(G895="","",G895-H895)</f>
        <v/>
      </c>
      <c r="J895" s="42"/>
    </row>
    <row r="896" customFormat="false" ht="21" hidden="false" customHeight="true" outlineLevel="0" collapsed="false">
      <c r="B896" s="41"/>
      <c r="C896" s="9"/>
      <c r="D896" s="9"/>
      <c r="E896" s="42"/>
      <c r="F896" s="43"/>
      <c r="G896" s="27" t="str">
        <f aca="false">IF(OR(C896="",AND(D896="",F896="")),"",IF(N(E896)=0,1,E896)*IF(F896="",IFERROR(N(INDEX(Produtos!$L$5:$L$104,MATCH(D896,Produtos!$B$5:$B$104,0))),0),F896))</f>
        <v/>
      </c>
      <c r="H896" s="27" t="str">
        <f aca="false">IF(G896="","",IF(N(E896)=0,1,E896)*IFERROR(N(INDEX(Produtos!$G$5:$G$104,MATCH(D896,Produtos!$B$5:$B$104,0))),0))</f>
        <v/>
      </c>
      <c r="I896" s="27" t="str">
        <f aca="false">IF(G896="","",G896-H896)</f>
        <v/>
      </c>
      <c r="J896" s="42"/>
    </row>
    <row r="897" customFormat="false" ht="21" hidden="false" customHeight="true" outlineLevel="0" collapsed="false">
      <c r="B897" s="41"/>
      <c r="C897" s="9"/>
      <c r="D897" s="9"/>
      <c r="E897" s="42"/>
      <c r="F897" s="43"/>
      <c r="G897" s="27" t="str">
        <f aca="false">IF(OR(C897="",AND(D897="",F897="")),"",IF(N(E897)=0,1,E897)*IF(F897="",IFERROR(N(INDEX(Produtos!$L$5:$L$104,MATCH(D897,Produtos!$B$5:$B$104,0))),0),F897))</f>
        <v/>
      </c>
      <c r="H897" s="27" t="str">
        <f aca="false">IF(G897="","",IF(N(E897)=0,1,E897)*IFERROR(N(INDEX(Produtos!$G$5:$G$104,MATCH(D897,Produtos!$B$5:$B$104,0))),0))</f>
        <v/>
      </c>
      <c r="I897" s="27" t="str">
        <f aca="false">IF(G897="","",G897-H897)</f>
        <v/>
      </c>
      <c r="J897" s="42"/>
    </row>
    <row r="898" customFormat="false" ht="21" hidden="false" customHeight="true" outlineLevel="0" collapsed="false">
      <c r="B898" s="41"/>
      <c r="C898" s="9"/>
      <c r="D898" s="9"/>
      <c r="E898" s="42"/>
      <c r="F898" s="43"/>
      <c r="G898" s="27" t="str">
        <f aca="false">IF(OR(C898="",AND(D898="",F898="")),"",IF(N(E898)=0,1,E898)*IF(F898="",IFERROR(N(INDEX(Produtos!$L$5:$L$104,MATCH(D898,Produtos!$B$5:$B$104,0))),0),F898))</f>
        <v/>
      </c>
      <c r="H898" s="27" t="str">
        <f aca="false">IF(G898="","",IF(N(E898)=0,1,E898)*IFERROR(N(INDEX(Produtos!$G$5:$G$104,MATCH(D898,Produtos!$B$5:$B$104,0))),0))</f>
        <v/>
      </c>
      <c r="I898" s="27" t="str">
        <f aca="false">IF(G898="","",G898-H898)</f>
        <v/>
      </c>
      <c r="J898" s="42"/>
    </row>
    <row r="899" customFormat="false" ht="21" hidden="false" customHeight="true" outlineLevel="0" collapsed="false">
      <c r="B899" s="41"/>
      <c r="C899" s="9"/>
      <c r="D899" s="9"/>
      <c r="E899" s="42"/>
      <c r="F899" s="43"/>
      <c r="G899" s="27" t="str">
        <f aca="false">IF(OR(C899="",AND(D899="",F899="")),"",IF(N(E899)=0,1,E899)*IF(F899="",IFERROR(N(INDEX(Produtos!$L$5:$L$104,MATCH(D899,Produtos!$B$5:$B$104,0))),0),F899))</f>
        <v/>
      </c>
      <c r="H899" s="27" t="str">
        <f aca="false">IF(G899="","",IF(N(E899)=0,1,E899)*IFERROR(N(INDEX(Produtos!$G$5:$G$104,MATCH(D899,Produtos!$B$5:$B$104,0))),0))</f>
        <v/>
      </c>
      <c r="I899" s="27" t="str">
        <f aca="false">IF(G899="","",G899-H899)</f>
        <v/>
      </c>
      <c r="J899" s="42"/>
    </row>
    <row r="900" customFormat="false" ht="21" hidden="false" customHeight="true" outlineLevel="0" collapsed="false">
      <c r="B900" s="41"/>
      <c r="C900" s="9"/>
      <c r="D900" s="9"/>
      <c r="E900" s="42"/>
      <c r="F900" s="43"/>
      <c r="G900" s="27" t="str">
        <f aca="false">IF(OR(C900="",AND(D900="",F900="")),"",IF(N(E900)=0,1,E900)*IF(F900="",IFERROR(N(INDEX(Produtos!$L$5:$L$104,MATCH(D900,Produtos!$B$5:$B$104,0))),0),F900))</f>
        <v/>
      </c>
      <c r="H900" s="27" t="str">
        <f aca="false">IF(G900="","",IF(N(E900)=0,1,E900)*IFERROR(N(INDEX(Produtos!$G$5:$G$104,MATCH(D900,Produtos!$B$5:$B$104,0))),0))</f>
        <v/>
      </c>
      <c r="I900" s="27" t="str">
        <f aca="false">IF(G900="","",G900-H900)</f>
        <v/>
      </c>
      <c r="J900" s="42"/>
    </row>
    <row r="901" customFormat="false" ht="21" hidden="false" customHeight="true" outlineLevel="0" collapsed="false">
      <c r="B901" s="41"/>
      <c r="C901" s="9"/>
      <c r="D901" s="9"/>
      <c r="E901" s="42"/>
      <c r="F901" s="43"/>
      <c r="G901" s="27" t="str">
        <f aca="false">IF(OR(C901="",AND(D901="",F901="")),"",IF(N(E901)=0,1,E901)*IF(F901="",IFERROR(N(INDEX(Produtos!$L$5:$L$104,MATCH(D901,Produtos!$B$5:$B$104,0))),0),F901))</f>
        <v/>
      </c>
      <c r="H901" s="27" t="str">
        <f aca="false">IF(G901="","",IF(N(E901)=0,1,E901)*IFERROR(N(INDEX(Produtos!$G$5:$G$104,MATCH(D901,Produtos!$B$5:$B$104,0))),0))</f>
        <v/>
      </c>
      <c r="I901" s="27" t="str">
        <f aca="false">IF(G901="","",G901-H901)</f>
        <v/>
      </c>
      <c r="J901" s="42"/>
    </row>
    <row r="902" customFormat="false" ht="21" hidden="false" customHeight="true" outlineLevel="0" collapsed="false">
      <c r="B902" s="41"/>
      <c r="C902" s="9"/>
      <c r="D902" s="9"/>
      <c r="E902" s="42"/>
      <c r="F902" s="43"/>
      <c r="G902" s="27" t="str">
        <f aca="false">IF(OR(C902="",AND(D902="",F902="")),"",IF(N(E902)=0,1,E902)*IF(F902="",IFERROR(N(INDEX(Produtos!$L$5:$L$104,MATCH(D902,Produtos!$B$5:$B$104,0))),0),F902))</f>
        <v/>
      </c>
      <c r="H902" s="27" t="str">
        <f aca="false">IF(G902="","",IF(N(E902)=0,1,E902)*IFERROR(N(INDEX(Produtos!$G$5:$G$104,MATCH(D902,Produtos!$B$5:$B$104,0))),0))</f>
        <v/>
      </c>
      <c r="I902" s="27" t="str">
        <f aca="false">IF(G902="","",G902-H902)</f>
        <v/>
      </c>
      <c r="J902" s="42"/>
    </row>
    <row r="903" customFormat="false" ht="21" hidden="false" customHeight="true" outlineLevel="0" collapsed="false">
      <c r="B903" s="41"/>
      <c r="C903" s="9"/>
      <c r="D903" s="9"/>
      <c r="E903" s="42"/>
      <c r="F903" s="43"/>
      <c r="G903" s="27" t="str">
        <f aca="false">IF(OR(C903="",AND(D903="",F903="")),"",IF(N(E903)=0,1,E903)*IF(F903="",IFERROR(N(INDEX(Produtos!$L$5:$L$104,MATCH(D903,Produtos!$B$5:$B$104,0))),0),F903))</f>
        <v/>
      </c>
      <c r="H903" s="27" t="str">
        <f aca="false">IF(G903="","",IF(N(E903)=0,1,E903)*IFERROR(N(INDEX(Produtos!$G$5:$G$104,MATCH(D903,Produtos!$B$5:$B$104,0))),0))</f>
        <v/>
      </c>
      <c r="I903" s="27" t="str">
        <f aca="false">IF(G903="","",G903-H903)</f>
        <v/>
      </c>
      <c r="J903" s="42"/>
    </row>
    <row r="904" customFormat="false" ht="21" hidden="false" customHeight="true" outlineLevel="0" collapsed="false">
      <c r="B904" s="41"/>
      <c r="C904" s="9"/>
      <c r="D904" s="9"/>
      <c r="E904" s="42"/>
      <c r="F904" s="43"/>
      <c r="G904" s="27" t="str">
        <f aca="false">IF(OR(C904="",AND(D904="",F904="")),"",IF(N(E904)=0,1,E904)*IF(F904="",IFERROR(N(INDEX(Produtos!$L$5:$L$104,MATCH(D904,Produtos!$B$5:$B$104,0))),0),F904))</f>
        <v/>
      </c>
      <c r="H904" s="27" t="str">
        <f aca="false">IF(G904="","",IF(N(E904)=0,1,E904)*IFERROR(N(INDEX(Produtos!$G$5:$G$104,MATCH(D904,Produtos!$B$5:$B$104,0))),0))</f>
        <v/>
      </c>
      <c r="I904" s="27" t="str">
        <f aca="false">IF(G904="","",G904-H904)</f>
        <v/>
      </c>
      <c r="J904" s="42"/>
    </row>
    <row r="905" customFormat="false" ht="21" hidden="false" customHeight="true" outlineLevel="0" collapsed="false">
      <c r="B905" s="41"/>
      <c r="C905" s="9"/>
      <c r="D905" s="9"/>
      <c r="E905" s="42"/>
      <c r="F905" s="43"/>
      <c r="G905" s="27" t="str">
        <f aca="false">IF(OR(C905="",AND(D905="",F905="")),"",IF(N(E905)=0,1,E905)*IF(F905="",IFERROR(N(INDEX(Produtos!$L$5:$L$104,MATCH(D905,Produtos!$B$5:$B$104,0))),0),F905))</f>
        <v/>
      </c>
      <c r="H905" s="27" t="str">
        <f aca="false">IF(G905="","",IF(N(E905)=0,1,E905)*IFERROR(N(INDEX(Produtos!$G$5:$G$104,MATCH(D905,Produtos!$B$5:$B$104,0))),0))</f>
        <v/>
      </c>
      <c r="I905" s="27" t="str">
        <f aca="false">IF(G905="","",G905-H905)</f>
        <v/>
      </c>
      <c r="J905" s="42"/>
    </row>
    <row r="906" customFormat="false" ht="21" hidden="false" customHeight="true" outlineLevel="0" collapsed="false">
      <c r="B906" s="41"/>
      <c r="C906" s="9"/>
      <c r="D906" s="9"/>
      <c r="E906" s="42"/>
      <c r="F906" s="43"/>
      <c r="G906" s="27" t="str">
        <f aca="false">IF(OR(C906="",AND(D906="",F906="")),"",IF(N(E906)=0,1,E906)*IF(F906="",IFERROR(N(INDEX(Produtos!$L$5:$L$104,MATCH(D906,Produtos!$B$5:$B$104,0))),0),F906))</f>
        <v/>
      </c>
      <c r="H906" s="27" t="str">
        <f aca="false">IF(G906="","",IF(N(E906)=0,1,E906)*IFERROR(N(INDEX(Produtos!$G$5:$G$104,MATCH(D906,Produtos!$B$5:$B$104,0))),0))</f>
        <v/>
      </c>
      <c r="I906" s="27" t="str">
        <f aca="false">IF(G906="","",G906-H906)</f>
        <v/>
      </c>
      <c r="J906" s="42"/>
    </row>
    <row r="907" customFormat="false" ht="21" hidden="false" customHeight="true" outlineLevel="0" collapsed="false">
      <c r="B907" s="41"/>
      <c r="C907" s="9"/>
      <c r="D907" s="9"/>
      <c r="E907" s="42"/>
      <c r="F907" s="43"/>
      <c r="G907" s="27" t="str">
        <f aca="false">IF(OR(C907="",AND(D907="",F907="")),"",IF(N(E907)=0,1,E907)*IF(F907="",IFERROR(N(INDEX(Produtos!$L$5:$L$104,MATCH(D907,Produtos!$B$5:$B$104,0))),0),F907))</f>
        <v/>
      </c>
      <c r="H907" s="27" t="str">
        <f aca="false">IF(G907="","",IF(N(E907)=0,1,E907)*IFERROR(N(INDEX(Produtos!$G$5:$G$104,MATCH(D907,Produtos!$B$5:$B$104,0))),0))</f>
        <v/>
      </c>
      <c r="I907" s="27" t="str">
        <f aca="false">IF(G907="","",G907-H907)</f>
        <v/>
      </c>
      <c r="J907" s="42"/>
    </row>
    <row r="908" customFormat="false" ht="21" hidden="false" customHeight="true" outlineLevel="0" collapsed="false">
      <c r="B908" s="41"/>
      <c r="C908" s="9"/>
      <c r="D908" s="9"/>
      <c r="E908" s="42"/>
      <c r="F908" s="43"/>
      <c r="G908" s="27" t="str">
        <f aca="false">IF(OR(C908="",AND(D908="",F908="")),"",IF(N(E908)=0,1,E908)*IF(F908="",IFERROR(N(INDEX(Produtos!$L$5:$L$104,MATCH(D908,Produtos!$B$5:$B$104,0))),0),F908))</f>
        <v/>
      </c>
      <c r="H908" s="27" t="str">
        <f aca="false">IF(G908="","",IF(N(E908)=0,1,E908)*IFERROR(N(INDEX(Produtos!$G$5:$G$104,MATCH(D908,Produtos!$B$5:$B$104,0))),0))</f>
        <v/>
      </c>
      <c r="I908" s="27" t="str">
        <f aca="false">IF(G908="","",G908-H908)</f>
        <v/>
      </c>
      <c r="J908" s="42"/>
    </row>
    <row r="909" customFormat="false" ht="21" hidden="false" customHeight="true" outlineLevel="0" collapsed="false">
      <c r="B909" s="41"/>
      <c r="C909" s="9"/>
      <c r="D909" s="9"/>
      <c r="E909" s="42"/>
      <c r="F909" s="43"/>
      <c r="G909" s="27" t="str">
        <f aca="false">IF(OR(C909="",AND(D909="",F909="")),"",IF(N(E909)=0,1,E909)*IF(F909="",IFERROR(N(INDEX(Produtos!$L$5:$L$104,MATCH(D909,Produtos!$B$5:$B$104,0))),0),F909))</f>
        <v/>
      </c>
      <c r="H909" s="27" t="str">
        <f aca="false">IF(G909="","",IF(N(E909)=0,1,E909)*IFERROR(N(INDEX(Produtos!$G$5:$G$104,MATCH(D909,Produtos!$B$5:$B$104,0))),0))</f>
        <v/>
      </c>
      <c r="I909" s="27" t="str">
        <f aca="false">IF(G909="","",G909-H909)</f>
        <v/>
      </c>
      <c r="J909" s="42"/>
    </row>
    <row r="910" customFormat="false" ht="21" hidden="false" customHeight="true" outlineLevel="0" collapsed="false">
      <c r="B910" s="41"/>
      <c r="C910" s="9"/>
      <c r="D910" s="9"/>
      <c r="E910" s="42"/>
      <c r="F910" s="43"/>
      <c r="G910" s="27" t="str">
        <f aca="false">IF(OR(C910="",AND(D910="",F910="")),"",IF(N(E910)=0,1,E910)*IF(F910="",IFERROR(N(INDEX(Produtos!$L$5:$L$104,MATCH(D910,Produtos!$B$5:$B$104,0))),0),F910))</f>
        <v/>
      </c>
      <c r="H910" s="27" t="str">
        <f aca="false">IF(G910="","",IF(N(E910)=0,1,E910)*IFERROR(N(INDEX(Produtos!$G$5:$G$104,MATCH(D910,Produtos!$B$5:$B$104,0))),0))</f>
        <v/>
      </c>
      <c r="I910" s="27" t="str">
        <f aca="false">IF(G910="","",G910-H910)</f>
        <v/>
      </c>
      <c r="J910" s="42"/>
    </row>
    <row r="911" customFormat="false" ht="21" hidden="false" customHeight="true" outlineLevel="0" collapsed="false">
      <c r="B911" s="41"/>
      <c r="C911" s="9"/>
      <c r="D911" s="9"/>
      <c r="E911" s="42"/>
      <c r="F911" s="43"/>
      <c r="G911" s="27" t="str">
        <f aca="false">IF(OR(C911="",AND(D911="",F911="")),"",IF(N(E911)=0,1,E911)*IF(F911="",IFERROR(N(INDEX(Produtos!$L$5:$L$104,MATCH(D911,Produtos!$B$5:$B$104,0))),0),F911))</f>
        <v/>
      </c>
      <c r="H911" s="27" t="str">
        <f aca="false">IF(G911="","",IF(N(E911)=0,1,E911)*IFERROR(N(INDEX(Produtos!$G$5:$G$104,MATCH(D911,Produtos!$B$5:$B$104,0))),0))</f>
        <v/>
      </c>
      <c r="I911" s="27" t="str">
        <f aca="false">IF(G911="","",G911-H911)</f>
        <v/>
      </c>
      <c r="J911" s="42"/>
    </row>
    <row r="912" customFormat="false" ht="21" hidden="false" customHeight="true" outlineLevel="0" collapsed="false">
      <c r="B912" s="41"/>
      <c r="C912" s="9"/>
      <c r="D912" s="9"/>
      <c r="E912" s="42"/>
      <c r="F912" s="43"/>
      <c r="G912" s="27" t="str">
        <f aca="false">IF(OR(C912="",AND(D912="",F912="")),"",IF(N(E912)=0,1,E912)*IF(F912="",IFERROR(N(INDEX(Produtos!$L$5:$L$104,MATCH(D912,Produtos!$B$5:$B$104,0))),0),F912))</f>
        <v/>
      </c>
      <c r="H912" s="27" t="str">
        <f aca="false">IF(G912="","",IF(N(E912)=0,1,E912)*IFERROR(N(INDEX(Produtos!$G$5:$G$104,MATCH(D912,Produtos!$B$5:$B$104,0))),0))</f>
        <v/>
      </c>
      <c r="I912" s="27" t="str">
        <f aca="false">IF(G912="","",G912-H912)</f>
        <v/>
      </c>
      <c r="J912" s="42"/>
    </row>
    <row r="913" customFormat="false" ht="21" hidden="false" customHeight="true" outlineLevel="0" collapsed="false">
      <c r="B913" s="41"/>
      <c r="C913" s="9"/>
      <c r="D913" s="9"/>
      <c r="E913" s="42"/>
      <c r="F913" s="43"/>
      <c r="G913" s="27" t="str">
        <f aca="false">IF(OR(C913="",AND(D913="",F913="")),"",IF(N(E913)=0,1,E913)*IF(F913="",IFERROR(N(INDEX(Produtos!$L$5:$L$104,MATCH(D913,Produtos!$B$5:$B$104,0))),0),F913))</f>
        <v/>
      </c>
      <c r="H913" s="27" t="str">
        <f aca="false">IF(G913="","",IF(N(E913)=0,1,E913)*IFERROR(N(INDEX(Produtos!$G$5:$G$104,MATCH(D913,Produtos!$B$5:$B$104,0))),0))</f>
        <v/>
      </c>
      <c r="I913" s="27" t="str">
        <f aca="false">IF(G913="","",G913-H913)</f>
        <v/>
      </c>
      <c r="J913" s="42"/>
    </row>
    <row r="914" customFormat="false" ht="21" hidden="false" customHeight="true" outlineLevel="0" collapsed="false">
      <c r="B914" s="41"/>
      <c r="C914" s="9"/>
      <c r="D914" s="9"/>
      <c r="E914" s="42"/>
      <c r="F914" s="43"/>
      <c r="G914" s="27" t="str">
        <f aca="false">IF(OR(C914="",AND(D914="",F914="")),"",IF(N(E914)=0,1,E914)*IF(F914="",IFERROR(N(INDEX(Produtos!$L$5:$L$104,MATCH(D914,Produtos!$B$5:$B$104,0))),0),F914))</f>
        <v/>
      </c>
      <c r="H914" s="27" t="str">
        <f aca="false">IF(G914="","",IF(N(E914)=0,1,E914)*IFERROR(N(INDEX(Produtos!$G$5:$G$104,MATCH(D914,Produtos!$B$5:$B$104,0))),0))</f>
        <v/>
      </c>
      <c r="I914" s="27" t="str">
        <f aca="false">IF(G914="","",G914-H914)</f>
        <v/>
      </c>
      <c r="J914" s="42"/>
    </row>
    <row r="915" customFormat="false" ht="21" hidden="false" customHeight="true" outlineLevel="0" collapsed="false">
      <c r="B915" s="41"/>
      <c r="C915" s="9"/>
      <c r="D915" s="9"/>
      <c r="E915" s="42"/>
      <c r="F915" s="43"/>
      <c r="G915" s="27" t="str">
        <f aca="false">IF(OR(C915="",AND(D915="",F915="")),"",IF(N(E915)=0,1,E915)*IF(F915="",IFERROR(N(INDEX(Produtos!$L$5:$L$104,MATCH(D915,Produtos!$B$5:$B$104,0))),0),F915))</f>
        <v/>
      </c>
      <c r="H915" s="27" t="str">
        <f aca="false">IF(G915="","",IF(N(E915)=0,1,E915)*IFERROR(N(INDEX(Produtos!$G$5:$G$104,MATCH(D915,Produtos!$B$5:$B$104,0))),0))</f>
        <v/>
      </c>
      <c r="I915" s="27" t="str">
        <f aca="false">IF(G915="","",G915-H915)</f>
        <v/>
      </c>
      <c r="J915" s="42"/>
    </row>
    <row r="916" customFormat="false" ht="21" hidden="false" customHeight="true" outlineLevel="0" collapsed="false">
      <c r="B916" s="41"/>
      <c r="C916" s="9"/>
      <c r="D916" s="9"/>
      <c r="E916" s="42"/>
      <c r="F916" s="43"/>
      <c r="G916" s="27" t="str">
        <f aca="false">IF(OR(C916="",AND(D916="",F916="")),"",IF(N(E916)=0,1,E916)*IF(F916="",IFERROR(N(INDEX(Produtos!$L$5:$L$104,MATCH(D916,Produtos!$B$5:$B$104,0))),0),F916))</f>
        <v/>
      </c>
      <c r="H916" s="27" t="str">
        <f aca="false">IF(G916="","",IF(N(E916)=0,1,E916)*IFERROR(N(INDEX(Produtos!$G$5:$G$104,MATCH(D916,Produtos!$B$5:$B$104,0))),0))</f>
        <v/>
      </c>
      <c r="I916" s="27" t="str">
        <f aca="false">IF(G916="","",G916-H916)</f>
        <v/>
      </c>
      <c r="J916" s="42"/>
    </row>
    <row r="917" customFormat="false" ht="21" hidden="false" customHeight="true" outlineLevel="0" collapsed="false">
      <c r="B917" s="41"/>
      <c r="C917" s="9"/>
      <c r="D917" s="9"/>
      <c r="E917" s="42"/>
      <c r="F917" s="43"/>
      <c r="G917" s="27" t="str">
        <f aca="false">IF(OR(C917="",AND(D917="",F917="")),"",IF(N(E917)=0,1,E917)*IF(F917="",IFERROR(N(INDEX(Produtos!$L$5:$L$104,MATCH(D917,Produtos!$B$5:$B$104,0))),0),F917))</f>
        <v/>
      </c>
      <c r="H917" s="27" t="str">
        <f aca="false">IF(G917="","",IF(N(E917)=0,1,E917)*IFERROR(N(INDEX(Produtos!$G$5:$G$104,MATCH(D917,Produtos!$B$5:$B$104,0))),0))</f>
        <v/>
      </c>
      <c r="I917" s="27" t="str">
        <f aca="false">IF(G917="","",G917-H917)</f>
        <v/>
      </c>
      <c r="J917" s="42"/>
    </row>
    <row r="918" customFormat="false" ht="21" hidden="false" customHeight="true" outlineLevel="0" collapsed="false">
      <c r="B918" s="41"/>
      <c r="C918" s="9"/>
      <c r="D918" s="9"/>
      <c r="E918" s="42"/>
      <c r="F918" s="43"/>
      <c r="G918" s="27" t="str">
        <f aca="false">IF(OR(C918="",AND(D918="",F918="")),"",IF(N(E918)=0,1,E918)*IF(F918="",IFERROR(N(INDEX(Produtos!$L$5:$L$104,MATCH(D918,Produtos!$B$5:$B$104,0))),0),F918))</f>
        <v/>
      </c>
      <c r="H918" s="27" t="str">
        <f aca="false">IF(G918="","",IF(N(E918)=0,1,E918)*IFERROR(N(INDEX(Produtos!$G$5:$G$104,MATCH(D918,Produtos!$B$5:$B$104,0))),0))</f>
        <v/>
      </c>
      <c r="I918" s="27" t="str">
        <f aca="false">IF(G918="","",G918-H918)</f>
        <v/>
      </c>
      <c r="J918" s="42"/>
    </row>
    <row r="919" customFormat="false" ht="21" hidden="false" customHeight="true" outlineLevel="0" collapsed="false">
      <c r="B919" s="41"/>
      <c r="C919" s="9"/>
      <c r="D919" s="9"/>
      <c r="E919" s="42"/>
      <c r="F919" s="43"/>
      <c r="G919" s="27" t="str">
        <f aca="false">IF(OR(C919="",AND(D919="",F919="")),"",IF(N(E919)=0,1,E919)*IF(F919="",IFERROR(N(INDEX(Produtos!$L$5:$L$104,MATCH(D919,Produtos!$B$5:$B$104,0))),0),F919))</f>
        <v/>
      </c>
      <c r="H919" s="27" t="str">
        <f aca="false">IF(G919="","",IF(N(E919)=0,1,E919)*IFERROR(N(INDEX(Produtos!$G$5:$G$104,MATCH(D919,Produtos!$B$5:$B$104,0))),0))</f>
        <v/>
      </c>
      <c r="I919" s="27" t="str">
        <f aca="false">IF(G919="","",G919-H919)</f>
        <v/>
      </c>
      <c r="J919" s="42"/>
    </row>
    <row r="920" customFormat="false" ht="21" hidden="false" customHeight="true" outlineLevel="0" collapsed="false">
      <c r="B920" s="41"/>
      <c r="C920" s="9"/>
      <c r="D920" s="9"/>
      <c r="E920" s="42"/>
      <c r="F920" s="43"/>
      <c r="G920" s="27" t="str">
        <f aca="false">IF(OR(C920="",AND(D920="",F920="")),"",IF(N(E920)=0,1,E920)*IF(F920="",IFERROR(N(INDEX(Produtos!$L$5:$L$104,MATCH(D920,Produtos!$B$5:$B$104,0))),0),F920))</f>
        <v/>
      </c>
      <c r="H920" s="27" t="str">
        <f aca="false">IF(G920="","",IF(N(E920)=0,1,E920)*IFERROR(N(INDEX(Produtos!$G$5:$G$104,MATCH(D920,Produtos!$B$5:$B$104,0))),0))</f>
        <v/>
      </c>
      <c r="I920" s="27" t="str">
        <f aca="false">IF(G920="","",G920-H920)</f>
        <v/>
      </c>
      <c r="J920" s="42"/>
    </row>
    <row r="921" customFormat="false" ht="21" hidden="false" customHeight="true" outlineLevel="0" collapsed="false">
      <c r="B921" s="41"/>
      <c r="C921" s="9"/>
      <c r="D921" s="9"/>
      <c r="E921" s="42"/>
      <c r="F921" s="43"/>
      <c r="G921" s="27" t="str">
        <f aca="false">IF(OR(C921="",AND(D921="",F921="")),"",IF(N(E921)=0,1,E921)*IF(F921="",IFERROR(N(INDEX(Produtos!$L$5:$L$104,MATCH(D921,Produtos!$B$5:$B$104,0))),0),F921))</f>
        <v/>
      </c>
      <c r="H921" s="27" t="str">
        <f aca="false">IF(G921="","",IF(N(E921)=0,1,E921)*IFERROR(N(INDEX(Produtos!$G$5:$G$104,MATCH(D921,Produtos!$B$5:$B$104,0))),0))</f>
        <v/>
      </c>
      <c r="I921" s="27" t="str">
        <f aca="false">IF(G921="","",G921-H921)</f>
        <v/>
      </c>
      <c r="J921" s="42"/>
    </row>
    <row r="922" customFormat="false" ht="21" hidden="false" customHeight="true" outlineLevel="0" collapsed="false">
      <c r="B922" s="41"/>
      <c r="C922" s="9"/>
      <c r="D922" s="9"/>
      <c r="E922" s="42"/>
      <c r="F922" s="43"/>
      <c r="G922" s="27" t="str">
        <f aca="false">IF(OR(C922="",AND(D922="",F922="")),"",IF(N(E922)=0,1,E922)*IF(F922="",IFERROR(N(INDEX(Produtos!$L$5:$L$104,MATCH(D922,Produtos!$B$5:$B$104,0))),0),F922))</f>
        <v/>
      </c>
      <c r="H922" s="27" t="str">
        <f aca="false">IF(G922="","",IF(N(E922)=0,1,E922)*IFERROR(N(INDEX(Produtos!$G$5:$G$104,MATCH(D922,Produtos!$B$5:$B$104,0))),0))</f>
        <v/>
      </c>
      <c r="I922" s="27" t="str">
        <f aca="false">IF(G922="","",G922-H922)</f>
        <v/>
      </c>
      <c r="J922" s="42"/>
    </row>
    <row r="923" customFormat="false" ht="21" hidden="false" customHeight="true" outlineLevel="0" collapsed="false">
      <c r="B923" s="41"/>
      <c r="C923" s="9"/>
      <c r="D923" s="9"/>
      <c r="E923" s="42"/>
      <c r="F923" s="43"/>
      <c r="G923" s="27" t="str">
        <f aca="false">IF(OR(C923="",AND(D923="",F923="")),"",IF(N(E923)=0,1,E923)*IF(F923="",IFERROR(N(INDEX(Produtos!$L$5:$L$104,MATCH(D923,Produtos!$B$5:$B$104,0))),0),F923))</f>
        <v/>
      </c>
      <c r="H923" s="27" t="str">
        <f aca="false">IF(G923="","",IF(N(E923)=0,1,E923)*IFERROR(N(INDEX(Produtos!$G$5:$G$104,MATCH(D923,Produtos!$B$5:$B$104,0))),0))</f>
        <v/>
      </c>
      <c r="I923" s="27" t="str">
        <f aca="false">IF(G923="","",G923-H923)</f>
        <v/>
      </c>
      <c r="J923" s="42"/>
    </row>
    <row r="924" customFormat="false" ht="21" hidden="false" customHeight="true" outlineLevel="0" collapsed="false">
      <c r="B924" s="41"/>
      <c r="C924" s="9"/>
      <c r="D924" s="9"/>
      <c r="E924" s="42"/>
      <c r="F924" s="43"/>
      <c r="G924" s="27" t="str">
        <f aca="false">IF(OR(C924="",AND(D924="",F924="")),"",IF(N(E924)=0,1,E924)*IF(F924="",IFERROR(N(INDEX(Produtos!$L$5:$L$104,MATCH(D924,Produtos!$B$5:$B$104,0))),0),F924))</f>
        <v/>
      </c>
      <c r="H924" s="27" t="str">
        <f aca="false">IF(G924="","",IF(N(E924)=0,1,E924)*IFERROR(N(INDEX(Produtos!$G$5:$G$104,MATCH(D924,Produtos!$B$5:$B$104,0))),0))</f>
        <v/>
      </c>
      <c r="I924" s="27" t="str">
        <f aca="false">IF(G924="","",G924-H924)</f>
        <v/>
      </c>
      <c r="J924" s="42"/>
    </row>
    <row r="925" customFormat="false" ht="21" hidden="false" customHeight="true" outlineLevel="0" collapsed="false">
      <c r="B925" s="41"/>
      <c r="C925" s="9"/>
      <c r="D925" s="9"/>
      <c r="E925" s="42"/>
      <c r="F925" s="43"/>
      <c r="G925" s="27" t="str">
        <f aca="false">IF(OR(C925="",AND(D925="",F925="")),"",IF(N(E925)=0,1,E925)*IF(F925="",IFERROR(N(INDEX(Produtos!$L$5:$L$104,MATCH(D925,Produtos!$B$5:$B$104,0))),0),F925))</f>
        <v/>
      </c>
      <c r="H925" s="27" t="str">
        <f aca="false">IF(G925="","",IF(N(E925)=0,1,E925)*IFERROR(N(INDEX(Produtos!$G$5:$G$104,MATCH(D925,Produtos!$B$5:$B$104,0))),0))</f>
        <v/>
      </c>
      <c r="I925" s="27" t="str">
        <f aca="false">IF(G925="","",G925-H925)</f>
        <v/>
      </c>
      <c r="J925" s="42"/>
    </row>
    <row r="926" customFormat="false" ht="21" hidden="false" customHeight="true" outlineLevel="0" collapsed="false">
      <c r="B926" s="41"/>
      <c r="C926" s="9"/>
      <c r="D926" s="9"/>
      <c r="E926" s="42"/>
      <c r="F926" s="43"/>
      <c r="G926" s="27" t="str">
        <f aca="false">IF(OR(C926="",AND(D926="",F926="")),"",IF(N(E926)=0,1,E926)*IF(F926="",IFERROR(N(INDEX(Produtos!$L$5:$L$104,MATCH(D926,Produtos!$B$5:$B$104,0))),0),F926))</f>
        <v/>
      </c>
      <c r="H926" s="27" t="str">
        <f aca="false">IF(G926="","",IF(N(E926)=0,1,E926)*IFERROR(N(INDEX(Produtos!$G$5:$G$104,MATCH(D926,Produtos!$B$5:$B$104,0))),0))</f>
        <v/>
      </c>
      <c r="I926" s="27" t="str">
        <f aca="false">IF(G926="","",G926-H926)</f>
        <v/>
      </c>
      <c r="J926" s="42"/>
    </row>
    <row r="927" customFormat="false" ht="21" hidden="false" customHeight="true" outlineLevel="0" collapsed="false">
      <c r="B927" s="41"/>
      <c r="C927" s="9"/>
      <c r="D927" s="9"/>
      <c r="E927" s="42"/>
      <c r="F927" s="43"/>
      <c r="G927" s="27" t="str">
        <f aca="false">IF(OR(C927="",AND(D927="",F927="")),"",IF(N(E927)=0,1,E927)*IF(F927="",IFERROR(N(INDEX(Produtos!$L$5:$L$104,MATCH(D927,Produtos!$B$5:$B$104,0))),0),F927))</f>
        <v/>
      </c>
      <c r="H927" s="27" t="str">
        <f aca="false">IF(G927="","",IF(N(E927)=0,1,E927)*IFERROR(N(INDEX(Produtos!$G$5:$G$104,MATCH(D927,Produtos!$B$5:$B$104,0))),0))</f>
        <v/>
      </c>
      <c r="I927" s="27" t="str">
        <f aca="false">IF(G927="","",G927-H927)</f>
        <v/>
      </c>
      <c r="J927" s="42"/>
    </row>
    <row r="928" customFormat="false" ht="21" hidden="false" customHeight="true" outlineLevel="0" collapsed="false">
      <c r="B928" s="41"/>
      <c r="C928" s="9"/>
      <c r="D928" s="9"/>
      <c r="E928" s="42"/>
      <c r="F928" s="43"/>
      <c r="G928" s="27" t="str">
        <f aca="false">IF(OR(C928="",AND(D928="",F928="")),"",IF(N(E928)=0,1,E928)*IF(F928="",IFERROR(N(INDEX(Produtos!$L$5:$L$104,MATCH(D928,Produtos!$B$5:$B$104,0))),0),F928))</f>
        <v/>
      </c>
      <c r="H928" s="27" t="str">
        <f aca="false">IF(G928="","",IF(N(E928)=0,1,E928)*IFERROR(N(INDEX(Produtos!$G$5:$G$104,MATCH(D928,Produtos!$B$5:$B$104,0))),0))</f>
        <v/>
      </c>
      <c r="I928" s="27" t="str">
        <f aca="false">IF(G928="","",G928-H928)</f>
        <v/>
      </c>
      <c r="J928" s="42"/>
    </row>
    <row r="929" customFormat="false" ht="21" hidden="false" customHeight="true" outlineLevel="0" collapsed="false">
      <c r="B929" s="41"/>
      <c r="C929" s="9"/>
      <c r="D929" s="9"/>
      <c r="E929" s="42"/>
      <c r="F929" s="43"/>
      <c r="G929" s="27" t="str">
        <f aca="false">IF(OR(C929="",AND(D929="",F929="")),"",IF(N(E929)=0,1,E929)*IF(F929="",IFERROR(N(INDEX(Produtos!$L$5:$L$104,MATCH(D929,Produtos!$B$5:$B$104,0))),0),F929))</f>
        <v/>
      </c>
      <c r="H929" s="27" t="str">
        <f aca="false">IF(G929="","",IF(N(E929)=0,1,E929)*IFERROR(N(INDEX(Produtos!$G$5:$G$104,MATCH(D929,Produtos!$B$5:$B$104,0))),0))</f>
        <v/>
      </c>
      <c r="I929" s="27" t="str">
        <f aca="false">IF(G929="","",G929-H929)</f>
        <v/>
      </c>
      <c r="J929" s="42"/>
    </row>
    <row r="930" customFormat="false" ht="21" hidden="false" customHeight="true" outlineLevel="0" collapsed="false">
      <c r="B930" s="41"/>
      <c r="C930" s="9"/>
      <c r="D930" s="9"/>
      <c r="E930" s="42"/>
      <c r="F930" s="43"/>
      <c r="G930" s="27" t="str">
        <f aca="false">IF(OR(C930="",AND(D930="",F930="")),"",IF(N(E930)=0,1,E930)*IF(F930="",IFERROR(N(INDEX(Produtos!$L$5:$L$104,MATCH(D930,Produtos!$B$5:$B$104,0))),0),F930))</f>
        <v/>
      </c>
      <c r="H930" s="27" t="str">
        <f aca="false">IF(G930="","",IF(N(E930)=0,1,E930)*IFERROR(N(INDEX(Produtos!$G$5:$G$104,MATCH(D930,Produtos!$B$5:$B$104,0))),0))</f>
        <v/>
      </c>
      <c r="I930" s="27" t="str">
        <f aca="false">IF(G930="","",G930-H930)</f>
        <v/>
      </c>
      <c r="J930" s="42"/>
    </row>
    <row r="931" customFormat="false" ht="21" hidden="false" customHeight="true" outlineLevel="0" collapsed="false">
      <c r="B931" s="41"/>
      <c r="C931" s="9"/>
      <c r="D931" s="9"/>
      <c r="E931" s="42"/>
      <c r="F931" s="43"/>
      <c r="G931" s="27" t="str">
        <f aca="false">IF(OR(C931="",AND(D931="",F931="")),"",IF(N(E931)=0,1,E931)*IF(F931="",IFERROR(N(INDEX(Produtos!$L$5:$L$104,MATCH(D931,Produtos!$B$5:$B$104,0))),0),F931))</f>
        <v/>
      </c>
      <c r="H931" s="27" t="str">
        <f aca="false">IF(G931="","",IF(N(E931)=0,1,E931)*IFERROR(N(INDEX(Produtos!$G$5:$G$104,MATCH(D931,Produtos!$B$5:$B$104,0))),0))</f>
        <v/>
      </c>
      <c r="I931" s="27" t="str">
        <f aca="false">IF(G931="","",G931-H931)</f>
        <v/>
      </c>
      <c r="J931" s="42"/>
    </row>
    <row r="932" customFormat="false" ht="21" hidden="false" customHeight="true" outlineLevel="0" collapsed="false">
      <c r="B932" s="41"/>
      <c r="C932" s="9"/>
      <c r="D932" s="9"/>
      <c r="E932" s="42"/>
      <c r="F932" s="43"/>
      <c r="G932" s="27" t="str">
        <f aca="false">IF(OR(C932="",AND(D932="",F932="")),"",IF(N(E932)=0,1,E932)*IF(F932="",IFERROR(N(INDEX(Produtos!$L$5:$L$104,MATCH(D932,Produtos!$B$5:$B$104,0))),0),F932))</f>
        <v/>
      </c>
      <c r="H932" s="27" t="str">
        <f aca="false">IF(G932="","",IF(N(E932)=0,1,E932)*IFERROR(N(INDEX(Produtos!$G$5:$G$104,MATCH(D932,Produtos!$B$5:$B$104,0))),0))</f>
        <v/>
      </c>
      <c r="I932" s="27" t="str">
        <f aca="false">IF(G932="","",G932-H932)</f>
        <v/>
      </c>
      <c r="J932" s="42"/>
    </row>
    <row r="933" customFormat="false" ht="21" hidden="false" customHeight="true" outlineLevel="0" collapsed="false">
      <c r="B933" s="41"/>
      <c r="C933" s="9"/>
      <c r="D933" s="9"/>
      <c r="E933" s="42"/>
      <c r="F933" s="43"/>
      <c r="G933" s="27" t="str">
        <f aca="false">IF(OR(C933="",AND(D933="",F933="")),"",IF(N(E933)=0,1,E933)*IF(F933="",IFERROR(N(INDEX(Produtos!$L$5:$L$104,MATCH(D933,Produtos!$B$5:$B$104,0))),0),F933))</f>
        <v/>
      </c>
      <c r="H933" s="27" t="str">
        <f aca="false">IF(G933="","",IF(N(E933)=0,1,E933)*IFERROR(N(INDEX(Produtos!$G$5:$G$104,MATCH(D933,Produtos!$B$5:$B$104,0))),0))</f>
        <v/>
      </c>
      <c r="I933" s="27" t="str">
        <f aca="false">IF(G933="","",G933-H933)</f>
        <v/>
      </c>
      <c r="J933" s="42"/>
    </row>
    <row r="934" customFormat="false" ht="21" hidden="false" customHeight="true" outlineLevel="0" collapsed="false">
      <c r="B934" s="41"/>
      <c r="C934" s="9"/>
      <c r="D934" s="9"/>
      <c r="E934" s="42"/>
      <c r="F934" s="43"/>
      <c r="G934" s="27" t="str">
        <f aca="false">IF(OR(C934="",AND(D934="",F934="")),"",IF(N(E934)=0,1,E934)*IF(F934="",IFERROR(N(INDEX(Produtos!$L$5:$L$104,MATCH(D934,Produtos!$B$5:$B$104,0))),0),F934))</f>
        <v/>
      </c>
      <c r="H934" s="27" t="str">
        <f aca="false">IF(G934="","",IF(N(E934)=0,1,E934)*IFERROR(N(INDEX(Produtos!$G$5:$G$104,MATCH(D934,Produtos!$B$5:$B$104,0))),0))</f>
        <v/>
      </c>
      <c r="I934" s="27" t="str">
        <f aca="false">IF(G934="","",G934-H934)</f>
        <v/>
      </c>
      <c r="J934" s="42"/>
    </row>
    <row r="935" customFormat="false" ht="21" hidden="false" customHeight="true" outlineLevel="0" collapsed="false">
      <c r="B935" s="41"/>
      <c r="C935" s="9"/>
      <c r="D935" s="9"/>
      <c r="E935" s="42"/>
      <c r="F935" s="43"/>
      <c r="G935" s="27" t="str">
        <f aca="false">IF(OR(C935="",AND(D935="",F935="")),"",IF(N(E935)=0,1,E935)*IF(F935="",IFERROR(N(INDEX(Produtos!$L$5:$L$104,MATCH(D935,Produtos!$B$5:$B$104,0))),0),F935))</f>
        <v/>
      </c>
      <c r="H935" s="27" t="str">
        <f aca="false">IF(G935="","",IF(N(E935)=0,1,E935)*IFERROR(N(INDEX(Produtos!$G$5:$G$104,MATCH(D935,Produtos!$B$5:$B$104,0))),0))</f>
        <v/>
      </c>
      <c r="I935" s="27" t="str">
        <f aca="false">IF(G935="","",G935-H935)</f>
        <v/>
      </c>
      <c r="J935" s="42"/>
    </row>
    <row r="936" customFormat="false" ht="21" hidden="false" customHeight="true" outlineLevel="0" collapsed="false">
      <c r="B936" s="41"/>
      <c r="C936" s="9"/>
      <c r="D936" s="9"/>
      <c r="E936" s="42"/>
      <c r="F936" s="43"/>
      <c r="G936" s="27" t="str">
        <f aca="false">IF(OR(C936="",AND(D936="",F936="")),"",IF(N(E936)=0,1,E936)*IF(F936="",IFERROR(N(INDEX(Produtos!$L$5:$L$104,MATCH(D936,Produtos!$B$5:$B$104,0))),0),F936))</f>
        <v/>
      </c>
      <c r="H936" s="27" t="str">
        <f aca="false">IF(G936="","",IF(N(E936)=0,1,E936)*IFERROR(N(INDEX(Produtos!$G$5:$G$104,MATCH(D936,Produtos!$B$5:$B$104,0))),0))</f>
        <v/>
      </c>
      <c r="I936" s="27" t="str">
        <f aca="false">IF(G936="","",G936-H936)</f>
        <v/>
      </c>
      <c r="J936" s="42"/>
    </row>
    <row r="937" customFormat="false" ht="21" hidden="false" customHeight="true" outlineLevel="0" collapsed="false">
      <c r="B937" s="41"/>
      <c r="C937" s="9"/>
      <c r="D937" s="9"/>
      <c r="E937" s="42"/>
      <c r="F937" s="43"/>
      <c r="G937" s="27" t="str">
        <f aca="false">IF(OR(C937="",AND(D937="",F937="")),"",IF(N(E937)=0,1,E937)*IF(F937="",IFERROR(N(INDEX(Produtos!$L$5:$L$104,MATCH(D937,Produtos!$B$5:$B$104,0))),0),F937))</f>
        <v/>
      </c>
      <c r="H937" s="27" t="str">
        <f aca="false">IF(G937="","",IF(N(E937)=0,1,E937)*IFERROR(N(INDEX(Produtos!$G$5:$G$104,MATCH(D937,Produtos!$B$5:$B$104,0))),0))</f>
        <v/>
      </c>
      <c r="I937" s="27" t="str">
        <f aca="false">IF(G937="","",G937-H937)</f>
        <v/>
      </c>
      <c r="J937" s="42"/>
    </row>
    <row r="938" customFormat="false" ht="21" hidden="false" customHeight="true" outlineLevel="0" collapsed="false">
      <c r="B938" s="41"/>
      <c r="C938" s="9"/>
      <c r="D938" s="9"/>
      <c r="E938" s="42"/>
      <c r="F938" s="43"/>
      <c r="G938" s="27" t="str">
        <f aca="false">IF(OR(C938="",AND(D938="",F938="")),"",IF(N(E938)=0,1,E938)*IF(F938="",IFERROR(N(INDEX(Produtos!$L$5:$L$104,MATCH(D938,Produtos!$B$5:$B$104,0))),0),F938))</f>
        <v/>
      </c>
      <c r="H938" s="27" t="str">
        <f aca="false">IF(G938="","",IF(N(E938)=0,1,E938)*IFERROR(N(INDEX(Produtos!$G$5:$G$104,MATCH(D938,Produtos!$B$5:$B$104,0))),0))</f>
        <v/>
      </c>
      <c r="I938" s="27" t="str">
        <f aca="false">IF(G938="","",G938-H938)</f>
        <v/>
      </c>
      <c r="J938" s="42"/>
    </row>
    <row r="939" customFormat="false" ht="21" hidden="false" customHeight="true" outlineLevel="0" collapsed="false">
      <c r="B939" s="41"/>
      <c r="C939" s="9"/>
      <c r="D939" s="9"/>
      <c r="E939" s="42"/>
      <c r="F939" s="43"/>
      <c r="G939" s="27" t="str">
        <f aca="false">IF(OR(C939="",AND(D939="",F939="")),"",IF(N(E939)=0,1,E939)*IF(F939="",IFERROR(N(INDEX(Produtos!$L$5:$L$104,MATCH(D939,Produtos!$B$5:$B$104,0))),0),F939))</f>
        <v/>
      </c>
      <c r="H939" s="27" t="str">
        <f aca="false">IF(G939="","",IF(N(E939)=0,1,E939)*IFERROR(N(INDEX(Produtos!$G$5:$G$104,MATCH(D939,Produtos!$B$5:$B$104,0))),0))</f>
        <v/>
      </c>
      <c r="I939" s="27" t="str">
        <f aca="false">IF(G939="","",G939-H939)</f>
        <v/>
      </c>
      <c r="J939" s="42"/>
    </row>
    <row r="940" customFormat="false" ht="21" hidden="false" customHeight="true" outlineLevel="0" collapsed="false">
      <c r="B940" s="41"/>
      <c r="C940" s="9"/>
      <c r="D940" s="9"/>
      <c r="E940" s="42"/>
      <c r="F940" s="43"/>
      <c r="G940" s="27" t="str">
        <f aca="false">IF(OR(C940="",AND(D940="",F940="")),"",IF(N(E940)=0,1,E940)*IF(F940="",IFERROR(N(INDEX(Produtos!$L$5:$L$104,MATCH(D940,Produtos!$B$5:$B$104,0))),0),F940))</f>
        <v/>
      </c>
      <c r="H940" s="27" t="str">
        <f aca="false">IF(G940="","",IF(N(E940)=0,1,E940)*IFERROR(N(INDEX(Produtos!$G$5:$G$104,MATCH(D940,Produtos!$B$5:$B$104,0))),0))</f>
        <v/>
      </c>
      <c r="I940" s="27" t="str">
        <f aca="false">IF(G940="","",G940-H940)</f>
        <v/>
      </c>
      <c r="J940" s="42"/>
    </row>
    <row r="941" customFormat="false" ht="21" hidden="false" customHeight="true" outlineLevel="0" collapsed="false">
      <c r="B941" s="41"/>
      <c r="C941" s="9"/>
      <c r="D941" s="9"/>
      <c r="E941" s="42"/>
      <c r="F941" s="43"/>
      <c r="G941" s="27" t="str">
        <f aca="false">IF(OR(C941="",AND(D941="",F941="")),"",IF(N(E941)=0,1,E941)*IF(F941="",IFERROR(N(INDEX(Produtos!$L$5:$L$104,MATCH(D941,Produtos!$B$5:$B$104,0))),0),F941))</f>
        <v/>
      </c>
      <c r="H941" s="27" t="str">
        <f aca="false">IF(G941="","",IF(N(E941)=0,1,E941)*IFERROR(N(INDEX(Produtos!$G$5:$G$104,MATCH(D941,Produtos!$B$5:$B$104,0))),0))</f>
        <v/>
      </c>
      <c r="I941" s="27" t="str">
        <f aca="false">IF(G941="","",G941-H941)</f>
        <v/>
      </c>
      <c r="J941" s="42"/>
    </row>
    <row r="942" customFormat="false" ht="21" hidden="false" customHeight="true" outlineLevel="0" collapsed="false">
      <c r="B942" s="41"/>
      <c r="C942" s="9"/>
      <c r="D942" s="9"/>
      <c r="E942" s="42"/>
      <c r="F942" s="43"/>
      <c r="G942" s="27" t="str">
        <f aca="false">IF(OR(C942="",AND(D942="",F942="")),"",IF(N(E942)=0,1,E942)*IF(F942="",IFERROR(N(INDEX(Produtos!$L$5:$L$104,MATCH(D942,Produtos!$B$5:$B$104,0))),0),F942))</f>
        <v/>
      </c>
      <c r="H942" s="27" t="str">
        <f aca="false">IF(G942="","",IF(N(E942)=0,1,E942)*IFERROR(N(INDEX(Produtos!$G$5:$G$104,MATCH(D942,Produtos!$B$5:$B$104,0))),0))</f>
        <v/>
      </c>
      <c r="I942" s="27" t="str">
        <f aca="false">IF(G942="","",G942-H942)</f>
        <v/>
      </c>
      <c r="J942" s="42"/>
    </row>
    <row r="943" customFormat="false" ht="21" hidden="false" customHeight="true" outlineLevel="0" collapsed="false">
      <c r="B943" s="41"/>
      <c r="C943" s="9"/>
      <c r="D943" s="9"/>
      <c r="E943" s="42"/>
      <c r="F943" s="43"/>
      <c r="G943" s="27" t="str">
        <f aca="false">IF(OR(C943="",AND(D943="",F943="")),"",IF(N(E943)=0,1,E943)*IF(F943="",IFERROR(N(INDEX(Produtos!$L$5:$L$104,MATCH(D943,Produtos!$B$5:$B$104,0))),0),F943))</f>
        <v/>
      </c>
      <c r="H943" s="27" t="str">
        <f aca="false">IF(G943="","",IF(N(E943)=0,1,E943)*IFERROR(N(INDEX(Produtos!$G$5:$G$104,MATCH(D943,Produtos!$B$5:$B$104,0))),0))</f>
        <v/>
      </c>
      <c r="I943" s="27" t="str">
        <f aca="false">IF(G943="","",G943-H943)</f>
        <v/>
      </c>
      <c r="J943" s="42"/>
    </row>
    <row r="944" customFormat="false" ht="21" hidden="false" customHeight="true" outlineLevel="0" collapsed="false">
      <c r="B944" s="41"/>
      <c r="C944" s="9"/>
      <c r="D944" s="9"/>
      <c r="E944" s="42"/>
      <c r="F944" s="43"/>
      <c r="G944" s="27" t="str">
        <f aca="false">IF(OR(C944="",AND(D944="",F944="")),"",IF(N(E944)=0,1,E944)*IF(F944="",IFERROR(N(INDEX(Produtos!$L$5:$L$104,MATCH(D944,Produtos!$B$5:$B$104,0))),0),F944))</f>
        <v/>
      </c>
      <c r="H944" s="27" t="str">
        <f aca="false">IF(G944="","",IF(N(E944)=0,1,E944)*IFERROR(N(INDEX(Produtos!$G$5:$G$104,MATCH(D944,Produtos!$B$5:$B$104,0))),0))</f>
        <v/>
      </c>
      <c r="I944" s="27" t="str">
        <f aca="false">IF(G944="","",G944-H944)</f>
        <v/>
      </c>
      <c r="J944" s="42"/>
    </row>
    <row r="945" customFormat="false" ht="21" hidden="false" customHeight="true" outlineLevel="0" collapsed="false">
      <c r="B945" s="41"/>
      <c r="C945" s="9"/>
      <c r="D945" s="9"/>
      <c r="E945" s="42"/>
      <c r="F945" s="43"/>
      <c r="G945" s="27" t="str">
        <f aca="false">IF(OR(C945="",AND(D945="",F945="")),"",IF(N(E945)=0,1,E945)*IF(F945="",IFERROR(N(INDEX(Produtos!$L$5:$L$104,MATCH(D945,Produtos!$B$5:$B$104,0))),0),F945))</f>
        <v/>
      </c>
      <c r="H945" s="27" t="str">
        <f aca="false">IF(G945="","",IF(N(E945)=0,1,E945)*IFERROR(N(INDEX(Produtos!$G$5:$G$104,MATCH(D945,Produtos!$B$5:$B$104,0))),0))</f>
        <v/>
      </c>
      <c r="I945" s="27" t="str">
        <f aca="false">IF(G945="","",G945-H945)</f>
        <v/>
      </c>
      <c r="J945" s="42"/>
    </row>
    <row r="946" customFormat="false" ht="21" hidden="false" customHeight="true" outlineLevel="0" collapsed="false">
      <c r="B946" s="41"/>
      <c r="C946" s="9"/>
      <c r="D946" s="9"/>
      <c r="E946" s="42"/>
      <c r="F946" s="43"/>
      <c r="G946" s="27" t="str">
        <f aca="false">IF(OR(C946="",AND(D946="",F946="")),"",IF(N(E946)=0,1,E946)*IF(F946="",IFERROR(N(INDEX(Produtos!$L$5:$L$104,MATCH(D946,Produtos!$B$5:$B$104,0))),0),F946))</f>
        <v/>
      </c>
      <c r="H946" s="27" t="str">
        <f aca="false">IF(G946="","",IF(N(E946)=0,1,E946)*IFERROR(N(INDEX(Produtos!$G$5:$G$104,MATCH(D946,Produtos!$B$5:$B$104,0))),0))</f>
        <v/>
      </c>
      <c r="I946" s="27" t="str">
        <f aca="false">IF(G946="","",G946-H946)</f>
        <v/>
      </c>
      <c r="J946" s="42"/>
    </row>
    <row r="947" customFormat="false" ht="21" hidden="false" customHeight="true" outlineLevel="0" collapsed="false">
      <c r="B947" s="41"/>
      <c r="C947" s="9"/>
      <c r="D947" s="9"/>
      <c r="E947" s="42"/>
      <c r="F947" s="43"/>
      <c r="G947" s="27" t="str">
        <f aca="false">IF(OR(C947="",AND(D947="",F947="")),"",IF(N(E947)=0,1,E947)*IF(F947="",IFERROR(N(INDEX(Produtos!$L$5:$L$104,MATCH(D947,Produtos!$B$5:$B$104,0))),0),F947))</f>
        <v/>
      </c>
      <c r="H947" s="27" t="str">
        <f aca="false">IF(G947="","",IF(N(E947)=0,1,E947)*IFERROR(N(INDEX(Produtos!$G$5:$G$104,MATCH(D947,Produtos!$B$5:$B$104,0))),0))</f>
        <v/>
      </c>
      <c r="I947" s="27" t="str">
        <f aca="false">IF(G947="","",G947-H947)</f>
        <v/>
      </c>
      <c r="J947" s="42"/>
    </row>
    <row r="948" customFormat="false" ht="21" hidden="false" customHeight="true" outlineLevel="0" collapsed="false">
      <c r="B948" s="41"/>
      <c r="C948" s="9"/>
      <c r="D948" s="9"/>
      <c r="E948" s="42"/>
      <c r="F948" s="43"/>
      <c r="G948" s="27" t="str">
        <f aca="false">IF(OR(C948="",AND(D948="",F948="")),"",IF(N(E948)=0,1,E948)*IF(F948="",IFERROR(N(INDEX(Produtos!$L$5:$L$104,MATCH(D948,Produtos!$B$5:$B$104,0))),0),F948))</f>
        <v/>
      </c>
      <c r="H948" s="27" t="str">
        <f aca="false">IF(G948="","",IF(N(E948)=0,1,E948)*IFERROR(N(INDEX(Produtos!$G$5:$G$104,MATCH(D948,Produtos!$B$5:$B$104,0))),0))</f>
        <v/>
      </c>
      <c r="I948" s="27" t="str">
        <f aca="false">IF(G948="","",G948-H948)</f>
        <v/>
      </c>
      <c r="J948" s="42"/>
    </row>
    <row r="949" customFormat="false" ht="21" hidden="false" customHeight="true" outlineLevel="0" collapsed="false">
      <c r="B949" s="41"/>
      <c r="C949" s="9"/>
      <c r="D949" s="9"/>
      <c r="E949" s="42"/>
      <c r="F949" s="43"/>
      <c r="G949" s="27" t="str">
        <f aca="false">IF(OR(C949="",AND(D949="",F949="")),"",IF(N(E949)=0,1,E949)*IF(F949="",IFERROR(N(INDEX(Produtos!$L$5:$L$104,MATCH(D949,Produtos!$B$5:$B$104,0))),0),F949))</f>
        <v/>
      </c>
      <c r="H949" s="27" t="str">
        <f aca="false">IF(G949="","",IF(N(E949)=0,1,E949)*IFERROR(N(INDEX(Produtos!$G$5:$G$104,MATCH(D949,Produtos!$B$5:$B$104,0))),0))</f>
        <v/>
      </c>
      <c r="I949" s="27" t="str">
        <f aca="false">IF(G949="","",G949-H949)</f>
        <v/>
      </c>
      <c r="J949" s="42"/>
    </row>
    <row r="950" customFormat="false" ht="21" hidden="false" customHeight="true" outlineLevel="0" collapsed="false">
      <c r="B950" s="41"/>
      <c r="C950" s="9"/>
      <c r="D950" s="9"/>
      <c r="E950" s="42"/>
      <c r="F950" s="43"/>
      <c r="G950" s="27" t="str">
        <f aca="false">IF(OR(C950="",AND(D950="",F950="")),"",IF(N(E950)=0,1,E950)*IF(F950="",IFERROR(N(INDEX(Produtos!$L$5:$L$104,MATCH(D950,Produtos!$B$5:$B$104,0))),0),F950))</f>
        <v/>
      </c>
      <c r="H950" s="27" t="str">
        <f aca="false">IF(G950="","",IF(N(E950)=0,1,E950)*IFERROR(N(INDEX(Produtos!$G$5:$G$104,MATCH(D950,Produtos!$B$5:$B$104,0))),0))</f>
        <v/>
      </c>
      <c r="I950" s="27" t="str">
        <f aca="false">IF(G950="","",G950-H950)</f>
        <v/>
      </c>
      <c r="J950" s="42"/>
    </row>
    <row r="951" customFormat="false" ht="21" hidden="false" customHeight="true" outlineLevel="0" collapsed="false">
      <c r="B951" s="41"/>
      <c r="C951" s="9"/>
      <c r="D951" s="9"/>
      <c r="E951" s="42"/>
      <c r="F951" s="43"/>
      <c r="G951" s="27" t="str">
        <f aca="false">IF(OR(C951="",AND(D951="",F951="")),"",IF(N(E951)=0,1,E951)*IF(F951="",IFERROR(N(INDEX(Produtos!$L$5:$L$104,MATCH(D951,Produtos!$B$5:$B$104,0))),0),F951))</f>
        <v/>
      </c>
      <c r="H951" s="27" t="str">
        <f aca="false">IF(G951="","",IF(N(E951)=0,1,E951)*IFERROR(N(INDEX(Produtos!$G$5:$G$104,MATCH(D951,Produtos!$B$5:$B$104,0))),0))</f>
        <v/>
      </c>
      <c r="I951" s="27" t="str">
        <f aca="false">IF(G951="","",G951-H951)</f>
        <v/>
      </c>
      <c r="J951" s="42"/>
    </row>
    <row r="952" customFormat="false" ht="21" hidden="false" customHeight="true" outlineLevel="0" collapsed="false">
      <c r="B952" s="41"/>
      <c r="C952" s="9"/>
      <c r="D952" s="9"/>
      <c r="E952" s="42"/>
      <c r="F952" s="43"/>
      <c r="G952" s="27" t="str">
        <f aca="false">IF(OR(C952="",AND(D952="",F952="")),"",IF(N(E952)=0,1,E952)*IF(F952="",IFERROR(N(INDEX(Produtos!$L$5:$L$104,MATCH(D952,Produtos!$B$5:$B$104,0))),0),F952))</f>
        <v/>
      </c>
      <c r="H952" s="27" t="str">
        <f aca="false">IF(G952="","",IF(N(E952)=0,1,E952)*IFERROR(N(INDEX(Produtos!$G$5:$G$104,MATCH(D952,Produtos!$B$5:$B$104,0))),0))</f>
        <v/>
      </c>
      <c r="I952" s="27" t="str">
        <f aca="false">IF(G952="","",G952-H952)</f>
        <v/>
      </c>
      <c r="J952" s="42"/>
    </row>
    <row r="953" customFormat="false" ht="21" hidden="false" customHeight="true" outlineLevel="0" collapsed="false">
      <c r="B953" s="41"/>
      <c r="C953" s="9"/>
      <c r="D953" s="9"/>
      <c r="E953" s="42"/>
      <c r="F953" s="43"/>
      <c r="G953" s="27" t="str">
        <f aca="false">IF(OR(C953="",AND(D953="",F953="")),"",IF(N(E953)=0,1,E953)*IF(F953="",IFERROR(N(INDEX(Produtos!$L$5:$L$104,MATCH(D953,Produtos!$B$5:$B$104,0))),0),F953))</f>
        <v/>
      </c>
      <c r="H953" s="27" t="str">
        <f aca="false">IF(G953="","",IF(N(E953)=0,1,E953)*IFERROR(N(INDEX(Produtos!$G$5:$G$104,MATCH(D953,Produtos!$B$5:$B$104,0))),0))</f>
        <v/>
      </c>
      <c r="I953" s="27" t="str">
        <f aca="false">IF(G953="","",G953-H953)</f>
        <v/>
      </c>
      <c r="J953" s="42"/>
    </row>
    <row r="954" customFormat="false" ht="21" hidden="false" customHeight="true" outlineLevel="0" collapsed="false">
      <c r="B954" s="41"/>
      <c r="C954" s="9"/>
      <c r="D954" s="9"/>
      <c r="E954" s="42"/>
      <c r="F954" s="43"/>
      <c r="G954" s="27" t="str">
        <f aca="false">IF(OR(C954="",AND(D954="",F954="")),"",IF(N(E954)=0,1,E954)*IF(F954="",IFERROR(N(INDEX(Produtos!$L$5:$L$104,MATCH(D954,Produtos!$B$5:$B$104,0))),0),F954))</f>
        <v/>
      </c>
      <c r="H954" s="27" t="str">
        <f aca="false">IF(G954="","",IF(N(E954)=0,1,E954)*IFERROR(N(INDEX(Produtos!$G$5:$G$104,MATCH(D954,Produtos!$B$5:$B$104,0))),0))</f>
        <v/>
      </c>
      <c r="I954" s="27" t="str">
        <f aca="false">IF(G954="","",G954-H954)</f>
        <v/>
      </c>
      <c r="J954" s="42"/>
    </row>
    <row r="955" customFormat="false" ht="21" hidden="false" customHeight="true" outlineLevel="0" collapsed="false">
      <c r="B955" s="41"/>
      <c r="C955" s="9"/>
      <c r="D955" s="9"/>
      <c r="E955" s="42"/>
      <c r="F955" s="43"/>
      <c r="G955" s="27" t="str">
        <f aca="false">IF(OR(C955="",AND(D955="",F955="")),"",IF(N(E955)=0,1,E955)*IF(F955="",IFERROR(N(INDEX(Produtos!$L$5:$L$104,MATCH(D955,Produtos!$B$5:$B$104,0))),0),F955))</f>
        <v/>
      </c>
      <c r="H955" s="27" t="str">
        <f aca="false">IF(G955="","",IF(N(E955)=0,1,E955)*IFERROR(N(INDEX(Produtos!$G$5:$G$104,MATCH(D955,Produtos!$B$5:$B$104,0))),0))</f>
        <v/>
      </c>
      <c r="I955" s="27" t="str">
        <f aca="false">IF(G955="","",G955-H955)</f>
        <v/>
      </c>
      <c r="J955" s="42"/>
    </row>
    <row r="956" customFormat="false" ht="21" hidden="false" customHeight="true" outlineLevel="0" collapsed="false">
      <c r="B956" s="41"/>
      <c r="C956" s="9"/>
      <c r="D956" s="9"/>
      <c r="E956" s="42"/>
      <c r="F956" s="43"/>
      <c r="G956" s="27" t="str">
        <f aca="false">IF(OR(C956="",AND(D956="",F956="")),"",IF(N(E956)=0,1,E956)*IF(F956="",IFERROR(N(INDEX(Produtos!$L$5:$L$104,MATCH(D956,Produtos!$B$5:$B$104,0))),0),F956))</f>
        <v/>
      </c>
      <c r="H956" s="27" t="str">
        <f aca="false">IF(G956="","",IF(N(E956)=0,1,E956)*IFERROR(N(INDEX(Produtos!$G$5:$G$104,MATCH(D956,Produtos!$B$5:$B$104,0))),0))</f>
        <v/>
      </c>
      <c r="I956" s="27" t="str">
        <f aca="false">IF(G956="","",G956-H956)</f>
        <v/>
      </c>
      <c r="J956" s="42"/>
    </row>
    <row r="957" customFormat="false" ht="21" hidden="false" customHeight="true" outlineLevel="0" collapsed="false">
      <c r="B957" s="41"/>
      <c r="C957" s="9"/>
      <c r="D957" s="9"/>
      <c r="E957" s="42"/>
      <c r="F957" s="43"/>
      <c r="G957" s="27" t="str">
        <f aca="false">IF(OR(C957="",AND(D957="",F957="")),"",IF(N(E957)=0,1,E957)*IF(F957="",IFERROR(N(INDEX(Produtos!$L$5:$L$104,MATCH(D957,Produtos!$B$5:$B$104,0))),0),F957))</f>
        <v/>
      </c>
      <c r="H957" s="27" t="str">
        <f aca="false">IF(G957="","",IF(N(E957)=0,1,E957)*IFERROR(N(INDEX(Produtos!$G$5:$G$104,MATCH(D957,Produtos!$B$5:$B$104,0))),0))</f>
        <v/>
      </c>
      <c r="I957" s="27" t="str">
        <f aca="false">IF(G957="","",G957-H957)</f>
        <v/>
      </c>
      <c r="J957" s="42"/>
    </row>
    <row r="958" customFormat="false" ht="21" hidden="false" customHeight="true" outlineLevel="0" collapsed="false">
      <c r="B958" s="41"/>
      <c r="C958" s="9"/>
      <c r="D958" s="9"/>
      <c r="E958" s="42"/>
      <c r="F958" s="43"/>
      <c r="G958" s="27" t="str">
        <f aca="false">IF(OR(C958="",AND(D958="",F958="")),"",IF(N(E958)=0,1,E958)*IF(F958="",IFERROR(N(INDEX(Produtos!$L$5:$L$104,MATCH(D958,Produtos!$B$5:$B$104,0))),0),F958))</f>
        <v/>
      </c>
      <c r="H958" s="27" t="str">
        <f aca="false">IF(G958="","",IF(N(E958)=0,1,E958)*IFERROR(N(INDEX(Produtos!$G$5:$G$104,MATCH(D958,Produtos!$B$5:$B$104,0))),0))</f>
        <v/>
      </c>
      <c r="I958" s="27" t="str">
        <f aca="false">IF(G958="","",G958-H958)</f>
        <v/>
      </c>
      <c r="J958" s="42"/>
    </row>
    <row r="959" customFormat="false" ht="21" hidden="false" customHeight="true" outlineLevel="0" collapsed="false">
      <c r="B959" s="41"/>
      <c r="C959" s="9"/>
      <c r="D959" s="9"/>
      <c r="E959" s="42"/>
      <c r="F959" s="43"/>
      <c r="G959" s="27" t="str">
        <f aca="false">IF(OR(C959="",AND(D959="",F959="")),"",IF(N(E959)=0,1,E959)*IF(F959="",IFERROR(N(INDEX(Produtos!$L$5:$L$104,MATCH(D959,Produtos!$B$5:$B$104,0))),0),F959))</f>
        <v/>
      </c>
      <c r="H959" s="27" t="str">
        <f aca="false">IF(G959="","",IF(N(E959)=0,1,E959)*IFERROR(N(INDEX(Produtos!$G$5:$G$104,MATCH(D959,Produtos!$B$5:$B$104,0))),0))</f>
        <v/>
      </c>
      <c r="I959" s="27" t="str">
        <f aca="false">IF(G959="","",G959-H959)</f>
        <v/>
      </c>
      <c r="J959" s="42"/>
    </row>
    <row r="960" customFormat="false" ht="21" hidden="false" customHeight="true" outlineLevel="0" collapsed="false">
      <c r="B960" s="41"/>
      <c r="C960" s="9"/>
      <c r="D960" s="9"/>
      <c r="E960" s="42"/>
      <c r="F960" s="43"/>
      <c r="G960" s="27" t="str">
        <f aca="false">IF(OR(C960="",AND(D960="",F960="")),"",IF(N(E960)=0,1,E960)*IF(F960="",IFERROR(N(INDEX(Produtos!$L$5:$L$104,MATCH(D960,Produtos!$B$5:$B$104,0))),0),F960))</f>
        <v/>
      </c>
      <c r="H960" s="27" t="str">
        <f aca="false">IF(G960="","",IF(N(E960)=0,1,E960)*IFERROR(N(INDEX(Produtos!$G$5:$G$104,MATCH(D960,Produtos!$B$5:$B$104,0))),0))</f>
        <v/>
      </c>
      <c r="I960" s="27" t="str">
        <f aca="false">IF(G960="","",G960-H960)</f>
        <v/>
      </c>
      <c r="J960" s="42"/>
    </row>
    <row r="961" customFormat="false" ht="21" hidden="false" customHeight="true" outlineLevel="0" collapsed="false">
      <c r="B961" s="41"/>
      <c r="C961" s="9"/>
      <c r="D961" s="9"/>
      <c r="E961" s="42"/>
      <c r="F961" s="43"/>
      <c r="G961" s="27" t="str">
        <f aca="false">IF(OR(C961="",AND(D961="",F961="")),"",IF(N(E961)=0,1,E961)*IF(F961="",IFERROR(N(INDEX(Produtos!$L$5:$L$104,MATCH(D961,Produtos!$B$5:$B$104,0))),0),F961))</f>
        <v/>
      </c>
      <c r="H961" s="27" t="str">
        <f aca="false">IF(G961="","",IF(N(E961)=0,1,E961)*IFERROR(N(INDEX(Produtos!$G$5:$G$104,MATCH(D961,Produtos!$B$5:$B$104,0))),0))</f>
        <v/>
      </c>
      <c r="I961" s="27" t="str">
        <f aca="false">IF(G961="","",G961-H961)</f>
        <v/>
      </c>
      <c r="J961" s="42"/>
    </row>
    <row r="962" customFormat="false" ht="21" hidden="false" customHeight="true" outlineLevel="0" collapsed="false">
      <c r="B962" s="41"/>
      <c r="C962" s="9"/>
      <c r="D962" s="9"/>
      <c r="E962" s="42"/>
      <c r="F962" s="43"/>
      <c r="G962" s="27" t="str">
        <f aca="false">IF(OR(C962="",AND(D962="",F962="")),"",IF(N(E962)=0,1,E962)*IF(F962="",IFERROR(N(INDEX(Produtos!$L$5:$L$104,MATCH(D962,Produtos!$B$5:$B$104,0))),0),F962))</f>
        <v/>
      </c>
      <c r="H962" s="27" t="str">
        <f aca="false">IF(G962="","",IF(N(E962)=0,1,E962)*IFERROR(N(INDEX(Produtos!$G$5:$G$104,MATCH(D962,Produtos!$B$5:$B$104,0))),0))</f>
        <v/>
      </c>
      <c r="I962" s="27" t="str">
        <f aca="false">IF(G962="","",G962-H962)</f>
        <v/>
      </c>
      <c r="J962" s="42"/>
    </row>
    <row r="963" customFormat="false" ht="21" hidden="false" customHeight="true" outlineLevel="0" collapsed="false">
      <c r="B963" s="41"/>
      <c r="C963" s="9"/>
      <c r="D963" s="9"/>
      <c r="E963" s="42"/>
      <c r="F963" s="43"/>
      <c r="G963" s="27" t="str">
        <f aca="false">IF(OR(C963="",AND(D963="",F963="")),"",IF(N(E963)=0,1,E963)*IF(F963="",IFERROR(N(INDEX(Produtos!$L$5:$L$104,MATCH(D963,Produtos!$B$5:$B$104,0))),0),F963))</f>
        <v/>
      </c>
      <c r="H963" s="27" t="str">
        <f aca="false">IF(G963="","",IF(N(E963)=0,1,E963)*IFERROR(N(INDEX(Produtos!$G$5:$G$104,MATCH(D963,Produtos!$B$5:$B$104,0))),0))</f>
        <v/>
      </c>
      <c r="I963" s="27" t="str">
        <f aca="false">IF(G963="","",G963-H963)</f>
        <v/>
      </c>
      <c r="J963" s="42"/>
    </row>
    <row r="964" customFormat="false" ht="21" hidden="false" customHeight="true" outlineLevel="0" collapsed="false">
      <c r="B964" s="41"/>
      <c r="C964" s="9"/>
      <c r="D964" s="9"/>
      <c r="E964" s="42"/>
      <c r="F964" s="43"/>
      <c r="G964" s="27" t="str">
        <f aca="false">IF(OR(C964="",AND(D964="",F964="")),"",IF(N(E964)=0,1,E964)*IF(F964="",IFERROR(N(INDEX(Produtos!$L$5:$L$104,MATCH(D964,Produtos!$B$5:$B$104,0))),0),F964))</f>
        <v/>
      </c>
      <c r="H964" s="27" t="str">
        <f aca="false">IF(G964="","",IF(N(E964)=0,1,E964)*IFERROR(N(INDEX(Produtos!$G$5:$G$104,MATCH(D964,Produtos!$B$5:$B$104,0))),0))</f>
        <v/>
      </c>
      <c r="I964" s="27" t="str">
        <f aca="false">IF(G964="","",G964-H964)</f>
        <v/>
      </c>
      <c r="J964" s="42"/>
    </row>
    <row r="965" customFormat="false" ht="21" hidden="false" customHeight="true" outlineLevel="0" collapsed="false">
      <c r="B965" s="41"/>
      <c r="C965" s="9"/>
      <c r="D965" s="9"/>
      <c r="E965" s="42"/>
      <c r="F965" s="43"/>
      <c r="G965" s="27" t="str">
        <f aca="false">IF(OR(C965="",AND(D965="",F965="")),"",IF(N(E965)=0,1,E965)*IF(F965="",IFERROR(N(INDEX(Produtos!$L$5:$L$104,MATCH(D965,Produtos!$B$5:$B$104,0))),0),F965))</f>
        <v/>
      </c>
      <c r="H965" s="27" t="str">
        <f aca="false">IF(G965="","",IF(N(E965)=0,1,E965)*IFERROR(N(INDEX(Produtos!$G$5:$G$104,MATCH(D965,Produtos!$B$5:$B$104,0))),0))</f>
        <v/>
      </c>
      <c r="I965" s="27" t="str">
        <f aca="false">IF(G965="","",G965-H965)</f>
        <v/>
      </c>
      <c r="J965" s="42"/>
    </row>
    <row r="966" customFormat="false" ht="21" hidden="false" customHeight="true" outlineLevel="0" collapsed="false">
      <c r="B966" s="41"/>
      <c r="C966" s="9"/>
      <c r="D966" s="9"/>
      <c r="E966" s="42"/>
      <c r="F966" s="43"/>
      <c r="G966" s="27" t="str">
        <f aca="false">IF(OR(C966="",AND(D966="",F966="")),"",IF(N(E966)=0,1,E966)*IF(F966="",IFERROR(N(INDEX(Produtos!$L$5:$L$104,MATCH(D966,Produtos!$B$5:$B$104,0))),0),F966))</f>
        <v/>
      </c>
      <c r="H966" s="27" t="str">
        <f aca="false">IF(G966="","",IF(N(E966)=0,1,E966)*IFERROR(N(INDEX(Produtos!$G$5:$G$104,MATCH(D966,Produtos!$B$5:$B$104,0))),0))</f>
        <v/>
      </c>
      <c r="I966" s="27" t="str">
        <f aca="false">IF(G966="","",G966-H966)</f>
        <v/>
      </c>
      <c r="J966" s="42"/>
    </row>
    <row r="967" customFormat="false" ht="21" hidden="false" customHeight="true" outlineLevel="0" collapsed="false">
      <c r="B967" s="41"/>
      <c r="C967" s="9"/>
      <c r="D967" s="9"/>
      <c r="E967" s="42"/>
      <c r="F967" s="43"/>
      <c r="G967" s="27" t="str">
        <f aca="false">IF(OR(C967="",AND(D967="",F967="")),"",IF(N(E967)=0,1,E967)*IF(F967="",IFERROR(N(INDEX(Produtos!$L$5:$L$104,MATCH(D967,Produtos!$B$5:$B$104,0))),0),F967))</f>
        <v/>
      </c>
      <c r="H967" s="27" t="str">
        <f aca="false">IF(G967="","",IF(N(E967)=0,1,E967)*IFERROR(N(INDEX(Produtos!$G$5:$G$104,MATCH(D967,Produtos!$B$5:$B$104,0))),0))</f>
        <v/>
      </c>
      <c r="I967" s="27" t="str">
        <f aca="false">IF(G967="","",G967-H967)</f>
        <v/>
      </c>
      <c r="J967" s="42"/>
    </row>
    <row r="968" customFormat="false" ht="21" hidden="false" customHeight="true" outlineLevel="0" collapsed="false">
      <c r="B968" s="41"/>
      <c r="C968" s="9"/>
      <c r="D968" s="9"/>
      <c r="E968" s="42"/>
      <c r="F968" s="43"/>
      <c r="G968" s="27" t="str">
        <f aca="false">IF(OR(C968="",AND(D968="",F968="")),"",IF(N(E968)=0,1,E968)*IF(F968="",IFERROR(N(INDEX(Produtos!$L$5:$L$104,MATCH(D968,Produtos!$B$5:$B$104,0))),0),F968))</f>
        <v/>
      </c>
      <c r="H968" s="27" t="str">
        <f aca="false">IF(G968="","",IF(N(E968)=0,1,E968)*IFERROR(N(INDEX(Produtos!$G$5:$G$104,MATCH(D968,Produtos!$B$5:$B$104,0))),0))</f>
        <v/>
      </c>
      <c r="I968" s="27" t="str">
        <f aca="false">IF(G968="","",G968-H968)</f>
        <v/>
      </c>
      <c r="J968" s="42"/>
    </row>
    <row r="969" customFormat="false" ht="21" hidden="false" customHeight="true" outlineLevel="0" collapsed="false">
      <c r="B969" s="41"/>
      <c r="C969" s="9"/>
      <c r="D969" s="9"/>
      <c r="E969" s="42"/>
      <c r="F969" s="43"/>
      <c r="G969" s="27" t="str">
        <f aca="false">IF(OR(C969="",AND(D969="",F969="")),"",IF(N(E969)=0,1,E969)*IF(F969="",IFERROR(N(INDEX(Produtos!$L$5:$L$104,MATCH(D969,Produtos!$B$5:$B$104,0))),0),F969))</f>
        <v/>
      </c>
      <c r="H969" s="27" t="str">
        <f aca="false">IF(G969="","",IF(N(E969)=0,1,E969)*IFERROR(N(INDEX(Produtos!$G$5:$G$104,MATCH(D969,Produtos!$B$5:$B$104,0))),0))</f>
        <v/>
      </c>
      <c r="I969" s="27" t="str">
        <f aca="false">IF(G969="","",G969-H969)</f>
        <v/>
      </c>
      <c r="J969" s="42"/>
    </row>
    <row r="970" customFormat="false" ht="21" hidden="false" customHeight="true" outlineLevel="0" collapsed="false">
      <c r="B970" s="41"/>
      <c r="C970" s="9"/>
      <c r="D970" s="9"/>
      <c r="E970" s="42"/>
      <c r="F970" s="43"/>
      <c r="G970" s="27" t="str">
        <f aca="false">IF(OR(C970="",AND(D970="",F970="")),"",IF(N(E970)=0,1,E970)*IF(F970="",IFERROR(N(INDEX(Produtos!$L$5:$L$104,MATCH(D970,Produtos!$B$5:$B$104,0))),0),F970))</f>
        <v/>
      </c>
      <c r="H970" s="27" t="str">
        <f aca="false">IF(G970="","",IF(N(E970)=0,1,E970)*IFERROR(N(INDEX(Produtos!$G$5:$G$104,MATCH(D970,Produtos!$B$5:$B$104,0))),0))</f>
        <v/>
      </c>
      <c r="I970" s="27" t="str">
        <f aca="false">IF(G970="","",G970-H970)</f>
        <v/>
      </c>
      <c r="J970" s="42"/>
    </row>
    <row r="971" customFormat="false" ht="21" hidden="false" customHeight="true" outlineLevel="0" collapsed="false">
      <c r="B971" s="41"/>
      <c r="C971" s="9"/>
      <c r="D971" s="9"/>
      <c r="E971" s="42"/>
      <c r="F971" s="43"/>
      <c r="G971" s="27" t="str">
        <f aca="false">IF(OR(C971="",AND(D971="",F971="")),"",IF(N(E971)=0,1,E971)*IF(F971="",IFERROR(N(INDEX(Produtos!$L$5:$L$104,MATCH(D971,Produtos!$B$5:$B$104,0))),0),F971))</f>
        <v/>
      </c>
      <c r="H971" s="27" t="str">
        <f aca="false">IF(G971="","",IF(N(E971)=0,1,E971)*IFERROR(N(INDEX(Produtos!$G$5:$G$104,MATCH(D971,Produtos!$B$5:$B$104,0))),0))</f>
        <v/>
      </c>
      <c r="I971" s="27" t="str">
        <f aca="false">IF(G971="","",G971-H971)</f>
        <v/>
      </c>
      <c r="J971" s="42"/>
    </row>
    <row r="972" customFormat="false" ht="21" hidden="false" customHeight="true" outlineLevel="0" collapsed="false">
      <c r="B972" s="41"/>
      <c r="C972" s="9"/>
      <c r="D972" s="9"/>
      <c r="E972" s="42"/>
      <c r="F972" s="43"/>
      <c r="G972" s="27" t="str">
        <f aca="false">IF(OR(C972="",AND(D972="",F972="")),"",IF(N(E972)=0,1,E972)*IF(F972="",IFERROR(N(INDEX(Produtos!$L$5:$L$104,MATCH(D972,Produtos!$B$5:$B$104,0))),0),F972))</f>
        <v/>
      </c>
      <c r="H972" s="27" t="str">
        <f aca="false">IF(G972="","",IF(N(E972)=0,1,E972)*IFERROR(N(INDEX(Produtos!$G$5:$G$104,MATCH(D972,Produtos!$B$5:$B$104,0))),0))</f>
        <v/>
      </c>
      <c r="I972" s="27" t="str">
        <f aca="false">IF(G972="","",G972-H972)</f>
        <v/>
      </c>
      <c r="J972" s="42"/>
    </row>
    <row r="973" customFormat="false" ht="21" hidden="false" customHeight="true" outlineLevel="0" collapsed="false">
      <c r="B973" s="41"/>
      <c r="C973" s="9"/>
      <c r="D973" s="9"/>
      <c r="E973" s="42"/>
      <c r="F973" s="43"/>
      <c r="G973" s="27" t="str">
        <f aca="false">IF(OR(C973="",AND(D973="",F973="")),"",IF(N(E973)=0,1,E973)*IF(F973="",IFERROR(N(INDEX(Produtos!$L$5:$L$104,MATCH(D973,Produtos!$B$5:$B$104,0))),0),F973))</f>
        <v/>
      </c>
      <c r="H973" s="27" t="str">
        <f aca="false">IF(G973="","",IF(N(E973)=0,1,E973)*IFERROR(N(INDEX(Produtos!$G$5:$G$104,MATCH(D973,Produtos!$B$5:$B$104,0))),0))</f>
        <v/>
      </c>
      <c r="I973" s="27" t="str">
        <f aca="false">IF(G973="","",G973-H973)</f>
        <v/>
      </c>
      <c r="J973" s="42"/>
    </row>
    <row r="974" customFormat="false" ht="21" hidden="false" customHeight="true" outlineLevel="0" collapsed="false">
      <c r="B974" s="41"/>
      <c r="C974" s="9"/>
      <c r="D974" s="9"/>
      <c r="E974" s="42"/>
      <c r="F974" s="43"/>
      <c r="G974" s="27" t="str">
        <f aca="false">IF(OR(C974="",AND(D974="",F974="")),"",IF(N(E974)=0,1,E974)*IF(F974="",IFERROR(N(INDEX(Produtos!$L$5:$L$104,MATCH(D974,Produtos!$B$5:$B$104,0))),0),F974))</f>
        <v/>
      </c>
      <c r="H974" s="27" t="str">
        <f aca="false">IF(G974="","",IF(N(E974)=0,1,E974)*IFERROR(N(INDEX(Produtos!$G$5:$G$104,MATCH(D974,Produtos!$B$5:$B$104,0))),0))</f>
        <v/>
      </c>
      <c r="I974" s="27" t="str">
        <f aca="false">IF(G974="","",G974-H974)</f>
        <v/>
      </c>
      <c r="J974" s="42"/>
    </row>
    <row r="975" customFormat="false" ht="21" hidden="false" customHeight="true" outlineLevel="0" collapsed="false">
      <c r="B975" s="41"/>
      <c r="C975" s="9"/>
      <c r="D975" s="9"/>
      <c r="E975" s="42"/>
      <c r="F975" s="43"/>
      <c r="G975" s="27" t="str">
        <f aca="false">IF(OR(C975="",AND(D975="",F975="")),"",IF(N(E975)=0,1,E975)*IF(F975="",IFERROR(N(INDEX(Produtos!$L$5:$L$104,MATCH(D975,Produtos!$B$5:$B$104,0))),0),F975))</f>
        <v/>
      </c>
      <c r="H975" s="27" t="str">
        <f aca="false">IF(G975="","",IF(N(E975)=0,1,E975)*IFERROR(N(INDEX(Produtos!$G$5:$G$104,MATCH(D975,Produtos!$B$5:$B$104,0))),0))</f>
        <v/>
      </c>
      <c r="I975" s="27" t="str">
        <f aca="false">IF(G975="","",G975-H975)</f>
        <v/>
      </c>
      <c r="J975" s="42"/>
    </row>
    <row r="976" customFormat="false" ht="21" hidden="false" customHeight="true" outlineLevel="0" collapsed="false">
      <c r="B976" s="41"/>
      <c r="C976" s="9"/>
      <c r="D976" s="9"/>
      <c r="E976" s="42"/>
      <c r="F976" s="43"/>
      <c r="G976" s="27" t="str">
        <f aca="false">IF(OR(C976="",AND(D976="",F976="")),"",IF(N(E976)=0,1,E976)*IF(F976="",IFERROR(N(INDEX(Produtos!$L$5:$L$104,MATCH(D976,Produtos!$B$5:$B$104,0))),0),F976))</f>
        <v/>
      </c>
      <c r="H976" s="27" t="str">
        <f aca="false">IF(G976="","",IF(N(E976)=0,1,E976)*IFERROR(N(INDEX(Produtos!$G$5:$G$104,MATCH(D976,Produtos!$B$5:$B$104,0))),0))</f>
        <v/>
      </c>
      <c r="I976" s="27" t="str">
        <f aca="false">IF(G976="","",G976-H976)</f>
        <v/>
      </c>
      <c r="J976" s="42"/>
    </row>
    <row r="977" customFormat="false" ht="21" hidden="false" customHeight="true" outlineLevel="0" collapsed="false">
      <c r="B977" s="41"/>
      <c r="C977" s="9"/>
      <c r="D977" s="9"/>
      <c r="E977" s="42"/>
      <c r="F977" s="43"/>
      <c r="G977" s="27" t="str">
        <f aca="false">IF(OR(C977="",AND(D977="",F977="")),"",IF(N(E977)=0,1,E977)*IF(F977="",IFERROR(N(INDEX(Produtos!$L$5:$L$104,MATCH(D977,Produtos!$B$5:$B$104,0))),0),F977))</f>
        <v/>
      </c>
      <c r="H977" s="27" t="str">
        <f aca="false">IF(G977="","",IF(N(E977)=0,1,E977)*IFERROR(N(INDEX(Produtos!$G$5:$G$104,MATCH(D977,Produtos!$B$5:$B$104,0))),0))</f>
        <v/>
      </c>
      <c r="I977" s="27" t="str">
        <f aca="false">IF(G977="","",G977-H977)</f>
        <v/>
      </c>
      <c r="J977" s="42"/>
    </row>
    <row r="978" customFormat="false" ht="21" hidden="false" customHeight="true" outlineLevel="0" collapsed="false">
      <c r="B978" s="41"/>
      <c r="C978" s="9"/>
      <c r="D978" s="9"/>
      <c r="E978" s="42"/>
      <c r="F978" s="43"/>
      <c r="G978" s="27" t="str">
        <f aca="false">IF(OR(C978="",AND(D978="",F978="")),"",IF(N(E978)=0,1,E978)*IF(F978="",IFERROR(N(INDEX(Produtos!$L$5:$L$104,MATCH(D978,Produtos!$B$5:$B$104,0))),0),F978))</f>
        <v/>
      </c>
      <c r="H978" s="27" t="str">
        <f aca="false">IF(G978="","",IF(N(E978)=0,1,E978)*IFERROR(N(INDEX(Produtos!$G$5:$G$104,MATCH(D978,Produtos!$B$5:$B$104,0))),0))</f>
        <v/>
      </c>
      <c r="I978" s="27" t="str">
        <f aca="false">IF(G978="","",G978-H978)</f>
        <v/>
      </c>
      <c r="J978" s="42"/>
    </row>
    <row r="979" customFormat="false" ht="21" hidden="false" customHeight="true" outlineLevel="0" collapsed="false">
      <c r="B979" s="41"/>
      <c r="C979" s="9"/>
      <c r="D979" s="9"/>
      <c r="E979" s="42"/>
      <c r="F979" s="43"/>
      <c r="G979" s="27" t="str">
        <f aca="false">IF(OR(C979="",AND(D979="",F979="")),"",IF(N(E979)=0,1,E979)*IF(F979="",IFERROR(N(INDEX(Produtos!$L$5:$L$104,MATCH(D979,Produtos!$B$5:$B$104,0))),0),F979))</f>
        <v/>
      </c>
      <c r="H979" s="27" t="str">
        <f aca="false">IF(G979="","",IF(N(E979)=0,1,E979)*IFERROR(N(INDEX(Produtos!$G$5:$G$104,MATCH(D979,Produtos!$B$5:$B$104,0))),0))</f>
        <v/>
      </c>
      <c r="I979" s="27" t="str">
        <f aca="false">IF(G979="","",G979-H979)</f>
        <v/>
      </c>
      <c r="J979" s="42"/>
    </row>
    <row r="980" customFormat="false" ht="21" hidden="false" customHeight="true" outlineLevel="0" collapsed="false">
      <c r="B980" s="41"/>
      <c r="C980" s="9"/>
      <c r="D980" s="9"/>
      <c r="E980" s="42"/>
      <c r="F980" s="43"/>
      <c r="G980" s="27" t="str">
        <f aca="false">IF(OR(C980="",AND(D980="",F980="")),"",IF(N(E980)=0,1,E980)*IF(F980="",IFERROR(N(INDEX(Produtos!$L$5:$L$104,MATCH(D980,Produtos!$B$5:$B$104,0))),0),F980))</f>
        <v/>
      </c>
      <c r="H980" s="27" t="str">
        <f aca="false">IF(G980="","",IF(N(E980)=0,1,E980)*IFERROR(N(INDEX(Produtos!$G$5:$G$104,MATCH(D980,Produtos!$B$5:$B$104,0))),0))</f>
        <v/>
      </c>
      <c r="I980" s="27" t="str">
        <f aca="false">IF(G980="","",G980-H980)</f>
        <v/>
      </c>
      <c r="J980" s="42"/>
    </row>
    <row r="981" customFormat="false" ht="21" hidden="false" customHeight="true" outlineLevel="0" collapsed="false">
      <c r="B981" s="41"/>
      <c r="C981" s="9"/>
      <c r="D981" s="9"/>
      <c r="E981" s="42"/>
      <c r="F981" s="43"/>
      <c r="G981" s="27" t="str">
        <f aca="false">IF(OR(C981="",AND(D981="",F981="")),"",IF(N(E981)=0,1,E981)*IF(F981="",IFERROR(N(INDEX(Produtos!$L$5:$L$104,MATCH(D981,Produtos!$B$5:$B$104,0))),0),F981))</f>
        <v/>
      </c>
      <c r="H981" s="27" t="str">
        <f aca="false">IF(G981="","",IF(N(E981)=0,1,E981)*IFERROR(N(INDEX(Produtos!$G$5:$G$104,MATCH(D981,Produtos!$B$5:$B$104,0))),0))</f>
        <v/>
      </c>
      <c r="I981" s="27" t="str">
        <f aca="false">IF(G981="","",G981-H981)</f>
        <v/>
      </c>
      <c r="J981" s="42"/>
    </row>
    <row r="982" customFormat="false" ht="21" hidden="false" customHeight="true" outlineLevel="0" collapsed="false">
      <c r="B982" s="41"/>
      <c r="C982" s="9"/>
      <c r="D982" s="9"/>
      <c r="E982" s="42"/>
      <c r="F982" s="43"/>
      <c r="G982" s="27" t="str">
        <f aca="false">IF(OR(C982="",AND(D982="",F982="")),"",IF(N(E982)=0,1,E982)*IF(F982="",IFERROR(N(INDEX(Produtos!$L$5:$L$104,MATCH(D982,Produtos!$B$5:$B$104,0))),0),F982))</f>
        <v/>
      </c>
      <c r="H982" s="27" t="str">
        <f aca="false">IF(G982="","",IF(N(E982)=0,1,E982)*IFERROR(N(INDEX(Produtos!$G$5:$G$104,MATCH(D982,Produtos!$B$5:$B$104,0))),0))</f>
        <v/>
      </c>
      <c r="I982" s="27" t="str">
        <f aca="false">IF(G982="","",G982-H982)</f>
        <v/>
      </c>
      <c r="J982" s="42"/>
    </row>
    <row r="983" customFormat="false" ht="21" hidden="false" customHeight="true" outlineLevel="0" collapsed="false">
      <c r="B983" s="41"/>
      <c r="C983" s="9"/>
      <c r="D983" s="9"/>
      <c r="E983" s="42"/>
      <c r="F983" s="43"/>
      <c r="G983" s="27" t="str">
        <f aca="false">IF(OR(C983="",AND(D983="",F983="")),"",IF(N(E983)=0,1,E983)*IF(F983="",IFERROR(N(INDEX(Produtos!$L$5:$L$104,MATCH(D983,Produtos!$B$5:$B$104,0))),0),F983))</f>
        <v/>
      </c>
      <c r="H983" s="27" t="str">
        <f aca="false">IF(G983="","",IF(N(E983)=0,1,E983)*IFERROR(N(INDEX(Produtos!$G$5:$G$104,MATCH(D983,Produtos!$B$5:$B$104,0))),0))</f>
        <v/>
      </c>
      <c r="I983" s="27" t="str">
        <f aca="false">IF(G983="","",G983-H983)</f>
        <v/>
      </c>
      <c r="J983" s="42"/>
    </row>
    <row r="984" customFormat="false" ht="21" hidden="false" customHeight="true" outlineLevel="0" collapsed="false">
      <c r="B984" s="41"/>
      <c r="C984" s="9"/>
      <c r="D984" s="9"/>
      <c r="E984" s="42"/>
      <c r="F984" s="43"/>
      <c r="G984" s="27" t="str">
        <f aca="false">IF(OR(C984="",AND(D984="",F984="")),"",IF(N(E984)=0,1,E984)*IF(F984="",IFERROR(N(INDEX(Produtos!$L$5:$L$104,MATCH(D984,Produtos!$B$5:$B$104,0))),0),F984))</f>
        <v/>
      </c>
      <c r="H984" s="27" t="str">
        <f aca="false">IF(G984="","",IF(N(E984)=0,1,E984)*IFERROR(N(INDEX(Produtos!$G$5:$G$104,MATCH(D984,Produtos!$B$5:$B$104,0))),0))</f>
        <v/>
      </c>
      <c r="I984" s="27" t="str">
        <f aca="false">IF(G984="","",G984-H984)</f>
        <v/>
      </c>
      <c r="J984" s="42"/>
    </row>
    <row r="985" customFormat="false" ht="21" hidden="false" customHeight="true" outlineLevel="0" collapsed="false">
      <c r="B985" s="41"/>
      <c r="C985" s="9"/>
      <c r="D985" s="9"/>
      <c r="E985" s="42"/>
      <c r="F985" s="43"/>
      <c r="G985" s="27" t="str">
        <f aca="false">IF(OR(C985="",AND(D985="",F985="")),"",IF(N(E985)=0,1,E985)*IF(F985="",IFERROR(N(INDEX(Produtos!$L$5:$L$104,MATCH(D985,Produtos!$B$5:$B$104,0))),0),F985))</f>
        <v/>
      </c>
      <c r="H985" s="27" t="str">
        <f aca="false">IF(G985="","",IF(N(E985)=0,1,E985)*IFERROR(N(INDEX(Produtos!$G$5:$G$104,MATCH(D985,Produtos!$B$5:$B$104,0))),0))</f>
        <v/>
      </c>
      <c r="I985" s="27" t="str">
        <f aca="false">IF(G985="","",G985-H985)</f>
        <v/>
      </c>
      <c r="J985" s="42"/>
    </row>
    <row r="986" customFormat="false" ht="21" hidden="false" customHeight="true" outlineLevel="0" collapsed="false">
      <c r="B986" s="41"/>
      <c r="C986" s="9"/>
      <c r="D986" s="9"/>
      <c r="E986" s="42"/>
      <c r="F986" s="43"/>
      <c r="G986" s="27" t="str">
        <f aca="false">IF(OR(C986="",AND(D986="",F986="")),"",IF(N(E986)=0,1,E986)*IF(F986="",IFERROR(N(INDEX(Produtos!$L$5:$L$104,MATCH(D986,Produtos!$B$5:$B$104,0))),0),F986))</f>
        <v/>
      </c>
      <c r="H986" s="27" t="str">
        <f aca="false">IF(G986="","",IF(N(E986)=0,1,E986)*IFERROR(N(INDEX(Produtos!$G$5:$G$104,MATCH(D986,Produtos!$B$5:$B$104,0))),0))</f>
        <v/>
      </c>
      <c r="I986" s="27" t="str">
        <f aca="false">IF(G986="","",G986-H986)</f>
        <v/>
      </c>
      <c r="J986" s="42"/>
    </row>
    <row r="987" customFormat="false" ht="21" hidden="false" customHeight="true" outlineLevel="0" collapsed="false">
      <c r="B987" s="41"/>
      <c r="C987" s="9"/>
      <c r="D987" s="9"/>
      <c r="E987" s="42"/>
      <c r="F987" s="43"/>
      <c r="G987" s="27" t="str">
        <f aca="false">IF(OR(C987="",AND(D987="",F987="")),"",IF(N(E987)=0,1,E987)*IF(F987="",IFERROR(N(INDEX(Produtos!$L$5:$L$104,MATCH(D987,Produtos!$B$5:$B$104,0))),0),F987))</f>
        <v/>
      </c>
      <c r="H987" s="27" t="str">
        <f aca="false">IF(G987="","",IF(N(E987)=0,1,E987)*IFERROR(N(INDEX(Produtos!$G$5:$G$104,MATCH(D987,Produtos!$B$5:$B$104,0))),0))</f>
        <v/>
      </c>
      <c r="I987" s="27" t="str">
        <f aca="false">IF(G987="","",G987-H987)</f>
        <v/>
      </c>
      <c r="J987" s="42"/>
    </row>
    <row r="988" customFormat="false" ht="21" hidden="false" customHeight="true" outlineLevel="0" collapsed="false">
      <c r="B988" s="41"/>
      <c r="C988" s="9"/>
      <c r="D988" s="9"/>
      <c r="E988" s="42"/>
      <c r="F988" s="43"/>
      <c r="G988" s="27" t="str">
        <f aca="false">IF(OR(C988="",AND(D988="",F988="")),"",IF(N(E988)=0,1,E988)*IF(F988="",IFERROR(N(INDEX(Produtos!$L$5:$L$104,MATCH(D988,Produtos!$B$5:$B$104,0))),0),F988))</f>
        <v/>
      </c>
      <c r="H988" s="27" t="str">
        <f aca="false">IF(G988="","",IF(N(E988)=0,1,E988)*IFERROR(N(INDEX(Produtos!$G$5:$G$104,MATCH(D988,Produtos!$B$5:$B$104,0))),0))</f>
        <v/>
      </c>
      <c r="I988" s="27" t="str">
        <f aca="false">IF(G988="","",G988-H988)</f>
        <v/>
      </c>
      <c r="J988" s="42"/>
    </row>
    <row r="989" customFormat="false" ht="21" hidden="false" customHeight="true" outlineLevel="0" collapsed="false">
      <c r="B989" s="41"/>
      <c r="C989" s="9"/>
      <c r="D989" s="9"/>
      <c r="E989" s="42"/>
      <c r="F989" s="43"/>
      <c r="G989" s="27" t="str">
        <f aca="false">IF(OR(C989="",AND(D989="",F989="")),"",IF(N(E989)=0,1,E989)*IF(F989="",IFERROR(N(INDEX(Produtos!$L$5:$L$104,MATCH(D989,Produtos!$B$5:$B$104,0))),0),F989))</f>
        <v/>
      </c>
      <c r="H989" s="27" t="str">
        <f aca="false">IF(G989="","",IF(N(E989)=0,1,E989)*IFERROR(N(INDEX(Produtos!$G$5:$G$104,MATCH(D989,Produtos!$B$5:$B$104,0))),0))</f>
        <v/>
      </c>
      <c r="I989" s="27" t="str">
        <f aca="false">IF(G989="","",G989-H989)</f>
        <v/>
      </c>
      <c r="J989" s="42"/>
    </row>
    <row r="990" customFormat="false" ht="21" hidden="false" customHeight="true" outlineLevel="0" collapsed="false">
      <c r="B990" s="41"/>
      <c r="C990" s="9"/>
      <c r="D990" s="9"/>
      <c r="E990" s="42"/>
      <c r="F990" s="43"/>
      <c r="G990" s="27" t="str">
        <f aca="false">IF(OR(C990="",AND(D990="",F990="")),"",IF(N(E990)=0,1,E990)*IF(F990="",IFERROR(N(INDEX(Produtos!$L$5:$L$104,MATCH(D990,Produtos!$B$5:$B$104,0))),0),F990))</f>
        <v/>
      </c>
      <c r="H990" s="27" t="str">
        <f aca="false">IF(G990="","",IF(N(E990)=0,1,E990)*IFERROR(N(INDEX(Produtos!$G$5:$G$104,MATCH(D990,Produtos!$B$5:$B$104,0))),0))</f>
        <v/>
      </c>
      <c r="I990" s="27" t="str">
        <f aca="false">IF(G990="","",G990-H990)</f>
        <v/>
      </c>
      <c r="J990" s="42"/>
    </row>
    <row r="991" customFormat="false" ht="21" hidden="false" customHeight="true" outlineLevel="0" collapsed="false">
      <c r="B991" s="41"/>
      <c r="C991" s="9"/>
      <c r="D991" s="9"/>
      <c r="E991" s="42"/>
      <c r="F991" s="43"/>
      <c r="G991" s="27" t="str">
        <f aca="false">IF(OR(C991="",AND(D991="",F991="")),"",IF(N(E991)=0,1,E991)*IF(F991="",IFERROR(N(INDEX(Produtos!$L$5:$L$104,MATCH(D991,Produtos!$B$5:$B$104,0))),0),F991))</f>
        <v/>
      </c>
      <c r="H991" s="27" t="str">
        <f aca="false">IF(G991="","",IF(N(E991)=0,1,E991)*IFERROR(N(INDEX(Produtos!$G$5:$G$104,MATCH(D991,Produtos!$B$5:$B$104,0))),0))</f>
        <v/>
      </c>
      <c r="I991" s="27" t="str">
        <f aca="false">IF(G991="","",G991-H991)</f>
        <v/>
      </c>
      <c r="J991" s="42"/>
    </row>
    <row r="992" customFormat="false" ht="21" hidden="false" customHeight="true" outlineLevel="0" collapsed="false">
      <c r="B992" s="41"/>
      <c r="C992" s="9"/>
      <c r="D992" s="9"/>
      <c r="E992" s="42"/>
      <c r="F992" s="43"/>
      <c r="G992" s="27" t="str">
        <f aca="false">IF(OR(C992="",AND(D992="",F992="")),"",IF(N(E992)=0,1,E992)*IF(F992="",IFERROR(N(INDEX(Produtos!$L$5:$L$104,MATCH(D992,Produtos!$B$5:$B$104,0))),0),F992))</f>
        <v/>
      </c>
      <c r="H992" s="27" t="str">
        <f aca="false">IF(G992="","",IF(N(E992)=0,1,E992)*IFERROR(N(INDEX(Produtos!$G$5:$G$104,MATCH(D992,Produtos!$B$5:$B$104,0))),0))</f>
        <v/>
      </c>
      <c r="I992" s="27" t="str">
        <f aca="false">IF(G992="","",G992-H992)</f>
        <v/>
      </c>
      <c r="J992" s="42"/>
    </row>
    <row r="993" customFormat="false" ht="21" hidden="false" customHeight="true" outlineLevel="0" collapsed="false">
      <c r="B993" s="41"/>
      <c r="C993" s="9"/>
      <c r="D993" s="9"/>
      <c r="E993" s="42"/>
      <c r="F993" s="43"/>
      <c r="G993" s="27" t="str">
        <f aca="false">IF(OR(C993="",AND(D993="",F993="")),"",IF(N(E993)=0,1,E993)*IF(F993="",IFERROR(N(INDEX(Produtos!$L$5:$L$104,MATCH(D993,Produtos!$B$5:$B$104,0))),0),F993))</f>
        <v/>
      </c>
      <c r="H993" s="27" t="str">
        <f aca="false">IF(G993="","",IF(N(E993)=0,1,E993)*IFERROR(N(INDEX(Produtos!$G$5:$G$104,MATCH(D993,Produtos!$B$5:$B$104,0))),0))</f>
        <v/>
      </c>
      <c r="I993" s="27" t="str">
        <f aca="false">IF(G993="","",G993-H993)</f>
        <v/>
      </c>
      <c r="J993" s="42"/>
    </row>
    <row r="994" customFormat="false" ht="21" hidden="false" customHeight="true" outlineLevel="0" collapsed="false">
      <c r="B994" s="41"/>
      <c r="C994" s="9"/>
      <c r="D994" s="9"/>
      <c r="E994" s="42"/>
      <c r="F994" s="43"/>
      <c r="G994" s="27" t="str">
        <f aca="false">IF(OR(C994="",AND(D994="",F994="")),"",IF(N(E994)=0,1,E994)*IF(F994="",IFERROR(N(INDEX(Produtos!$L$5:$L$104,MATCH(D994,Produtos!$B$5:$B$104,0))),0),F994))</f>
        <v/>
      </c>
      <c r="H994" s="27" t="str">
        <f aca="false">IF(G994="","",IF(N(E994)=0,1,E994)*IFERROR(N(INDEX(Produtos!$G$5:$G$104,MATCH(D994,Produtos!$B$5:$B$104,0))),0))</f>
        <v/>
      </c>
      <c r="I994" s="27" t="str">
        <f aca="false">IF(G994="","",G994-H994)</f>
        <v/>
      </c>
      <c r="J994" s="42"/>
    </row>
    <row r="995" customFormat="false" ht="21" hidden="false" customHeight="true" outlineLevel="0" collapsed="false">
      <c r="B995" s="41"/>
      <c r="C995" s="9"/>
      <c r="D995" s="9"/>
      <c r="E995" s="42"/>
      <c r="F995" s="43"/>
      <c r="G995" s="27" t="str">
        <f aca="false">IF(OR(C995="",AND(D995="",F995="")),"",IF(N(E995)=0,1,E995)*IF(F995="",IFERROR(N(INDEX(Produtos!$L$5:$L$104,MATCH(D995,Produtos!$B$5:$B$104,0))),0),F995))</f>
        <v/>
      </c>
      <c r="H995" s="27" t="str">
        <f aca="false">IF(G995="","",IF(N(E995)=0,1,E995)*IFERROR(N(INDEX(Produtos!$G$5:$G$104,MATCH(D995,Produtos!$B$5:$B$104,0))),0))</f>
        <v/>
      </c>
      <c r="I995" s="27" t="str">
        <f aca="false">IF(G995="","",G995-H995)</f>
        <v/>
      </c>
      <c r="J995" s="42"/>
    </row>
    <row r="996" customFormat="false" ht="21" hidden="false" customHeight="true" outlineLevel="0" collapsed="false">
      <c r="B996" s="41"/>
      <c r="C996" s="9"/>
      <c r="D996" s="9"/>
      <c r="E996" s="42"/>
      <c r="F996" s="43"/>
      <c r="G996" s="27" t="str">
        <f aca="false">IF(OR(C996="",AND(D996="",F996="")),"",IF(N(E996)=0,1,E996)*IF(F996="",IFERROR(N(INDEX(Produtos!$L$5:$L$104,MATCH(D996,Produtos!$B$5:$B$104,0))),0),F996))</f>
        <v/>
      </c>
      <c r="H996" s="27" t="str">
        <f aca="false">IF(G996="","",IF(N(E996)=0,1,E996)*IFERROR(N(INDEX(Produtos!$G$5:$G$104,MATCH(D996,Produtos!$B$5:$B$104,0))),0))</f>
        <v/>
      </c>
      <c r="I996" s="27" t="str">
        <f aca="false">IF(G996="","",G996-H996)</f>
        <v/>
      </c>
      <c r="J996" s="42"/>
    </row>
    <row r="997" customFormat="false" ht="21" hidden="false" customHeight="true" outlineLevel="0" collapsed="false">
      <c r="B997" s="41"/>
      <c r="C997" s="9"/>
      <c r="D997" s="9"/>
      <c r="E997" s="42"/>
      <c r="F997" s="43"/>
      <c r="G997" s="27" t="str">
        <f aca="false">IF(OR(C997="",AND(D997="",F997="")),"",IF(N(E997)=0,1,E997)*IF(F997="",IFERROR(N(INDEX(Produtos!$L$5:$L$104,MATCH(D997,Produtos!$B$5:$B$104,0))),0),F997))</f>
        <v/>
      </c>
      <c r="H997" s="27" t="str">
        <f aca="false">IF(G997="","",IF(N(E997)=0,1,E997)*IFERROR(N(INDEX(Produtos!$G$5:$G$104,MATCH(D997,Produtos!$B$5:$B$104,0))),0))</f>
        <v/>
      </c>
      <c r="I997" s="27" t="str">
        <f aca="false">IF(G997="","",G997-H997)</f>
        <v/>
      </c>
      <c r="J997" s="42"/>
    </row>
    <row r="998" customFormat="false" ht="21" hidden="false" customHeight="true" outlineLevel="0" collapsed="false">
      <c r="B998" s="41"/>
      <c r="C998" s="9"/>
      <c r="D998" s="9"/>
      <c r="E998" s="42"/>
      <c r="F998" s="43"/>
      <c r="G998" s="27" t="str">
        <f aca="false">IF(OR(C998="",AND(D998="",F998="")),"",IF(N(E998)=0,1,E998)*IF(F998="",IFERROR(N(INDEX(Produtos!$L$5:$L$104,MATCH(D998,Produtos!$B$5:$B$104,0))),0),F998))</f>
        <v/>
      </c>
      <c r="H998" s="27" t="str">
        <f aca="false">IF(G998="","",IF(N(E998)=0,1,E998)*IFERROR(N(INDEX(Produtos!$G$5:$G$104,MATCH(D998,Produtos!$B$5:$B$104,0))),0))</f>
        <v/>
      </c>
      <c r="I998" s="27" t="str">
        <f aca="false">IF(G998="","",G998-H998)</f>
        <v/>
      </c>
      <c r="J998" s="42"/>
    </row>
    <row r="999" customFormat="false" ht="21" hidden="false" customHeight="true" outlineLevel="0" collapsed="false">
      <c r="B999" s="41"/>
      <c r="C999" s="9"/>
      <c r="D999" s="9"/>
      <c r="E999" s="42"/>
      <c r="F999" s="43"/>
      <c r="G999" s="27" t="str">
        <f aca="false">IF(OR(C999="",AND(D999="",F999="")),"",IF(N(E999)=0,1,E999)*IF(F999="",IFERROR(N(INDEX(Produtos!$L$5:$L$104,MATCH(D999,Produtos!$B$5:$B$104,0))),0),F999))</f>
        <v/>
      </c>
      <c r="H999" s="27" t="str">
        <f aca="false">IF(G999="","",IF(N(E999)=0,1,E999)*IFERROR(N(INDEX(Produtos!$G$5:$G$104,MATCH(D999,Produtos!$B$5:$B$104,0))),0))</f>
        <v/>
      </c>
      <c r="I999" s="27" t="str">
        <f aca="false">IF(G999="","",G999-H999)</f>
        <v/>
      </c>
      <c r="J999" s="42"/>
    </row>
    <row r="1000" customFormat="false" ht="21" hidden="false" customHeight="true" outlineLevel="0" collapsed="false">
      <c r="B1000" s="41"/>
      <c r="C1000" s="9"/>
      <c r="D1000" s="9"/>
      <c r="E1000" s="42"/>
      <c r="F1000" s="43"/>
      <c r="G1000" s="27" t="str">
        <f aca="false">IF(OR(C1000="",AND(D1000="",F1000="")),"",IF(N(E1000)=0,1,E1000)*IF(F1000="",IFERROR(N(INDEX(Produtos!$L$5:$L$104,MATCH(D1000,Produtos!$B$5:$B$104,0))),0),F1000))</f>
        <v/>
      </c>
      <c r="H1000" s="27" t="str">
        <f aca="false">IF(G1000="","",IF(N(E1000)=0,1,E1000)*IFERROR(N(INDEX(Produtos!$G$5:$G$104,MATCH(D1000,Produtos!$B$5:$B$104,0))),0))</f>
        <v/>
      </c>
      <c r="I1000" s="27" t="str">
        <f aca="false">IF(G1000="","",G1000-H1000)</f>
        <v/>
      </c>
      <c r="J1000" s="42"/>
    </row>
    <row r="1001" customFormat="false" ht="21" hidden="false" customHeight="true" outlineLevel="0" collapsed="false">
      <c r="B1001" s="41"/>
      <c r="C1001" s="9"/>
      <c r="D1001" s="9"/>
      <c r="E1001" s="42"/>
      <c r="F1001" s="43"/>
      <c r="G1001" s="27" t="str">
        <f aca="false">IF(OR(C1001="",AND(D1001="",F1001="")),"",IF(N(E1001)=0,1,E1001)*IF(F1001="",IFERROR(N(INDEX(Produtos!$L$5:$L$104,MATCH(D1001,Produtos!$B$5:$B$104,0))),0),F1001))</f>
        <v/>
      </c>
      <c r="H1001" s="27" t="str">
        <f aca="false">IF(G1001="","",IF(N(E1001)=0,1,E1001)*IFERROR(N(INDEX(Produtos!$G$5:$G$104,MATCH(D1001,Produtos!$B$5:$B$104,0))),0))</f>
        <v/>
      </c>
      <c r="I1001" s="27" t="str">
        <f aca="false">IF(G1001="","",G1001-H1001)</f>
        <v/>
      </c>
      <c r="J1001" s="42"/>
    </row>
    <row r="1002" customFormat="false" ht="21" hidden="false" customHeight="true" outlineLevel="0" collapsed="false">
      <c r="B1002" s="41"/>
      <c r="C1002" s="9"/>
      <c r="D1002" s="9"/>
      <c r="E1002" s="42"/>
      <c r="F1002" s="43"/>
      <c r="G1002" s="27" t="str">
        <f aca="false">IF(OR(C1002="",AND(D1002="",F1002="")),"",IF(N(E1002)=0,1,E1002)*IF(F1002="",IFERROR(N(INDEX(Produtos!$L$5:$L$104,MATCH(D1002,Produtos!$B$5:$B$104,0))),0),F1002))</f>
        <v/>
      </c>
      <c r="H1002" s="27" t="str">
        <f aca="false">IF(G1002="","",IF(N(E1002)=0,1,E1002)*IFERROR(N(INDEX(Produtos!$G$5:$G$104,MATCH(D1002,Produtos!$B$5:$B$104,0))),0))</f>
        <v/>
      </c>
      <c r="I1002" s="27" t="str">
        <f aca="false">IF(G1002="","",G1002-H1002)</f>
        <v/>
      </c>
      <c r="J1002" s="42"/>
    </row>
    <row r="1003" customFormat="false" ht="21" hidden="false" customHeight="true" outlineLevel="0" collapsed="false">
      <c r="B1003" s="41"/>
      <c r="C1003" s="9"/>
      <c r="D1003" s="9"/>
      <c r="E1003" s="42"/>
      <c r="F1003" s="43"/>
      <c r="G1003" s="27" t="str">
        <f aca="false">IF(OR(C1003="",AND(D1003="",F1003="")),"",IF(N(E1003)=0,1,E1003)*IF(F1003="",IFERROR(N(INDEX(Produtos!$L$5:$L$104,MATCH(D1003,Produtos!$B$5:$B$104,0))),0),F1003))</f>
        <v/>
      </c>
      <c r="H1003" s="27" t="str">
        <f aca="false">IF(G1003="","",IF(N(E1003)=0,1,E1003)*IFERROR(N(INDEX(Produtos!$G$5:$G$104,MATCH(D1003,Produtos!$B$5:$B$104,0))),0))</f>
        <v/>
      </c>
      <c r="I1003" s="27" t="str">
        <f aca="false">IF(G1003="","",G1003-H1003)</f>
        <v/>
      </c>
      <c r="J1003" s="42"/>
    </row>
    <row r="1004" customFormat="false" ht="21" hidden="false" customHeight="true" outlineLevel="0" collapsed="false">
      <c r="B1004" s="41"/>
      <c r="C1004" s="9"/>
      <c r="D1004" s="9"/>
      <c r="E1004" s="42"/>
      <c r="F1004" s="43"/>
      <c r="G1004" s="27" t="str">
        <f aca="false">IF(OR(C1004="",AND(D1004="",F1004="")),"",IF(N(E1004)=0,1,E1004)*IF(F1004="",IFERROR(N(INDEX(Produtos!$L$5:$L$104,MATCH(D1004,Produtos!$B$5:$B$104,0))),0),F1004))</f>
        <v/>
      </c>
      <c r="H1004" s="27" t="str">
        <f aca="false">IF(G1004="","",IF(N(E1004)=0,1,E1004)*IFERROR(N(INDEX(Produtos!$G$5:$G$104,MATCH(D1004,Produtos!$B$5:$B$104,0))),0))</f>
        <v/>
      </c>
      <c r="I1004" s="27" t="str">
        <f aca="false">IF(G1004="","",G1004-H1004)</f>
        <v/>
      </c>
      <c r="J1004" s="42"/>
    </row>
    <row r="1005" customFormat="false" ht="21" hidden="false" customHeight="true" outlineLevel="0" collapsed="false">
      <c r="B1005" s="41"/>
      <c r="C1005" s="9"/>
      <c r="D1005" s="9"/>
      <c r="E1005" s="42"/>
      <c r="F1005" s="43"/>
      <c r="G1005" s="27" t="str">
        <f aca="false">IF(OR(C1005="",AND(D1005="",F1005="")),"",IF(N(E1005)=0,1,E1005)*IF(F1005="",IFERROR(N(INDEX(Produtos!$L$5:$L$104,MATCH(D1005,Produtos!$B$5:$B$104,0))),0),F1005))</f>
        <v/>
      </c>
      <c r="H1005" s="27" t="str">
        <f aca="false">IF(G1005="","",IF(N(E1005)=0,1,E1005)*IFERROR(N(INDEX(Produtos!$G$5:$G$104,MATCH(D1005,Produtos!$B$5:$B$104,0))),0))</f>
        <v/>
      </c>
      <c r="I1005" s="27" t="str">
        <f aca="false">IF(G1005="","",G1005-H1005)</f>
        <v/>
      </c>
      <c r="J1005" s="42"/>
    </row>
    <row r="1006" customFormat="false" ht="21" hidden="false" customHeight="true" outlineLevel="0" collapsed="false">
      <c r="B1006" s="41"/>
      <c r="C1006" s="9"/>
      <c r="D1006" s="9"/>
      <c r="E1006" s="42"/>
      <c r="F1006" s="43"/>
      <c r="G1006" s="27" t="str">
        <f aca="false">IF(OR(C1006="",AND(D1006="",F1006="")),"",IF(N(E1006)=0,1,E1006)*IF(F1006="",IFERROR(N(INDEX(Produtos!$L$5:$L$104,MATCH(D1006,Produtos!$B$5:$B$104,0))),0),F1006))</f>
        <v/>
      </c>
      <c r="H1006" s="27" t="str">
        <f aca="false">IF(G1006="","",IF(N(E1006)=0,1,E1006)*IFERROR(N(INDEX(Produtos!$G$5:$G$104,MATCH(D1006,Produtos!$B$5:$B$104,0))),0))</f>
        <v/>
      </c>
      <c r="I1006" s="27" t="str">
        <f aca="false">IF(G1006="","",G1006-H1006)</f>
        <v/>
      </c>
      <c r="J1006" s="42"/>
    </row>
    <row r="1007" customFormat="false" ht="21" hidden="false" customHeight="true" outlineLevel="0" collapsed="false">
      <c r="B1007" s="41"/>
      <c r="C1007" s="9"/>
      <c r="D1007" s="9"/>
      <c r="E1007" s="42"/>
      <c r="F1007" s="43"/>
      <c r="G1007" s="27" t="str">
        <f aca="false">IF(OR(C1007="",AND(D1007="",F1007="")),"",IF(N(E1007)=0,1,E1007)*IF(F1007="",IFERROR(N(INDEX(Produtos!$L$5:$L$104,MATCH(D1007,Produtos!$B$5:$B$104,0))),0),F1007))</f>
        <v/>
      </c>
      <c r="H1007" s="27" t="str">
        <f aca="false">IF(G1007="","",IF(N(E1007)=0,1,E1007)*IFERROR(N(INDEX(Produtos!$G$5:$G$104,MATCH(D1007,Produtos!$B$5:$B$104,0))),0))</f>
        <v/>
      </c>
      <c r="I1007" s="27" t="str">
        <f aca="false">IF(G1007="","",G1007-H1007)</f>
        <v/>
      </c>
      <c r="J1007" s="42"/>
    </row>
    <row r="1008" customFormat="false" ht="21" hidden="false" customHeight="true" outlineLevel="0" collapsed="false">
      <c r="B1008" s="41"/>
      <c r="C1008" s="9"/>
      <c r="D1008" s="9"/>
      <c r="E1008" s="42"/>
      <c r="F1008" s="43"/>
      <c r="G1008" s="27" t="str">
        <f aca="false">IF(OR(C1008="",AND(D1008="",F1008="")),"",IF(N(E1008)=0,1,E1008)*IF(F1008="",IFERROR(N(INDEX(Produtos!$L$5:$L$104,MATCH(D1008,Produtos!$B$5:$B$104,0))),0),F1008))</f>
        <v/>
      </c>
      <c r="H1008" s="27" t="str">
        <f aca="false">IF(G1008="","",IF(N(E1008)=0,1,E1008)*IFERROR(N(INDEX(Produtos!$G$5:$G$104,MATCH(D1008,Produtos!$B$5:$B$104,0))),0))</f>
        <v/>
      </c>
      <c r="I1008" s="27" t="str">
        <f aca="false">IF(G1008="","",G1008-H1008)</f>
        <v/>
      </c>
      <c r="J1008" s="42"/>
    </row>
    <row r="1009" customFormat="false" ht="21" hidden="false" customHeight="true" outlineLevel="0" collapsed="false">
      <c r="B1009" s="41"/>
      <c r="C1009" s="9"/>
      <c r="D1009" s="9"/>
      <c r="E1009" s="42"/>
      <c r="F1009" s="43"/>
      <c r="G1009" s="27" t="str">
        <f aca="false">IF(OR(C1009="",AND(D1009="",F1009="")),"",IF(N(E1009)=0,1,E1009)*IF(F1009="",IFERROR(N(INDEX(Produtos!$L$5:$L$104,MATCH(D1009,Produtos!$B$5:$B$104,0))),0),F1009))</f>
        <v/>
      </c>
      <c r="H1009" s="27" t="str">
        <f aca="false">IF(G1009="","",IF(N(E1009)=0,1,E1009)*IFERROR(N(INDEX(Produtos!$G$5:$G$104,MATCH(D1009,Produtos!$B$5:$B$104,0))),0))</f>
        <v/>
      </c>
      <c r="I1009" s="27" t="str">
        <f aca="false">IF(G1009="","",G1009-H1009)</f>
        <v/>
      </c>
      <c r="J1009" s="42"/>
    </row>
    <row r="1010" customFormat="false" ht="21" hidden="false" customHeight="true" outlineLevel="0" collapsed="false">
      <c r="B1010" s="41"/>
      <c r="C1010" s="9"/>
      <c r="D1010" s="9"/>
      <c r="E1010" s="42"/>
      <c r="F1010" s="43"/>
      <c r="G1010" s="27" t="str">
        <f aca="false">IF(OR(C1010="",AND(D1010="",F1010="")),"",IF(N(E1010)=0,1,E1010)*IF(F1010="",IFERROR(N(INDEX(Produtos!$L$5:$L$104,MATCH(D1010,Produtos!$B$5:$B$104,0))),0),F1010))</f>
        <v/>
      </c>
      <c r="H1010" s="27" t="str">
        <f aca="false">IF(G1010="","",IF(N(E1010)=0,1,E1010)*IFERROR(N(INDEX(Produtos!$G$5:$G$104,MATCH(D1010,Produtos!$B$5:$B$104,0))),0))</f>
        <v/>
      </c>
      <c r="I1010" s="27" t="str">
        <f aca="false">IF(G1010="","",G1010-H1010)</f>
        <v/>
      </c>
      <c r="J1010" s="42"/>
    </row>
    <row r="1011" customFormat="false" ht="21" hidden="false" customHeight="true" outlineLevel="0" collapsed="false">
      <c r="B1011" s="41"/>
      <c r="C1011" s="9"/>
      <c r="D1011" s="9"/>
      <c r="E1011" s="42"/>
      <c r="F1011" s="43"/>
      <c r="G1011" s="27" t="str">
        <f aca="false">IF(OR(C1011="",AND(D1011="",F1011="")),"",IF(N(E1011)=0,1,E1011)*IF(F1011="",IFERROR(N(INDEX(Produtos!$L$5:$L$104,MATCH(D1011,Produtos!$B$5:$B$104,0))),0),F1011))</f>
        <v/>
      </c>
      <c r="H1011" s="27" t="str">
        <f aca="false">IF(G1011="","",IF(N(E1011)=0,1,E1011)*IFERROR(N(INDEX(Produtos!$G$5:$G$104,MATCH(D1011,Produtos!$B$5:$B$104,0))),0))</f>
        <v/>
      </c>
      <c r="I1011" s="27" t="str">
        <f aca="false">IF(G1011="","",G1011-H1011)</f>
        <v/>
      </c>
      <c r="J1011" s="42"/>
    </row>
    <row r="1012" customFormat="false" ht="21" hidden="false" customHeight="true" outlineLevel="0" collapsed="false">
      <c r="B1012" s="41"/>
      <c r="C1012" s="9"/>
      <c r="D1012" s="9"/>
      <c r="E1012" s="42"/>
      <c r="F1012" s="43"/>
      <c r="G1012" s="27" t="str">
        <f aca="false">IF(OR(C1012="",AND(D1012="",F1012="")),"",IF(N(E1012)=0,1,E1012)*IF(F1012="",IFERROR(N(INDEX(Produtos!$L$5:$L$104,MATCH(D1012,Produtos!$B$5:$B$104,0))),0),F1012))</f>
        <v/>
      </c>
      <c r="H1012" s="27" t="str">
        <f aca="false">IF(G1012="","",IF(N(E1012)=0,1,E1012)*IFERROR(N(INDEX(Produtos!$G$5:$G$104,MATCH(D1012,Produtos!$B$5:$B$104,0))),0))</f>
        <v/>
      </c>
      <c r="I1012" s="27" t="str">
        <f aca="false">IF(G1012="","",G1012-H1012)</f>
        <v/>
      </c>
      <c r="J1012" s="42"/>
    </row>
    <row r="1013" customFormat="false" ht="21" hidden="false" customHeight="true" outlineLevel="0" collapsed="false">
      <c r="B1013" s="41"/>
      <c r="C1013" s="9"/>
      <c r="D1013" s="9"/>
      <c r="E1013" s="42"/>
      <c r="F1013" s="43"/>
      <c r="G1013" s="27" t="str">
        <f aca="false">IF(OR(C1013="",AND(D1013="",F1013="")),"",IF(N(E1013)=0,1,E1013)*IF(F1013="",IFERROR(N(INDEX(Produtos!$L$5:$L$104,MATCH(D1013,Produtos!$B$5:$B$104,0))),0),F1013))</f>
        <v/>
      </c>
      <c r="H1013" s="27" t="str">
        <f aca="false">IF(G1013="","",IF(N(E1013)=0,1,E1013)*IFERROR(N(INDEX(Produtos!$G$5:$G$104,MATCH(D1013,Produtos!$B$5:$B$104,0))),0))</f>
        <v/>
      </c>
      <c r="I1013" s="27" t="str">
        <f aca="false">IF(G1013="","",G1013-H1013)</f>
        <v/>
      </c>
      <c r="J1013" s="42"/>
    </row>
    <row r="1014" customFormat="false" ht="21" hidden="false" customHeight="true" outlineLevel="0" collapsed="false">
      <c r="B1014" s="41"/>
      <c r="C1014" s="9"/>
      <c r="D1014" s="9"/>
      <c r="E1014" s="42"/>
      <c r="F1014" s="43"/>
      <c r="G1014" s="27" t="str">
        <f aca="false">IF(OR(C1014="",AND(D1014="",F1014="")),"",IF(N(E1014)=0,1,E1014)*IF(F1014="",IFERROR(N(INDEX(Produtos!$L$5:$L$104,MATCH(D1014,Produtos!$B$5:$B$104,0))),0),F1014))</f>
        <v/>
      </c>
      <c r="H1014" s="27" t="str">
        <f aca="false">IF(G1014="","",IF(N(E1014)=0,1,E1014)*IFERROR(N(INDEX(Produtos!$G$5:$G$104,MATCH(D1014,Produtos!$B$5:$B$104,0))),0))</f>
        <v/>
      </c>
      <c r="I1014" s="27" t="str">
        <f aca="false">IF(G1014="","",G1014-H1014)</f>
        <v/>
      </c>
      <c r="J1014" s="42"/>
    </row>
    <row r="1015" customFormat="false" ht="21" hidden="false" customHeight="true" outlineLevel="0" collapsed="false">
      <c r="B1015" s="41"/>
      <c r="C1015" s="9"/>
      <c r="D1015" s="9"/>
      <c r="E1015" s="42"/>
      <c r="F1015" s="43"/>
      <c r="G1015" s="27" t="str">
        <f aca="false">IF(OR(C1015="",AND(D1015="",F1015="")),"",IF(N(E1015)=0,1,E1015)*IF(F1015="",IFERROR(N(INDEX(Produtos!$L$5:$L$104,MATCH(D1015,Produtos!$B$5:$B$104,0))),0),F1015))</f>
        <v/>
      </c>
      <c r="H1015" s="27" t="str">
        <f aca="false">IF(G1015="","",IF(N(E1015)=0,1,E1015)*IFERROR(N(INDEX(Produtos!$G$5:$G$104,MATCH(D1015,Produtos!$B$5:$B$104,0))),0))</f>
        <v/>
      </c>
      <c r="I1015" s="27" t="str">
        <f aca="false">IF(G1015="","",G1015-H1015)</f>
        <v/>
      </c>
      <c r="J1015" s="42"/>
    </row>
    <row r="1016" customFormat="false" ht="21" hidden="false" customHeight="true" outlineLevel="0" collapsed="false">
      <c r="B1016" s="41"/>
      <c r="C1016" s="9"/>
      <c r="D1016" s="9"/>
      <c r="E1016" s="42"/>
      <c r="F1016" s="43"/>
      <c r="G1016" s="27" t="str">
        <f aca="false">IF(OR(C1016="",AND(D1016="",F1016="")),"",IF(N(E1016)=0,1,E1016)*IF(F1016="",IFERROR(N(INDEX(Produtos!$L$5:$L$104,MATCH(D1016,Produtos!$B$5:$B$104,0))),0),F1016))</f>
        <v/>
      </c>
      <c r="H1016" s="27" t="str">
        <f aca="false">IF(G1016="","",IF(N(E1016)=0,1,E1016)*IFERROR(N(INDEX(Produtos!$G$5:$G$104,MATCH(D1016,Produtos!$B$5:$B$104,0))),0))</f>
        <v/>
      </c>
      <c r="I1016" s="27" t="str">
        <f aca="false">IF(G1016="","",G1016-H1016)</f>
        <v/>
      </c>
      <c r="J1016" s="42"/>
    </row>
    <row r="1017" customFormat="false" ht="21" hidden="false" customHeight="true" outlineLevel="0" collapsed="false">
      <c r="B1017" s="41"/>
      <c r="C1017" s="9"/>
      <c r="D1017" s="9"/>
      <c r="E1017" s="42"/>
      <c r="F1017" s="43"/>
      <c r="G1017" s="27" t="str">
        <f aca="false">IF(OR(C1017="",AND(D1017="",F1017="")),"",IF(N(E1017)=0,1,E1017)*IF(F1017="",IFERROR(N(INDEX(Produtos!$L$5:$L$104,MATCH(D1017,Produtos!$B$5:$B$104,0))),0),F1017))</f>
        <v/>
      </c>
      <c r="H1017" s="27" t="str">
        <f aca="false">IF(G1017="","",IF(N(E1017)=0,1,E1017)*IFERROR(N(INDEX(Produtos!$G$5:$G$104,MATCH(D1017,Produtos!$B$5:$B$104,0))),0))</f>
        <v/>
      </c>
      <c r="I1017" s="27" t="str">
        <f aca="false">IF(G1017="","",G1017-H1017)</f>
        <v/>
      </c>
      <c r="J1017" s="42"/>
    </row>
    <row r="1018" customFormat="false" ht="21" hidden="false" customHeight="true" outlineLevel="0" collapsed="false">
      <c r="B1018" s="41"/>
      <c r="C1018" s="9"/>
      <c r="D1018" s="9"/>
      <c r="E1018" s="42"/>
      <c r="F1018" s="43"/>
      <c r="G1018" s="27" t="str">
        <f aca="false">IF(OR(C1018="",AND(D1018="",F1018="")),"",IF(N(E1018)=0,1,E1018)*IF(F1018="",IFERROR(N(INDEX(Produtos!$L$5:$L$104,MATCH(D1018,Produtos!$B$5:$B$104,0))),0),F1018))</f>
        <v/>
      </c>
      <c r="H1018" s="27" t="str">
        <f aca="false">IF(G1018="","",IF(N(E1018)=0,1,E1018)*IFERROR(N(INDEX(Produtos!$G$5:$G$104,MATCH(D1018,Produtos!$B$5:$B$104,0))),0))</f>
        <v/>
      </c>
      <c r="I1018" s="27" t="str">
        <f aca="false">IF(G1018="","",G1018-H1018)</f>
        <v/>
      </c>
      <c r="J1018" s="42"/>
    </row>
    <row r="1019" customFormat="false" ht="21" hidden="false" customHeight="true" outlineLevel="0" collapsed="false">
      <c r="B1019" s="41"/>
      <c r="C1019" s="9"/>
      <c r="D1019" s="9"/>
      <c r="E1019" s="42"/>
      <c r="F1019" s="43"/>
      <c r="G1019" s="27" t="str">
        <f aca="false">IF(OR(C1019="",AND(D1019="",F1019="")),"",IF(N(E1019)=0,1,E1019)*IF(F1019="",IFERROR(N(INDEX(Produtos!$L$5:$L$104,MATCH(D1019,Produtos!$B$5:$B$104,0))),0),F1019))</f>
        <v/>
      </c>
      <c r="H1019" s="27" t="str">
        <f aca="false">IF(G1019="","",IF(N(E1019)=0,1,E1019)*IFERROR(N(INDEX(Produtos!$G$5:$G$104,MATCH(D1019,Produtos!$B$5:$B$104,0))),0))</f>
        <v/>
      </c>
      <c r="I1019" s="27" t="str">
        <f aca="false">IF(G1019="","",G1019-H1019)</f>
        <v/>
      </c>
      <c r="J1019" s="42"/>
    </row>
    <row r="1020" customFormat="false" ht="21" hidden="false" customHeight="true" outlineLevel="0" collapsed="false">
      <c r="B1020" s="41"/>
      <c r="C1020" s="9"/>
      <c r="D1020" s="9"/>
      <c r="E1020" s="42"/>
      <c r="F1020" s="43"/>
      <c r="G1020" s="27" t="str">
        <f aca="false">IF(OR(C1020="",AND(D1020="",F1020="")),"",IF(N(E1020)=0,1,E1020)*IF(F1020="",IFERROR(N(INDEX(Produtos!$L$5:$L$104,MATCH(D1020,Produtos!$B$5:$B$104,0))),0),F1020))</f>
        <v/>
      </c>
      <c r="H1020" s="27" t="str">
        <f aca="false">IF(G1020="","",IF(N(E1020)=0,1,E1020)*IFERROR(N(INDEX(Produtos!$G$5:$G$104,MATCH(D1020,Produtos!$B$5:$B$104,0))),0))</f>
        <v/>
      </c>
      <c r="I1020" s="27" t="str">
        <f aca="false">IF(G1020="","",G1020-H1020)</f>
        <v/>
      </c>
      <c r="J1020" s="42"/>
    </row>
    <row r="1021" customFormat="false" ht="21" hidden="false" customHeight="true" outlineLevel="0" collapsed="false">
      <c r="B1021" s="41"/>
      <c r="C1021" s="9"/>
      <c r="D1021" s="9"/>
      <c r="E1021" s="42"/>
      <c r="F1021" s="43"/>
      <c r="G1021" s="27" t="str">
        <f aca="false">IF(OR(C1021="",AND(D1021="",F1021="")),"",IF(N(E1021)=0,1,E1021)*IF(F1021="",IFERROR(N(INDEX(Produtos!$L$5:$L$104,MATCH(D1021,Produtos!$B$5:$B$104,0))),0),F1021))</f>
        <v/>
      </c>
      <c r="H1021" s="27" t="str">
        <f aca="false">IF(G1021="","",IF(N(E1021)=0,1,E1021)*IFERROR(N(INDEX(Produtos!$G$5:$G$104,MATCH(D1021,Produtos!$B$5:$B$104,0))),0))</f>
        <v/>
      </c>
      <c r="I1021" s="27" t="str">
        <f aca="false">IF(G1021="","",G1021-H1021)</f>
        <v/>
      </c>
      <c r="J1021" s="42"/>
    </row>
    <row r="1022" customFormat="false" ht="21" hidden="false" customHeight="true" outlineLevel="0" collapsed="false">
      <c r="B1022" s="41"/>
      <c r="C1022" s="9"/>
      <c r="D1022" s="9"/>
      <c r="E1022" s="42"/>
      <c r="F1022" s="43"/>
      <c r="G1022" s="27" t="str">
        <f aca="false">IF(OR(C1022="",AND(D1022="",F1022="")),"",IF(N(E1022)=0,1,E1022)*IF(F1022="",IFERROR(N(INDEX(Produtos!$L$5:$L$104,MATCH(D1022,Produtos!$B$5:$B$104,0))),0),F1022))</f>
        <v/>
      </c>
      <c r="H1022" s="27" t="str">
        <f aca="false">IF(G1022="","",IF(N(E1022)=0,1,E1022)*IFERROR(N(INDEX(Produtos!$G$5:$G$104,MATCH(D1022,Produtos!$B$5:$B$104,0))),0))</f>
        <v/>
      </c>
      <c r="I1022" s="27" t="str">
        <f aca="false">IF(G1022="","",G1022-H1022)</f>
        <v/>
      </c>
      <c r="J1022" s="42"/>
    </row>
    <row r="1023" customFormat="false" ht="21" hidden="false" customHeight="true" outlineLevel="0" collapsed="false">
      <c r="B1023" s="41"/>
      <c r="C1023" s="9"/>
      <c r="D1023" s="9"/>
      <c r="E1023" s="42"/>
      <c r="F1023" s="43"/>
      <c r="G1023" s="27" t="str">
        <f aca="false">IF(OR(C1023="",AND(D1023="",F1023="")),"",IF(N(E1023)=0,1,E1023)*IF(F1023="",IFERROR(N(INDEX(Produtos!$L$5:$L$104,MATCH(D1023,Produtos!$B$5:$B$104,0))),0),F1023))</f>
        <v/>
      </c>
      <c r="H1023" s="27" t="str">
        <f aca="false">IF(G1023="","",IF(N(E1023)=0,1,E1023)*IFERROR(N(INDEX(Produtos!$G$5:$G$104,MATCH(D1023,Produtos!$B$5:$B$104,0))),0))</f>
        <v/>
      </c>
      <c r="I1023" s="27" t="str">
        <f aca="false">IF(G1023="","",G1023-H1023)</f>
        <v/>
      </c>
      <c r="J1023" s="42"/>
    </row>
    <row r="1024" customFormat="false" ht="21" hidden="false" customHeight="true" outlineLevel="0" collapsed="false">
      <c r="B1024" s="41"/>
      <c r="C1024" s="9"/>
      <c r="D1024" s="9"/>
      <c r="E1024" s="42"/>
      <c r="F1024" s="43"/>
      <c r="G1024" s="27" t="str">
        <f aca="false">IF(OR(C1024="",AND(D1024="",F1024="")),"",IF(N(E1024)=0,1,E1024)*IF(F1024="",IFERROR(N(INDEX(Produtos!$L$5:$L$104,MATCH(D1024,Produtos!$B$5:$B$104,0))),0),F1024))</f>
        <v/>
      </c>
      <c r="H1024" s="27" t="str">
        <f aca="false">IF(G1024="","",IF(N(E1024)=0,1,E1024)*IFERROR(N(INDEX(Produtos!$G$5:$G$104,MATCH(D1024,Produtos!$B$5:$B$104,0))),0))</f>
        <v/>
      </c>
      <c r="I1024" s="27" t="str">
        <f aca="false">IF(G1024="","",G1024-H1024)</f>
        <v/>
      </c>
      <c r="J1024" s="42"/>
    </row>
    <row r="1025" customFormat="false" ht="21" hidden="false" customHeight="true" outlineLevel="0" collapsed="false">
      <c r="B1025" s="41"/>
      <c r="C1025" s="9"/>
      <c r="D1025" s="9"/>
      <c r="E1025" s="42"/>
      <c r="F1025" s="43"/>
      <c r="G1025" s="27" t="str">
        <f aca="false">IF(OR(C1025="",AND(D1025="",F1025="")),"",IF(N(E1025)=0,1,E1025)*IF(F1025="",IFERROR(N(INDEX(Produtos!$L$5:$L$104,MATCH(D1025,Produtos!$B$5:$B$104,0))),0),F1025))</f>
        <v/>
      </c>
      <c r="H1025" s="27" t="str">
        <f aca="false">IF(G1025="","",IF(N(E1025)=0,1,E1025)*IFERROR(N(INDEX(Produtos!$G$5:$G$104,MATCH(D1025,Produtos!$B$5:$B$104,0))),0))</f>
        <v/>
      </c>
      <c r="I1025" s="27" t="str">
        <f aca="false">IF(G1025="","",G1025-H1025)</f>
        <v/>
      </c>
      <c r="J1025" s="42"/>
    </row>
    <row r="1026" customFormat="false" ht="21" hidden="false" customHeight="true" outlineLevel="0" collapsed="false">
      <c r="B1026" s="41"/>
      <c r="C1026" s="9"/>
      <c r="D1026" s="9"/>
      <c r="E1026" s="42"/>
      <c r="F1026" s="43"/>
      <c r="G1026" s="27" t="str">
        <f aca="false">IF(OR(C1026="",AND(D1026="",F1026="")),"",IF(N(E1026)=0,1,E1026)*IF(F1026="",IFERROR(N(INDEX(Produtos!$L$5:$L$104,MATCH(D1026,Produtos!$B$5:$B$104,0))),0),F1026))</f>
        <v/>
      </c>
      <c r="H1026" s="27" t="str">
        <f aca="false">IF(G1026="","",IF(N(E1026)=0,1,E1026)*IFERROR(N(INDEX(Produtos!$G$5:$G$104,MATCH(D1026,Produtos!$B$5:$B$104,0))),0))</f>
        <v/>
      </c>
      <c r="I1026" s="27" t="str">
        <f aca="false">IF(G1026="","",G1026-H1026)</f>
        <v/>
      </c>
      <c r="J1026" s="42"/>
    </row>
    <row r="1027" customFormat="false" ht="21" hidden="false" customHeight="true" outlineLevel="0" collapsed="false">
      <c r="B1027" s="41"/>
      <c r="C1027" s="9"/>
      <c r="D1027" s="9"/>
      <c r="E1027" s="42"/>
      <c r="F1027" s="43"/>
      <c r="G1027" s="27" t="str">
        <f aca="false">IF(OR(C1027="",AND(D1027="",F1027="")),"",IF(N(E1027)=0,1,E1027)*IF(F1027="",IFERROR(N(INDEX(Produtos!$L$5:$L$104,MATCH(D1027,Produtos!$B$5:$B$104,0))),0),F1027))</f>
        <v/>
      </c>
      <c r="H1027" s="27" t="str">
        <f aca="false">IF(G1027="","",IF(N(E1027)=0,1,E1027)*IFERROR(N(INDEX(Produtos!$G$5:$G$104,MATCH(D1027,Produtos!$B$5:$B$104,0))),0))</f>
        <v/>
      </c>
      <c r="I1027" s="27" t="str">
        <f aca="false">IF(G1027="","",G1027-H1027)</f>
        <v/>
      </c>
      <c r="J1027" s="42"/>
    </row>
    <row r="1028" customFormat="false" ht="21" hidden="false" customHeight="true" outlineLevel="0" collapsed="false">
      <c r="B1028" s="41"/>
      <c r="C1028" s="9"/>
      <c r="D1028" s="9"/>
      <c r="E1028" s="42"/>
      <c r="F1028" s="43"/>
      <c r="G1028" s="27" t="str">
        <f aca="false">IF(OR(C1028="",AND(D1028="",F1028="")),"",IF(N(E1028)=0,1,E1028)*IF(F1028="",IFERROR(N(INDEX(Produtos!$L$5:$L$104,MATCH(D1028,Produtos!$B$5:$B$104,0))),0),F1028))</f>
        <v/>
      </c>
      <c r="H1028" s="27" t="str">
        <f aca="false">IF(G1028="","",IF(N(E1028)=0,1,E1028)*IFERROR(N(INDEX(Produtos!$G$5:$G$104,MATCH(D1028,Produtos!$B$5:$B$104,0))),0))</f>
        <v/>
      </c>
      <c r="I1028" s="27" t="str">
        <f aca="false">IF(G1028="","",G1028-H1028)</f>
        <v/>
      </c>
      <c r="J1028" s="42"/>
    </row>
    <row r="1029" customFormat="false" ht="21" hidden="false" customHeight="true" outlineLevel="0" collapsed="false">
      <c r="B1029" s="41"/>
      <c r="C1029" s="9"/>
      <c r="D1029" s="9"/>
      <c r="E1029" s="42"/>
      <c r="F1029" s="43"/>
      <c r="G1029" s="27" t="str">
        <f aca="false">IF(OR(C1029="",AND(D1029="",F1029="")),"",IF(N(E1029)=0,1,E1029)*IF(F1029="",IFERROR(N(INDEX(Produtos!$L$5:$L$104,MATCH(D1029,Produtos!$B$5:$B$104,0))),0),F1029))</f>
        <v/>
      </c>
      <c r="H1029" s="27" t="str">
        <f aca="false">IF(G1029="","",IF(N(E1029)=0,1,E1029)*IFERROR(N(INDEX(Produtos!$G$5:$G$104,MATCH(D1029,Produtos!$B$5:$B$104,0))),0))</f>
        <v/>
      </c>
      <c r="I1029" s="27" t="str">
        <f aca="false">IF(G1029="","",G1029-H1029)</f>
        <v/>
      </c>
      <c r="J1029" s="42"/>
    </row>
    <row r="1030" customFormat="false" ht="21" hidden="false" customHeight="true" outlineLevel="0" collapsed="false">
      <c r="B1030" s="41"/>
      <c r="C1030" s="9"/>
      <c r="D1030" s="9"/>
      <c r="E1030" s="42"/>
      <c r="F1030" s="43"/>
      <c r="G1030" s="27" t="str">
        <f aca="false">IF(OR(C1030="",AND(D1030="",F1030="")),"",IF(N(E1030)=0,1,E1030)*IF(F1030="",IFERROR(N(INDEX(Produtos!$L$5:$L$104,MATCH(D1030,Produtos!$B$5:$B$104,0))),0),F1030))</f>
        <v/>
      </c>
      <c r="H1030" s="27" t="str">
        <f aca="false">IF(G1030="","",IF(N(E1030)=0,1,E1030)*IFERROR(N(INDEX(Produtos!$G$5:$G$104,MATCH(D1030,Produtos!$B$5:$B$104,0))),0))</f>
        <v/>
      </c>
      <c r="I1030" s="27" t="str">
        <f aca="false">IF(G1030="","",G1030-H1030)</f>
        <v/>
      </c>
      <c r="J1030" s="42"/>
    </row>
    <row r="1031" customFormat="false" ht="21" hidden="false" customHeight="true" outlineLevel="0" collapsed="false">
      <c r="B1031" s="41"/>
      <c r="C1031" s="9"/>
      <c r="D1031" s="9"/>
      <c r="E1031" s="42"/>
      <c r="F1031" s="43"/>
      <c r="G1031" s="27" t="str">
        <f aca="false">IF(OR(C1031="",AND(D1031="",F1031="")),"",IF(N(E1031)=0,1,E1031)*IF(F1031="",IFERROR(N(INDEX(Produtos!$L$5:$L$104,MATCH(D1031,Produtos!$B$5:$B$104,0))),0),F1031))</f>
        <v/>
      </c>
      <c r="H1031" s="27" t="str">
        <f aca="false">IF(G1031="","",IF(N(E1031)=0,1,E1031)*IFERROR(N(INDEX(Produtos!$G$5:$G$104,MATCH(D1031,Produtos!$B$5:$B$104,0))),0))</f>
        <v/>
      </c>
      <c r="I1031" s="27" t="str">
        <f aca="false">IF(G1031="","",G1031-H1031)</f>
        <v/>
      </c>
      <c r="J1031" s="42"/>
    </row>
    <row r="1032" customFormat="false" ht="21" hidden="false" customHeight="true" outlineLevel="0" collapsed="false">
      <c r="B1032" s="41"/>
      <c r="C1032" s="9"/>
      <c r="D1032" s="9"/>
      <c r="E1032" s="42"/>
      <c r="F1032" s="43"/>
      <c r="G1032" s="27" t="str">
        <f aca="false">IF(OR(C1032="",AND(D1032="",F1032="")),"",IF(N(E1032)=0,1,E1032)*IF(F1032="",IFERROR(N(INDEX(Produtos!$L$5:$L$104,MATCH(D1032,Produtos!$B$5:$B$104,0))),0),F1032))</f>
        <v/>
      </c>
      <c r="H1032" s="27" t="str">
        <f aca="false">IF(G1032="","",IF(N(E1032)=0,1,E1032)*IFERROR(N(INDEX(Produtos!$G$5:$G$104,MATCH(D1032,Produtos!$B$5:$B$104,0))),0))</f>
        <v/>
      </c>
      <c r="I1032" s="27" t="str">
        <f aca="false">IF(G1032="","",G1032-H1032)</f>
        <v/>
      </c>
      <c r="J1032" s="42"/>
    </row>
    <row r="1033" customFormat="false" ht="21" hidden="false" customHeight="true" outlineLevel="0" collapsed="false">
      <c r="B1033" s="41"/>
      <c r="C1033" s="9"/>
      <c r="D1033" s="9"/>
      <c r="E1033" s="42"/>
      <c r="F1033" s="43"/>
      <c r="G1033" s="27" t="str">
        <f aca="false">IF(OR(C1033="",AND(D1033="",F1033="")),"",IF(N(E1033)=0,1,E1033)*IF(F1033="",IFERROR(N(INDEX(Produtos!$L$5:$L$104,MATCH(D1033,Produtos!$B$5:$B$104,0))),0),F1033))</f>
        <v/>
      </c>
      <c r="H1033" s="27" t="str">
        <f aca="false">IF(G1033="","",IF(N(E1033)=0,1,E1033)*IFERROR(N(INDEX(Produtos!$G$5:$G$104,MATCH(D1033,Produtos!$B$5:$B$104,0))),0))</f>
        <v/>
      </c>
      <c r="I1033" s="27" t="str">
        <f aca="false">IF(G1033="","",G1033-H1033)</f>
        <v/>
      </c>
      <c r="J1033" s="42"/>
    </row>
    <row r="1034" customFormat="false" ht="21" hidden="false" customHeight="true" outlineLevel="0" collapsed="false">
      <c r="B1034" s="41"/>
      <c r="C1034" s="9"/>
      <c r="D1034" s="9"/>
      <c r="E1034" s="42"/>
      <c r="F1034" s="43"/>
      <c r="G1034" s="27" t="str">
        <f aca="false">IF(OR(C1034="",AND(D1034="",F1034="")),"",IF(N(E1034)=0,1,E1034)*IF(F1034="",IFERROR(N(INDEX(Produtos!$L$5:$L$104,MATCH(D1034,Produtos!$B$5:$B$104,0))),0),F1034))</f>
        <v/>
      </c>
      <c r="H1034" s="27" t="str">
        <f aca="false">IF(G1034="","",IF(N(E1034)=0,1,E1034)*IFERROR(N(INDEX(Produtos!$G$5:$G$104,MATCH(D1034,Produtos!$B$5:$B$104,0))),0))</f>
        <v/>
      </c>
      <c r="I1034" s="27" t="str">
        <f aca="false">IF(G1034="","",G1034-H1034)</f>
        <v/>
      </c>
      <c r="J1034" s="42"/>
    </row>
    <row r="1035" customFormat="false" ht="21" hidden="false" customHeight="true" outlineLevel="0" collapsed="false">
      <c r="B1035" s="41"/>
      <c r="C1035" s="9"/>
      <c r="D1035" s="9"/>
      <c r="E1035" s="42"/>
      <c r="F1035" s="43"/>
      <c r="G1035" s="27" t="str">
        <f aca="false">IF(OR(C1035="",AND(D1035="",F1035="")),"",IF(N(E1035)=0,1,E1035)*IF(F1035="",IFERROR(N(INDEX(Produtos!$L$5:$L$104,MATCH(D1035,Produtos!$B$5:$B$104,0))),0),F1035))</f>
        <v/>
      </c>
      <c r="H1035" s="27" t="str">
        <f aca="false">IF(G1035="","",IF(N(E1035)=0,1,E1035)*IFERROR(N(INDEX(Produtos!$G$5:$G$104,MATCH(D1035,Produtos!$B$5:$B$104,0))),0))</f>
        <v/>
      </c>
      <c r="I1035" s="27" t="str">
        <f aca="false">IF(G1035="","",G1035-H1035)</f>
        <v/>
      </c>
      <c r="J1035" s="42"/>
    </row>
    <row r="1036" customFormat="false" ht="21" hidden="false" customHeight="true" outlineLevel="0" collapsed="false">
      <c r="B1036" s="41"/>
      <c r="C1036" s="9"/>
      <c r="D1036" s="9"/>
      <c r="E1036" s="42"/>
      <c r="F1036" s="43"/>
      <c r="G1036" s="27" t="str">
        <f aca="false">IF(OR(C1036="",AND(D1036="",F1036="")),"",IF(N(E1036)=0,1,E1036)*IF(F1036="",IFERROR(N(INDEX(Produtos!$L$5:$L$104,MATCH(D1036,Produtos!$B$5:$B$104,0))),0),F1036))</f>
        <v/>
      </c>
      <c r="H1036" s="27" t="str">
        <f aca="false">IF(G1036="","",IF(N(E1036)=0,1,E1036)*IFERROR(N(INDEX(Produtos!$G$5:$G$104,MATCH(D1036,Produtos!$B$5:$B$104,0))),0))</f>
        <v/>
      </c>
      <c r="I1036" s="27" t="str">
        <f aca="false">IF(G1036="","",G1036-H1036)</f>
        <v/>
      </c>
      <c r="J1036" s="42"/>
    </row>
    <row r="1037" customFormat="false" ht="21" hidden="false" customHeight="true" outlineLevel="0" collapsed="false">
      <c r="B1037" s="41"/>
      <c r="C1037" s="9"/>
      <c r="D1037" s="9"/>
      <c r="E1037" s="42"/>
      <c r="F1037" s="43"/>
      <c r="G1037" s="27" t="str">
        <f aca="false">IF(OR(C1037="",AND(D1037="",F1037="")),"",IF(N(E1037)=0,1,E1037)*IF(F1037="",IFERROR(N(INDEX(Produtos!$L$5:$L$104,MATCH(D1037,Produtos!$B$5:$B$104,0))),0),F1037))</f>
        <v/>
      </c>
      <c r="H1037" s="27" t="str">
        <f aca="false">IF(G1037="","",IF(N(E1037)=0,1,E1037)*IFERROR(N(INDEX(Produtos!$G$5:$G$104,MATCH(D1037,Produtos!$B$5:$B$104,0))),0))</f>
        <v/>
      </c>
      <c r="I1037" s="27" t="str">
        <f aca="false">IF(G1037="","",G1037-H1037)</f>
        <v/>
      </c>
      <c r="J1037" s="42"/>
    </row>
    <row r="1038" customFormat="false" ht="21" hidden="false" customHeight="true" outlineLevel="0" collapsed="false">
      <c r="B1038" s="41"/>
      <c r="C1038" s="9"/>
      <c r="D1038" s="9"/>
      <c r="E1038" s="42"/>
      <c r="F1038" s="43"/>
      <c r="G1038" s="27" t="str">
        <f aca="false">IF(OR(C1038="",AND(D1038="",F1038="")),"",IF(N(E1038)=0,1,E1038)*IF(F1038="",IFERROR(N(INDEX(Produtos!$L$5:$L$104,MATCH(D1038,Produtos!$B$5:$B$104,0))),0),F1038))</f>
        <v/>
      </c>
      <c r="H1038" s="27" t="str">
        <f aca="false">IF(G1038="","",IF(N(E1038)=0,1,E1038)*IFERROR(N(INDEX(Produtos!$G$5:$G$104,MATCH(D1038,Produtos!$B$5:$B$104,0))),0))</f>
        <v/>
      </c>
      <c r="I1038" s="27" t="str">
        <f aca="false">IF(G1038="","",G1038-H1038)</f>
        <v/>
      </c>
      <c r="J1038" s="42"/>
    </row>
    <row r="1039" customFormat="false" ht="21" hidden="false" customHeight="true" outlineLevel="0" collapsed="false">
      <c r="B1039" s="41"/>
      <c r="C1039" s="9"/>
      <c r="D1039" s="9"/>
      <c r="E1039" s="42"/>
      <c r="F1039" s="43"/>
      <c r="G1039" s="27" t="str">
        <f aca="false">IF(OR(C1039="",AND(D1039="",F1039="")),"",IF(N(E1039)=0,1,E1039)*IF(F1039="",IFERROR(N(INDEX(Produtos!$L$5:$L$104,MATCH(D1039,Produtos!$B$5:$B$104,0))),0),F1039))</f>
        <v/>
      </c>
      <c r="H1039" s="27" t="str">
        <f aca="false">IF(G1039="","",IF(N(E1039)=0,1,E1039)*IFERROR(N(INDEX(Produtos!$G$5:$G$104,MATCH(D1039,Produtos!$B$5:$B$104,0))),0))</f>
        <v/>
      </c>
      <c r="I1039" s="27" t="str">
        <f aca="false">IF(G1039="","",G1039-H1039)</f>
        <v/>
      </c>
      <c r="J1039" s="42"/>
    </row>
    <row r="1040" customFormat="false" ht="21" hidden="false" customHeight="true" outlineLevel="0" collapsed="false">
      <c r="B1040" s="41"/>
      <c r="C1040" s="9"/>
      <c r="D1040" s="9"/>
      <c r="E1040" s="42"/>
      <c r="F1040" s="43"/>
      <c r="G1040" s="27" t="str">
        <f aca="false">IF(OR(C1040="",AND(D1040="",F1040="")),"",IF(N(E1040)=0,1,E1040)*IF(F1040="",IFERROR(N(INDEX(Produtos!$L$5:$L$104,MATCH(D1040,Produtos!$B$5:$B$104,0))),0),F1040))</f>
        <v/>
      </c>
      <c r="H1040" s="27" t="str">
        <f aca="false">IF(G1040="","",IF(N(E1040)=0,1,E1040)*IFERROR(N(INDEX(Produtos!$G$5:$G$104,MATCH(D1040,Produtos!$B$5:$B$104,0))),0))</f>
        <v/>
      </c>
      <c r="I1040" s="27" t="str">
        <f aca="false">IF(G1040="","",G1040-H1040)</f>
        <v/>
      </c>
      <c r="J1040" s="42"/>
    </row>
    <row r="1041" customFormat="false" ht="21" hidden="false" customHeight="true" outlineLevel="0" collapsed="false">
      <c r="B1041" s="41"/>
      <c r="C1041" s="9"/>
      <c r="D1041" s="9"/>
      <c r="E1041" s="42"/>
      <c r="F1041" s="43"/>
      <c r="G1041" s="27" t="str">
        <f aca="false">IF(OR(C1041="",AND(D1041="",F1041="")),"",IF(N(E1041)=0,1,E1041)*IF(F1041="",IFERROR(N(INDEX(Produtos!$L$5:$L$104,MATCH(D1041,Produtos!$B$5:$B$104,0))),0),F1041))</f>
        <v/>
      </c>
      <c r="H1041" s="27" t="str">
        <f aca="false">IF(G1041="","",IF(N(E1041)=0,1,E1041)*IFERROR(N(INDEX(Produtos!$G$5:$G$104,MATCH(D1041,Produtos!$B$5:$B$104,0))),0))</f>
        <v/>
      </c>
      <c r="I1041" s="27" t="str">
        <f aca="false">IF(G1041="","",G1041-H1041)</f>
        <v/>
      </c>
      <c r="J1041" s="42"/>
    </row>
    <row r="1042" customFormat="false" ht="21" hidden="false" customHeight="true" outlineLevel="0" collapsed="false">
      <c r="B1042" s="41"/>
      <c r="C1042" s="9"/>
      <c r="D1042" s="9"/>
      <c r="E1042" s="42"/>
      <c r="F1042" s="43"/>
      <c r="G1042" s="27" t="str">
        <f aca="false">IF(OR(C1042="",AND(D1042="",F1042="")),"",IF(N(E1042)=0,1,E1042)*IF(F1042="",IFERROR(N(INDEX(Produtos!$L$5:$L$104,MATCH(D1042,Produtos!$B$5:$B$104,0))),0),F1042))</f>
        <v/>
      </c>
      <c r="H1042" s="27" t="str">
        <f aca="false">IF(G1042="","",IF(N(E1042)=0,1,E1042)*IFERROR(N(INDEX(Produtos!$G$5:$G$104,MATCH(D1042,Produtos!$B$5:$B$104,0))),0))</f>
        <v/>
      </c>
      <c r="I1042" s="27" t="str">
        <f aca="false">IF(G1042="","",G1042-H1042)</f>
        <v/>
      </c>
      <c r="J1042" s="42"/>
    </row>
    <row r="1043" customFormat="false" ht="21" hidden="false" customHeight="true" outlineLevel="0" collapsed="false">
      <c r="B1043" s="41"/>
      <c r="C1043" s="9"/>
      <c r="D1043" s="9"/>
      <c r="E1043" s="42"/>
      <c r="F1043" s="43"/>
      <c r="G1043" s="27" t="str">
        <f aca="false">IF(OR(C1043="",AND(D1043="",F1043="")),"",IF(N(E1043)=0,1,E1043)*IF(F1043="",IFERROR(N(INDEX(Produtos!$L$5:$L$104,MATCH(D1043,Produtos!$B$5:$B$104,0))),0),F1043))</f>
        <v/>
      </c>
      <c r="H1043" s="27" t="str">
        <f aca="false">IF(G1043="","",IF(N(E1043)=0,1,E1043)*IFERROR(N(INDEX(Produtos!$G$5:$G$104,MATCH(D1043,Produtos!$B$5:$B$104,0))),0))</f>
        <v/>
      </c>
      <c r="I1043" s="27" t="str">
        <f aca="false">IF(G1043="","",G1043-H1043)</f>
        <v/>
      </c>
      <c r="J1043" s="42"/>
    </row>
    <row r="1044" customFormat="false" ht="21" hidden="false" customHeight="true" outlineLevel="0" collapsed="false">
      <c r="B1044" s="41"/>
      <c r="C1044" s="9"/>
      <c r="D1044" s="9"/>
      <c r="E1044" s="42"/>
      <c r="F1044" s="43"/>
      <c r="G1044" s="27" t="str">
        <f aca="false">IF(OR(C1044="",AND(D1044="",F1044="")),"",IF(N(E1044)=0,1,E1044)*IF(F1044="",IFERROR(N(INDEX(Produtos!$L$5:$L$104,MATCH(D1044,Produtos!$B$5:$B$104,0))),0),F1044))</f>
        <v/>
      </c>
      <c r="H1044" s="27" t="str">
        <f aca="false">IF(G1044="","",IF(N(E1044)=0,1,E1044)*IFERROR(N(INDEX(Produtos!$G$5:$G$104,MATCH(D1044,Produtos!$B$5:$B$104,0))),0))</f>
        <v/>
      </c>
      <c r="I1044" s="27" t="str">
        <f aca="false">IF(G1044="","",G1044-H1044)</f>
        <v/>
      </c>
      <c r="J1044" s="42"/>
    </row>
    <row r="1045" customFormat="false" ht="21" hidden="false" customHeight="true" outlineLevel="0" collapsed="false">
      <c r="B1045" s="41"/>
      <c r="C1045" s="9"/>
      <c r="D1045" s="9"/>
      <c r="E1045" s="42"/>
      <c r="F1045" s="43"/>
      <c r="G1045" s="27" t="str">
        <f aca="false">IF(OR(C1045="",AND(D1045="",F1045="")),"",IF(N(E1045)=0,1,E1045)*IF(F1045="",IFERROR(N(INDEX(Produtos!$L$5:$L$104,MATCH(D1045,Produtos!$B$5:$B$104,0))),0),F1045))</f>
        <v/>
      </c>
      <c r="H1045" s="27" t="str">
        <f aca="false">IF(G1045="","",IF(N(E1045)=0,1,E1045)*IFERROR(N(INDEX(Produtos!$G$5:$G$104,MATCH(D1045,Produtos!$B$5:$B$104,0))),0))</f>
        <v/>
      </c>
      <c r="I1045" s="27" t="str">
        <f aca="false">IF(G1045="","",G1045-H1045)</f>
        <v/>
      </c>
      <c r="J1045" s="42"/>
    </row>
    <row r="1046" customFormat="false" ht="21" hidden="false" customHeight="true" outlineLevel="0" collapsed="false">
      <c r="B1046" s="41"/>
      <c r="C1046" s="9"/>
      <c r="D1046" s="9"/>
      <c r="E1046" s="42"/>
      <c r="F1046" s="43"/>
      <c r="G1046" s="27" t="str">
        <f aca="false">IF(OR(C1046="",AND(D1046="",F1046="")),"",IF(N(E1046)=0,1,E1046)*IF(F1046="",IFERROR(N(INDEX(Produtos!$L$5:$L$104,MATCH(D1046,Produtos!$B$5:$B$104,0))),0),F1046))</f>
        <v/>
      </c>
      <c r="H1046" s="27" t="str">
        <f aca="false">IF(G1046="","",IF(N(E1046)=0,1,E1046)*IFERROR(N(INDEX(Produtos!$G$5:$G$104,MATCH(D1046,Produtos!$B$5:$B$104,0))),0))</f>
        <v/>
      </c>
      <c r="I1046" s="27" t="str">
        <f aca="false">IF(G1046="","",G1046-H1046)</f>
        <v/>
      </c>
      <c r="J1046" s="42"/>
    </row>
    <row r="1047" customFormat="false" ht="21" hidden="false" customHeight="true" outlineLevel="0" collapsed="false">
      <c r="B1047" s="41"/>
      <c r="C1047" s="9"/>
      <c r="D1047" s="9"/>
      <c r="E1047" s="42"/>
      <c r="F1047" s="43"/>
      <c r="G1047" s="27" t="str">
        <f aca="false">IF(OR(C1047="",AND(D1047="",F1047="")),"",IF(N(E1047)=0,1,E1047)*IF(F1047="",IFERROR(N(INDEX(Produtos!$L$5:$L$104,MATCH(D1047,Produtos!$B$5:$B$104,0))),0),F1047))</f>
        <v/>
      </c>
      <c r="H1047" s="27" t="str">
        <f aca="false">IF(G1047="","",IF(N(E1047)=0,1,E1047)*IFERROR(N(INDEX(Produtos!$G$5:$G$104,MATCH(D1047,Produtos!$B$5:$B$104,0))),0))</f>
        <v/>
      </c>
      <c r="I1047" s="27" t="str">
        <f aca="false">IF(G1047="","",G1047-H1047)</f>
        <v/>
      </c>
      <c r="J1047" s="42"/>
    </row>
    <row r="1048" customFormat="false" ht="21" hidden="false" customHeight="true" outlineLevel="0" collapsed="false">
      <c r="B1048" s="41"/>
      <c r="C1048" s="9"/>
      <c r="D1048" s="9"/>
      <c r="E1048" s="42"/>
      <c r="F1048" s="43"/>
      <c r="G1048" s="27" t="str">
        <f aca="false">IF(OR(C1048="",AND(D1048="",F1048="")),"",IF(N(E1048)=0,1,E1048)*IF(F1048="",IFERROR(N(INDEX(Produtos!$L$5:$L$104,MATCH(D1048,Produtos!$B$5:$B$104,0))),0),F1048))</f>
        <v/>
      </c>
      <c r="H1048" s="27" t="str">
        <f aca="false">IF(G1048="","",IF(N(E1048)=0,1,E1048)*IFERROR(N(INDEX(Produtos!$G$5:$G$104,MATCH(D1048,Produtos!$B$5:$B$104,0))),0))</f>
        <v/>
      </c>
      <c r="I1048" s="27" t="str">
        <f aca="false">IF(G1048="","",G1048-H1048)</f>
        <v/>
      </c>
      <c r="J1048" s="42"/>
    </row>
    <row r="1049" customFormat="false" ht="21" hidden="false" customHeight="true" outlineLevel="0" collapsed="false">
      <c r="B1049" s="41"/>
      <c r="C1049" s="9"/>
      <c r="D1049" s="9"/>
      <c r="E1049" s="42"/>
      <c r="F1049" s="43"/>
      <c r="G1049" s="27" t="str">
        <f aca="false">IF(OR(C1049="",AND(D1049="",F1049="")),"",IF(N(E1049)=0,1,E1049)*IF(F1049="",IFERROR(N(INDEX(Produtos!$L$5:$L$104,MATCH(D1049,Produtos!$B$5:$B$104,0))),0),F1049))</f>
        <v/>
      </c>
      <c r="H1049" s="27" t="str">
        <f aca="false">IF(G1049="","",IF(N(E1049)=0,1,E1049)*IFERROR(N(INDEX(Produtos!$G$5:$G$104,MATCH(D1049,Produtos!$B$5:$B$104,0))),0))</f>
        <v/>
      </c>
      <c r="I1049" s="27" t="str">
        <f aca="false">IF(G1049="","",G1049-H1049)</f>
        <v/>
      </c>
      <c r="J1049" s="42"/>
    </row>
    <row r="1050" customFormat="false" ht="21" hidden="false" customHeight="true" outlineLevel="0" collapsed="false">
      <c r="B1050" s="41"/>
      <c r="C1050" s="9"/>
      <c r="D1050" s="9"/>
      <c r="E1050" s="42"/>
      <c r="F1050" s="43"/>
      <c r="G1050" s="27" t="str">
        <f aca="false">IF(OR(C1050="",AND(D1050="",F1050="")),"",IF(N(E1050)=0,1,E1050)*IF(F1050="",IFERROR(N(INDEX(Produtos!$L$5:$L$104,MATCH(D1050,Produtos!$B$5:$B$104,0))),0),F1050))</f>
        <v/>
      </c>
      <c r="H1050" s="27" t="str">
        <f aca="false">IF(G1050="","",IF(N(E1050)=0,1,E1050)*IFERROR(N(INDEX(Produtos!$G$5:$G$104,MATCH(D1050,Produtos!$B$5:$B$104,0))),0))</f>
        <v/>
      </c>
      <c r="I1050" s="27" t="str">
        <f aca="false">IF(G1050="","",G1050-H1050)</f>
        <v/>
      </c>
      <c r="J1050" s="42"/>
    </row>
    <row r="1051" customFormat="false" ht="21" hidden="false" customHeight="true" outlineLevel="0" collapsed="false">
      <c r="B1051" s="41"/>
      <c r="C1051" s="9"/>
      <c r="D1051" s="9"/>
      <c r="E1051" s="42"/>
      <c r="F1051" s="43"/>
      <c r="G1051" s="27" t="str">
        <f aca="false">IF(OR(C1051="",AND(D1051="",F1051="")),"",IF(N(E1051)=0,1,E1051)*IF(F1051="",IFERROR(N(INDEX(Produtos!$L$5:$L$104,MATCH(D1051,Produtos!$B$5:$B$104,0))),0),F1051))</f>
        <v/>
      </c>
      <c r="H1051" s="27" t="str">
        <f aca="false">IF(G1051="","",IF(N(E1051)=0,1,E1051)*IFERROR(N(INDEX(Produtos!$G$5:$G$104,MATCH(D1051,Produtos!$B$5:$B$104,0))),0))</f>
        <v/>
      </c>
      <c r="I1051" s="27" t="str">
        <f aca="false">IF(G1051="","",G1051-H1051)</f>
        <v/>
      </c>
      <c r="J1051" s="42"/>
    </row>
    <row r="1052" customFormat="false" ht="21" hidden="false" customHeight="true" outlineLevel="0" collapsed="false">
      <c r="B1052" s="41"/>
      <c r="C1052" s="9"/>
      <c r="D1052" s="9"/>
      <c r="E1052" s="42"/>
      <c r="F1052" s="43"/>
      <c r="G1052" s="27" t="str">
        <f aca="false">IF(OR(C1052="",AND(D1052="",F1052="")),"",IF(N(E1052)=0,1,E1052)*IF(F1052="",IFERROR(N(INDEX(Produtos!$L$5:$L$104,MATCH(D1052,Produtos!$B$5:$B$104,0))),0),F1052))</f>
        <v/>
      </c>
      <c r="H1052" s="27" t="str">
        <f aca="false">IF(G1052="","",IF(N(E1052)=0,1,E1052)*IFERROR(N(INDEX(Produtos!$G$5:$G$104,MATCH(D1052,Produtos!$B$5:$B$104,0))),0))</f>
        <v/>
      </c>
      <c r="I1052" s="27" t="str">
        <f aca="false">IF(G1052="","",G1052-H1052)</f>
        <v/>
      </c>
      <c r="J1052" s="42"/>
    </row>
    <row r="1053" customFormat="false" ht="21" hidden="false" customHeight="true" outlineLevel="0" collapsed="false">
      <c r="B1053" s="41"/>
      <c r="C1053" s="9"/>
      <c r="D1053" s="9"/>
      <c r="E1053" s="42"/>
      <c r="F1053" s="43"/>
      <c r="G1053" s="27" t="str">
        <f aca="false">IF(OR(C1053="",AND(D1053="",F1053="")),"",IF(N(E1053)=0,1,E1053)*IF(F1053="",IFERROR(N(INDEX(Produtos!$L$5:$L$104,MATCH(D1053,Produtos!$B$5:$B$104,0))),0),F1053))</f>
        <v/>
      </c>
      <c r="H1053" s="27" t="str">
        <f aca="false">IF(G1053="","",IF(N(E1053)=0,1,E1053)*IFERROR(N(INDEX(Produtos!$G$5:$G$104,MATCH(D1053,Produtos!$B$5:$B$104,0))),0))</f>
        <v/>
      </c>
      <c r="I1053" s="27" t="str">
        <f aca="false">IF(G1053="","",G1053-H1053)</f>
        <v/>
      </c>
      <c r="J1053" s="42"/>
    </row>
    <row r="1054" customFormat="false" ht="21" hidden="false" customHeight="true" outlineLevel="0" collapsed="false">
      <c r="B1054" s="41"/>
      <c r="C1054" s="9"/>
      <c r="D1054" s="9"/>
      <c r="E1054" s="42"/>
      <c r="F1054" s="43"/>
      <c r="G1054" s="27" t="str">
        <f aca="false">IF(OR(C1054="",AND(D1054="",F1054="")),"",IF(N(E1054)=0,1,E1054)*IF(F1054="",IFERROR(N(INDEX(Produtos!$L$5:$L$104,MATCH(D1054,Produtos!$B$5:$B$104,0))),0),F1054))</f>
        <v/>
      </c>
      <c r="H1054" s="27" t="str">
        <f aca="false">IF(G1054="","",IF(N(E1054)=0,1,E1054)*IFERROR(N(INDEX(Produtos!$G$5:$G$104,MATCH(D1054,Produtos!$B$5:$B$104,0))),0))</f>
        <v/>
      </c>
      <c r="I1054" s="27" t="str">
        <f aca="false">IF(G1054="","",G1054-H1054)</f>
        <v/>
      </c>
      <c r="J1054" s="42"/>
    </row>
    <row r="1055" customFormat="false" ht="21" hidden="false" customHeight="true" outlineLevel="0" collapsed="false">
      <c r="B1055" s="41"/>
      <c r="C1055" s="9"/>
      <c r="D1055" s="9"/>
      <c r="E1055" s="42"/>
      <c r="F1055" s="43"/>
      <c r="G1055" s="27" t="str">
        <f aca="false">IF(OR(C1055="",AND(D1055="",F1055="")),"",IF(N(E1055)=0,1,E1055)*IF(F1055="",IFERROR(N(INDEX(Produtos!$L$5:$L$104,MATCH(D1055,Produtos!$B$5:$B$104,0))),0),F1055))</f>
        <v/>
      </c>
      <c r="H1055" s="27" t="str">
        <f aca="false">IF(G1055="","",IF(N(E1055)=0,1,E1055)*IFERROR(N(INDEX(Produtos!$G$5:$G$104,MATCH(D1055,Produtos!$B$5:$B$104,0))),0))</f>
        <v/>
      </c>
      <c r="I1055" s="27" t="str">
        <f aca="false">IF(G1055="","",G1055-H1055)</f>
        <v/>
      </c>
      <c r="J1055" s="42"/>
    </row>
    <row r="1056" customFormat="false" ht="21" hidden="false" customHeight="true" outlineLevel="0" collapsed="false">
      <c r="B1056" s="41"/>
      <c r="C1056" s="9"/>
      <c r="D1056" s="9"/>
      <c r="E1056" s="42"/>
      <c r="F1056" s="43"/>
      <c r="G1056" s="27" t="str">
        <f aca="false">IF(OR(C1056="",AND(D1056="",F1056="")),"",IF(N(E1056)=0,1,E1056)*IF(F1056="",IFERROR(N(INDEX(Produtos!$L$5:$L$104,MATCH(D1056,Produtos!$B$5:$B$104,0))),0),F1056))</f>
        <v/>
      </c>
      <c r="H1056" s="27" t="str">
        <f aca="false">IF(G1056="","",IF(N(E1056)=0,1,E1056)*IFERROR(N(INDEX(Produtos!$G$5:$G$104,MATCH(D1056,Produtos!$B$5:$B$104,0))),0))</f>
        <v/>
      </c>
      <c r="I1056" s="27" t="str">
        <f aca="false">IF(G1056="","",G1056-H1056)</f>
        <v/>
      </c>
      <c r="J1056" s="42"/>
    </row>
    <row r="1057" customFormat="false" ht="21" hidden="false" customHeight="true" outlineLevel="0" collapsed="false">
      <c r="B1057" s="41"/>
      <c r="C1057" s="9"/>
      <c r="D1057" s="9"/>
      <c r="E1057" s="42"/>
      <c r="F1057" s="43"/>
      <c r="G1057" s="27" t="str">
        <f aca="false">IF(OR(C1057="",AND(D1057="",F1057="")),"",IF(N(E1057)=0,1,E1057)*IF(F1057="",IFERROR(N(INDEX(Produtos!$L$5:$L$104,MATCH(D1057,Produtos!$B$5:$B$104,0))),0),F1057))</f>
        <v/>
      </c>
      <c r="H1057" s="27" t="str">
        <f aca="false">IF(G1057="","",IF(N(E1057)=0,1,E1057)*IFERROR(N(INDEX(Produtos!$G$5:$G$104,MATCH(D1057,Produtos!$B$5:$B$104,0))),0))</f>
        <v/>
      </c>
      <c r="I1057" s="27" t="str">
        <f aca="false">IF(G1057="","",G1057-H1057)</f>
        <v/>
      </c>
      <c r="J1057" s="42"/>
    </row>
    <row r="1058" customFormat="false" ht="21" hidden="false" customHeight="true" outlineLevel="0" collapsed="false">
      <c r="B1058" s="41"/>
      <c r="C1058" s="9"/>
      <c r="D1058" s="9"/>
      <c r="E1058" s="42"/>
      <c r="F1058" s="43"/>
      <c r="G1058" s="27" t="str">
        <f aca="false">IF(OR(C1058="",AND(D1058="",F1058="")),"",IF(N(E1058)=0,1,E1058)*IF(F1058="",IFERROR(N(INDEX(Produtos!$L$5:$L$104,MATCH(D1058,Produtos!$B$5:$B$104,0))),0),F1058))</f>
        <v/>
      </c>
      <c r="H1058" s="27" t="str">
        <f aca="false">IF(G1058="","",IF(N(E1058)=0,1,E1058)*IFERROR(N(INDEX(Produtos!$G$5:$G$104,MATCH(D1058,Produtos!$B$5:$B$104,0))),0))</f>
        <v/>
      </c>
      <c r="I1058" s="27" t="str">
        <f aca="false">IF(G1058="","",G1058-H1058)</f>
        <v/>
      </c>
      <c r="J1058" s="42"/>
    </row>
    <row r="1059" customFormat="false" ht="21" hidden="false" customHeight="true" outlineLevel="0" collapsed="false">
      <c r="B1059" s="41"/>
      <c r="C1059" s="9"/>
      <c r="D1059" s="9"/>
      <c r="E1059" s="42"/>
      <c r="F1059" s="43"/>
      <c r="G1059" s="27" t="str">
        <f aca="false">IF(OR(C1059="",AND(D1059="",F1059="")),"",IF(N(E1059)=0,1,E1059)*IF(F1059="",IFERROR(N(INDEX(Produtos!$L$5:$L$104,MATCH(D1059,Produtos!$B$5:$B$104,0))),0),F1059))</f>
        <v/>
      </c>
      <c r="H1059" s="27" t="str">
        <f aca="false">IF(G1059="","",IF(N(E1059)=0,1,E1059)*IFERROR(N(INDEX(Produtos!$G$5:$G$104,MATCH(D1059,Produtos!$B$5:$B$104,0))),0))</f>
        <v/>
      </c>
      <c r="I1059" s="27" t="str">
        <f aca="false">IF(G1059="","",G1059-H1059)</f>
        <v/>
      </c>
      <c r="J1059" s="42"/>
    </row>
    <row r="1060" customFormat="false" ht="21" hidden="false" customHeight="true" outlineLevel="0" collapsed="false">
      <c r="B1060" s="41"/>
      <c r="C1060" s="9"/>
      <c r="D1060" s="9"/>
      <c r="E1060" s="42"/>
      <c r="F1060" s="43"/>
      <c r="G1060" s="27" t="str">
        <f aca="false">IF(OR(C1060="",AND(D1060="",F1060="")),"",IF(N(E1060)=0,1,E1060)*IF(F1060="",IFERROR(N(INDEX(Produtos!$L$5:$L$104,MATCH(D1060,Produtos!$B$5:$B$104,0))),0),F1060))</f>
        <v/>
      </c>
      <c r="H1060" s="27" t="str">
        <f aca="false">IF(G1060="","",IF(N(E1060)=0,1,E1060)*IFERROR(N(INDEX(Produtos!$G$5:$G$104,MATCH(D1060,Produtos!$B$5:$B$104,0))),0))</f>
        <v/>
      </c>
      <c r="I1060" s="27" t="str">
        <f aca="false">IF(G1060="","",G1060-H1060)</f>
        <v/>
      </c>
      <c r="J1060" s="42"/>
    </row>
    <row r="1061" customFormat="false" ht="21" hidden="false" customHeight="true" outlineLevel="0" collapsed="false">
      <c r="B1061" s="41"/>
      <c r="C1061" s="9"/>
      <c r="D1061" s="9"/>
      <c r="E1061" s="42"/>
      <c r="F1061" s="43"/>
      <c r="G1061" s="27" t="str">
        <f aca="false">IF(OR(C1061="",AND(D1061="",F1061="")),"",IF(N(E1061)=0,1,E1061)*IF(F1061="",IFERROR(N(INDEX(Produtos!$L$5:$L$104,MATCH(D1061,Produtos!$B$5:$B$104,0))),0),F1061))</f>
        <v/>
      </c>
      <c r="H1061" s="27" t="str">
        <f aca="false">IF(G1061="","",IF(N(E1061)=0,1,E1061)*IFERROR(N(INDEX(Produtos!$G$5:$G$104,MATCH(D1061,Produtos!$B$5:$B$104,0))),0))</f>
        <v/>
      </c>
      <c r="I1061" s="27" t="str">
        <f aca="false">IF(G1061="","",G1061-H1061)</f>
        <v/>
      </c>
      <c r="J1061" s="42"/>
    </row>
    <row r="1062" customFormat="false" ht="21" hidden="false" customHeight="true" outlineLevel="0" collapsed="false">
      <c r="B1062" s="41"/>
      <c r="C1062" s="9"/>
      <c r="D1062" s="9"/>
      <c r="E1062" s="42"/>
      <c r="F1062" s="43"/>
      <c r="G1062" s="27" t="str">
        <f aca="false">IF(OR(C1062="",AND(D1062="",F1062="")),"",IF(N(E1062)=0,1,E1062)*IF(F1062="",IFERROR(N(INDEX(Produtos!$L$5:$L$104,MATCH(D1062,Produtos!$B$5:$B$104,0))),0),F1062))</f>
        <v/>
      </c>
      <c r="H1062" s="27" t="str">
        <f aca="false">IF(G1062="","",IF(N(E1062)=0,1,E1062)*IFERROR(N(INDEX(Produtos!$G$5:$G$104,MATCH(D1062,Produtos!$B$5:$B$104,0))),0))</f>
        <v/>
      </c>
      <c r="I1062" s="27" t="str">
        <f aca="false">IF(G1062="","",G1062-H1062)</f>
        <v/>
      </c>
      <c r="J1062" s="42"/>
    </row>
    <row r="1063" customFormat="false" ht="21" hidden="false" customHeight="true" outlineLevel="0" collapsed="false">
      <c r="B1063" s="41"/>
      <c r="C1063" s="9"/>
      <c r="D1063" s="9"/>
      <c r="E1063" s="42"/>
      <c r="F1063" s="43"/>
      <c r="G1063" s="27" t="str">
        <f aca="false">IF(OR(C1063="",AND(D1063="",F1063="")),"",IF(N(E1063)=0,1,E1063)*IF(F1063="",IFERROR(N(INDEX(Produtos!$L$5:$L$104,MATCH(D1063,Produtos!$B$5:$B$104,0))),0),F1063))</f>
        <v/>
      </c>
      <c r="H1063" s="27" t="str">
        <f aca="false">IF(G1063="","",IF(N(E1063)=0,1,E1063)*IFERROR(N(INDEX(Produtos!$G$5:$G$104,MATCH(D1063,Produtos!$B$5:$B$104,0))),0))</f>
        <v/>
      </c>
      <c r="I1063" s="27" t="str">
        <f aca="false">IF(G1063="","",G1063-H1063)</f>
        <v/>
      </c>
      <c r="J1063" s="42"/>
    </row>
    <row r="1064" customFormat="false" ht="21" hidden="false" customHeight="true" outlineLevel="0" collapsed="false">
      <c r="B1064" s="41"/>
      <c r="C1064" s="9"/>
      <c r="D1064" s="9"/>
      <c r="E1064" s="42"/>
      <c r="F1064" s="43"/>
      <c r="G1064" s="27" t="str">
        <f aca="false">IF(OR(C1064="",AND(D1064="",F1064="")),"",IF(N(E1064)=0,1,E1064)*IF(F1064="",IFERROR(N(INDEX(Produtos!$L$5:$L$104,MATCH(D1064,Produtos!$B$5:$B$104,0))),0),F1064))</f>
        <v/>
      </c>
      <c r="H1064" s="27" t="str">
        <f aca="false">IF(G1064="","",IF(N(E1064)=0,1,E1064)*IFERROR(N(INDEX(Produtos!$G$5:$G$104,MATCH(D1064,Produtos!$B$5:$B$104,0))),0))</f>
        <v/>
      </c>
      <c r="I1064" s="27" t="str">
        <f aca="false">IF(G1064="","",G1064-H1064)</f>
        <v/>
      </c>
      <c r="J1064" s="42"/>
    </row>
    <row r="1065" customFormat="false" ht="21" hidden="false" customHeight="true" outlineLevel="0" collapsed="false">
      <c r="B1065" s="41"/>
      <c r="C1065" s="9"/>
      <c r="D1065" s="9"/>
      <c r="E1065" s="42"/>
      <c r="F1065" s="43"/>
      <c r="G1065" s="27" t="str">
        <f aca="false">IF(OR(C1065="",AND(D1065="",F1065="")),"",IF(N(E1065)=0,1,E1065)*IF(F1065="",IFERROR(N(INDEX(Produtos!$L$5:$L$104,MATCH(D1065,Produtos!$B$5:$B$104,0))),0),F1065))</f>
        <v/>
      </c>
      <c r="H1065" s="27" t="str">
        <f aca="false">IF(G1065="","",IF(N(E1065)=0,1,E1065)*IFERROR(N(INDEX(Produtos!$G$5:$G$104,MATCH(D1065,Produtos!$B$5:$B$104,0))),0))</f>
        <v/>
      </c>
      <c r="I1065" s="27" t="str">
        <f aca="false">IF(G1065="","",G1065-H1065)</f>
        <v/>
      </c>
      <c r="J1065" s="42"/>
    </row>
    <row r="1066" customFormat="false" ht="21" hidden="false" customHeight="true" outlineLevel="0" collapsed="false">
      <c r="B1066" s="41"/>
      <c r="C1066" s="9"/>
      <c r="D1066" s="9"/>
      <c r="E1066" s="42"/>
      <c r="F1066" s="43"/>
      <c r="G1066" s="27" t="str">
        <f aca="false">IF(OR(C1066="",AND(D1066="",F1066="")),"",IF(N(E1066)=0,1,E1066)*IF(F1066="",IFERROR(N(INDEX(Produtos!$L$5:$L$104,MATCH(D1066,Produtos!$B$5:$B$104,0))),0),F1066))</f>
        <v/>
      </c>
      <c r="H1066" s="27" t="str">
        <f aca="false">IF(G1066="","",IF(N(E1066)=0,1,E1066)*IFERROR(N(INDEX(Produtos!$G$5:$G$104,MATCH(D1066,Produtos!$B$5:$B$104,0))),0))</f>
        <v/>
      </c>
      <c r="I1066" s="27" t="str">
        <f aca="false">IF(G1066="","",G1066-H1066)</f>
        <v/>
      </c>
      <c r="J1066" s="42"/>
    </row>
    <row r="1067" customFormat="false" ht="21" hidden="false" customHeight="true" outlineLevel="0" collapsed="false">
      <c r="B1067" s="41"/>
      <c r="C1067" s="9"/>
      <c r="D1067" s="9"/>
      <c r="E1067" s="42"/>
      <c r="F1067" s="43"/>
      <c r="G1067" s="27" t="str">
        <f aca="false">IF(OR(C1067="",AND(D1067="",F1067="")),"",IF(N(E1067)=0,1,E1067)*IF(F1067="",IFERROR(N(INDEX(Produtos!$L$5:$L$104,MATCH(D1067,Produtos!$B$5:$B$104,0))),0),F1067))</f>
        <v/>
      </c>
      <c r="H1067" s="27" t="str">
        <f aca="false">IF(G1067="","",IF(N(E1067)=0,1,E1067)*IFERROR(N(INDEX(Produtos!$G$5:$G$104,MATCH(D1067,Produtos!$B$5:$B$104,0))),0))</f>
        <v/>
      </c>
      <c r="I1067" s="27" t="str">
        <f aca="false">IF(G1067="","",G1067-H1067)</f>
        <v/>
      </c>
      <c r="J1067" s="42"/>
    </row>
    <row r="1068" customFormat="false" ht="21" hidden="false" customHeight="true" outlineLevel="0" collapsed="false">
      <c r="B1068" s="41"/>
      <c r="C1068" s="9"/>
      <c r="D1068" s="9"/>
      <c r="E1068" s="42"/>
      <c r="F1068" s="43"/>
      <c r="G1068" s="27" t="str">
        <f aca="false">IF(OR(C1068="",AND(D1068="",F1068="")),"",IF(N(E1068)=0,1,E1068)*IF(F1068="",IFERROR(N(INDEX(Produtos!$L$5:$L$104,MATCH(D1068,Produtos!$B$5:$B$104,0))),0),F1068))</f>
        <v/>
      </c>
      <c r="H1068" s="27" t="str">
        <f aca="false">IF(G1068="","",IF(N(E1068)=0,1,E1068)*IFERROR(N(INDEX(Produtos!$G$5:$G$104,MATCH(D1068,Produtos!$B$5:$B$104,0))),0))</f>
        <v/>
      </c>
      <c r="I1068" s="27" t="str">
        <f aca="false">IF(G1068="","",G1068-H1068)</f>
        <v/>
      </c>
      <c r="J1068" s="42"/>
    </row>
    <row r="1069" customFormat="false" ht="21" hidden="false" customHeight="true" outlineLevel="0" collapsed="false">
      <c r="B1069" s="41"/>
      <c r="C1069" s="9"/>
      <c r="D1069" s="9"/>
      <c r="E1069" s="42"/>
      <c r="F1069" s="43"/>
      <c r="G1069" s="27" t="str">
        <f aca="false">IF(OR(C1069="",AND(D1069="",F1069="")),"",IF(N(E1069)=0,1,E1069)*IF(F1069="",IFERROR(N(INDEX(Produtos!$L$5:$L$104,MATCH(D1069,Produtos!$B$5:$B$104,0))),0),F1069))</f>
        <v/>
      </c>
      <c r="H1069" s="27" t="str">
        <f aca="false">IF(G1069="","",IF(N(E1069)=0,1,E1069)*IFERROR(N(INDEX(Produtos!$G$5:$G$104,MATCH(D1069,Produtos!$B$5:$B$104,0))),0))</f>
        <v/>
      </c>
      <c r="I1069" s="27" t="str">
        <f aca="false">IF(G1069="","",G1069-H1069)</f>
        <v/>
      </c>
      <c r="J1069" s="42"/>
    </row>
    <row r="1070" customFormat="false" ht="21" hidden="false" customHeight="true" outlineLevel="0" collapsed="false">
      <c r="B1070" s="41"/>
      <c r="C1070" s="9"/>
      <c r="D1070" s="9"/>
      <c r="E1070" s="42"/>
      <c r="F1070" s="43"/>
      <c r="G1070" s="27" t="str">
        <f aca="false">IF(OR(C1070="",AND(D1070="",F1070="")),"",IF(N(E1070)=0,1,E1070)*IF(F1070="",IFERROR(N(INDEX(Produtos!$L$5:$L$104,MATCH(D1070,Produtos!$B$5:$B$104,0))),0),F1070))</f>
        <v/>
      </c>
      <c r="H1070" s="27" t="str">
        <f aca="false">IF(G1070="","",IF(N(E1070)=0,1,E1070)*IFERROR(N(INDEX(Produtos!$G$5:$G$104,MATCH(D1070,Produtos!$B$5:$B$104,0))),0))</f>
        <v/>
      </c>
      <c r="I1070" s="27" t="str">
        <f aca="false">IF(G1070="","",G1070-H1070)</f>
        <v/>
      </c>
      <c r="J1070" s="42"/>
    </row>
    <row r="1071" customFormat="false" ht="21" hidden="false" customHeight="true" outlineLevel="0" collapsed="false">
      <c r="B1071" s="41"/>
      <c r="C1071" s="9"/>
      <c r="D1071" s="9"/>
      <c r="E1071" s="42"/>
      <c r="F1071" s="43"/>
      <c r="G1071" s="27" t="str">
        <f aca="false">IF(OR(C1071="",AND(D1071="",F1071="")),"",IF(N(E1071)=0,1,E1071)*IF(F1071="",IFERROR(N(INDEX(Produtos!$L$5:$L$104,MATCH(D1071,Produtos!$B$5:$B$104,0))),0),F1071))</f>
        <v/>
      </c>
      <c r="H1071" s="27" t="str">
        <f aca="false">IF(G1071="","",IF(N(E1071)=0,1,E1071)*IFERROR(N(INDEX(Produtos!$G$5:$G$104,MATCH(D1071,Produtos!$B$5:$B$104,0))),0))</f>
        <v/>
      </c>
      <c r="I1071" s="27" t="str">
        <f aca="false">IF(G1071="","",G1071-H1071)</f>
        <v/>
      </c>
      <c r="J1071" s="42"/>
    </row>
    <row r="1072" customFormat="false" ht="21" hidden="false" customHeight="true" outlineLevel="0" collapsed="false">
      <c r="B1072" s="41"/>
      <c r="C1072" s="9"/>
      <c r="D1072" s="9"/>
      <c r="E1072" s="42"/>
      <c r="F1072" s="43"/>
      <c r="G1072" s="27" t="str">
        <f aca="false">IF(OR(C1072="",AND(D1072="",F1072="")),"",IF(N(E1072)=0,1,E1072)*IF(F1072="",IFERROR(N(INDEX(Produtos!$L$5:$L$104,MATCH(D1072,Produtos!$B$5:$B$104,0))),0),F1072))</f>
        <v/>
      </c>
      <c r="H1072" s="27" t="str">
        <f aca="false">IF(G1072="","",IF(N(E1072)=0,1,E1072)*IFERROR(N(INDEX(Produtos!$G$5:$G$104,MATCH(D1072,Produtos!$B$5:$B$104,0))),0))</f>
        <v/>
      </c>
      <c r="I1072" s="27" t="str">
        <f aca="false">IF(G1072="","",G1072-H1072)</f>
        <v/>
      </c>
      <c r="J1072" s="42"/>
    </row>
    <row r="1073" customFormat="false" ht="21" hidden="false" customHeight="true" outlineLevel="0" collapsed="false">
      <c r="B1073" s="41"/>
      <c r="C1073" s="9"/>
      <c r="D1073" s="9"/>
      <c r="E1073" s="42"/>
      <c r="F1073" s="43"/>
      <c r="G1073" s="27" t="str">
        <f aca="false">IF(OR(C1073="",AND(D1073="",F1073="")),"",IF(N(E1073)=0,1,E1073)*IF(F1073="",IFERROR(N(INDEX(Produtos!$L$5:$L$104,MATCH(D1073,Produtos!$B$5:$B$104,0))),0),F1073))</f>
        <v/>
      </c>
      <c r="H1073" s="27" t="str">
        <f aca="false">IF(G1073="","",IF(N(E1073)=0,1,E1073)*IFERROR(N(INDEX(Produtos!$G$5:$G$104,MATCH(D1073,Produtos!$B$5:$B$104,0))),0))</f>
        <v/>
      </c>
      <c r="I1073" s="27" t="str">
        <f aca="false">IF(G1073="","",G1073-H1073)</f>
        <v/>
      </c>
      <c r="J1073" s="42"/>
    </row>
    <row r="1074" customFormat="false" ht="21" hidden="false" customHeight="true" outlineLevel="0" collapsed="false">
      <c r="B1074" s="41"/>
      <c r="C1074" s="9"/>
      <c r="D1074" s="9"/>
      <c r="E1074" s="42"/>
      <c r="F1074" s="43"/>
      <c r="G1074" s="27" t="str">
        <f aca="false">IF(OR(C1074="",AND(D1074="",F1074="")),"",IF(N(E1074)=0,1,E1074)*IF(F1074="",IFERROR(N(INDEX(Produtos!$L$5:$L$104,MATCH(D1074,Produtos!$B$5:$B$104,0))),0),F1074))</f>
        <v/>
      </c>
      <c r="H1074" s="27" t="str">
        <f aca="false">IF(G1074="","",IF(N(E1074)=0,1,E1074)*IFERROR(N(INDEX(Produtos!$G$5:$G$104,MATCH(D1074,Produtos!$B$5:$B$104,0))),0))</f>
        <v/>
      </c>
      <c r="I1074" s="27" t="str">
        <f aca="false">IF(G1074="","",G1074-H1074)</f>
        <v/>
      </c>
      <c r="J1074" s="42"/>
    </row>
    <row r="1075" customFormat="false" ht="21" hidden="false" customHeight="true" outlineLevel="0" collapsed="false">
      <c r="B1075" s="41"/>
      <c r="C1075" s="9"/>
      <c r="D1075" s="9"/>
      <c r="E1075" s="42"/>
      <c r="F1075" s="43"/>
      <c r="G1075" s="27" t="str">
        <f aca="false">IF(OR(C1075="",AND(D1075="",F1075="")),"",IF(N(E1075)=0,1,E1075)*IF(F1075="",IFERROR(N(INDEX(Produtos!$L$5:$L$104,MATCH(D1075,Produtos!$B$5:$B$104,0))),0),F1075))</f>
        <v/>
      </c>
      <c r="H1075" s="27" t="str">
        <f aca="false">IF(G1075="","",IF(N(E1075)=0,1,E1075)*IFERROR(N(INDEX(Produtos!$G$5:$G$104,MATCH(D1075,Produtos!$B$5:$B$104,0))),0))</f>
        <v/>
      </c>
      <c r="I1075" s="27" t="str">
        <f aca="false">IF(G1075="","",G1075-H1075)</f>
        <v/>
      </c>
      <c r="J1075" s="42"/>
    </row>
    <row r="1076" customFormat="false" ht="21" hidden="false" customHeight="true" outlineLevel="0" collapsed="false">
      <c r="B1076" s="41"/>
      <c r="C1076" s="9"/>
      <c r="D1076" s="9"/>
      <c r="E1076" s="42"/>
      <c r="F1076" s="43"/>
      <c r="G1076" s="27" t="str">
        <f aca="false">IF(OR(C1076="",AND(D1076="",F1076="")),"",IF(N(E1076)=0,1,E1076)*IF(F1076="",IFERROR(N(INDEX(Produtos!$L$5:$L$104,MATCH(D1076,Produtos!$B$5:$B$104,0))),0),F1076))</f>
        <v/>
      </c>
      <c r="H1076" s="27" t="str">
        <f aca="false">IF(G1076="","",IF(N(E1076)=0,1,E1076)*IFERROR(N(INDEX(Produtos!$G$5:$G$104,MATCH(D1076,Produtos!$B$5:$B$104,0))),0))</f>
        <v/>
      </c>
      <c r="I1076" s="27" t="str">
        <f aca="false">IF(G1076="","",G1076-H1076)</f>
        <v/>
      </c>
      <c r="J1076" s="42"/>
    </row>
    <row r="1077" customFormat="false" ht="21" hidden="false" customHeight="true" outlineLevel="0" collapsed="false">
      <c r="B1077" s="41"/>
      <c r="C1077" s="9"/>
      <c r="D1077" s="9"/>
      <c r="E1077" s="42"/>
      <c r="F1077" s="43"/>
      <c r="G1077" s="27" t="str">
        <f aca="false">IF(OR(C1077="",AND(D1077="",F1077="")),"",IF(N(E1077)=0,1,E1077)*IF(F1077="",IFERROR(N(INDEX(Produtos!$L$5:$L$104,MATCH(D1077,Produtos!$B$5:$B$104,0))),0),F1077))</f>
        <v/>
      </c>
      <c r="H1077" s="27" t="str">
        <f aca="false">IF(G1077="","",IF(N(E1077)=0,1,E1077)*IFERROR(N(INDEX(Produtos!$G$5:$G$104,MATCH(D1077,Produtos!$B$5:$B$104,0))),0))</f>
        <v/>
      </c>
      <c r="I1077" s="27" t="str">
        <f aca="false">IF(G1077="","",G1077-H1077)</f>
        <v/>
      </c>
      <c r="J1077" s="42"/>
    </row>
    <row r="1078" customFormat="false" ht="21" hidden="false" customHeight="true" outlineLevel="0" collapsed="false">
      <c r="B1078" s="41"/>
      <c r="C1078" s="9"/>
      <c r="D1078" s="9"/>
      <c r="E1078" s="42"/>
      <c r="F1078" s="43"/>
      <c r="G1078" s="27" t="str">
        <f aca="false">IF(OR(C1078="",AND(D1078="",F1078="")),"",IF(N(E1078)=0,1,E1078)*IF(F1078="",IFERROR(N(INDEX(Produtos!$L$5:$L$104,MATCH(D1078,Produtos!$B$5:$B$104,0))),0),F1078))</f>
        <v/>
      </c>
      <c r="H1078" s="27" t="str">
        <f aca="false">IF(G1078="","",IF(N(E1078)=0,1,E1078)*IFERROR(N(INDEX(Produtos!$G$5:$G$104,MATCH(D1078,Produtos!$B$5:$B$104,0))),0))</f>
        <v/>
      </c>
      <c r="I1078" s="27" t="str">
        <f aca="false">IF(G1078="","",G1078-H1078)</f>
        <v/>
      </c>
      <c r="J1078" s="42"/>
    </row>
    <row r="1079" customFormat="false" ht="21" hidden="false" customHeight="true" outlineLevel="0" collapsed="false">
      <c r="B1079" s="41"/>
      <c r="C1079" s="9"/>
      <c r="D1079" s="9"/>
      <c r="E1079" s="42"/>
      <c r="F1079" s="43"/>
      <c r="G1079" s="27" t="str">
        <f aca="false">IF(OR(C1079="",AND(D1079="",F1079="")),"",IF(N(E1079)=0,1,E1079)*IF(F1079="",IFERROR(N(INDEX(Produtos!$L$5:$L$104,MATCH(D1079,Produtos!$B$5:$B$104,0))),0),F1079))</f>
        <v/>
      </c>
      <c r="H1079" s="27" t="str">
        <f aca="false">IF(G1079="","",IF(N(E1079)=0,1,E1079)*IFERROR(N(INDEX(Produtos!$G$5:$G$104,MATCH(D1079,Produtos!$B$5:$B$104,0))),0))</f>
        <v/>
      </c>
      <c r="I1079" s="27" t="str">
        <f aca="false">IF(G1079="","",G1079-H1079)</f>
        <v/>
      </c>
      <c r="J1079" s="42"/>
    </row>
    <row r="1080" customFormat="false" ht="21" hidden="false" customHeight="true" outlineLevel="0" collapsed="false">
      <c r="B1080" s="41"/>
      <c r="C1080" s="9"/>
      <c r="D1080" s="9"/>
      <c r="E1080" s="42"/>
      <c r="F1080" s="43"/>
      <c r="G1080" s="27" t="str">
        <f aca="false">IF(OR(C1080="",AND(D1080="",F1080="")),"",IF(N(E1080)=0,1,E1080)*IF(F1080="",IFERROR(N(INDEX(Produtos!$L$5:$L$104,MATCH(D1080,Produtos!$B$5:$B$104,0))),0),F1080))</f>
        <v/>
      </c>
      <c r="H1080" s="27" t="str">
        <f aca="false">IF(G1080="","",IF(N(E1080)=0,1,E1080)*IFERROR(N(INDEX(Produtos!$G$5:$G$104,MATCH(D1080,Produtos!$B$5:$B$104,0))),0))</f>
        <v/>
      </c>
      <c r="I1080" s="27" t="str">
        <f aca="false">IF(G1080="","",G1080-H1080)</f>
        <v/>
      </c>
      <c r="J1080" s="42"/>
    </row>
    <row r="1081" customFormat="false" ht="21" hidden="false" customHeight="true" outlineLevel="0" collapsed="false">
      <c r="B1081" s="41"/>
      <c r="C1081" s="9"/>
      <c r="D1081" s="9"/>
      <c r="E1081" s="42"/>
      <c r="F1081" s="43"/>
      <c r="G1081" s="27" t="str">
        <f aca="false">IF(OR(C1081="",AND(D1081="",F1081="")),"",IF(N(E1081)=0,1,E1081)*IF(F1081="",IFERROR(N(INDEX(Produtos!$L$5:$L$104,MATCH(D1081,Produtos!$B$5:$B$104,0))),0),F1081))</f>
        <v/>
      </c>
      <c r="H1081" s="27" t="str">
        <f aca="false">IF(G1081="","",IF(N(E1081)=0,1,E1081)*IFERROR(N(INDEX(Produtos!$G$5:$G$104,MATCH(D1081,Produtos!$B$5:$B$104,0))),0))</f>
        <v/>
      </c>
      <c r="I1081" s="27" t="str">
        <f aca="false">IF(G1081="","",G1081-H1081)</f>
        <v/>
      </c>
      <c r="J1081" s="42"/>
    </row>
    <row r="1082" customFormat="false" ht="21" hidden="false" customHeight="true" outlineLevel="0" collapsed="false">
      <c r="B1082" s="41"/>
      <c r="C1082" s="9"/>
      <c r="D1082" s="9"/>
      <c r="E1082" s="42"/>
      <c r="F1082" s="43"/>
      <c r="G1082" s="27" t="str">
        <f aca="false">IF(OR(C1082="",AND(D1082="",F1082="")),"",IF(N(E1082)=0,1,E1082)*IF(F1082="",IFERROR(N(INDEX(Produtos!$L$5:$L$104,MATCH(D1082,Produtos!$B$5:$B$104,0))),0),F1082))</f>
        <v/>
      </c>
      <c r="H1082" s="27" t="str">
        <f aca="false">IF(G1082="","",IF(N(E1082)=0,1,E1082)*IFERROR(N(INDEX(Produtos!$G$5:$G$104,MATCH(D1082,Produtos!$B$5:$B$104,0))),0))</f>
        <v/>
      </c>
      <c r="I1082" s="27" t="str">
        <f aca="false">IF(G1082="","",G1082-H1082)</f>
        <v/>
      </c>
      <c r="J1082" s="42"/>
    </row>
    <row r="1083" customFormat="false" ht="21" hidden="false" customHeight="true" outlineLevel="0" collapsed="false">
      <c r="B1083" s="41"/>
      <c r="C1083" s="9"/>
      <c r="D1083" s="9"/>
      <c r="E1083" s="42"/>
      <c r="F1083" s="43"/>
      <c r="G1083" s="27" t="str">
        <f aca="false">IF(OR(C1083="",AND(D1083="",F1083="")),"",IF(N(E1083)=0,1,E1083)*IF(F1083="",IFERROR(N(INDEX(Produtos!$L$5:$L$104,MATCH(D1083,Produtos!$B$5:$B$104,0))),0),F1083))</f>
        <v/>
      </c>
      <c r="H1083" s="27" t="str">
        <f aca="false">IF(G1083="","",IF(N(E1083)=0,1,E1083)*IFERROR(N(INDEX(Produtos!$G$5:$G$104,MATCH(D1083,Produtos!$B$5:$B$104,0))),0))</f>
        <v/>
      </c>
      <c r="I1083" s="27" t="str">
        <f aca="false">IF(G1083="","",G1083-H1083)</f>
        <v/>
      </c>
      <c r="J1083" s="42"/>
    </row>
    <row r="1084" customFormat="false" ht="21" hidden="false" customHeight="true" outlineLevel="0" collapsed="false">
      <c r="B1084" s="41"/>
      <c r="C1084" s="9"/>
      <c r="D1084" s="9"/>
      <c r="E1084" s="42"/>
      <c r="F1084" s="43"/>
      <c r="G1084" s="27" t="str">
        <f aca="false">IF(OR(C1084="",AND(D1084="",F1084="")),"",IF(N(E1084)=0,1,E1084)*IF(F1084="",IFERROR(N(INDEX(Produtos!$L$5:$L$104,MATCH(D1084,Produtos!$B$5:$B$104,0))),0),F1084))</f>
        <v/>
      </c>
      <c r="H1084" s="27" t="str">
        <f aca="false">IF(G1084="","",IF(N(E1084)=0,1,E1084)*IFERROR(N(INDEX(Produtos!$G$5:$G$104,MATCH(D1084,Produtos!$B$5:$B$104,0))),0))</f>
        <v/>
      </c>
      <c r="I1084" s="27" t="str">
        <f aca="false">IF(G1084="","",G1084-H1084)</f>
        <v/>
      </c>
      <c r="J1084" s="42"/>
    </row>
    <row r="1085" customFormat="false" ht="21" hidden="false" customHeight="true" outlineLevel="0" collapsed="false">
      <c r="B1085" s="41"/>
      <c r="C1085" s="9"/>
      <c r="D1085" s="9"/>
      <c r="E1085" s="42"/>
      <c r="F1085" s="43"/>
      <c r="G1085" s="27" t="str">
        <f aca="false">IF(OR(C1085="",AND(D1085="",F1085="")),"",IF(N(E1085)=0,1,E1085)*IF(F1085="",IFERROR(N(INDEX(Produtos!$L$5:$L$104,MATCH(D1085,Produtos!$B$5:$B$104,0))),0),F1085))</f>
        <v/>
      </c>
      <c r="H1085" s="27" t="str">
        <f aca="false">IF(G1085="","",IF(N(E1085)=0,1,E1085)*IFERROR(N(INDEX(Produtos!$G$5:$G$104,MATCH(D1085,Produtos!$B$5:$B$104,0))),0))</f>
        <v/>
      </c>
      <c r="I1085" s="27" t="str">
        <f aca="false">IF(G1085="","",G1085-H1085)</f>
        <v/>
      </c>
      <c r="J1085" s="42"/>
    </row>
    <row r="1086" customFormat="false" ht="21" hidden="false" customHeight="true" outlineLevel="0" collapsed="false">
      <c r="B1086" s="41"/>
      <c r="C1086" s="9"/>
      <c r="D1086" s="9"/>
      <c r="E1086" s="42"/>
      <c r="F1086" s="43"/>
      <c r="G1086" s="27" t="str">
        <f aca="false">IF(OR(C1086="",AND(D1086="",F1086="")),"",IF(N(E1086)=0,1,E1086)*IF(F1086="",IFERROR(N(INDEX(Produtos!$L$5:$L$104,MATCH(D1086,Produtos!$B$5:$B$104,0))),0),F1086))</f>
        <v/>
      </c>
      <c r="H1086" s="27" t="str">
        <f aca="false">IF(G1086="","",IF(N(E1086)=0,1,E1086)*IFERROR(N(INDEX(Produtos!$G$5:$G$104,MATCH(D1086,Produtos!$B$5:$B$104,0))),0))</f>
        <v/>
      </c>
      <c r="I1086" s="27" t="str">
        <f aca="false">IF(G1086="","",G1086-H1086)</f>
        <v/>
      </c>
      <c r="J1086" s="42"/>
    </row>
    <row r="1087" customFormat="false" ht="21" hidden="false" customHeight="true" outlineLevel="0" collapsed="false">
      <c r="B1087" s="41"/>
      <c r="C1087" s="9"/>
      <c r="D1087" s="9"/>
      <c r="E1087" s="42"/>
      <c r="F1087" s="43"/>
      <c r="G1087" s="27" t="str">
        <f aca="false">IF(OR(C1087="",AND(D1087="",F1087="")),"",IF(N(E1087)=0,1,E1087)*IF(F1087="",IFERROR(N(INDEX(Produtos!$L$5:$L$104,MATCH(D1087,Produtos!$B$5:$B$104,0))),0),F1087))</f>
        <v/>
      </c>
      <c r="H1087" s="27" t="str">
        <f aca="false">IF(G1087="","",IF(N(E1087)=0,1,E1087)*IFERROR(N(INDEX(Produtos!$G$5:$G$104,MATCH(D1087,Produtos!$B$5:$B$104,0))),0))</f>
        <v/>
      </c>
      <c r="I1087" s="27" t="str">
        <f aca="false">IF(G1087="","",G1087-H1087)</f>
        <v/>
      </c>
      <c r="J1087" s="42"/>
    </row>
    <row r="1088" customFormat="false" ht="21" hidden="false" customHeight="true" outlineLevel="0" collapsed="false">
      <c r="B1088" s="41"/>
      <c r="C1088" s="9"/>
      <c r="D1088" s="9"/>
      <c r="E1088" s="42"/>
      <c r="F1088" s="43"/>
      <c r="G1088" s="27" t="str">
        <f aca="false">IF(OR(C1088="",AND(D1088="",F1088="")),"",IF(N(E1088)=0,1,E1088)*IF(F1088="",IFERROR(N(INDEX(Produtos!$L$5:$L$104,MATCH(D1088,Produtos!$B$5:$B$104,0))),0),F1088))</f>
        <v/>
      </c>
      <c r="H1088" s="27" t="str">
        <f aca="false">IF(G1088="","",IF(N(E1088)=0,1,E1088)*IFERROR(N(INDEX(Produtos!$G$5:$G$104,MATCH(D1088,Produtos!$B$5:$B$104,0))),0))</f>
        <v/>
      </c>
      <c r="I1088" s="27" t="str">
        <f aca="false">IF(G1088="","",G1088-H1088)</f>
        <v/>
      </c>
      <c r="J1088" s="42"/>
    </row>
    <row r="1089" customFormat="false" ht="21" hidden="false" customHeight="true" outlineLevel="0" collapsed="false">
      <c r="B1089" s="41"/>
      <c r="C1089" s="9"/>
      <c r="D1089" s="9"/>
      <c r="E1089" s="42"/>
      <c r="F1089" s="43"/>
      <c r="G1089" s="27" t="str">
        <f aca="false">IF(OR(C1089="",AND(D1089="",F1089="")),"",IF(N(E1089)=0,1,E1089)*IF(F1089="",IFERROR(N(INDEX(Produtos!$L$5:$L$104,MATCH(D1089,Produtos!$B$5:$B$104,0))),0),F1089))</f>
        <v/>
      </c>
      <c r="H1089" s="27" t="str">
        <f aca="false">IF(G1089="","",IF(N(E1089)=0,1,E1089)*IFERROR(N(INDEX(Produtos!$G$5:$G$104,MATCH(D1089,Produtos!$B$5:$B$104,0))),0))</f>
        <v/>
      </c>
      <c r="I1089" s="27" t="str">
        <f aca="false">IF(G1089="","",G1089-H1089)</f>
        <v/>
      </c>
      <c r="J1089" s="42"/>
    </row>
    <row r="1090" customFormat="false" ht="21" hidden="false" customHeight="true" outlineLevel="0" collapsed="false">
      <c r="B1090" s="41"/>
      <c r="C1090" s="9"/>
      <c r="D1090" s="9"/>
      <c r="E1090" s="42"/>
      <c r="F1090" s="43"/>
      <c r="G1090" s="27" t="str">
        <f aca="false">IF(OR(C1090="",AND(D1090="",F1090="")),"",IF(N(E1090)=0,1,E1090)*IF(F1090="",IFERROR(N(INDEX(Produtos!$L$5:$L$104,MATCH(D1090,Produtos!$B$5:$B$104,0))),0),F1090))</f>
        <v/>
      </c>
      <c r="H1090" s="27" t="str">
        <f aca="false">IF(G1090="","",IF(N(E1090)=0,1,E1090)*IFERROR(N(INDEX(Produtos!$G$5:$G$104,MATCH(D1090,Produtos!$B$5:$B$104,0))),0))</f>
        <v/>
      </c>
      <c r="I1090" s="27" t="str">
        <f aca="false">IF(G1090="","",G1090-H1090)</f>
        <v/>
      </c>
      <c r="J1090" s="42"/>
    </row>
    <row r="1091" customFormat="false" ht="21" hidden="false" customHeight="true" outlineLevel="0" collapsed="false">
      <c r="B1091" s="41"/>
      <c r="C1091" s="9"/>
      <c r="D1091" s="9"/>
      <c r="E1091" s="42"/>
      <c r="F1091" s="43"/>
      <c r="G1091" s="27" t="str">
        <f aca="false">IF(OR(C1091="",AND(D1091="",F1091="")),"",IF(N(E1091)=0,1,E1091)*IF(F1091="",IFERROR(N(INDEX(Produtos!$L$5:$L$104,MATCH(D1091,Produtos!$B$5:$B$104,0))),0),F1091))</f>
        <v/>
      </c>
      <c r="H1091" s="27" t="str">
        <f aca="false">IF(G1091="","",IF(N(E1091)=0,1,E1091)*IFERROR(N(INDEX(Produtos!$G$5:$G$104,MATCH(D1091,Produtos!$B$5:$B$104,0))),0))</f>
        <v/>
      </c>
      <c r="I1091" s="27" t="str">
        <f aca="false">IF(G1091="","",G1091-H1091)</f>
        <v/>
      </c>
      <c r="J1091" s="42"/>
    </row>
    <row r="1092" customFormat="false" ht="21" hidden="false" customHeight="true" outlineLevel="0" collapsed="false">
      <c r="B1092" s="41"/>
      <c r="C1092" s="9"/>
      <c r="D1092" s="9"/>
      <c r="E1092" s="42"/>
      <c r="F1092" s="43"/>
      <c r="G1092" s="27" t="str">
        <f aca="false">IF(OR(C1092="",AND(D1092="",F1092="")),"",IF(N(E1092)=0,1,E1092)*IF(F1092="",IFERROR(N(INDEX(Produtos!$L$5:$L$104,MATCH(D1092,Produtos!$B$5:$B$104,0))),0),F1092))</f>
        <v/>
      </c>
      <c r="H1092" s="27" t="str">
        <f aca="false">IF(G1092="","",IF(N(E1092)=0,1,E1092)*IFERROR(N(INDEX(Produtos!$G$5:$G$104,MATCH(D1092,Produtos!$B$5:$B$104,0))),0))</f>
        <v/>
      </c>
      <c r="I1092" s="27" t="str">
        <f aca="false">IF(G1092="","",G1092-H1092)</f>
        <v/>
      </c>
      <c r="J1092" s="42"/>
    </row>
    <row r="1093" customFormat="false" ht="21" hidden="false" customHeight="true" outlineLevel="0" collapsed="false">
      <c r="B1093" s="41"/>
      <c r="C1093" s="9"/>
      <c r="D1093" s="9"/>
      <c r="E1093" s="42"/>
      <c r="F1093" s="43"/>
      <c r="G1093" s="27" t="str">
        <f aca="false">IF(OR(C1093="",AND(D1093="",F1093="")),"",IF(N(E1093)=0,1,E1093)*IF(F1093="",IFERROR(N(INDEX(Produtos!$L$5:$L$104,MATCH(D1093,Produtos!$B$5:$B$104,0))),0),F1093))</f>
        <v/>
      </c>
      <c r="H1093" s="27" t="str">
        <f aca="false">IF(G1093="","",IF(N(E1093)=0,1,E1093)*IFERROR(N(INDEX(Produtos!$G$5:$G$104,MATCH(D1093,Produtos!$B$5:$B$104,0))),0))</f>
        <v/>
      </c>
      <c r="I1093" s="27" t="str">
        <f aca="false">IF(G1093="","",G1093-H1093)</f>
        <v/>
      </c>
      <c r="J1093" s="42"/>
    </row>
    <row r="1094" customFormat="false" ht="21" hidden="false" customHeight="true" outlineLevel="0" collapsed="false">
      <c r="B1094" s="41"/>
      <c r="C1094" s="9"/>
      <c r="D1094" s="9"/>
      <c r="E1094" s="42"/>
      <c r="F1094" s="43"/>
      <c r="G1094" s="27" t="str">
        <f aca="false">IF(OR(C1094="",AND(D1094="",F1094="")),"",IF(N(E1094)=0,1,E1094)*IF(F1094="",IFERROR(N(INDEX(Produtos!$L$5:$L$104,MATCH(D1094,Produtos!$B$5:$B$104,0))),0),F1094))</f>
        <v/>
      </c>
      <c r="H1094" s="27" t="str">
        <f aca="false">IF(G1094="","",IF(N(E1094)=0,1,E1094)*IFERROR(N(INDEX(Produtos!$G$5:$G$104,MATCH(D1094,Produtos!$B$5:$B$104,0))),0))</f>
        <v/>
      </c>
      <c r="I1094" s="27" t="str">
        <f aca="false">IF(G1094="","",G1094-H1094)</f>
        <v/>
      </c>
      <c r="J1094" s="42"/>
    </row>
    <row r="1095" customFormat="false" ht="21" hidden="false" customHeight="true" outlineLevel="0" collapsed="false">
      <c r="B1095" s="41"/>
      <c r="C1095" s="9"/>
      <c r="D1095" s="9"/>
      <c r="E1095" s="42"/>
      <c r="F1095" s="43"/>
      <c r="G1095" s="27" t="str">
        <f aca="false">IF(OR(C1095="",AND(D1095="",F1095="")),"",IF(N(E1095)=0,1,E1095)*IF(F1095="",IFERROR(N(INDEX(Produtos!$L$5:$L$104,MATCH(D1095,Produtos!$B$5:$B$104,0))),0),F1095))</f>
        <v/>
      </c>
      <c r="H1095" s="27" t="str">
        <f aca="false">IF(G1095="","",IF(N(E1095)=0,1,E1095)*IFERROR(N(INDEX(Produtos!$G$5:$G$104,MATCH(D1095,Produtos!$B$5:$B$104,0))),0))</f>
        <v/>
      </c>
      <c r="I1095" s="27" t="str">
        <f aca="false">IF(G1095="","",G1095-H1095)</f>
        <v/>
      </c>
      <c r="J1095" s="42"/>
    </row>
    <row r="1096" customFormat="false" ht="21" hidden="false" customHeight="true" outlineLevel="0" collapsed="false">
      <c r="B1096" s="41"/>
      <c r="C1096" s="9"/>
      <c r="D1096" s="9"/>
      <c r="E1096" s="42"/>
      <c r="F1096" s="43"/>
      <c r="G1096" s="27" t="str">
        <f aca="false">IF(OR(C1096="",AND(D1096="",F1096="")),"",IF(N(E1096)=0,1,E1096)*IF(F1096="",IFERROR(N(INDEX(Produtos!$L$5:$L$104,MATCH(D1096,Produtos!$B$5:$B$104,0))),0),F1096))</f>
        <v/>
      </c>
      <c r="H1096" s="27" t="str">
        <f aca="false">IF(G1096="","",IF(N(E1096)=0,1,E1096)*IFERROR(N(INDEX(Produtos!$G$5:$G$104,MATCH(D1096,Produtos!$B$5:$B$104,0))),0))</f>
        <v/>
      </c>
      <c r="I1096" s="27" t="str">
        <f aca="false">IF(G1096="","",G1096-H1096)</f>
        <v/>
      </c>
      <c r="J1096" s="42"/>
    </row>
    <row r="1097" customFormat="false" ht="21" hidden="false" customHeight="true" outlineLevel="0" collapsed="false">
      <c r="B1097" s="41"/>
      <c r="C1097" s="9"/>
      <c r="D1097" s="9"/>
      <c r="E1097" s="42"/>
      <c r="F1097" s="43"/>
      <c r="G1097" s="27" t="str">
        <f aca="false">IF(OR(C1097="",AND(D1097="",F1097="")),"",IF(N(E1097)=0,1,E1097)*IF(F1097="",IFERROR(N(INDEX(Produtos!$L$5:$L$104,MATCH(D1097,Produtos!$B$5:$B$104,0))),0),F1097))</f>
        <v/>
      </c>
      <c r="H1097" s="27" t="str">
        <f aca="false">IF(G1097="","",IF(N(E1097)=0,1,E1097)*IFERROR(N(INDEX(Produtos!$G$5:$G$104,MATCH(D1097,Produtos!$B$5:$B$104,0))),0))</f>
        <v/>
      </c>
      <c r="I1097" s="27" t="str">
        <f aca="false">IF(G1097="","",G1097-H1097)</f>
        <v/>
      </c>
      <c r="J1097" s="42"/>
    </row>
    <row r="1098" customFormat="false" ht="21" hidden="false" customHeight="true" outlineLevel="0" collapsed="false">
      <c r="B1098" s="41"/>
      <c r="C1098" s="9"/>
      <c r="D1098" s="9"/>
      <c r="E1098" s="42"/>
      <c r="F1098" s="43"/>
      <c r="G1098" s="27" t="str">
        <f aca="false">IF(OR(C1098="",AND(D1098="",F1098="")),"",IF(N(E1098)=0,1,E1098)*IF(F1098="",IFERROR(N(INDEX(Produtos!$L$5:$L$104,MATCH(D1098,Produtos!$B$5:$B$104,0))),0),F1098))</f>
        <v/>
      </c>
      <c r="H1098" s="27" t="str">
        <f aca="false">IF(G1098="","",IF(N(E1098)=0,1,E1098)*IFERROR(N(INDEX(Produtos!$G$5:$G$104,MATCH(D1098,Produtos!$B$5:$B$104,0))),0))</f>
        <v/>
      </c>
      <c r="I1098" s="27" t="str">
        <f aca="false">IF(G1098="","",G1098-H1098)</f>
        <v/>
      </c>
      <c r="J1098" s="42"/>
    </row>
    <row r="1099" customFormat="false" ht="21" hidden="false" customHeight="true" outlineLevel="0" collapsed="false">
      <c r="B1099" s="41"/>
      <c r="C1099" s="9"/>
      <c r="D1099" s="9"/>
      <c r="E1099" s="42"/>
      <c r="F1099" s="43"/>
      <c r="G1099" s="27" t="str">
        <f aca="false">IF(OR(C1099="",AND(D1099="",F1099="")),"",IF(N(E1099)=0,1,E1099)*IF(F1099="",IFERROR(N(INDEX(Produtos!$L$5:$L$104,MATCH(D1099,Produtos!$B$5:$B$104,0))),0),F1099))</f>
        <v/>
      </c>
      <c r="H1099" s="27" t="str">
        <f aca="false">IF(G1099="","",IF(N(E1099)=0,1,E1099)*IFERROR(N(INDEX(Produtos!$G$5:$G$104,MATCH(D1099,Produtos!$B$5:$B$104,0))),0))</f>
        <v/>
      </c>
      <c r="I1099" s="27" t="str">
        <f aca="false">IF(G1099="","",G1099-H1099)</f>
        <v/>
      </c>
      <c r="J1099" s="42"/>
    </row>
    <row r="1100" customFormat="false" ht="21" hidden="false" customHeight="true" outlineLevel="0" collapsed="false">
      <c r="B1100" s="41"/>
      <c r="C1100" s="9"/>
      <c r="D1100" s="9"/>
      <c r="E1100" s="42"/>
      <c r="F1100" s="43"/>
      <c r="G1100" s="27" t="str">
        <f aca="false">IF(OR(C1100="",AND(D1100="",F1100="")),"",IF(N(E1100)=0,1,E1100)*IF(F1100="",IFERROR(N(INDEX(Produtos!$L$5:$L$104,MATCH(D1100,Produtos!$B$5:$B$104,0))),0),F1100))</f>
        <v/>
      </c>
      <c r="H1100" s="27" t="str">
        <f aca="false">IF(G1100="","",IF(N(E1100)=0,1,E1100)*IFERROR(N(INDEX(Produtos!$G$5:$G$104,MATCH(D1100,Produtos!$B$5:$B$104,0))),0))</f>
        <v/>
      </c>
      <c r="I1100" s="27" t="str">
        <f aca="false">IF(G1100="","",G1100-H1100)</f>
        <v/>
      </c>
      <c r="J1100" s="42"/>
    </row>
    <row r="1101" customFormat="false" ht="21" hidden="false" customHeight="true" outlineLevel="0" collapsed="false">
      <c r="B1101" s="41"/>
      <c r="C1101" s="9"/>
      <c r="D1101" s="9"/>
      <c r="E1101" s="42"/>
      <c r="F1101" s="43"/>
      <c r="G1101" s="27" t="str">
        <f aca="false">IF(OR(C1101="",AND(D1101="",F1101="")),"",IF(N(E1101)=0,1,E1101)*IF(F1101="",IFERROR(N(INDEX(Produtos!$L$5:$L$104,MATCH(D1101,Produtos!$B$5:$B$104,0))),0),F1101))</f>
        <v/>
      </c>
      <c r="H1101" s="27" t="str">
        <f aca="false">IF(G1101="","",IF(N(E1101)=0,1,E1101)*IFERROR(N(INDEX(Produtos!$G$5:$G$104,MATCH(D1101,Produtos!$B$5:$B$104,0))),0))</f>
        <v/>
      </c>
      <c r="I1101" s="27" t="str">
        <f aca="false">IF(G1101="","",G1101-H1101)</f>
        <v/>
      </c>
      <c r="J1101" s="42"/>
    </row>
    <row r="1102" customFormat="false" ht="21" hidden="false" customHeight="true" outlineLevel="0" collapsed="false">
      <c r="B1102" s="41"/>
      <c r="C1102" s="9"/>
      <c r="D1102" s="9"/>
      <c r="E1102" s="42"/>
      <c r="F1102" s="43"/>
      <c r="G1102" s="27" t="str">
        <f aca="false">IF(OR(C1102="",AND(D1102="",F1102="")),"",IF(N(E1102)=0,1,E1102)*IF(F1102="",IFERROR(N(INDEX(Produtos!$L$5:$L$104,MATCH(D1102,Produtos!$B$5:$B$104,0))),0),F1102))</f>
        <v/>
      </c>
      <c r="H1102" s="27" t="str">
        <f aca="false">IF(G1102="","",IF(N(E1102)=0,1,E1102)*IFERROR(N(INDEX(Produtos!$G$5:$G$104,MATCH(D1102,Produtos!$B$5:$B$104,0))),0))</f>
        <v/>
      </c>
      <c r="I1102" s="27" t="str">
        <f aca="false">IF(G1102="","",G1102-H1102)</f>
        <v/>
      </c>
      <c r="J1102" s="42"/>
    </row>
    <row r="1103" customFormat="false" ht="21" hidden="false" customHeight="true" outlineLevel="0" collapsed="false">
      <c r="B1103" s="41"/>
      <c r="C1103" s="9"/>
      <c r="D1103" s="9"/>
      <c r="E1103" s="42"/>
      <c r="F1103" s="43"/>
      <c r="G1103" s="27" t="str">
        <f aca="false">IF(OR(C1103="",AND(D1103="",F1103="")),"",IF(N(E1103)=0,1,E1103)*IF(F1103="",IFERROR(N(INDEX(Produtos!$L$5:$L$104,MATCH(D1103,Produtos!$B$5:$B$104,0))),0),F1103))</f>
        <v/>
      </c>
      <c r="H1103" s="27" t="str">
        <f aca="false">IF(G1103="","",IF(N(E1103)=0,1,E1103)*IFERROR(N(INDEX(Produtos!$G$5:$G$104,MATCH(D1103,Produtos!$B$5:$B$104,0))),0))</f>
        <v/>
      </c>
      <c r="I1103" s="27" t="str">
        <f aca="false">IF(G1103="","",G1103-H1103)</f>
        <v/>
      </c>
      <c r="J1103" s="42"/>
    </row>
    <row r="1104" customFormat="false" ht="21" hidden="false" customHeight="true" outlineLevel="0" collapsed="false">
      <c r="B1104" s="41"/>
      <c r="C1104" s="9"/>
      <c r="D1104" s="9"/>
      <c r="E1104" s="42"/>
      <c r="F1104" s="43"/>
      <c r="G1104" s="27" t="str">
        <f aca="false">IF(OR(C1104="",AND(D1104="",F1104="")),"",IF(N(E1104)=0,1,E1104)*IF(F1104="",IFERROR(N(INDEX(Produtos!$L$5:$L$104,MATCH(D1104,Produtos!$B$5:$B$104,0))),0),F1104))</f>
        <v/>
      </c>
      <c r="H1104" s="27" t="str">
        <f aca="false">IF(G1104="","",IF(N(E1104)=0,1,E1104)*IFERROR(N(INDEX(Produtos!$G$5:$G$104,MATCH(D1104,Produtos!$B$5:$B$104,0))),0))</f>
        <v/>
      </c>
      <c r="I1104" s="27" t="str">
        <f aca="false">IF(G1104="","",G1104-H1104)</f>
        <v/>
      </c>
      <c r="J1104" s="42"/>
    </row>
    <row r="1105" customFormat="false" ht="21" hidden="false" customHeight="true" outlineLevel="0" collapsed="false">
      <c r="B1105" s="41"/>
      <c r="C1105" s="9"/>
      <c r="D1105" s="9"/>
      <c r="E1105" s="42"/>
      <c r="F1105" s="43"/>
      <c r="G1105" s="27" t="str">
        <f aca="false">IF(OR(C1105="",AND(D1105="",F1105="")),"",IF(N(E1105)=0,1,E1105)*IF(F1105="",IFERROR(N(INDEX(Produtos!$L$5:$L$104,MATCH(D1105,Produtos!$B$5:$B$104,0))),0),F1105))</f>
        <v/>
      </c>
      <c r="H1105" s="27" t="str">
        <f aca="false">IF(G1105="","",IF(N(E1105)=0,1,E1105)*IFERROR(N(INDEX(Produtos!$G$5:$G$104,MATCH(D1105,Produtos!$B$5:$B$104,0))),0))</f>
        <v/>
      </c>
      <c r="I1105" s="27" t="str">
        <f aca="false">IF(G1105="","",G1105-H1105)</f>
        <v/>
      </c>
      <c r="J1105" s="42"/>
    </row>
    <row r="1106" customFormat="false" ht="21" hidden="false" customHeight="true" outlineLevel="0" collapsed="false">
      <c r="B1106" s="41"/>
      <c r="C1106" s="9"/>
      <c r="D1106" s="9"/>
      <c r="E1106" s="42"/>
      <c r="F1106" s="43"/>
      <c r="G1106" s="27" t="str">
        <f aca="false">IF(OR(C1106="",AND(D1106="",F1106="")),"",IF(N(E1106)=0,1,E1106)*IF(F1106="",IFERROR(N(INDEX(Produtos!$L$5:$L$104,MATCH(D1106,Produtos!$B$5:$B$104,0))),0),F1106))</f>
        <v/>
      </c>
      <c r="H1106" s="27" t="str">
        <f aca="false">IF(G1106="","",IF(N(E1106)=0,1,E1106)*IFERROR(N(INDEX(Produtos!$G$5:$G$104,MATCH(D1106,Produtos!$B$5:$B$104,0))),0))</f>
        <v/>
      </c>
      <c r="I1106" s="27" t="str">
        <f aca="false">IF(G1106="","",G1106-H1106)</f>
        <v/>
      </c>
      <c r="J1106" s="42"/>
    </row>
    <row r="1107" customFormat="false" ht="21" hidden="false" customHeight="true" outlineLevel="0" collapsed="false">
      <c r="B1107" s="41"/>
      <c r="C1107" s="9"/>
      <c r="D1107" s="9"/>
      <c r="E1107" s="42"/>
      <c r="F1107" s="43"/>
      <c r="G1107" s="27" t="str">
        <f aca="false">IF(OR(C1107="",AND(D1107="",F1107="")),"",IF(N(E1107)=0,1,E1107)*IF(F1107="",IFERROR(N(INDEX(Produtos!$L$5:$L$104,MATCH(D1107,Produtos!$B$5:$B$104,0))),0),F1107))</f>
        <v/>
      </c>
      <c r="H1107" s="27" t="str">
        <f aca="false">IF(G1107="","",IF(N(E1107)=0,1,E1107)*IFERROR(N(INDEX(Produtos!$G$5:$G$104,MATCH(D1107,Produtos!$B$5:$B$104,0))),0))</f>
        <v/>
      </c>
      <c r="I1107" s="27" t="str">
        <f aca="false">IF(G1107="","",G1107-H1107)</f>
        <v/>
      </c>
      <c r="J1107" s="42"/>
    </row>
    <row r="1108" customFormat="false" ht="21" hidden="false" customHeight="true" outlineLevel="0" collapsed="false">
      <c r="B1108" s="41"/>
      <c r="C1108" s="9"/>
      <c r="D1108" s="9"/>
      <c r="E1108" s="42"/>
      <c r="F1108" s="43"/>
      <c r="G1108" s="27" t="str">
        <f aca="false">IF(OR(C1108="",AND(D1108="",F1108="")),"",IF(N(E1108)=0,1,E1108)*IF(F1108="",IFERROR(N(INDEX(Produtos!$L$5:$L$104,MATCH(D1108,Produtos!$B$5:$B$104,0))),0),F1108))</f>
        <v/>
      </c>
      <c r="H1108" s="27" t="str">
        <f aca="false">IF(G1108="","",IF(N(E1108)=0,1,E1108)*IFERROR(N(INDEX(Produtos!$G$5:$G$104,MATCH(D1108,Produtos!$B$5:$B$104,0))),0))</f>
        <v/>
      </c>
      <c r="I1108" s="27" t="str">
        <f aca="false">IF(G1108="","",G1108-H1108)</f>
        <v/>
      </c>
      <c r="J1108" s="42"/>
    </row>
    <row r="1109" customFormat="false" ht="21" hidden="false" customHeight="true" outlineLevel="0" collapsed="false">
      <c r="B1109" s="41"/>
      <c r="C1109" s="9"/>
      <c r="D1109" s="9"/>
      <c r="E1109" s="42"/>
      <c r="F1109" s="43"/>
      <c r="G1109" s="27" t="str">
        <f aca="false">IF(OR(C1109="",AND(D1109="",F1109="")),"",IF(N(E1109)=0,1,E1109)*IF(F1109="",IFERROR(N(INDEX(Produtos!$L$5:$L$104,MATCH(D1109,Produtos!$B$5:$B$104,0))),0),F1109))</f>
        <v/>
      </c>
      <c r="H1109" s="27" t="str">
        <f aca="false">IF(G1109="","",IF(N(E1109)=0,1,E1109)*IFERROR(N(INDEX(Produtos!$G$5:$G$104,MATCH(D1109,Produtos!$B$5:$B$104,0))),0))</f>
        <v/>
      </c>
      <c r="I1109" s="27" t="str">
        <f aca="false">IF(G1109="","",G1109-H1109)</f>
        <v/>
      </c>
      <c r="J1109" s="42"/>
    </row>
    <row r="1110" customFormat="false" ht="21" hidden="false" customHeight="true" outlineLevel="0" collapsed="false">
      <c r="B1110" s="41"/>
      <c r="C1110" s="9"/>
      <c r="D1110" s="9"/>
      <c r="E1110" s="42"/>
      <c r="F1110" s="43"/>
      <c r="G1110" s="27" t="str">
        <f aca="false">IF(OR(C1110="",AND(D1110="",F1110="")),"",IF(N(E1110)=0,1,E1110)*IF(F1110="",IFERROR(N(INDEX(Produtos!$L$5:$L$104,MATCH(D1110,Produtos!$B$5:$B$104,0))),0),F1110))</f>
        <v/>
      </c>
      <c r="H1110" s="27" t="str">
        <f aca="false">IF(G1110="","",IF(N(E1110)=0,1,E1110)*IFERROR(N(INDEX(Produtos!$G$5:$G$104,MATCH(D1110,Produtos!$B$5:$B$104,0))),0))</f>
        <v/>
      </c>
      <c r="I1110" s="27" t="str">
        <f aca="false">IF(G1110="","",G1110-H1110)</f>
        <v/>
      </c>
      <c r="J1110" s="42"/>
    </row>
    <row r="1111" customFormat="false" ht="21" hidden="false" customHeight="true" outlineLevel="0" collapsed="false">
      <c r="B1111" s="41"/>
      <c r="C1111" s="9"/>
      <c r="D1111" s="9"/>
      <c r="E1111" s="42"/>
      <c r="F1111" s="43"/>
      <c r="G1111" s="27" t="str">
        <f aca="false">IF(OR(C1111="",AND(D1111="",F1111="")),"",IF(N(E1111)=0,1,E1111)*IF(F1111="",IFERROR(N(INDEX(Produtos!$L$5:$L$104,MATCH(D1111,Produtos!$B$5:$B$104,0))),0),F1111))</f>
        <v/>
      </c>
      <c r="H1111" s="27" t="str">
        <f aca="false">IF(G1111="","",IF(N(E1111)=0,1,E1111)*IFERROR(N(INDEX(Produtos!$G$5:$G$104,MATCH(D1111,Produtos!$B$5:$B$104,0))),0))</f>
        <v/>
      </c>
      <c r="I1111" s="27" t="str">
        <f aca="false">IF(G1111="","",G1111-H1111)</f>
        <v/>
      </c>
      <c r="J1111" s="42"/>
    </row>
    <row r="1112" customFormat="false" ht="21" hidden="false" customHeight="true" outlineLevel="0" collapsed="false">
      <c r="B1112" s="41"/>
      <c r="C1112" s="9"/>
      <c r="D1112" s="9"/>
      <c r="E1112" s="42"/>
      <c r="F1112" s="43"/>
      <c r="G1112" s="27" t="str">
        <f aca="false">IF(OR(C1112="",AND(D1112="",F1112="")),"",IF(N(E1112)=0,1,E1112)*IF(F1112="",IFERROR(N(INDEX(Produtos!$L$5:$L$104,MATCH(D1112,Produtos!$B$5:$B$104,0))),0),F1112))</f>
        <v/>
      </c>
      <c r="H1112" s="27" t="str">
        <f aca="false">IF(G1112="","",IF(N(E1112)=0,1,E1112)*IFERROR(N(INDEX(Produtos!$G$5:$G$104,MATCH(D1112,Produtos!$B$5:$B$104,0))),0))</f>
        <v/>
      </c>
      <c r="I1112" s="27" t="str">
        <f aca="false">IF(G1112="","",G1112-H1112)</f>
        <v/>
      </c>
      <c r="J1112" s="42"/>
    </row>
    <row r="1113" customFormat="false" ht="21" hidden="false" customHeight="true" outlineLevel="0" collapsed="false">
      <c r="B1113" s="41"/>
      <c r="C1113" s="9"/>
      <c r="D1113" s="9"/>
      <c r="E1113" s="42"/>
      <c r="F1113" s="43"/>
      <c r="G1113" s="27" t="str">
        <f aca="false">IF(OR(C1113="",AND(D1113="",F1113="")),"",IF(N(E1113)=0,1,E1113)*IF(F1113="",IFERROR(N(INDEX(Produtos!$L$5:$L$104,MATCH(D1113,Produtos!$B$5:$B$104,0))),0),F1113))</f>
        <v/>
      </c>
      <c r="H1113" s="27" t="str">
        <f aca="false">IF(G1113="","",IF(N(E1113)=0,1,E1113)*IFERROR(N(INDEX(Produtos!$G$5:$G$104,MATCH(D1113,Produtos!$B$5:$B$104,0))),0))</f>
        <v/>
      </c>
      <c r="I1113" s="27" t="str">
        <f aca="false">IF(G1113="","",G1113-H1113)</f>
        <v/>
      </c>
      <c r="J1113" s="42"/>
    </row>
    <row r="1114" customFormat="false" ht="21" hidden="false" customHeight="true" outlineLevel="0" collapsed="false">
      <c r="B1114" s="41"/>
      <c r="C1114" s="9"/>
      <c r="D1114" s="9"/>
      <c r="E1114" s="42"/>
      <c r="F1114" s="43"/>
      <c r="G1114" s="27" t="str">
        <f aca="false">IF(OR(C1114="",AND(D1114="",F1114="")),"",IF(N(E1114)=0,1,E1114)*IF(F1114="",IFERROR(N(INDEX(Produtos!$L$5:$L$104,MATCH(D1114,Produtos!$B$5:$B$104,0))),0),F1114))</f>
        <v/>
      </c>
      <c r="H1114" s="27" t="str">
        <f aca="false">IF(G1114="","",IF(N(E1114)=0,1,E1114)*IFERROR(N(INDEX(Produtos!$G$5:$G$104,MATCH(D1114,Produtos!$B$5:$B$104,0))),0))</f>
        <v/>
      </c>
      <c r="I1114" s="27" t="str">
        <f aca="false">IF(G1114="","",G1114-H1114)</f>
        <v/>
      </c>
      <c r="J1114" s="42"/>
    </row>
    <row r="1115" customFormat="false" ht="21" hidden="false" customHeight="true" outlineLevel="0" collapsed="false">
      <c r="B1115" s="41"/>
      <c r="C1115" s="9"/>
      <c r="D1115" s="9"/>
      <c r="E1115" s="42"/>
      <c r="F1115" s="43"/>
      <c r="G1115" s="27" t="str">
        <f aca="false">IF(OR(C1115="",AND(D1115="",F1115="")),"",IF(N(E1115)=0,1,E1115)*IF(F1115="",IFERROR(N(INDEX(Produtos!$L$5:$L$104,MATCH(D1115,Produtos!$B$5:$B$104,0))),0),F1115))</f>
        <v/>
      </c>
      <c r="H1115" s="27" t="str">
        <f aca="false">IF(G1115="","",IF(N(E1115)=0,1,E1115)*IFERROR(N(INDEX(Produtos!$G$5:$G$104,MATCH(D1115,Produtos!$B$5:$B$104,0))),0))</f>
        <v/>
      </c>
      <c r="I1115" s="27" t="str">
        <f aca="false">IF(G1115="","",G1115-H1115)</f>
        <v/>
      </c>
      <c r="J1115" s="42"/>
    </row>
    <row r="1116" customFormat="false" ht="21" hidden="false" customHeight="true" outlineLevel="0" collapsed="false">
      <c r="B1116" s="41"/>
      <c r="C1116" s="9"/>
      <c r="D1116" s="9"/>
      <c r="E1116" s="42"/>
      <c r="F1116" s="43"/>
      <c r="G1116" s="27" t="str">
        <f aca="false">IF(OR(C1116="",AND(D1116="",F1116="")),"",IF(N(E1116)=0,1,E1116)*IF(F1116="",IFERROR(N(INDEX(Produtos!$L$5:$L$104,MATCH(D1116,Produtos!$B$5:$B$104,0))),0),F1116))</f>
        <v/>
      </c>
      <c r="H1116" s="27" t="str">
        <f aca="false">IF(G1116="","",IF(N(E1116)=0,1,E1116)*IFERROR(N(INDEX(Produtos!$G$5:$G$104,MATCH(D1116,Produtos!$B$5:$B$104,0))),0))</f>
        <v/>
      </c>
      <c r="I1116" s="27" t="str">
        <f aca="false">IF(G1116="","",G1116-H1116)</f>
        <v/>
      </c>
      <c r="J1116" s="42"/>
    </row>
    <row r="1117" customFormat="false" ht="21" hidden="false" customHeight="true" outlineLevel="0" collapsed="false">
      <c r="B1117" s="41"/>
      <c r="C1117" s="9"/>
      <c r="D1117" s="9"/>
      <c r="E1117" s="42"/>
      <c r="F1117" s="43"/>
      <c r="G1117" s="27" t="str">
        <f aca="false">IF(OR(C1117="",AND(D1117="",F1117="")),"",IF(N(E1117)=0,1,E1117)*IF(F1117="",IFERROR(N(INDEX(Produtos!$L$5:$L$104,MATCH(D1117,Produtos!$B$5:$B$104,0))),0),F1117))</f>
        <v/>
      </c>
      <c r="H1117" s="27" t="str">
        <f aca="false">IF(G1117="","",IF(N(E1117)=0,1,E1117)*IFERROR(N(INDEX(Produtos!$G$5:$G$104,MATCH(D1117,Produtos!$B$5:$B$104,0))),0))</f>
        <v/>
      </c>
      <c r="I1117" s="27" t="str">
        <f aca="false">IF(G1117="","",G1117-H1117)</f>
        <v/>
      </c>
      <c r="J1117" s="42"/>
    </row>
    <row r="1118" customFormat="false" ht="21" hidden="false" customHeight="true" outlineLevel="0" collapsed="false">
      <c r="B1118" s="41"/>
      <c r="C1118" s="9"/>
      <c r="D1118" s="9"/>
      <c r="E1118" s="42"/>
      <c r="F1118" s="43"/>
      <c r="G1118" s="27" t="str">
        <f aca="false">IF(OR(C1118="",AND(D1118="",F1118="")),"",IF(N(E1118)=0,1,E1118)*IF(F1118="",IFERROR(N(INDEX(Produtos!$L$5:$L$104,MATCH(D1118,Produtos!$B$5:$B$104,0))),0),F1118))</f>
        <v/>
      </c>
      <c r="H1118" s="27" t="str">
        <f aca="false">IF(G1118="","",IF(N(E1118)=0,1,E1118)*IFERROR(N(INDEX(Produtos!$G$5:$G$104,MATCH(D1118,Produtos!$B$5:$B$104,0))),0))</f>
        <v/>
      </c>
      <c r="I1118" s="27" t="str">
        <f aca="false">IF(G1118="","",G1118-H1118)</f>
        <v/>
      </c>
      <c r="J1118" s="42"/>
    </row>
    <row r="1119" customFormat="false" ht="21" hidden="false" customHeight="true" outlineLevel="0" collapsed="false">
      <c r="B1119" s="41"/>
      <c r="C1119" s="9"/>
      <c r="D1119" s="9"/>
      <c r="E1119" s="42"/>
      <c r="F1119" s="43"/>
      <c r="G1119" s="27" t="str">
        <f aca="false">IF(OR(C1119="",AND(D1119="",F1119="")),"",IF(N(E1119)=0,1,E1119)*IF(F1119="",IFERROR(N(INDEX(Produtos!$L$5:$L$104,MATCH(D1119,Produtos!$B$5:$B$104,0))),0),F1119))</f>
        <v/>
      </c>
      <c r="H1119" s="27" t="str">
        <f aca="false">IF(G1119="","",IF(N(E1119)=0,1,E1119)*IFERROR(N(INDEX(Produtos!$G$5:$G$104,MATCH(D1119,Produtos!$B$5:$B$104,0))),0))</f>
        <v/>
      </c>
      <c r="I1119" s="27" t="str">
        <f aca="false">IF(G1119="","",G1119-H1119)</f>
        <v/>
      </c>
      <c r="J1119" s="42"/>
    </row>
    <row r="1120" customFormat="false" ht="21" hidden="false" customHeight="true" outlineLevel="0" collapsed="false">
      <c r="B1120" s="41"/>
      <c r="C1120" s="9"/>
      <c r="D1120" s="9"/>
      <c r="E1120" s="42"/>
      <c r="F1120" s="43"/>
      <c r="G1120" s="27" t="str">
        <f aca="false">IF(OR(C1120="",AND(D1120="",F1120="")),"",IF(N(E1120)=0,1,E1120)*IF(F1120="",IFERROR(N(INDEX(Produtos!$L$5:$L$104,MATCH(D1120,Produtos!$B$5:$B$104,0))),0),F1120))</f>
        <v/>
      </c>
      <c r="H1120" s="27" t="str">
        <f aca="false">IF(G1120="","",IF(N(E1120)=0,1,E1120)*IFERROR(N(INDEX(Produtos!$G$5:$G$104,MATCH(D1120,Produtos!$B$5:$B$104,0))),0))</f>
        <v/>
      </c>
      <c r="I1120" s="27" t="str">
        <f aca="false">IF(G1120="","",G1120-H1120)</f>
        <v/>
      </c>
      <c r="J1120" s="42"/>
    </row>
    <row r="1121" customFormat="false" ht="21" hidden="false" customHeight="true" outlineLevel="0" collapsed="false">
      <c r="B1121" s="41"/>
      <c r="C1121" s="9"/>
      <c r="D1121" s="9"/>
      <c r="E1121" s="42"/>
      <c r="F1121" s="43"/>
      <c r="G1121" s="27" t="str">
        <f aca="false">IF(OR(C1121="",AND(D1121="",F1121="")),"",IF(N(E1121)=0,1,E1121)*IF(F1121="",IFERROR(N(INDEX(Produtos!$L$5:$L$104,MATCH(D1121,Produtos!$B$5:$B$104,0))),0),F1121))</f>
        <v/>
      </c>
      <c r="H1121" s="27" t="str">
        <f aca="false">IF(G1121="","",IF(N(E1121)=0,1,E1121)*IFERROR(N(INDEX(Produtos!$G$5:$G$104,MATCH(D1121,Produtos!$B$5:$B$104,0))),0))</f>
        <v/>
      </c>
      <c r="I1121" s="27" t="str">
        <f aca="false">IF(G1121="","",G1121-H1121)</f>
        <v/>
      </c>
      <c r="J1121" s="42"/>
    </row>
    <row r="1122" customFormat="false" ht="21" hidden="false" customHeight="true" outlineLevel="0" collapsed="false">
      <c r="B1122" s="41"/>
      <c r="C1122" s="9"/>
      <c r="D1122" s="9"/>
      <c r="E1122" s="42"/>
      <c r="F1122" s="43"/>
      <c r="G1122" s="27" t="str">
        <f aca="false">IF(OR(C1122="",AND(D1122="",F1122="")),"",IF(N(E1122)=0,1,E1122)*IF(F1122="",IFERROR(N(INDEX(Produtos!$L$5:$L$104,MATCH(D1122,Produtos!$B$5:$B$104,0))),0),F1122))</f>
        <v/>
      </c>
      <c r="H1122" s="27" t="str">
        <f aca="false">IF(G1122="","",IF(N(E1122)=0,1,E1122)*IFERROR(N(INDEX(Produtos!$G$5:$G$104,MATCH(D1122,Produtos!$B$5:$B$104,0))),0))</f>
        <v/>
      </c>
      <c r="I1122" s="27" t="str">
        <f aca="false">IF(G1122="","",G1122-H1122)</f>
        <v/>
      </c>
      <c r="J1122" s="42"/>
    </row>
    <row r="1123" customFormat="false" ht="21" hidden="false" customHeight="true" outlineLevel="0" collapsed="false">
      <c r="B1123" s="41"/>
      <c r="C1123" s="9"/>
      <c r="D1123" s="9"/>
      <c r="E1123" s="42"/>
      <c r="F1123" s="43"/>
      <c r="G1123" s="27" t="str">
        <f aca="false">IF(OR(C1123="",AND(D1123="",F1123="")),"",IF(N(E1123)=0,1,E1123)*IF(F1123="",IFERROR(N(INDEX(Produtos!$L$5:$L$104,MATCH(D1123,Produtos!$B$5:$B$104,0))),0),F1123))</f>
        <v/>
      </c>
      <c r="H1123" s="27" t="str">
        <f aca="false">IF(G1123="","",IF(N(E1123)=0,1,E1123)*IFERROR(N(INDEX(Produtos!$G$5:$G$104,MATCH(D1123,Produtos!$B$5:$B$104,0))),0))</f>
        <v/>
      </c>
      <c r="I1123" s="27" t="str">
        <f aca="false">IF(G1123="","",G1123-H1123)</f>
        <v/>
      </c>
      <c r="J1123" s="42"/>
    </row>
    <row r="1124" customFormat="false" ht="21" hidden="false" customHeight="true" outlineLevel="0" collapsed="false">
      <c r="B1124" s="41"/>
      <c r="C1124" s="9"/>
      <c r="D1124" s="9"/>
      <c r="E1124" s="42"/>
      <c r="F1124" s="43"/>
      <c r="G1124" s="27" t="str">
        <f aca="false">IF(OR(C1124="",AND(D1124="",F1124="")),"",IF(N(E1124)=0,1,E1124)*IF(F1124="",IFERROR(N(INDEX(Produtos!$L$5:$L$104,MATCH(D1124,Produtos!$B$5:$B$104,0))),0),F1124))</f>
        <v/>
      </c>
      <c r="H1124" s="27" t="str">
        <f aca="false">IF(G1124="","",IF(N(E1124)=0,1,E1124)*IFERROR(N(INDEX(Produtos!$G$5:$G$104,MATCH(D1124,Produtos!$B$5:$B$104,0))),0))</f>
        <v/>
      </c>
      <c r="I1124" s="27" t="str">
        <f aca="false">IF(G1124="","",G1124-H1124)</f>
        <v/>
      </c>
      <c r="J1124" s="42"/>
    </row>
    <row r="1125" customFormat="false" ht="21" hidden="false" customHeight="true" outlineLevel="0" collapsed="false">
      <c r="B1125" s="41"/>
      <c r="C1125" s="9"/>
      <c r="D1125" s="9"/>
      <c r="E1125" s="42"/>
      <c r="F1125" s="43"/>
      <c r="G1125" s="27" t="str">
        <f aca="false">IF(OR(C1125="",AND(D1125="",F1125="")),"",IF(N(E1125)=0,1,E1125)*IF(F1125="",IFERROR(N(INDEX(Produtos!$L$5:$L$104,MATCH(D1125,Produtos!$B$5:$B$104,0))),0),F1125))</f>
        <v/>
      </c>
      <c r="H1125" s="27" t="str">
        <f aca="false">IF(G1125="","",IF(N(E1125)=0,1,E1125)*IFERROR(N(INDEX(Produtos!$G$5:$G$104,MATCH(D1125,Produtos!$B$5:$B$104,0))),0))</f>
        <v/>
      </c>
      <c r="I1125" s="27" t="str">
        <f aca="false">IF(G1125="","",G1125-H1125)</f>
        <v/>
      </c>
      <c r="J1125" s="42"/>
    </row>
    <row r="1126" customFormat="false" ht="21" hidden="false" customHeight="true" outlineLevel="0" collapsed="false">
      <c r="B1126" s="41"/>
      <c r="C1126" s="9"/>
      <c r="D1126" s="9"/>
      <c r="E1126" s="42"/>
      <c r="F1126" s="43"/>
      <c r="G1126" s="27" t="str">
        <f aca="false">IF(OR(C1126="",AND(D1126="",F1126="")),"",IF(N(E1126)=0,1,E1126)*IF(F1126="",IFERROR(N(INDEX(Produtos!$L$5:$L$104,MATCH(D1126,Produtos!$B$5:$B$104,0))),0),F1126))</f>
        <v/>
      </c>
      <c r="H1126" s="27" t="str">
        <f aca="false">IF(G1126="","",IF(N(E1126)=0,1,E1126)*IFERROR(N(INDEX(Produtos!$G$5:$G$104,MATCH(D1126,Produtos!$B$5:$B$104,0))),0))</f>
        <v/>
      </c>
      <c r="I1126" s="27" t="str">
        <f aca="false">IF(G1126="","",G1126-H1126)</f>
        <v/>
      </c>
      <c r="J1126" s="42"/>
    </row>
    <row r="1127" customFormat="false" ht="21" hidden="false" customHeight="true" outlineLevel="0" collapsed="false">
      <c r="B1127" s="41"/>
      <c r="C1127" s="9"/>
      <c r="D1127" s="9"/>
      <c r="E1127" s="42"/>
      <c r="F1127" s="43"/>
      <c r="G1127" s="27" t="str">
        <f aca="false">IF(OR(C1127="",AND(D1127="",F1127="")),"",IF(N(E1127)=0,1,E1127)*IF(F1127="",IFERROR(N(INDEX(Produtos!$L$5:$L$104,MATCH(D1127,Produtos!$B$5:$B$104,0))),0),F1127))</f>
        <v/>
      </c>
      <c r="H1127" s="27" t="str">
        <f aca="false">IF(G1127="","",IF(N(E1127)=0,1,E1127)*IFERROR(N(INDEX(Produtos!$G$5:$G$104,MATCH(D1127,Produtos!$B$5:$B$104,0))),0))</f>
        <v/>
      </c>
      <c r="I1127" s="27" t="str">
        <f aca="false">IF(G1127="","",G1127-H1127)</f>
        <v/>
      </c>
      <c r="J1127" s="42"/>
    </row>
    <row r="1128" customFormat="false" ht="21" hidden="false" customHeight="true" outlineLevel="0" collapsed="false">
      <c r="B1128" s="41"/>
      <c r="C1128" s="9"/>
      <c r="D1128" s="9"/>
      <c r="E1128" s="42"/>
      <c r="F1128" s="43"/>
      <c r="G1128" s="27" t="str">
        <f aca="false">IF(OR(C1128="",AND(D1128="",F1128="")),"",IF(N(E1128)=0,1,E1128)*IF(F1128="",IFERROR(N(INDEX(Produtos!$L$5:$L$104,MATCH(D1128,Produtos!$B$5:$B$104,0))),0),F1128))</f>
        <v/>
      </c>
      <c r="H1128" s="27" t="str">
        <f aca="false">IF(G1128="","",IF(N(E1128)=0,1,E1128)*IFERROR(N(INDEX(Produtos!$G$5:$G$104,MATCH(D1128,Produtos!$B$5:$B$104,0))),0))</f>
        <v/>
      </c>
      <c r="I1128" s="27" t="str">
        <f aca="false">IF(G1128="","",G1128-H1128)</f>
        <v/>
      </c>
      <c r="J1128" s="42"/>
    </row>
    <row r="1129" customFormat="false" ht="21" hidden="false" customHeight="true" outlineLevel="0" collapsed="false">
      <c r="B1129" s="41"/>
      <c r="C1129" s="9"/>
      <c r="D1129" s="9"/>
      <c r="E1129" s="42"/>
      <c r="F1129" s="43"/>
      <c r="G1129" s="27" t="str">
        <f aca="false">IF(OR(C1129="",AND(D1129="",F1129="")),"",IF(N(E1129)=0,1,E1129)*IF(F1129="",IFERROR(N(INDEX(Produtos!$L$5:$L$104,MATCH(D1129,Produtos!$B$5:$B$104,0))),0),F1129))</f>
        <v/>
      </c>
      <c r="H1129" s="27" t="str">
        <f aca="false">IF(G1129="","",IF(N(E1129)=0,1,E1129)*IFERROR(N(INDEX(Produtos!$G$5:$G$104,MATCH(D1129,Produtos!$B$5:$B$104,0))),0))</f>
        <v/>
      </c>
      <c r="I1129" s="27" t="str">
        <f aca="false">IF(G1129="","",G1129-H1129)</f>
        <v/>
      </c>
      <c r="J1129" s="42"/>
    </row>
    <row r="1130" customFormat="false" ht="21" hidden="false" customHeight="true" outlineLevel="0" collapsed="false">
      <c r="B1130" s="41"/>
      <c r="C1130" s="9"/>
      <c r="D1130" s="9"/>
      <c r="E1130" s="42"/>
      <c r="F1130" s="43"/>
      <c r="G1130" s="27" t="str">
        <f aca="false">IF(OR(C1130="",AND(D1130="",F1130="")),"",IF(N(E1130)=0,1,E1130)*IF(F1130="",IFERROR(N(INDEX(Produtos!$L$5:$L$104,MATCH(D1130,Produtos!$B$5:$B$104,0))),0),F1130))</f>
        <v/>
      </c>
      <c r="H1130" s="27" t="str">
        <f aca="false">IF(G1130="","",IF(N(E1130)=0,1,E1130)*IFERROR(N(INDEX(Produtos!$G$5:$G$104,MATCH(D1130,Produtos!$B$5:$B$104,0))),0))</f>
        <v/>
      </c>
      <c r="I1130" s="27" t="str">
        <f aca="false">IF(G1130="","",G1130-H1130)</f>
        <v/>
      </c>
      <c r="J1130" s="42"/>
    </row>
    <row r="1131" customFormat="false" ht="21" hidden="false" customHeight="true" outlineLevel="0" collapsed="false">
      <c r="B1131" s="41"/>
      <c r="C1131" s="9"/>
      <c r="D1131" s="9"/>
      <c r="E1131" s="42"/>
      <c r="F1131" s="43"/>
      <c r="G1131" s="27" t="str">
        <f aca="false">IF(OR(C1131="",AND(D1131="",F1131="")),"",IF(N(E1131)=0,1,E1131)*IF(F1131="",IFERROR(N(INDEX(Produtos!$L$5:$L$104,MATCH(D1131,Produtos!$B$5:$B$104,0))),0),F1131))</f>
        <v/>
      </c>
      <c r="H1131" s="27" t="str">
        <f aca="false">IF(G1131="","",IF(N(E1131)=0,1,E1131)*IFERROR(N(INDEX(Produtos!$G$5:$G$104,MATCH(D1131,Produtos!$B$5:$B$104,0))),0))</f>
        <v/>
      </c>
      <c r="I1131" s="27" t="str">
        <f aca="false">IF(G1131="","",G1131-H1131)</f>
        <v/>
      </c>
      <c r="J1131" s="42"/>
    </row>
    <row r="1132" customFormat="false" ht="21" hidden="false" customHeight="true" outlineLevel="0" collapsed="false">
      <c r="B1132" s="41"/>
      <c r="C1132" s="9"/>
      <c r="D1132" s="9"/>
      <c r="E1132" s="42"/>
      <c r="F1132" s="43"/>
      <c r="G1132" s="27" t="str">
        <f aca="false">IF(OR(C1132="",AND(D1132="",F1132="")),"",IF(N(E1132)=0,1,E1132)*IF(F1132="",IFERROR(N(INDEX(Produtos!$L$5:$L$104,MATCH(D1132,Produtos!$B$5:$B$104,0))),0),F1132))</f>
        <v/>
      </c>
      <c r="H1132" s="27" t="str">
        <f aca="false">IF(G1132="","",IF(N(E1132)=0,1,E1132)*IFERROR(N(INDEX(Produtos!$G$5:$G$104,MATCH(D1132,Produtos!$B$5:$B$104,0))),0))</f>
        <v/>
      </c>
      <c r="I1132" s="27" t="str">
        <f aca="false">IF(G1132="","",G1132-H1132)</f>
        <v/>
      </c>
      <c r="J1132" s="42"/>
    </row>
    <row r="1133" customFormat="false" ht="21" hidden="false" customHeight="true" outlineLevel="0" collapsed="false">
      <c r="B1133" s="41"/>
      <c r="C1133" s="9"/>
      <c r="D1133" s="9"/>
      <c r="E1133" s="42"/>
      <c r="F1133" s="43"/>
      <c r="G1133" s="27" t="str">
        <f aca="false">IF(OR(C1133="",AND(D1133="",F1133="")),"",IF(N(E1133)=0,1,E1133)*IF(F1133="",IFERROR(N(INDEX(Produtos!$L$5:$L$104,MATCH(D1133,Produtos!$B$5:$B$104,0))),0),F1133))</f>
        <v/>
      </c>
      <c r="H1133" s="27" t="str">
        <f aca="false">IF(G1133="","",IF(N(E1133)=0,1,E1133)*IFERROR(N(INDEX(Produtos!$G$5:$G$104,MATCH(D1133,Produtos!$B$5:$B$104,0))),0))</f>
        <v/>
      </c>
      <c r="I1133" s="27" t="str">
        <f aca="false">IF(G1133="","",G1133-H1133)</f>
        <v/>
      </c>
      <c r="J1133" s="42"/>
    </row>
    <row r="1134" customFormat="false" ht="21" hidden="false" customHeight="true" outlineLevel="0" collapsed="false">
      <c r="B1134" s="41"/>
      <c r="C1134" s="9"/>
      <c r="D1134" s="9"/>
      <c r="E1134" s="42"/>
      <c r="F1134" s="43"/>
      <c r="G1134" s="27" t="str">
        <f aca="false">IF(OR(C1134="",AND(D1134="",F1134="")),"",IF(N(E1134)=0,1,E1134)*IF(F1134="",IFERROR(N(INDEX(Produtos!$L$5:$L$104,MATCH(D1134,Produtos!$B$5:$B$104,0))),0),F1134))</f>
        <v/>
      </c>
      <c r="H1134" s="27" t="str">
        <f aca="false">IF(G1134="","",IF(N(E1134)=0,1,E1134)*IFERROR(N(INDEX(Produtos!$G$5:$G$104,MATCH(D1134,Produtos!$B$5:$B$104,0))),0))</f>
        <v/>
      </c>
      <c r="I1134" s="27" t="str">
        <f aca="false">IF(G1134="","",G1134-H1134)</f>
        <v/>
      </c>
      <c r="J1134" s="42"/>
    </row>
    <row r="1135" customFormat="false" ht="21" hidden="false" customHeight="true" outlineLevel="0" collapsed="false">
      <c r="B1135" s="41"/>
      <c r="C1135" s="9"/>
      <c r="D1135" s="9"/>
      <c r="E1135" s="42"/>
      <c r="F1135" s="43"/>
      <c r="G1135" s="27" t="str">
        <f aca="false">IF(OR(C1135="",AND(D1135="",F1135="")),"",IF(N(E1135)=0,1,E1135)*IF(F1135="",IFERROR(N(INDEX(Produtos!$L$5:$L$104,MATCH(D1135,Produtos!$B$5:$B$104,0))),0),F1135))</f>
        <v/>
      </c>
      <c r="H1135" s="27" t="str">
        <f aca="false">IF(G1135="","",IF(N(E1135)=0,1,E1135)*IFERROR(N(INDEX(Produtos!$G$5:$G$104,MATCH(D1135,Produtos!$B$5:$B$104,0))),0))</f>
        <v/>
      </c>
      <c r="I1135" s="27" t="str">
        <f aca="false">IF(G1135="","",G1135-H1135)</f>
        <v/>
      </c>
      <c r="J1135" s="42"/>
    </row>
    <row r="1136" customFormat="false" ht="21" hidden="false" customHeight="true" outlineLevel="0" collapsed="false">
      <c r="B1136" s="41"/>
      <c r="C1136" s="9"/>
      <c r="D1136" s="9"/>
      <c r="E1136" s="42"/>
      <c r="F1136" s="43"/>
      <c r="G1136" s="27" t="str">
        <f aca="false">IF(OR(C1136="",AND(D1136="",F1136="")),"",IF(N(E1136)=0,1,E1136)*IF(F1136="",IFERROR(N(INDEX(Produtos!$L$5:$L$104,MATCH(D1136,Produtos!$B$5:$B$104,0))),0),F1136))</f>
        <v/>
      </c>
      <c r="H1136" s="27" t="str">
        <f aca="false">IF(G1136="","",IF(N(E1136)=0,1,E1136)*IFERROR(N(INDEX(Produtos!$G$5:$G$104,MATCH(D1136,Produtos!$B$5:$B$104,0))),0))</f>
        <v/>
      </c>
      <c r="I1136" s="27" t="str">
        <f aca="false">IF(G1136="","",G1136-H1136)</f>
        <v/>
      </c>
      <c r="J1136" s="42"/>
    </row>
    <row r="1137" customFormat="false" ht="21" hidden="false" customHeight="true" outlineLevel="0" collapsed="false">
      <c r="B1137" s="41"/>
      <c r="C1137" s="9"/>
      <c r="D1137" s="9"/>
      <c r="E1137" s="42"/>
      <c r="F1137" s="43"/>
      <c r="G1137" s="27" t="str">
        <f aca="false">IF(OR(C1137="",AND(D1137="",F1137="")),"",IF(N(E1137)=0,1,E1137)*IF(F1137="",IFERROR(N(INDEX(Produtos!$L$5:$L$104,MATCH(D1137,Produtos!$B$5:$B$104,0))),0),F1137))</f>
        <v/>
      </c>
      <c r="H1137" s="27" t="str">
        <f aca="false">IF(G1137="","",IF(N(E1137)=0,1,E1137)*IFERROR(N(INDEX(Produtos!$G$5:$G$104,MATCH(D1137,Produtos!$B$5:$B$104,0))),0))</f>
        <v/>
      </c>
      <c r="I1137" s="27" t="str">
        <f aca="false">IF(G1137="","",G1137-H1137)</f>
        <v/>
      </c>
      <c r="J1137" s="42"/>
    </row>
    <row r="1138" customFormat="false" ht="21" hidden="false" customHeight="true" outlineLevel="0" collapsed="false">
      <c r="B1138" s="41"/>
      <c r="C1138" s="9"/>
      <c r="D1138" s="9"/>
      <c r="E1138" s="42"/>
      <c r="F1138" s="43"/>
      <c r="G1138" s="27" t="str">
        <f aca="false">IF(OR(C1138="",AND(D1138="",F1138="")),"",IF(N(E1138)=0,1,E1138)*IF(F1138="",IFERROR(N(INDEX(Produtos!$L$5:$L$104,MATCH(D1138,Produtos!$B$5:$B$104,0))),0),F1138))</f>
        <v/>
      </c>
      <c r="H1138" s="27" t="str">
        <f aca="false">IF(G1138="","",IF(N(E1138)=0,1,E1138)*IFERROR(N(INDEX(Produtos!$G$5:$G$104,MATCH(D1138,Produtos!$B$5:$B$104,0))),0))</f>
        <v/>
      </c>
      <c r="I1138" s="27" t="str">
        <f aca="false">IF(G1138="","",G1138-H1138)</f>
        <v/>
      </c>
      <c r="J1138" s="42"/>
    </row>
    <row r="1139" customFormat="false" ht="21" hidden="false" customHeight="true" outlineLevel="0" collapsed="false">
      <c r="B1139" s="41"/>
      <c r="C1139" s="9"/>
      <c r="D1139" s="9"/>
      <c r="E1139" s="42"/>
      <c r="F1139" s="43"/>
      <c r="G1139" s="27" t="str">
        <f aca="false">IF(OR(C1139="",AND(D1139="",F1139="")),"",IF(N(E1139)=0,1,E1139)*IF(F1139="",IFERROR(N(INDEX(Produtos!$L$5:$L$104,MATCH(D1139,Produtos!$B$5:$B$104,0))),0),F1139))</f>
        <v/>
      </c>
      <c r="H1139" s="27" t="str">
        <f aca="false">IF(G1139="","",IF(N(E1139)=0,1,E1139)*IFERROR(N(INDEX(Produtos!$G$5:$G$104,MATCH(D1139,Produtos!$B$5:$B$104,0))),0))</f>
        <v/>
      </c>
      <c r="I1139" s="27" t="str">
        <f aca="false">IF(G1139="","",G1139-H1139)</f>
        <v/>
      </c>
      <c r="J1139" s="42"/>
    </row>
    <row r="1140" customFormat="false" ht="21" hidden="false" customHeight="true" outlineLevel="0" collapsed="false">
      <c r="B1140" s="41"/>
      <c r="C1140" s="9"/>
      <c r="D1140" s="9"/>
      <c r="E1140" s="42"/>
      <c r="F1140" s="43"/>
      <c r="G1140" s="27" t="str">
        <f aca="false">IF(OR(C1140="",AND(D1140="",F1140="")),"",IF(N(E1140)=0,1,E1140)*IF(F1140="",IFERROR(N(INDEX(Produtos!$L$5:$L$104,MATCH(D1140,Produtos!$B$5:$B$104,0))),0),F1140))</f>
        <v/>
      </c>
      <c r="H1140" s="27" t="str">
        <f aca="false">IF(G1140="","",IF(N(E1140)=0,1,E1140)*IFERROR(N(INDEX(Produtos!$G$5:$G$104,MATCH(D1140,Produtos!$B$5:$B$104,0))),0))</f>
        <v/>
      </c>
      <c r="I1140" s="27" t="str">
        <f aca="false">IF(G1140="","",G1140-H1140)</f>
        <v/>
      </c>
      <c r="J1140" s="42"/>
    </row>
    <row r="1141" customFormat="false" ht="21" hidden="false" customHeight="true" outlineLevel="0" collapsed="false">
      <c r="B1141" s="41"/>
      <c r="C1141" s="9"/>
      <c r="D1141" s="9"/>
      <c r="E1141" s="42"/>
      <c r="F1141" s="43"/>
      <c r="G1141" s="27" t="str">
        <f aca="false">IF(OR(C1141="",AND(D1141="",F1141="")),"",IF(N(E1141)=0,1,E1141)*IF(F1141="",IFERROR(N(INDEX(Produtos!$L$5:$L$104,MATCH(D1141,Produtos!$B$5:$B$104,0))),0),F1141))</f>
        <v/>
      </c>
      <c r="H1141" s="27" t="str">
        <f aca="false">IF(G1141="","",IF(N(E1141)=0,1,E1141)*IFERROR(N(INDEX(Produtos!$G$5:$G$104,MATCH(D1141,Produtos!$B$5:$B$104,0))),0))</f>
        <v/>
      </c>
      <c r="I1141" s="27" t="str">
        <f aca="false">IF(G1141="","",G1141-H1141)</f>
        <v/>
      </c>
      <c r="J1141" s="42"/>
    </row>
    <row r="1142" customFormat="false" ht="21" hidden="false" customHeight="true" outlineLevel="0" collapsed="false">
      <c r="B1142" s="41"/>
      <c r="C1142" s="9"/>
      <c r="D1142" s="9"/>
      <c r="E1142" s="42"/>
      <c r="F1142" s="43"/>
      <c r="G1142" s="27" t="str">
        <f aca="false">IF(OR(C1142="",AND(D1142="",F1142="")),"",IF(N(E1142)=0,1,E1142)*IF(F1142="",IFERROR(N(INDEX(Produtos!$L$5:$L$104,MATCH(D1142,Produtos!$B$5:$B$104,0))),0),F1142))</f>
        <v/>
      </c>
      <c r="H1142" s="27" t="str">
        <f aca="false">IF(G1142="","",IF(N(E1142)=0,1,E1142)*IFERROR(N(INDEX(Produtos!$G$5:$G$104,MATCH(D1142,Produtos!$B$5:$B$104,0))),0))</f>
        <v/>
      </c>
      <c r="I1142" s="27" t="str">
        <f aca="false">IF(G1142="","",G1142-H1142)</f>
        <v/>
      </c>
      <c r="J1142" s="42"/>
    </row>
    <row r="1143" customFormat="false" ht="21" hidden="false" customHeight="true" outlineLevel="0" collapsed="false">
      <c r="B1143" s="41"/>
      <c r="C1143" s="9"/>
      <c r="D1143" s="9"/>
      <c r="E1143" s="42"/>
      <c r="F1143" s="43"/>
      <c r="G1143" s="27" t="str">
        <f aca="false">IF(OR(C1143="",AND(D1143="",F1143="")),"",IF(N(E1143)=0,1,E1143)*IF(F1143="",IFERROR(N(INDEX(Produtos!$L$5:$L$104,MATCH(D1143,Produtos!$B$5:$B$104,0))),0),F1143))</f>
        <v/>
      </c>
      <c r="H1143" s="27" t="str">
        <f aca="false">IF(G1143="","",IF(N(E1143)=0,1,E1143)*IFERROR(N(INDEX(Produtos!$G$5:$G$104,MATCH(D1143,Produtos!$B$5:$B$104,0))),0))</f>
        <v/>
      </c>
      <c r="I1143" s="27" t="str">
        <f aca="false">IF(G1143="","",G1143-H1143)</f>
        <v/>
      </c>
      <c r="J1143" s="42"/>
    </row>
    <row r="1144" customFormat="false" ht="21" hidden="false" customHeight="true" outlineLevel="0" collapsed="false">
      <c r="B1144" s="41"/>
      <c r="C1144" s="9"/>
      <c r="D1144" s="9"/>
      <c r="E1144" s="42"/>
      <c r="F1144" s="43"/>
      <c r="G1144" s="27" t="str">
        <f aca="false">IF(OR(C1144="",AND(D1144="",F1144="")),"",IF(N(E1144)=0,1,E1144)*IF(F1144="",IFERROR(N(INDEX(Produtos!$L$5:$L$104,MATCH(D1144,Produtos!$B$5:$B$104,0))),0),F1144))</f>
        <v/>
      </c>
      <c r="H1144" s="27" t="str">
        <f aca="false">IF(G1144="","",IF(N(E1144)=0,1,E1144)*IFERROR(N(INDEX(Produtos!$G$5:$G$104,MATCH(D1144,Produtos!$B$5:$B$104,0))),0))</f>
        <v/>
      </c>
      <c r="I1144" s="27" t="str">
        <f aca="false">IF(G1144="","",G1144-H1144)</f>
        <v/>
      </c>
      <c r="J1144" s="42"/>
    </row>
    <row r="1145" customFormat="false" ht="21" hidden="false" customHeight="true" outlineLevel="0" collapsed="false">
      <c r="B1145" s="41"/>
      <c r="C1145" s="9"/>
      <c r="D1145" s="9"/>
      <c r="E1145" s="42"/>
      <c r="F1145" s="43"/>
      <c r="G1145" s="27" t="str">
        <f aca="false">IF(OR(C1145="",AND(D1145="",F1145="")),"",IF(N(E1145)=0,1,E1145)*IF(F1145="",IFERROR(N(INDEX(Produtos!$L$5:$L$104,MATCH(D1145,Produtos!$B$5:$B$104,0))),0),F1145))</f>
        <v/>
      </c>
      <c r="H1145" s="27" t="str">
        <f aca="false">IF(G1145="","",IF(N(E1145)=0,1,E1145)*IFERROR(N(INDEX(Produtos!$G$5:$G$104,MATCH(D1145,Produtos!$B$5:$B$104,0))),0))</f>
        <v/>
      </c>
      <c r="I1145" s="27" t="str">
        <f aca="false">IF(G1145="","",G1145-H1145)</f>
        <v/>
      </c>
      <c r="J1145" s="42"/>
    </row>
    <row r="1146" customFormat="false" ht="21" hidden="false" customHeight="true" outlineLevel="0" collapsed="false">
      <c r="B1146" s="41"/>
      <c r="C1146" s="9"/>
      <c r="D1146" s="9"/>
      <c r="E1146" s="42"/>
      <c r="F1146" s="43"/>
      <c r="G1146" s="27" t="str">
        <f aca="false">IF(OR(C1146="",AND(D1146="",F1146="")),"",IF(N(E1146)=0,1,E1146)*IF(F1146="",IFERROR(N(INDEX(Produtos!$L$5:$L$104,MATCH(D1146,Produtos!$B$5:$B$104,0))),0),F1146))</f>
        <v/>
      </c>
      <c r="H1146" s="27" t="str">
        <f aca="false">IF(G1146="","",IF(N(E1146)=0,1,E1146)*IFERROR(N(INDEX(Produtos!$G$5:$G$104,MATCH(D1146,Produtos!$B$5:$B$104,0))),0))</f>
        <v/>
      </c>
      <c r="I1146" s="27" t="str">
        <f aca="false">IF(G1146="","",G1146-H1146)</f>
        <v/>
      </c>
      <c r="J1146" s="42"/>
    </row>
    <row r="1147" customFormat="false" ht="21" hidden="false" customHeight="true" outlineLevel="0" collapsed="false">
      <c r="B1147" s="41"/>
      <c r="C1147" s="9"/>
      <c r="D1147" s="9"/>
      <c r="E1147" s="42"/>
      <c r="F1147" s="43"/>
      <c r="G1147" s="27" t="str">
        <f aca="false">IF(OR(C1147="",AND(D1147="",F1147="")),"",IF(N(E1147)=0,1,E1147)*IF(F1147="",IFERROR(N(INDEX(Produtos!$L$5:$L$104,MATCH(D1147,Produtos!$B$5:$B$104,0))),0),F1147))</f>
        <v/>
      </c>
      <c r="H1147" s="27" t="str">
        <f aca="false">IF(G1147="","",IF(N(E1147)=0,1,E1147)*IFERROR(N(INDEX(Produtos!$G$5:$G$104,MATCH(D1147,Produtos!$B$5:$B$104,0))),0))</f>
        <v/>
      </c>
      <c r="I1147" s="27" t="str">
        <f aca="false">IF(G1147="","",G1147-H1147)</f>
        <v/>
      </c>
      <c r="J1147" s="42"/>
    </row>
    <row r="1148" customFormat="false" ht="21" hidden="false" customHeight="true" outlineLevel="0" collapsed="false">
      <c r="B1148" s="41"/>
      <c r="C1148" s="9"/>
      <c r="D1148" s="9"/>
      <c r="E1148" s="42"/>
      <c r="F1148" s="43"/>
      <c r="G1148" s="27" t="str">
        <f aca="false">IF(OR(C1148="",AND(D1148="",F1148="")),"",IF(N(E1148)=0,1,E1148)*IF(F1148="",IFERROR(N(INDEX(Produtos!$L$5:$L$104,MATCH(D1148,Produtos!$B$5:$B$104,0))),0),F1148))</f>
        <v/>
      </c>
      <c r="H1148" s="27" t="str">
        <f aca="false">IF(G1148="","",IF(N(E1148)=0,1,E1148)*IFERROR(N(INDEX(Produtos!$G$5:$G$104,MATCH(D1148,Produtos!$B$5:$B$104,0))),0))</f>
        <v/>
      </c>
      <c r="I1148" s="27" t="str">
        <f aca="false">IF(G1148="","",G1148-H1148)</f>
        <v/>
      </c>
      <c r="J1148" s="42"/>
    </row>
    <row r="1149" customFormat="false" ht="21" hidden="false" customHeight="true" outlineLevel="0" collapsed="false">
      <c r="B1149" s="41"/>
      <c r="C1149" s="9"/>
      <c r="D1149" s="9"/>
      <c r="E1149" s="42"/>
      <c r="F1149" s="43"/>
      <c r="G1149" s="27" t="str">
        <f aca="false">IF(OR(C1149="",AND(D1149="",F1149="")),"",IF(N(E1149)=0,1,E1149)*IF(F1149="",IFERROR(N(INDEX(Produtos!$L$5:$L$104,MATCH(D1149,Produtos!$B$5:$B$104,0))),0),F1149))</f>
        <v/>
      </c>
      <c r="H1149" s="27" t="str">
        <f aca="false">IF(G1149="","",IF(N(E1149)=0,1,E1149)*IFERROR(N(INDEX(Produtos!$G$5:$G$104,MATCH(D1149,Produtos!$B$5:$B$104,0))),0))</f>
        <v/>
      </c>
      <c r="I1149" s="27" t="str">
        <f aca="false">IF(G1149="","",G1149-H1149)</f>
        <v/>
      </c>
      <c r="J1149" s="42"/>
    </row>
    <row r="1150" customFormat="false" ht="21" hidden="false" customHeight="true" outlineLevel="0" collapsed="false">
      <c r="B1150" s="41"/>
      <c r="C1150" s="9"/>
      <c r="D1150" s="9"/>
      <c r="E1150" s="42"/>
      <c r="F1150" s="43"/>
      <c r="G1150" s="27" t="str">
        <f aca="false">IF(OR(C1150="",AND(D1150="",F1150="")),"",IF(N(E1150)=0,1,E1150)*IF(F1150="",IFERROR(N(INDEX(Produtos!$L$5:$L$104,MATCH(D1150,Produtos!$B$5:$B$104,0))),0),F1150))</f>
        <v/>
      </c>
      <c r="H1150" s="27" t="str">
        <f aca="false">IF(G1150="","",IF(N(E1150)=0,1,E1150)*IFERROR(N(INDEX(Produtos!$G$5:$G$104,MATCH(D1150,Produtos!$B$5:$B$104,0))),0))</f>
        <v/>
      </c>
      <c r="I1150" s="27" t="str">
        <f aca="false">IF(G1150="","",G1150-H1150)</f>
        <v/>
      </c>
      <c r="J1150" s="42"/>
    </row>
    <row r="1151" customFormat="false" ht="21" hidden="false" customHeight="true" outlineLevel="0" collapsed="false">
      <c r="B1151" s="41"/>
      <c r="C1151" s="9"/>
      <c r="D1151" s="9"/>
      <c r="E1151" s="42"/>
      <c r="F1151" s="43"/>
      <c r="G1151" s="27" t="str">
        <f aca="false">IF(OR(C1151="",AND(D1151="",F1151="")),"",IF(N(E1151)=0,1,E1151)*IF(F1151="",IFERROR(N(INDEX(Produtos!$L$5:$L$104,MATCH(D1151,Produtos!$B$5:$B$104,0))),0),F1151))</f>
        <v/>
      </c>
      <c r="H1151" s="27" t="str">
        <f aca="false">IF(G1151="","",IF(N(E1151)=0,1,E1151)*IFERROR(N(INDEX(Produtos!$G$5:$G$104,MATCH(D1151,Produtos!$B$5:$B$104,0))),0))</f>
        <v/>
      </c>
      <c r="I1151" s="27" t="str">
        <f aca="false">IF(G1151="","",G1151-H1151)</f>
        <v/>
      </c>
      <c r="J1151" s="42"/>
    </row>
    <row r="1152" customFormat="false" ht="21" hidden="false" customHeight="true" outlineLevel="0" collapsed="false">
      <c r="B1152" s="41"/>
      <c r="C1152" s="9"/>
      <c r="D1152" s="9"/>
      <c r="E1152" s="42"/>
      <c r="F1152" s="43"/>
      <c r="G1152" s="27" t="str">
        <f aca="false">IF(OR(C1152="",AND(D1152="",F1152="")),"",IF(N(E1152)=0,1,E1152)*IF(F1152="",IFERROR(N(INDEX(Produtos!$L$5:$L$104,MATCH(D1152,Produtos!$B$5:$B$104,0))),0),F1152))</f>
        <v/>
      </c>
      <c r="H1152" s="27" t="str">
        <f aca="false">IF(G1152="","",IF(N(E1152)=0,1,E1152)*IFERROR(N(INDEX(Produtos!$G$5:$G$104,MATCH(D1152,Produtos!$B$5:$B$104,0))),0))</f>
        <v/>
      </c>
      <c r="I1152" s="27" t="str">
        <f aca="false">IF(G1152="","",G1152-H1152)</f>
        <v/>
      </c>
      <c r="J1152" s="42"/>
    </row>
    <row r="1153" customFormat="false" ht="21" hidden="false" customHeight="true" outlineLevel="0" collapsed="false">
      <c r="B1153" s="41"/>
      <c r="C1153" s="9"/>
      <c r="D1153" s="9"/>
      <c r="E1153" s="42"/>
      <c r="F1153" s="43"/>
      <c r="G1153" s="27" t="str">
        <f aca="false">IF(OR(C1153="",AND(D1153="",F1153="")),"",IF(N(E1153)=0,1,E1153)*IF(F1153="",IFERROR(N(INDEX(Produtos!$L$5:$L$104,MATCH(D1153,Produtos!$B$5:$B$104,0))),0),F1153))</f>
        <v/>
      </c>
      <c r="H1153" s="27" t="str">
        <f aca="false">IF(G1153="","",IF(N(E1153)=0,1,E1153)*IFERROR(N(INDEX(Produtos!$G$5:$G$104,MATCH(D1153,Produtos!$B$5:$B$104,0))),0))</f>
        <v/>
      </c>
      <c r="I1153" s="27" t="str">
        <f aca="false">IF(G1153="","",G1153-H1153)</f>
        <v/>
      </c>
      <c r="J1153" s="42"/>
    </row>
    <row r="1154" customFormat="false" ht="21" hidden="false" customHeight="true" outlineLevel="0" collapsed="false">
      <c r="B1154" s="41"/>
      <c r="C1154" s="9"/>
      <c r="D1154" s="9"/>
      <c r="E1154" s="42"/>
      <c r="F1154" s="43"/>
      <c r="G1154" s="27" t="str">
        <f aca="false">IF(OR(C1154="",AND(D1154="",F1154="")),"",IF(N(E1154)=0,1,E1154)*IF(F1154="",IFERROR(N(INDEX(Produtos!$L$5:$L$104,MATCH(D1154,Produtos!$B$5:$B$104,0))),0),F1154))</f>
        <v/>
      </c>
      <c r="H1154" s="27" t="str">
        <f aca="false">IF(G1154="","",IF(N(E1154)=0,1,E1154)*IFERROR(N(INDEX(Produtos!$G$5:$G$104,MATCH(D1154,Produtos!$B$5:$B$104,0))),0))</f>
        <v/>
      </c>
      <c r="I1154" s="27" t="str">
        <f aca="false">IF(G1154="","",G1154-H1154)</f>
        <v/>
      </c>
      <c r="J1154" s="42"/>
    </row>
    <row r="1155" customFormat="false" ht="21" hidden="false" customHeight="true" outlineLevel="0" collapsed="false">
      <c r="B1155" s="41"/>
      <c r="C1155" s="9"/>
      <c r="D1155" s="9"/>
      <c r="E1155" s="42"/>
      <c r="F1155" s="43"/>
      <c r="G1155" s="27" t="str">
        <f aca="false">IF(OR(C1155="",AND(D1155="",F1155="")),"",IF(N(E1155)=0,1,E1155)*IF(F1155="",IFERROR(N(INDEX(Produtos!$L$5:$L$104,MATCH(D1155,Produtos!$B$5:$B$104,0))),0),F1155))</f>
        <v/>
      </c>
      <c r="H1155" s="27" t="str">
        <f aca="false">IF(G1155="","",IF(N(E1155)=0,1,E1155)*IFERROR(N(INDEX(Produtos!$G$5:$G$104,MATCH(D1155,Produtos!$B$5:$B$104,0))),0))</f>
        <v/>
      </c>
      <c r="I1155" s="27" t="str">
        <f aca="false">IF(G1155="","",G1155-H1155)</f>
        <v/>
      </c>
      <c r="J1155" s="42"/>
    </row>
    <row r="1156" customFormat="false" ht="21" hidden="false" customHeight="true" outlineLevel="0" collapsed="false">
      <c r="B1156" s="41"/>
      <c r="C1156" s="9"/>
      <c r="D1156" s="9"/>
      <c r="E1156" s="42"/>
      <c r="F1156" s="43"/>
      <c r="G1156" s="27" t="str">
        <f aca="false">IF(OR(C1156="",AND(D1156="",F1156="")),"",IF(N(E1156)=0,1,E1156)*IF(F1156="",IFERROR(N(INDEX(Produtos!$L$5:$L$104,MATCH(D1156,Produtos!$B$5:$B$104,0))),0),F1156))</f>
        <v/>
      </c>
      <c r="H1156" s="27" t="str">
        <f aca="false">IF(G1156="","",IF(N(E1156)=0,1,E1156)*IFERROR(N(INDEX(Produtos!$G$5:$G$104,MATCH(D1156,Produtos!$B$5:$B$104,0))),0))</f>
        <v/>
      </c>
      <c r="I1156" s="27" t="str">
        <f aca="false">IF(G1156="","",G1156-H1156)</f>
        <v/>
      </c>
      <c r="J1156" s="42"/>
    </row>
    <row r="1157" customFormat="false" ht="21" hidden="false" customHeight="true" outlineLevel="0" collapsed="false">
      <c r="B1157" s="41"/>
      <c r="C1157" s="9"/>
      <c r="D1157" s="9"/>
      <c r="E1157" s="42"/>
      <c r="F1157" s="43"/>
      <c r="G1157" s="27" t="str">
        <f aca="false">IF(OR(C1157="",AND(D1157="",F1157="")),"",IF(N(E1157)=0,1,E1157)*IF(F1157="",IFERROR(N(INDEX(Produtos!$L$5:$L$104,MATCH(D1157,Produtos!$B$5:$B$104,0))),0),F1157))</f>
        <v/>
      </c>
      <c r="H1157" s="27" t="str">
        <f aca="false">IF(G1157="","",IF(N(E1157)=0,1,E1157)*IFERROR(N(INDEX(Produtos!$G$5:$G$104,MATCH(D1157,Produtos!$B$5:$B$104,0))),0))</f>
        <v/>
      </c>
      <c r="I1157" s="27" t="str">
        <f aca="false">IF(G1157="","",G1157-H1157)</f>
        <v/>
      </c>
      <c r="J1157" s="42"/>
    </row>
    <row r="1158" customFormat="false" ht="21" hidden="false" customHeight="true" outlineLevel="0" collapsed="false">
      <c r="B1158" s="41"/>
      <c r="C1158" s="9"/>
      <c r="D1158" s="9"/>
      <c r="E1158" s="42"/>
      <c r="F1158" s="43"/>
      <c r="G1158" s="27" t="str">
        <f aca="false">IF(OR(C1158="",AND(D1158="",F1158="")),"",IF(N(E1158)=0,1,E1158)*IF(F1158="",IFERROR(N(INDEX(Produtos!$L$5:$L$104,MATCH(D1158,Produtos!$B$5:$B$104,0))),0),F1158))</f>
        <v/>
      </c>
      <c r="H1158" s="27" t="str">
        <f aca="false">IF(G1158="","",IF(N(E1158)=0,1,E1158)*IFERROR(N(INDEX(Produtos!$G$5:$G$104,MATCH(D1158,Produtos!$B$5:$B$104,0))),0))</f>
        <v/>
      </c>
      <c r="I1158" s="27" t="str">
        <f aca="false">IF(G1158="","",G1158-H1158)</f>
        <v/>
      </c>
      <c r="J1158" s="42"/>
    </row>
    <row r="1159" customFormat="false" ht="21" hidden="false" customHeight="true" outlineLevel="0" collapsed="false">
      <c r="B1159" s="41"/>
      <c r="C1159" s="9"/>
      <c r="D1159" s="9"/>
      <c r="E1159" s="42"/>
      <c r="F1159" s="43"/>
      <c r="G1159" s="27" t="str">
        <f aca="false">IF(OR(C1159="",AND(D1159="",F1159="")),"",IF(N(E1159)=0,1,E1159)*IF(F1159="",IFERROR(N(INDEX(Produtos!$L$5:$L$104,MATCH(D1159,Produtos!$B$5:$B$104,0))),0),F1159))</f>
        <v/>
      </c>
      <c r="H1159" s="27" t="str">
        <f aca="false">IF(G1159="","",IF(N(E1159)=0,1,E1159)*IFERROR(N(INDEX(Produtos!$G$5:$G$104,MATCH(D1159,Produtos!$B$5:$B$104,0))),0))</f>
        <v/>
      </c>
      <c r="I1159" s="27" t="str">
        <f aca="false">IF(G1159="","",G1159-H1159)</f>
        <v/>
      </c>
      <c r="J1159" s="42"/>
    </row>
    <row r="1160" customFormat="false" ht="21" hidden="false" customHeight="true" outlineLevel="0" collapsed="false">
      <c r="B1160" s="41"/>
      <c r="C1160" s="9"/>
      <c r="D1160" s="9"/>
      <c r="E1160" s="42"/>
      <c r="F1160" s="43"/>
      <c r="G1160" s="27" t="str">
        <f aca="false">IF(OR(C1160="",AND(D1160="",F1160="")),"",IF(N(E1160)=0,1,E1160)*IF(F1160="",IFERROR(N(INDEX(Produtos!$L$5:$L$104,MATCH(D1160,Produtos!$B$5:$B$104,0))),0),F1160))</f>
        <v/>
      </c>
      <c r="H1160" s="27" t="str">
        <f aca="false">IF(G1160="","",IF(N(E1160)=0,1,E1160)*IFERROR(N(INDEX(Produtos!$G$5:$G$104,MATCH(D1160,Produtos!$B$5:$B$104,0))),0))</f>
        <v/>
      </c>
      <c r="I1160" s="27" t="str">
        <f aca="false">IF(G1160="","",G1160-H1160)</f>
        <v/>
      </c>
      <c r="J1160" s="42"/>
    </row>
    <row r="1161" customFormat="false" ht="21" hidden="false" customHeight="true" outlineLevel="0" collapsed="false">
      <c r="B1161" s="41"/>
      <c r="C1161" s="9"/>
      <c r="D1161" s="9"/>
      <c r="E1161" s="42"/>
      <c r="F1161" s="43"/>
      <c r="G1161" s="27" t="str">
        <f aca="false">IF(OR(C1161="",AND(D1161="",F1161="")),"",IF(N(E1161)=0,1,E1161)*IF(F1161="",IFERROR(N(INDEX(Produtos!$L$5:$L$104,MATCH(D1161,Produtos!$B$5:$B$104,0))),0),F1161))</f>
        <v/>
      </c>
      <c r="H1161" s="27" t="str">
        <f aca="false">IF(G1161="","",IF(N(E1161)=0,1,E1161)*IFERROR(N(INDEX(Produtos!$G$5:$G$104,MATCH(D1161,Produtos!$B$5:$B$104,0))),0))</f>
        <v/>
      </c>
      <c r="I1161" s="27" t="str">
        <f aca="false">IF(G1161="","",G1161-H1161)</f>
        <v/>
      </c>
      <c r="J1161" s="42"/>
    </row>
    <row r="1162" customFormat="false" ht="21" hidden="false" customHeight="true" outlineLevel="0" collapsed="false">
      <c r="B1162" s="41"/>
      <c r="C1162" s="9"/>
      <c r="D1162" s="9"/>
      <c r="E1162" s="42"/>
      <c r="F1162" s="43"/>
      <c r="G1162" s="27" t="str">
        <f aca="false">IF(OR(C1162="",AND(D1162="",F1162="")),"",IF(N(E1162)=0,1,E1162)*IF(F1162="",IFERROR(N(INDEX(Produtos!$L$5:$L$104,MATCH(D1162,Produtos!$B$5:$B$104,0))),0),F1162))</f>
        <v/>
      </c>
      <c r="H1162" s="27" t="str">
        <f aca="false">IF(G1162="","",IF(N(E1162)=0,1,E1162)*IFERROR(N(INDEX(Produtos!$G$5:$G$104,MATCH(D1162,Produtos!$B$5:$B$104,0))),0))</f>
        <v/>
      </c>
      <c r="I1162" s="27" t="str">
        <f aca="false">IF(G1162="","",G1162-H1162)</f>
        <v/>
      </c>
      <c r="J1162" s="42"/>
    </row>
    <row r="1163" customFormat="false" ht="21" hidden="false" customHeight="true" outlineLevel="0" collapsed="false">
      <c r="B1163" s="41"/>
      <c r="C1163" s="9"/>
      <c r="D1163" s="9"/>
      <c r="E1163" s="42"/>
      <c r="F1163" s="43"/>
      <c r="G1163" s="27" t="str">
        <f aca="false">IF(OR(C1163="",AND(D1163="",F1163="")),"",IF(N(E1163)=0,1,E1163)*IF(F1163="",IFERROR(N(INDEX(Produtos!$L$5:$L$104,MATCH(D1163,Produtos!$B$5:$B$104,0))),0),F1163))</f>
        <v/>
      </c>
      <c r="H1163" s="27" t="str">
        <f aca="false">IF(G1163="","",IF(N(E1163)=0,1,E1163)*IFERROR(N(INDEX(Produtos!$G$5:$G$104,MATCH(D1163,Produtos!$B$5:$B$104,0))),0))</f>
        <v/>
      </c>
      <c r="I1163" s="27" t="str">
        <f aca="false">IF(G1163="","",G1163-H1163)</f>
        <v/>
      </c>
      <c r="J1163" s="42"/>
    </row>
    <row r="1164" customFormat="false" ht="21" hidden="false" customHeight="true" outlineLevel="0" collapsed="false">
      <c r="B1164" s="41"/>
      <c r="C1164" s="9"/>
      <c r="D1164" s="9"/>
      <c r="E1164" s="42"/>
      <c r="F1164" s="43"/>
      <c r="G1164" s="27" t="str">
        <f aca="false">IF(OR(C1164="",AND(D1164="",F1164="")),"",IF(N(E1164)=0,1,E1164)*IF(F1164="",IFERROR(N(INDEX(Produtos!$L$5:$L$104,MATCH(D1164,Produtos!$B$5:$B$104,0))),0),F1164))</f>
        <v/>
      </c>
      <c r="H1164" s="27" t="str">
        <f aca="false">IF(G1164="","",IF(N(E1164)=0,1,E1164)*IFERROR(N(INDEX(Produtos!$G$5:$G$104,MATCH(D1164,Produtos!$B$5:$B$104,0))),0))</f>
        <v/>
      </c>
      <c r="I1164" s="27" t="str">
        <f aca="false">IF(G1164="","",G1164-H1164)</f>
        <v/>
      </c>
      <c r="J1164" s="42"/>
    </row>
    <row r="1165" customFormat="false" ht="21" hidden="false" customHeight="true" outlineLevel="0" collapsed="false">
      <c r="B1165" s="41"/>
      <c r="C1165" s="9"/>
      <c r="D1165" s="9"/>
      <c r="E1165" s="42"/>
      <c r="F1165" s="43"/>
      <c r="G1165" s="27" t="str">
        <f aca="false">IF(OR(C1165="",AND(D1165="",F1165="")),"",IF(N(E1165)=0,1,E1165)*IF(F1165="",IFERROR(N(INDEX(Produtos!$L$5:$L$104,MATCH(D1165,Produtos!$B$5:$B$104,0))),0),F1165))</f>
        <v/>
      </c>
      <c r="H1165" s="27" t="str">
        <f aca="false">IF(G1165="","",IF(N(E1165)=0,1,E1165)*IFERROR(N(INDEX(Produtos!$G$5:$G$104,MATCH(D1165,Produtos!$B$5:$B$104,0))),0))</f>
        <v/>
      </c>
      <c r="I1165" s="27" t="str">
        <f aca="false">IF(G1165="","",G1165-H1165)</f>
        <v/>
      </c>
      <c r="J1165" s="42"/>
    </row>
    <row r="1166" customFormat="false" ht="21" hidden="false" customHeight="true" outlineLevel="0" collapsed="false">
      <c r="B1166" s="41"/>
      <c r="C1166" s="9"/>
      <c r="D1166" s="9"/>
      <c r="E1166" s="42"/>
      <c r="F1166" s="43"/>
      <c r="G1166" s="27" t="str">
        <f aca="false">IF(OR(C1166="",AND(D1166="",F1166="")),"",IF(N(E1166)=0,1,E1166)*IF(F1166="",IFERROR(N(INDEX(Produtos!$L$5:$L$104,MATCH(D1166,Produtos!$B$5:$B$104,0))),0),F1166))</f>
        <v/>
      </c>
      <c r="H1166" s="27" t="str">
        <f aca="false">IF(G1166="","",IF(N(E1166)=0,1,E1166)*IFERROR(N(INDEX(Produtos!$G$5:$G$104,MATCH(D1166,Produtos!$B$5:$B$104,0))),0))</f>
        <v/>
      </c>
      <c r="I1166" s="27" t="str">
        <f aca="false">IF(G1166="","",G1166-H1166)</f>
        <v/>
      </c>
      <c r="J1166" s="42"/>
    </row>
    <row r="1167" customFormat="false" ht="21" hidden="false" customHeight="true" outlineLevel="0" collapsed="false">
      <c r="B1167" s="41"/>
      <c r="C1167" s="9"/>
      <c r="D1167" s="9"/>
      <c r="E1167" s="42"/>
      <c r="F1167" s="43"/>
      <c r="G1167" s="27" t="str">
        <f aca="false">IF(OR(C1167="",AND(D1167="",F1167="")),"",IF(N(E1167)=0,1,E1167)*IF(F1167="",IFERROR(N(INDEX(Produtos!$L$5:$L$104,MATCH(D1167,Produtos!$B$5:$B$104,0))),0),F1167))</f>
        <v/>
      </c>
      <c r="H1167" s="27" t="str">
        <f aca="false">IF(G1167="","",IF(N(E1167)=0,1,E1167)*IFERROR(N(INDEX(Produtos!$G$5:$G$104,MATCH(D1167,Produtos!$B$5:$B$104,0))),0))</f>
        <v/>
      </c>
      <c r="I1167" s="27" t="str">
        <f aca="false">IF(G1167="","",G1167-H1167)</f>
        <v/>
      </c>
      <c r="J1167" s="42"/>
    </row>
    <row r="1168" customFormat="false" ht="21" hidden="false" customHeight="true" outlineLevel="0" collapsed="false">
      <c r="B1168" s="41"/>
      <c r="C1168" s="9"/>
      <c r="D1168" s="9"/>
      <c r="E1168" s="42"/>
      <c r="F1168" s="43"/>
      <c r="G1168" s="27" t="str">
        <f aca="false">IF(OR(C1168="",AND(D1168="",F1168="")),"",IF(N(E1168)=0,1,E1168)*IF(F1168="",IFERROR(N(INDEX(Produtos!$L$5:$L$104,MATCH(D1168,Produtos!$B$5:$B$104,0))),0),F1168))</f>
        <v/>
      </c>
      <c r="H1168" s="27" t="str">
        <f aca="false">IF(G1168="","",IF(N(E1168)=0,1,E1168)*IFERROR(N(INDEX(Produtos!$G$5:$G$104,MATCH(D1168,Produtos!$B$5:$B$104,0))),0))</f>
        <v/>
      </c>
      <c r="I1168" s="27" t="str">
        <f aca="false">IF(G1168="","",G1168-H1168)</f>
        <v/>
      </c>
      <c r="J1168" s="42"/>
    </row>
    <row r="1169" customFormat="false" ht="21" hidden="false" customHeight="true" outlineLevel="0" collapsed="false">
      <c r="B1169" s="41"/>
      <c r="C1169" s="9"/>
      <c r="D1169" s="9"/>
      <c r="E1169" s="42"/>
      <c r="F1169" s="43"/>
      <c r="G1169" s="27" t="str">
        <f aca="false">IF(OR(C1169="",AND(D1169="",F1169="")),"",IF(N(E1169)=0,1,E1169)*IF(F1169="",IFERROR(N(INDEX(Produtos!$L$5:$L$104,MATCH(D1169,Produtos!$B$5:$B$104,0))),0),F1169))</f>
        <v/>
      </c>
      <c r="H1169" s="27" t="str">
        <f aca="false">IF(G1169="","",IF(N(E1169)=0,1,E1169)*IFERROR(N(INDEX(Produtos!$G$5:$G$104,MATCH(D1169,Produtos!$B$5:$B$104,0))),0))</f>
        <v/>
      </c>
      <c r="I1169" s="27" t="str">
        <f aca="false">IF(G1169="","",G1169-H1169)</f>
        <v/>
      </c>
      <c r="J1169" s="42"/>
    </row>
    <row r="1170" customFormat="false" ht="21" hidden="false" customHeight="true" outlineLevel="0" collapsed="false">
      <c r="B1170" s="41"/>
      <c r="C1170" s="9"/>
      <c r="D1170" s="9"/>
      <c r="E1170" s="42"/>
      <c r="F1170" s="43"/>
      <c r="G1170" s="27" t="str">
        <f aca="false">IF(OR(C1170="",AND(D1170="",F1170="")),"",IF(N(E1170)=0,1,E1170)*IF(F1170="",IFERROR(N(INDEX(Produtos!$L$5:$L$104,MATCH(D1170,Produtos!$B$5:$B$104,0))),0),F1170))</f>
        <v/>
      </c>
      <c r="H1170" s="27" t="str">
        <f aca="false">IF(G1170="","",IF(N(E1170)=0,1,E1170)*IFERROR(N(INDEX(Produtos!$G$5:$G$104,MATCH(D1170,Produtos!$B$5:$B$104,0))),0))</f>
        <v/>
      </c>
      <c r="I1170" s="27" t="str">
        <f aca="false">IF(G1170="","",G1170-H1170)</f>
        <v/>
      </c>
      <c r="J1170" s="42"/>
    </row>
    <row r="1171" customFormat="false" ht="21" hidden="false" customHeight="true" outlineLevel="0" collapsed="false">
      <c r="B1171" s="41"/>
      <c r="C1171" s="9"/>
      <c r="D1171" s="9"/>
      <c r="E1171" s="42"/>
      <c r="F1171" s="43"/>
      <c r="G1171" s="27" t="str">
        <f aca="false">IF(OR(C1171="",AND(D1171="",F1171="")),"",IF(N(E1171)=0,1,E1171)*IF(F1171="",IFERROR(N(INDEX(Produtos!$L$5:$L$104,MATCH(D1171,Produtos!$B$5:$B$104,0))),0),F1171))</f>
        <v/>
      </c>
      <c r="H1171" s="27" t="str">
        <f aca="false">IF(G1171="","",IF(N(E1171)=0,1,E1171)*IFERROR(N(INDEX(Produtos!$G$5:$G$104,MATCH(D1171,Produtos!$B$5:$B$104,0))),0))</f>
        <v/>
      </c>
      <c r="I1171" s="27" t="str">
        <f aca="false">IF(G1171="","",G1171-H1171)</f>
        <v/>
      </c>
      <c r="J1171" s="42"/>
    </row>
    <row r="1172" customFormat="false" ht="21" hidden="false" customHeight="true" outlineLevel="0" collapsed="false">
      <c r="B1172" s="41"/>
      <c r="C1172" s="9"/>
      <c r="D1172" s="9"/>
      <c r="E1172" s="42"/>
      <c r="F1172" s="43"/>
      <c r="G1172" s="27" t="str">
        <f aca="false">IF(OR(C1172="",AND(D1172="",F1172="")),"",IF(N(E1172)=0,1,E1172)*IF(F1172="",IFERROR(N(INDEX(Produtos!$L$5:$L$104,MATCH(D1172,Produtos!$B$5:$B$104,0))),0),F1172))</f>
        <v/>
      </c>
      <c r="H1172" s="27" t="str">
        <f aca="false">IF(G1172="","",IF(N(E1172)=0,1,E1172)*IFERROR(N(INDEX(Produtos!$G$5:$G$104,MATCH(D1172,Produtos!$B$5:$B$104,0))),0))</f>
        <v/>
      </c>
      <c r="I1172" s="27" t="str">
        <f aca="false">IF(G1172="","",G1172-H1172)</f>
        <v/>
      </c>
      <c r="J1172" s="42"/>
    </row>
    <row r="1173" customFormat="false" ht="21" hidden="false" customHeight="true" outlineLevel="0" collapsed="false">
      <c r="B1173" s="41"/>
      <c r="C1173" s="9"/>
      <c r="D1173" s="9"/>
      <c r="E1173" s="42"/>
      <c r="F1173" s="43"/>
      <c r="G1173" s="27" t="str">
        <f aca="false">IF(OR(C1173="",AND(D1173="",F1173="")),"",IF(N(E1173)=0,1,E1173)*IF(F1173="",IFERROR(N(INDEX(Produtos!$L$5:$L$104,MATCH(D1173,Produtos!$B$5:$B$104,0))),0),F1173))</f>
        <v/>
      </c>
      <c r="H1173" s="27" t="str">
        <f aca="false">IF(G1173="","",IF(N(E1173)=0,1,E1173)*IFERROR(N(INDEX(Produtos!$G$5:$G$104,MATCH(D1173,Produtos!$B$5:$B$104,0))),0))</f>
        <v/>
      </c>
      <c r="I1173" s="27" t="str">
        <f aca="false">IF(G1173="","",G1173-H1173)</f>
        <v/>
      </c>
      <c r="J1173" s="42"/>
    </row>
    <row r="1174" customFormat="false" ht="21" hidden="false" customHeight="true" outlineLevel="0" collapsed="false">
      <c r="B1174" s="41"/>
      <c r="C1174" s="9"/>
      <c r="D1174" s="9"/>
      <c r="E1174" s="42"/>
      <c r="F1174" s="43"/>
      <c r="G1174" s="27" t="str">
        <f aca="false">IF(OR(C1174="",AND(D1174="",F1174="")),"",IF(N(E1174)=0,1,E1174)*IF(F1174="",IFERROR(N(INDEX(Produtos!$L$5:$L$104,MATCH(D1174,Produtos!$B$5:$B$104,0))),0),F1174))</f>
        <v/>
      </c>
      <c r="H1174" s="27" t="str">
        <f aca="false">IF(G1174="","",IF(N(E1174)=0,1,E1174)*IFERROR(N(INDEX(Produtos!$G$5:$G$104,MATCH(D1174,Produtos!$B$5:$B$104,0))),0))</f>
        <v/>
      </c>
      <c r="I1174" s="27" t="str">
        <f aca="false">IF(G1174="","",G1174-H1174)</f>
        <v/>
      </c>
      <c r="J1174" s="42"/>
    </row>
    <row r="1175" customFormat="false" ht="21" hidden="false" customHeight="true" outlineLevel="0" collapsed="false">
      <c r="B1175" s="41"/>
      <c r="C1175" s="9"/>
      <c r="D1175" s="9"/>
      <c r="E1175" s="42"/>
      <c r="F1175" s="43"/>
      <c r="G1175" s="27" t="str">
        <f aca="false">IF(OR(C1175="",AND(D1175="",F1175="")),"",IF(N(E1175)=0,1,E1175)*IF(F1175="",IFERROR(N(INDEX(Produtos!$L$5:$L$104,MATCH(D1175,Produtos!$B$5:$B$104,0))),0),F1175))</f>
        <v/>
      </c>
      <c r="H1175" s="27" t="str">
        <f aca="false">IF(G1175="","",IF(N(E1175)=0,1,E1175)*IFERROR(N(INDEX(Produtos!$G$5:$G$104,MATCH(D1175,Produtos!$B$5:$B$104,0))),0))</f>
        <v/>
      </c>
      <c r="I1175" s="27" t="str">
        <f aca="false">IF(G1175="","",G1175-H1175)</f>
        <v/>
      </c>
      <c r="J1175" s="42"/>
    </row>
    <row r="1176" customFormat="false" ht="21" hidden="false" customHeight="true" outlineLevel="0" collapsed="false">
      <c r="B1176" s="41"/>
      <c r="C1176" s="9"/>
      <c r="D1176" s="9"/>
      <c r="E1176" s="42"/>
      <c r="F1176" s="43"/>
      <c r="G1176" s="27" t="str">
        <f aca="false">IF(OR(C1176="",AND(D1176="",F1176="")),"",IF(N(E1176)=0,1,E1176)*IF(F1176="",IFERROR(N(INDEX(Produtos!$L$5:$L$104,MATCH(D1176,Produtos!$B$5:$B$104,0))),0),F1176))</f>
        <v/>
      </c>
      <c r="H1176" s="27" t="str">
        <f aca="false">IF(G1176="","",IF(N(E1176)=0,1,E1176)*IFERROR(N(INDEX(Produtos!$G$5:$G$104,MATCH(D1176,Produtos!$B$5:$B$104,0))),0))</f>
        <v/>
      </c>
      <c r="I1176" s="27" t="str">
        <f aca="false">IF(G1176="","",G1176-H1176)</f>
        <v/>
      </c>
      <c r="J1176" s="42"/>
    </row>
    <row r="1177" customFormat="false" ht="21" hidden="false" customHeight="true" outlineLevel="0" collapsed="false">
      <c r="B1177" s="41"/>
      <c r="C1177" s="9"/>
      <c r="D1177" s="9"/>
      <c r="E1177" s="42"/>
      <c r="F1177" s="43"/>
      <c r="G1177" s="27" t="str">
        <f aca="false">IF(OR(C1177="",AND(D1177="",F1177="")),"",IF(N(E1177)=0,1,E1177)*IF(F1177="",IFERROR(N(INDEX(Produtos!$L$5:$L$104,MATCH(D1177,Produtos!$B$5:$B$104,0))),0),F1177))</f>
        <v/>
      </c>
      <c r="H1177" s="27" t="str">
        <f aca="false">IF(G1177="","",IF(N(E1177)=0,1,E1177)*IFERROR(N(INDEX(Produtos!$G$5:$G$104,MATCH(D1177,Produtos!$B$5:$B$104,0))),0))</f>
        <v/>
      </c>
      <c r="I1177" s="27" t="str">
        <f aca="false">IF(G1177="","",G1177-H1177)</f>
        <v/>
      </c>
      <c r="J1177" s="42"/>
    </row>
    <row r="1178" customFormat="false" ht="21" hidden="false" customHeight="true" outlineLevel="0" collapsed="false">
      <c r="B1178" s="41"/>
      <c r="C1178" s="9"/>
      <c r="D1178" s="9"/>
      <c r="E1178" s="42"/>
      <c r="F1178" s="43"/>
      <c r="G1178" s="27" t="str">
        <f aca="false">IF(OR(C1178="",AND(D1178="",F1178="")),"",IF(N(E1178)=0,1,E1178)*IF(F1178="",IFERROR(N(INDEX(Produtos!$L$5:$L$104,MATCH(D1178,Produtos!$B$5:$B$104,0))),0),F1178))</f>
        <v/>
      </c>
      <c r="H1178" s="27" t="str">
        <f aca="false">IF(G1178="","",IF(N(E1178)=0,1,E1178)*IFERROR(N(INDEX(Produtos!$G$5:$G$104,MATCH(D1178,Produtos!$B$5:$B$104,0))),0))</f>
        <v/>
      </c>
      <c r="I1178" s="27" t="str">
        <f aca="false">IF(G1178="","",G1178-H1178)</f>
        <v/>
      </c>
      <c r="J1178" s="42"/>
    </row>
    <row r="1179" customFormat="false" ht="21" hidden="false" customHeight="true" outlineLevel="0" collapsed="false">
      <c r="B1179" s="41"/>
      <c r="C1179" s="9"/>
      <c r="D1179" s="9"/>
      <c r="E1179" s="42"/>
      <c r="F1179" s="43"/>
      <c r="G1179" s="27" t="str">
        <f aca="false">IF(OR(C1179="",AND(D1179="",F1179="")),"",IF(N(E1179)=0,1,E1179)*IF(F1179="",IFERROR(N(INDEX(Produtos!$L$5:$L$104,MATCH(D1179,Produtos!$B$5:$B$104,0))),0),F1179))</f>
        <v/>
      </c>
      <c r="H1179" s="27" t="str">
        <f aca="false">IF(G1179="","",IF(N(E1179)=0,1,E1179)*IFERROR(N(INDEX(Produtos!$G$5:$G$104,MATCH(D1179,Produtos!$B$5:$B$104,0))),0))</f>
        <v/>
      </c>
      <c r="I1179" s="27" t="str">
        <f aca="false">IF(G1179="","",G1179-H1179)</f>
        <v/>
      </c>
      <c r="J1179" s="42"/>
    </row>
    <row r="1180" customFormat="false" ht="21" hidden="false" customHeight="true" outlineLevel="0" collapsed="false">
      <c r="B1180" s="41"/>
      <c r="C1180" s="9"/>
      <c r="D1180" s="9"/>
      <c r="E1180" s="42"/>
      <c r="F1180" s="43"/>
      <c r="G1180" s="27" t="str">
        <f aca="false">IF(OR(C1180="",AND(D1180="",F1180="")),"",IF(N(E1180)=0,1,E1180)*IF(F1180="",IFERROR(N(INDEX(Produtos!$L$5:$L$104,MATCH(D1180,Produtos!$B$5:$B$104,0))),0),F1180))</f>
        <v/>
      </c>
      <c r="H1180" s="27" t="str">
        <f aca="false">IF(G1180="","",IF(N(E1180)=0,1,E1180)*IFERROR(N(INDEX(Produtos!$G$5:$G$104,MATCH(D1180,Produtos!$B$5:$B$104,0))),0))</f>
        <v/>
      </c>
      <c r="I1180" s="27" t="str">
        <f aca="false">IF(G1180="","",G1180-H1180)</f>
        <v/>
      </c>
      <c r="J1180" s="42"/>
    </row>
    <row r="1181" customFormat="false" ht="21" hidden="false" customHeight="true" outlineLevel="0" collapsed="false">
      <c r="B1181" s="41"/>
      <c r="C1181" s="9"/>
      <c r="D1181" s="9"/>
      <c r="E1181" s="42"/>
      <c r="F1181" s="43"/>
      <c r="G1181" s="27" t="str">
        <f aca="false">IF(OR(C1181="",AND(D1181="",F1181="")),"",IF(N(E1181)=0,1,E1181)*IF(F1181="",IFERROR(N(INDEX(Produtos!$L$5:$L$104,MATCH(D1181,Produtos!$B$5:$B$104,0))),0),F1181))</f>
        <v/>
      </c>
      <c r="H1181" s="27" t="str">
        <f aca="false">IF(G1181="","",IF(N(E1181)=0,1,E1181)*IFERROR(N(INDEX(Produtos!$G$5:$G$104,MATCH(D1181,Produtos!$B$5:$B$104,0))),0))</f>
        <v/>
      </c>
      <c r="I1181" s="27" t="str">
        <f aca="false">IF(G1181="","",G1181-H1181)</f>
        <v/>
      </c>
      <c r="J1181" s="42"/>
    </row>
    <row r="1182" customFormat="false" ht="21" hidden="false" customHeight="true" outlineLevel="0" collapsed="false">
      <c r="B1182" s="41"/>
      <c r="C1182" s="9"/>
      <c r="D1182" s="9"/>
      <c r="E1182" s="42"/>
      <c r="F1182" s="43"/>
      <c r="G1182" s="27" t="str">
        <f aca="false">IF(OR(C1182="",AND(D1182="",F1182="")),"",IF(N(E1182)=0,1,E1182)*IF(F1182="",IFERROR(N(INDEX(Produtos!$L$5:$L$104,MATCH(D1182,Produtos!$B$5:$B$104,0))),0),F1182))</f>
        <v/>
      </c>
      <c r="H1182" s="27" t="str">
        <f aca="false">IF(G1182="","",IF(N(E1182)=0,1,E1182)*IFERROR(N(INDEX(Produtos!$G$5:$G$104,MATCH(D1182,Produtos!$B$5:$B$104,0))),0))</f>
        <v/>
      </c>
      <c r="I1182" s="27" t="str">
        <f aca="false">IF(G1182="","",G1182-H1182)</f>
        <v/>
      </c>
      <c r="J1182" s="42"/>
    </row>
    <row r="1183" customFormat="false" ht="21" hidden="false" customHeight="true" outlineLevel="0" collapsed="false">
      <c r="B1183" s="41"/>
      <c r="C1183" s="9"/>
      <c r="D1183" s="9"/>
      <c r="E1183" s="42"/>
      <c r="F1183" s="43"/>
      <c r="G1183" s="27" t="str">
        <f aca="false">IF(OR(C1183="",AND(D1183="",F1183="")),"",IF(N(E1183)=0,1,E1183)*IF(F1183="",IFERROR(N(INDEX(Produtos!$L$5:$L$104,MATCH(D1183,Produtos!$B$5:$B$104,0))),0),F1183))</f>
        <v/>
      </c>
      <c r="H1183" s="27" t="str">
        <f aca="false">IF(G1183="","",IF(N(E1183)=0,1,E1183)*IFERROR(N(INDEX(Produtos!$G$5:$G$104,MATCH(D1183,Produtos!$B$5:$B$104,0))),0))</f>
        <v/>
      </c>
      <c r="I1183" s="27" t="str">
        <f aca="false">IF(G1183="","",G1183-H1183)</f>
        <v/>
      </c>
      <c r="J1183" s="42"/>
    </row>
    <row r="1184" customFormat="false" ht="21" hidden="false" customHeight="true" outlineLevel="0" collapsed="false">
      <c r="B1184" s="41"/>
      <c r="C1184" s="9"/>
      <c r="D1184" s="9"/>
      <c r="E1184" s="42"/>
      <c r="F1184" s="43"/>
      <c r="G1184" s="27" t="str">
        <f aca="false">IF(OR(C1184="",AND(D1184="",F1184="")),"",IF(N(E1184)=0,1,E1184)*IF(F1184="",IFERROR(N(INDEX(Produtos!$L$5:$L$104,MATCH(D1184,Produtos!$B$5:$B$104,0))),0),F1184))</f>
        <v/>
      </c>
      <c r="H1184" s="27" t="str">
        <f aca="false">IF(G1184="","",IF(N(E1184)=0,1,E1184)*IFERROR(N(INDEX(Produtos!$G$5:$G$104,MATCH(D1184,Produtos!$B$5:$B$104,0))),0))</f>
        <v/>
      </c>
      <c r="I1184" s="27" t="str">
        <f aca="false">IF(G1184="","",G1184-H1184)</f>
        <v/>
      </c>
      <c r="J1184" s="42"/>
    </row>
    <row r="1185" customFormat="false" ht="21" hidden="false" customHeight="true" outlineLevel="0" collapsed="false">
      <c r="B1185" s="41"/>
      <c r="C1185" s="9"/>
      <c r="D1185" s="9"/>
      <c r="E1185" s="42"/>
      <c r="F1185" s="43"/>
      <c r="G1185" s="27" t="str">
        <f aca="false">IF(OR(C1185="",AND(D1185="",F1185="")),"",IF(N(E1185)=0,1,E1185)*IF(F1185="",IFERROR(N(INDEX(Produtos!$L$5:$L$104,MATCH(D1185,Produtos!$B$5:$B$104,0))),0),F1185))</f>
        <v/>
      </c>
      <c r="H1185" s="27" t="str">
        <f aca="false">IF(G1185="","",IF(N(E1185)=0,1,E1185)*IFERROR(N(INDEX(Produtos!$G$5:$G$104,MATCH(D1185,Produtos!$B$5:$B$104,0))),0))</f>
        <v/>
      </c>
      <c r="I1185" s="27" t="str">
        <f aca="false">IF(G1185="","",G1185-H1185)</f>
        <v/>
      </c>
      <c r="J1185" s="42"/>
    </row>
    <row r="1186" customFormat="false" ht="21" hidden="false" customHeight="true" outlineLevel="0" collapsed="false">
      <c r="B1186" s="41"/>
      <c r="C1186" s="9"/>
      <c r="D1186" s="9"/>
      <c r="E1186" s="42"/>
      <c r="F1186" s="43"/>
      <c r="G1186" s="27" t="str">
        <f aca="false">IF(OR(C1186="",AND(D1186="",F1186="")),"",IF(N(E1186)=0,1,E1186)*IF(F1186="",IFERROR(N(INDEX(Produtos!$L$5:$L$104,MATCH(D1186,Produtos!$B$5:$B$104,0))),0),F1186))</f>
        <v/>
      </c>
      <c r="H1186" s="27" t="str">
        <f aca="false">IF(G1186="","",IF(N(E1186)=0,1,E1186)*IFERROR(N(INDEX(Produtos!$G$5:$G$104,MATCH(D1186,Produtos!$B$5:$B$104,0))),0))</f>
        <v/>
      </c>
      <c r="I1186" s="27" t="str">
        <f aca="false">IF(G1186="","",G1186-H1186)</f>
        <v/>
      </c>
      <c r="J1186" s="42"/>
    </row>
    <row r="1187" customFormat="false" ht="21" hidden="false" customHeight="true" outlineLevel="0" collapsed="false">
      <c r="B1187" s="41"/>
      <c r="C1187" s="9"/>
      <c r="D1187" s="9"/>
      <c r="E1187" s="42"/>
      <c r="F1187" s="43"/>
      <c r="G1187" s="27" t="str">
        <f aca="false">IF(OR(C1187="",AND(D1187="",F1187="")),"",IF(N(E1187)=0,1,E1187)*IF(F1187="",IFERROR(N(INDEX(Produtos!$L$5:$L$104,MATCH(D1187,Produtos!$B$5:$B$104,0))),0),F1187))</f>
        <v/>
      </c>
      <c r="H1187" s="27" t="str">
        <f aca="false">IF(G1187="","",IF(N(E1187)=0,1,E1187)*IFERROR(N(INDEX(Produtos!$G$5:$G$104,MATCH(D1187,Produtos!$B$5:$B$104,0))),0))</f>
        <v/>
      </c>
      <c r="I1187" s="27" t="str">
        <f aca="false">IF(G1187="","",G1187-H1187)</f>
        <v/>
      </c>
      <c r="J1187" s="42"/>
    </row>
    <row r="1188" customFormat="false" ht="21" hidden="false" customHeight="true" outlineLevel="0" collapsed="false">
      <c r="B1188" s="41"/>
      <c r="C1188" s="9"/>
      <c r="D1188" s="9"/>
      <c r="E1188" s="42"/>
      <c r="F1188" s="43"/>
      <c r="G1188" s="27" t="str">
        <f aca="false">IF(OR(C1188="",AND(D1188="",F1188="")),"",IF(N(E1188)=0,1,E1188)*IF(F1188="",IFERROR(N(INDEX(Produtos!$L$5:$L$104,MATCH(D1188,Produtos!$B$5:$B$104,0))),0),F1188))</f>
        <v/>
      </c>
      <c r="H1188" s="27" t="str">
        <f aca="false">IF(G1188="","",IF(N(E1188)=0,1,E1188)*IFERROR(N(INDEX(Produtos!$G$5:$G$104,MATCH(D1188,Produtos!$B$5:$B$104,0))),0))</f>
        <v/>
      </c>
      <c r="I1188" s="27" t="str">
        <f aca="false">IF(G1188="","",G1188-H1188)</f>
        <v/>
      </c>
      <c r="J1188" s="42"/>
    </row>
    <row r="1189" customFormat="false" ht="21" hidden="false" customHeight="true" outlineLevel="0" collapsed="false">
      <c r="B1189" s="41"/>
      <c r="C1189" s="9"/>
      <c r="D1189" s="9"/>
      <c r="E1189" s="42"/>
      <c r="F1189" s="43"/>
      <c r="G1189" s="27" t="str">
        <f aca="false">IF(OR(C1189="",AND(D1189="",F1189="")),"",IF(N(E1189)=0,1,E1189)*IF(F1189="",IFERROR(N(INDEX(Produtos!$L$5:$L$104,MATCH(D1189,Produtos!$B$5:$B$104,0))),0),F1189))</f>
        <v/>
      </c>
      <c r="H1189" s="27" t="str">
        <f aca="false">IF(G1189="","",IF(N(E1189)=0,1,E1189)*IFERROR(N(INDEX(Produtos!$G$5:$G$104,MATCH(D1189,Produtos!$B$5:$B$104,0))),0))</f>
        <v/>
      </c>
      <c r="I1189" s="27" t="str">
        <f aca="false">IF(G1189="","",G1189-H1189)</f>
        <v/>
      </c>
      <c r="J1189" s="42"/>
    </row>
    <row r="1190" customFormat="false" ht="21" hidden="false" customHeight="true" outlineLevel="0" collapsed="false">
      <c r="B1190" s="41"/>
      <c r="C1190" s="9"/>
      <c r="D1190" s="9"/>
      <c r="E1190" s="42"/>
      <c r="F1190" s="43"/>
      <c r="G1190" s="27" t="str">
        <f aca="false">IF(OR(C1190="",AND(D1190="",F1190="")),"",IF(N(E1190)=0,1,E1190)*IF(F1190="",IFERROR(N(INDEX(Produtos!$L$5:$L$104,MATCH(D1190,Produtos!$B$5:$B$104,0))),0),F1190))</f>
        <v/>
      </c>
      <c r="H1190" s="27" t="str">
        <f aca="false">IF(G1190="","",IF(N(E1190)=0,1,E1190)*IFERROR(N(INDEX(Produtos!$G$5:$G$104,MATCH(D1190,Produtos!$B$5:$B$104,0))),0))</f>
        <v/>
      </c>
      <c r="I1190" s="27" t="str">
        <f aca="false">IF(G1190="","",G1190-H1190)</f>
        <v/>
      </c>
      <c r="J1190" s="42"/>
    </row>
    <row r="1191" customFormat="false" ht="21" hidden="false" customHeight="true" outlineLevel="0" collapsed="false">
      <c r="B1191" s="41"/>
      <c r="C1191" s="9"/>
      <c r="D1191" s="9"/>
      <c r="E1191" s="42"/>
      <c r="F1191" s="43"/>
      <c r="G1191" s="27" t="str">
        <f aca="false">IF(OR(C1191="",AND(D1191="",F1191="")),"",IF(N(E1191)=0,1,E1191)*IF(F1191="",IFERROR(N(INDEX(Produtos!$L$5:$L$104,MATCH(D1191,Produtos!$B$5:$B$104,0))),0),F1191))</f>
        <v/>
      </c>
      <c r="H1191" s="27" t="str">
        <f aca="false">IF(G1191="","",IF(N(E1191)=0,1,E1191)*IFERROR(N(INDEX(Produtos!$G$5:$G$104,MATCH(D1191,Produtos!$B$5:$B$104,0))),0))</f>
        <v/>
      </c>
      <c r="I1191" s="27" t="str">
        <f aca="false">IF(G1191="","",G1191-H1191)</f>
        <v/>
      </c>
      <c r="J1191" s="42"/>
    </row>
    <row r="1192" customFormat="false" ht="21" hidden="false" customHeight="true" outlineLevel="0" collapsed="false">
      <c r="B1192" s="41"/>
      <c r="C1192" s="9"/>
      <c r="D1192" s="9"/>
      <c r="E1192" s="42"/>
      <c r="F1192" s="43"/>
      <c r="G1192" s="27" t="str">
        <f aca="false">IF(OR(C1192="",AND(D1192="",F1192="")),"",IF(N(E1192)=0,1,E1192)*IF(F1192="",IFERROR(N(INDEX(Produtos!$L$5:$L$104,MATCH(D1192,Produtos!$B$5:$B$104,0))),0),F1192))</f>
        <v/>
      </c>
      <c r="H1192" s="27" t="str">
        <f aca="false">IF(G1192="","",IF(N(E1192)=0,1,E1192)*IFERROR(N(INDEX(Produtos!$G$5:$G$104,MATCH(D1192,Produtos!$B$5:$B$104,0))),0))</f>
        <v/>
      </c>
      <c r="I1192" s="27" t="str">
        <f aca="false">IF(G1192="","",G1192-H1192)</f>
        <v/>
      </c>
      <c r="J1192" s="42"/>
    </row>
    <row r="1193" customFormat="false" ht="21" hidden="false" customHeight="true" outlineLevel="0" collapsed="false">
      <c r="B1193" s="41"/>
      <c r="C1193" s="9"/>
      <c r="D1193" s="9"/>
      <c r="E1193" s="42"/>
      <c r="F1193" s="43"/>
      <c r="G1193" s="27" t="str">
        <f aca="false">IF(OR(C1193="",AND(D1193="",F1193="")),"",IF(N(E1193)=0,1,E1193)*IF(F1193="",IFERROR(N(INDEX(Produtos!$L$5:$L$104,MATCH(D1193,Produtos!$B$5:$B$104,0))),0),F1193))</f>
        <v/>
      </c>
      <c r="H1193" s="27" t="str">
        <f aca="false">IF(G1193="","",IF(N(E1193)=0,1,E1193)*IFERROR(N(INDEX(Produtos!$G$5:$G$104,MATCH(D1193,Produtos!$B$5:$B$104,0))),0))</f>
        <v/>
      </c>
      <c r="I1193" s="27" t="str">
        <f aca="false">IF(G1193="","",G1193-H1193)</f>
        <v/>
      </c>
      <c r="J1193" s="42"/>
    </row>
    <row r="1194" customFormat="false" ht="21" hidden="false" customHeight="true" outlineLevel="0" collapsed="false">
      <c r="B1194" s="41"/>
      <c r="C1194" s="9"/>
      <c r="D1194" s="9"/>
      <c r="E1194" s="42"/>
      <c r="F1194" s="43"/>
      <c r="G1194" s="27" t="str">
        <f aca="false">IF(OR(C1194="",AND(D1194="",F1194="")),"",IF(N(E1194)=0,1,E1194)*IF(F1194="",IFERROR(N(INDEX(Produtos!$L$5:$L$104,MATCH(D1194,Produtos!$B$5:$B$104,0))),0),F1194))</f>
        <v/>
      </c>
      <c r="H1194" s="27" t="str">
        <f aca="false">IF(G1194="","",IF(N(E1194)=0,1,E1194)*IFERROR(N(INDEX(Produtos!$G$5:$G$104,MATCH(D1194,Produtos!$B$5:$B$104,0))),0))</f>
        <v/>
      </c>
      <c r="I1194" s="27" t="str">
        <f aca="false">IF(G1194="","",G1194-H1194)</f>
        <v/>
      </c>
      <c r="J1194" s="42"/>
    </row>
    <row r="1195" customFormat="false" ht="21" hidden="false" customHeight="true" outlineLevel="0" collapsed="false">
      <c r="B1195" s="41"/>
      <c r="C1195" s="9"/>
      <c r="D1195" s="9"/>
      <c r="E1195" s="42"/>
      <c r="F1195" s="43"/>
      <c r="G1195" s="27" t="str">
        <f aca="false">IF(OR(C1195="",AND(D1195="",F1195="")),"",IF(N(E1195)=0,1,E1195)*IF(F1195="",IFERROR(N(INDEX(Produtos!$L$5:$L$104,MATCH(D1195,Produtos!$B$5:$B$104,0))),0),F1195))</f>
        <v/>
      </c>
      <c r="H1195" s="27" t="str">
        <f aca="false">IF(G1195="","",IF(N(E1195)=0,1,E1195)*IFERROR(N(INDEX(Produtos!$G$5:$G$104,MATCH(D1195,Produtos!$B$5:$B$104,0))),0))</f>
        <v/>
      </c>
      <c r="I1195" s="27" t="str">
        <f aca="false">IF(G1195="","",G1195-H1195)</f>
        <v/>
      </c>
      <c r="J1195" s="42"/>
    </row>
    <row r="1196" customFormat="false" ht="21" hidden="false" customHeight="true" outlineLevel="0" collapsed="false">
      <c r="B1196" s="41"/>
      <c r="C1196" s="9"/>
      <c r="D1196" s="9"/>
      <c r="E1196" s="42"/>
      <c r="F1196" s="43"/>
      <c r="G1196" s="27" t="str">
        <f aca="false">IF(OR(C1196="",AND(D1196="",F1196="")),"",IF(N(E1196)=0,1,E1196)*IF(F1196="",IFERROR(N(INDEX(Produtos!$L$5:$L$104,MATCH(D1196,Produtos!$B$5:$B$104,0))),0),F1196))</f>
        <v/>
      </c>
      <c r="H1196" s="27" t="str">
        <f aca="false">IF(G1196="","",IF(N(E1196)=0,1,E1196)*IFERROR(N(INDEX(Produtos!$G$5:$G$104,MATCH(D1196,Produtos!$B$5:$B$104,0))),0))</f>
        <v/>
      </c>
      <c r="I1196" s="27" t="str">
        <f aca="false">IF(G1196="","",G1196-H1196)</f>
        <v/>
      </c>
      <c r="J1196" s="42"/>
    </row>
    <row r="1197" customFormat="false" ht="21" hidden="false" customHeight="true" outlineLevel="0" collapsed="false">
      <c r="B1197" s="41"/>
      <c r="C1197" s="9"/>
      <c r="D1197" s="9"/>
      <c r="E1197" s="42"/>
      <c r="F1197" s="43"/>
      <c r="G1197" s="27" t="str">
        <f aca="false">IF(OR(C1197="",AND(D1197="",F1197="")),"",IF(N(E1197)=0,1,E1197)*IF(F1197="",IFERROR(N(INDEX(Produtos!$L$5:$L$104,MATCH(D1197,Produtos!$B$5:$B$104,0))),0),F1197))</f>
        <v/>
      </c>
      <c r="H1197" s="27" t="str">
        <f aca="false">IF(G1197="","",IF(N(E1197)=0,1,E1197)*IFERROR(N(INDEX(Produtos!$G$5:$G$104,MATCH(D1197,Produtos!$B$5:$B$104,0))),0))</f>
        <v/>
      </c>
      <c r="I1197" s="27" t="str">
        <f aca="false">IF(G1197="","",G1197-H1197)</f>
        <v/>
      </c>
      <c r="J1197" s="42"/>
    </row>
    <row r="1198" customFormat="false" ht="21" hidden="false" customHeight="true" outlineLevel="0" collapsed="false">
      <c r="B1198" s="41"/>
      <c r="C1198" s="9"/>
      <c r="D1198" s="9"/>
      <c r="E1198" s="42"/>
      <c r="F1198" s="43"/>
      <c r="G1198" s="27" t="str">
        <f aca="false">IF(OR(C1198="",AND(D1198="",F1198="")),"",IF(N(E1198)=0,1,E1198)*IF(F1198="",IFERROR(N(INDEX(Produtos!$L$5:$L$104,MATCH(D1198,Produtos!$B$5:$B$104,0))),0),F1198))</f>
        <v/>
      </c>
      <c r="H1198" s="27" t="str">
        <f aca="false">IF(G1198="","",IF(N(E1198)=0,1,E1198)*IFERROR(N(INDEX(Produtos!$G$5:$G$104,MATCH(D1198,Produtos!$B$5:$B$104,0))),0))</f>
        <v/>
      </c>
      <c r="I1198" s="27" t="str">
        <f aca="false">IF(G1198="","",G1198-H1198)</f>
        <v/>
      </c>
      <c r="J1198" s="42"/>
    </row>
    <row r="1199" customFormat="false" ht="21" hidden="false" customHeight="true" outlineLevel="0" collapsed="false">
      <c r="B1199" s="41"/>
      <c r="C1199" s="9"/>
      <c r="D1199" s="9"/>
      <c r="E1199" s="42"/>
      <c r="F1199" s="43"/>
      <c r="G1199" s="27" t="str">
        <f aca="false">IF(OR(C1199="",AND(D1199="",F1199="")),"",IF(N(E1199)=0,1,E1199)*IF(F1199="",IFERROR(N(INDEX(Produtos!$L$5:$L$104,MATCH(D1199,Produtos!$B$5:$B$104,0))),0),F1199))</f>
        <v/>
      </c>
      <c r="H1199" s="27" t="str">
        <f aca="false">IF(G1199="","",IF(N(E1199)=0,1,E1199)*IFERROR(N(INDEX(Produtos!$G$5:$G$104,MATCH(D1199,Produtos!$B$5:$B$104,0))),0))</f>
        <v/>
      </c>
      <c r="I1199" s="27" t="str">
        <f aca="false">IF(G1199="","",G1199-H1199)</f>
        <v/>
      </c>
      <c r="J1199" s="42"/>
    </row>
    <row r="1200" customFormat="false" ht="21" hidden="false" customHeight="true" outlineLevel="0" collapsed="false">
      <c r="B1200" s="41"/>
      <c r="C1200" s="9"/>
      <c r="D1200" s="9"/>
      <c r="E1200" s="42"/>
      <c r="F1200" s="43"/>
      <c r="G1200" s="27" t="str">
        <f aca="false">IF(OR(C1200="",AND(D1200="",F1200="")),"",IF(N(E1200)=0,1,E1200)*IF(F1200="",IFERROR(N(INDEX(Produtos!$L$5:$L$104,MATCH(D1200,Produtos!$B$5:$B$104,0))),0),F1200))</f>
        <v/>
      </c>
      <c r="H1200" s="27" t="str">
        <f aca="false">IF(G1200="","",IF(N(E1200)=0,1,E1200)*IFERROR(N(INDEX(Produtos!$G$5:$G$104,MATCH(D1200,Produtos!$B$5:$B$104,0))),0))</f>
        <v/>
      </c>
      <c r="I1200" s="27" t="str">
        <f aca="false">IF(G1200="","",G1200-H1200)</f>
        <v/>
      </c>
      <c r="J1200" s="42"/>
    </row>
    <row r="1201" customFormat="false" ht="21" hidden="false" customHeight="true" outlineLevel="0" collapsed="false">
      <c r="B1201" s="41"/>
      <c r="C1201" s="9"/>
      <c r="D1201" s="9"/>
      <c r="E1201" s="42"/>
      <c r="F1201" s="43"/>
      <c r="G1201" s="27" t="str">
        <f aca="false">IF(OR(C1201="",AND(D1201="",F1201="")),"",IF(N(E1201)=0,1,E1201)*IF(F1201="",IFERROR(N(INDEX(Produtos!$L$5:$L$104,MATCH(D1201,Produtos!$B$5:$B$104,0))),0),F1201))</f>
        <v/>
      </c>
      <c r="H1201" s="27" t="str">
        <f aca="false">IF(G1201="","",IF(N(E1201)=0,1,E1201)*IFERROR(N(INDEX(Produtos!$G$5:$G$104,MATCH(D1201,Produtos!$B$5:$B$104,0))),0))</f>
        <v/>
      </c>
      <c r="I1201" s="27" t="str">
        <f aca="false">IF(G1201="","",G1201-H1201)</f>
        <v/>
      </c>
      <c r="J1201" s="42"/>
    </row>
    <row r="1202" customFormat="false" ht="21" hidden="false" customHeight="true" outlineLevel="0" collapsed="false">
      <c r="B1202" s="41"/>
      <c r="C1202" s="9"/>
      <c r="D1202" s="9"/>
      <c r="E1202" s="42"/>
      <c r="F1202" s="43"/>
      <c r="G1202" s="27" t="str">
        <f aca="false">IF(OR(C1202="",AND(D1202="",F1202="")),"",IF(N(E1202)=0,1,E1202)*IF(F1202="",IFERROR(N(INDEX(Produtos!$L$5:$L$104,MATCH(D1202,Produtos!$B$5:$B$104,0))),0),F1202))</f>
        <v/>
      </c>
      <c r="H1202" s="27" t="str">
        <f aca="false">IF(G1202="","",IF(N(E1202)=0,1,E1202)*IFERROR(N(INDEX(Produtos!$G$5:$G$104,MATCH(D1202,Produtos!$B$5:$B$104,0))),0))</f>
        <v/>
      </c>
      <c r="I1202" s="27" t="str">
        <f aca="false">IF(G1202="","",G1202-H1202)</f>
        <v/>
      </c>
      <c r="J1202" s="42"/>
    </row>
    <row r="1203" customFormat="false" ht="21" hidden="false" customHeight="true" outlineLevel="0" collapsed="false">
      <c r="B1203" s="41"/>
      <c r="C1203" s="9"/>
      <c r="D1203" s="9"/>
      <c r="E1203" s="42"/>
      <c r="F1203" s="43"/>
      <c r="G1203" s="27" t="str">
        <f aca="false">IF(OR(C1203="",AND(D1203="",F1203="")),"",IF(N(E1203)=0,1,E1203)*IF(F1203="",IFERROR(N(INDEX(Produtos!$L$5:$L$104,MATCH(D1203,Produtos!$B$5:$B$104,0))),0),F1203))</f>
        <v/>
      </c>
      <c r="H1203" s="27" t="str">
        <f aca="false">IF(G1203="","",IF(N(E1203)=0,1,E1203)*IFERROR(N(INDEX(Produtos!$G$5:$G$104,MATCH(D1203,Produtos!$B$5:$B$104,0))),0))</f>
        <v/>
      </c>
      <c r="I1203" s="27" t="str">
        <f aca="false">IF(G1203="","",G1203-H1203)</f>
        <v/>
      </c>
      <c r="J1203" s="42"/>
    </row>
    <row r="1204" customFormat="false" ht="21" hidden="false" customHeight="true" outlineLevel="0" collapsed="false">
      <c r="B1204" s="41"/>
      <c r="C1204" s="9"/>
      <c r="D1204" s="9"/>
      <c r="E1204" s="42"/>
      <c r="F1204" s="43"/>
      <c r="G1204" s="27" t="str">
        <f aca="false">IF(OR(C1204="",AND(D1204="",F1204="")),"",IF(N(E1204)=0,1,E1204)*IF(F1204="",IFERROR(N(INDEX(Produtos!$L$5:$L$104,MATCH(D1204,Produtos!$B$5:$B$104,0))),0),F1204))</f>
        <v/>
      </c>
      <c r="H1204" s="27" t="str">
        <f aca="false">IF(G1204="","",IF(N(E1204)=0,1,E1204)*IFERROR(N(INDEX(Produtos!$G$5:$G$104,MATCH(D1204,Produtos!$B$5:$B$104,0))),0))</f>
        <v/>
      </c>
      <c r="I1204" s="27" t="str">
        <f aca="false">IF(G1204="","",G1204-H1204)</f>
        <v/>
      </c>
      <c r="J1204" s="42"/>
    </row>
    <row r="1205" customFormat="false" ht="21" hidden="false" customHeight="true" outlineLevel="0" collapsed="false">
      <c r="B1205" s="41"/>
      <c r="C1205" s="9"/>
      <c r="D1205" s="9"/>
      <c r="E1205" s="42"/>
      <c r="F1205" s="43"/>
      <c r="G1205" s="27" t="str">
        <f aca="false">IF(OR(C1205="",AND(D1205="",F1205="")),"",IF(N(E1205)=0,1,E1205)*IF(F1205="",IFERROR(N(INDEX(Produtos!$L$5:$L$104,MATCH(D1205,Produtos!$B$5:$B$104,0))),0),F1205))</f>
        <v/>
      </c>
      <c r="H1205" s="27" t="str">
        <f aca="false">IF(G1205="","",IF(N(E1205)=0,1,E1205)*IFERROR(N(INDEX(Produtos!$G$5:$G$104,MATCH(D1205,Produtos!$B$5:$B$104,0))),0))</f>
        <v/>
      </c>
      <c r="I1205" s="27" t="str">
        <f aca="false">IF(G1205="","",G1205-H1205)</f>
        <v/>
      </c>
      <c r="J1205" s="42"/>
    </row>
    <row r="1206" customFormat="false" ht="21" hidden="false" customHeight="true" outlineLevel="0" collapsed="false">
      <c r="B1206" s="41"/>
      <c r="C1206" s="9"/>
      <c r="D1206" s="9"/>
      <c r="E1206" s="42"/>
      <c r="F1206" s="43"/>
      <c r="G1206" s="27" t="str">
        <f aca="false">IF(OR(C1206="",AND(D1206="",F1206="")),"",IF(N(E1206)=0,1,E1206)*IF(F1206="",IFERROR(N(INDEX(Produtos!$L$5:$L$104,MATCH(D1206,Produtos!$B$5:$B$104,0))),0),F1206))</f>
        <v/>
      </c>
      <c r="H1206" s="27" t="str">
        <f aca="false">IF(G1206="","",IF(N(E1206)=0,1,E1206)*IFERROR(N(INDEX(Produtos!$G$5:$G$104,MATCH(D1206,Produtos!$B$5:$B$104,0))),0))</f>
        <v/>
      </c>
      <c r="I1206" s="27" t="str">
        <f aca="false">IF(G1206="","",G1206-H1206)</f>
        <v/>
      </c>
      <c r="J1206" s="42"/>
    </row>
    <row r="1207" customFormat="false" ht="21" hidden="false" customHeight="true" outlineLevel="0" collapsed="false">
      <c r="B1207" s="41"/>
      <c r="C1207" s="9"/>
      <c r="D1207" s="9"/>
      <c r="E1207" s="42"/>
      <c r="F1207" s="43"/>
      <c r="G1207" s="27" t="str">
        <f aca="false">IF(OR(C1207="",AND(D1207="",F1207="")),"",IF(N(E1207)=0,1,E1207)*IF(F1207="",IFERROR(N(INDEX(Produtos!$L$5:$L$104,MATCH(D1207,Produtos!$B$5:$B$104,0))),0),F1207))</f>
        <v/>
      </c>
      <c r="H1207" s="27" t="str">
        <f aca="false">IF(G1207="","",IF(N(E1207)=0,1,E1207)*IFERROR(N(INDEX(Produtos!$G$5:$G$104,MATCH(D1207,Produtos!$B$5:$B$104,0))),0))</f>
        <v/>
      </c>
      <c r="I1207" s="27" t="str">
        <f aca="false">IF(G1207="","",G1207-H1207)</f>
        <v/>
      </c>
      <c r="J1207" s="42"/>
    </row>
    <row r="1208" customFormat="false" ht="21" hidden="false" customHeight="true" outlineLevel="0" collapsed="false">
      <c r="B1208" s="41"/>
      <c r="C1208" s="9"/>
      <c r="D1208" s="9"/>
      <c r="E1208" s="42"/>
      <c r="F1208" s="43"/>
      <c r="G1208" s="27" t="str">
        <f aca="false">IF(OR(C1208="",AND(D1208="",F1208="")),"",IF(N(E1208)=0,1,E1208)*IF(F1208="",IFERROR(N(INDEX(Produtos!$L$5:$L$104,MATCH(D1208,Produtos!$B$5:$B$104,0))),0),F1208))</f>
        <v/>
      </c>
      <c r="H1208" s="27" t="str">
        <f aca="false">IF(G1208="","",IF(N(E1208)=0,1,E1208)*IFERROR(N(INDEX(Produtos!$G$5:$G$104,MATCH(D1208,Produtos!$B$5:$B$104,0))),0))</f>
        <v/>
      </c>
      <c r="I1208" s="27" t="str">
        <f aca="false">IF(G1208="","",G1208-H1208)</f>
        <v/>
      </c>
      <c r="J1208" s="42"/>
    </row>
    <row r="1209" customFormat="false" ht="21" hidden="false" customHeight="true" outlineLevel="0" collapsed="false">
      <c r="B1209" s="41"/>
      <c r="C1209" s="9"/>
      <c r="D1209" s="9"/>
      <c r="E1209" s="42"/>
      <c r="F1209" s="43"/>
      <c r="G1209" s="27" t="str">
        <f aca="false">IF(OR(C1209="",AND(D1209="",F1209="")),"",IF(N(E1209)=0,1,E1209)*IF(F1209="",IFERROR(N(INDEX(Produtos!$L$5:$L$104,MATCH(D1209,Produtos!$B$5:$B$104,0))),0),F1209))</f>
        <v/>
      </c>
      <c r="H1209" s="27" t="str">
        <f aca="false">IF(G1209="","",IF(N(E1209)=0,1,E1209)*IFERROR(N(INDEX(Produtos!$G$5:$G$104,MATCH(D1209,Produtos!$B$5:$B$104,0))),0))</f>
        <v/>
      </c>
      <c r="I1209" s="27" t="str">
        <f aca="false">IF(G1209="","",G1209-H1209)</f>
        <v/>
      </c>
      <c r="J1209" s="42"/>
    </row>
    <row r="1210" customFormat="false" ht="21" hidden="false" customHeight="true" outlineLevel="0" collapsed="false">
      <c r="B1210" s="41"/>
      <c r="C1210" s="9"/>
      <c r="D1210" s="9"/>
      <c r="E1210" s="42"/>
      <c r="F1210" s="43"/>
      <c r="G1210" s="27" t="str">
        <f aca="false">IF(OR(C1210="",AND(D1210="",F1210="")),"",IF(N(E1210)=0,1,E1210)*IF(F1210="",IFERROR(N(INDEX(Produtos!$L$5:$L$104,MATCH(D1210,Produtos!$B$5:$B$104,0))),0),F1210))</f>
        <v/>
      </c>
      <c r="H1210" s="27" t="str">
        <f aca="false">IF(G1210="","",IF(N(E1210)=0,1,E1210)*IFERROR(N(INDEX(Produtos!$G$5:$G$104,MATCH(D1210,Produtos!$B$5:$B$104,0))),0))</f>
        <v/>
      </c>
      <c r="I1210" s="27" t="str">
        <f aca="false">IF(G1210="","",G1210-H1210)</f>
        <v/>
      </c>
      <c r="J1210" s="42"/>
    </row>
    <row r="1211" customFormat="false" ht="21" hidden="false" customHeight="true" outlineLevel="0" collapsed="false">
      <c r="B1211" s="41"/>
      <c r="C1211" s="9"/>
      <c r="D1211" s="9"/>
      <c r="E1211" s="42"/>
      <c r="F1211" s="43"/>
      <c r="G1211" s="27" t="str">
        <f aca="false">IF(OR(C1211="",AND(D1211="",F1211="")),"",IF(N(E1211)=0,1,E1211)*IF(F1211="",IFERROR(N(INDEX(Produtos!$L$5:$L$104,MATCH(D1211,Produtos!$B$5:$B$104,0))),0),F1211))</f>
        <v/>
      </c>
      <c r="H1211" s="27" t="str">
        <f aca="false">IF(G1211="","",IF(N(E1211)=0,1,E1211)*IFERROR(N(INDEX(Produtos!$G$5:$G$104,MATCH(D1211,Produtos!$B$5:$B$104,0))),0))</f>
        <v/>
      </c>
      <c r="I1211" s="27" t="str">
        <f aca="false">IF(G1211="","",G1211-H1211)</f>
        <v/>
      </c>
      <c r="J1211" s="42"/>
    </row>
    <row r="1212" customFormat="false" ht="21" hidden="false" customHeight="true" outlineLevel="0" collapsed="false">
      <c r="B1212" s="41"/>
      <c r="C1212" s="9"/>
      <c r="D1212" s="9"/>
      <c r="E1212" s="42"/>
      <c r="F1212" s="43"/>
      <c r="G1212" s="27" t="str">
        <f aca="false">IF(OR(C1212="",AND(D1212="",F1212="")),"",IF(N(E1212)=0,1,E1212)*IF(F1212="",IFERROR(N(INDEX(Produtos!$L$5:$L$104,MATCH(D1212,Produtos!$B$5:$B$104,0))),0),F1212))</f>
        <v/>
      </c>
      <c r="H1212" s="27" t="str">
        <f aca="false">IF(G1212="","",IF(N(E1212)=0,1,E1212)*IFERROR(N(INDEX(Produtos!$G$5:$G$104,MATCH(D1212,Produtos!$B$5:$B$104,0))),0))</f>
        <v/>
      </c>
      <c r="I1212" s="27" t="str">
        <f aca="false">IF(G1212="","",G1212-H1212)</f>
        <v/>
      </c>
      <c r="J1212" s="42"/>
    </row>
    <row r="1213" customFormat="false" ht="21" hidden="false" customHeight="true" outlineLevel="0" collapsed="false">
      <c r="B1213" s="41"/>
      <c r="C1213" s="9"/>
      <c r="D1213" s="9"/>
      <c r="E1213" s="42"/>
      <c r="F1213" s="43"/>
      <c r="G1213" s="27" t="str">
        <f aca="false">IF(OR(C1213="",AND(D1213="",F1213="")),"",IF(N(E1213)=0,1,E1213)*IF(F1213="",IFERROR(N(INDEX(Produtos!$L$5:$L$104,MATCH(D1213,Produtos!$B$5:$B$104,0))),0),F1213))</f>
        <v/>
      </c>
      <c r="H1213" s="27" t="str">
        <f aca="false">IF(G1213="","",IF(N(E1213)=0,1,E1213)*IFERROR(N(INDEX(Produtos!$G$5:$G$104,MATCH(D1213,Produtos!$B$5:$B$104,0))),0))</f>
        <v/>
      </c>
      <c r="I1213" s="27" t="str">
        <f aca="false">IF(G1213="","",G1213-H1213)</f>
        <v/>
      </c>
      <c r="J1213" s="42"/>
    </row>
    <row r="1214" customFormat="false" ht="21" hidden="false" customHeight="true" outlineLevel="0" collapsed="false">
      <c r="B1214" s="41"/>
      <c r="C1214" s="9"/>
      <c r="D1214" s="9"/>
      <c r="E1214" s="42"/>
      <c r="F1214" s="43"/>
      <c r="G1214" s="27" t="str">
        <f aca="false">IF(OR(C1214="",AND(D1214="",F1214="")),"",IF(N(E1214)=0,1,E1214)*IF(F1214="",IFERROR(N(INDEX(Produtos!$L$5:$L$104,MATCH(D1214,Produtos!$B$5:$B$104,0))),0),F1214))</f>
        <v/>
      </c>
      <c r="H1214" s="27" t="str">
        <f aca="false">IF(G1214="","",IF(N(E1214)=0,1,E1214)*IFERROR(N(INDEX(Produtos!$G$5:$G$104,MATCH(D1214,Produtos!$B$5:$B$104,0))),0))</f>
        <v/>
      </c>
      <c r="I1214" s="27" t="str">
        <f aca="false">IF(G1214="","",G1214-H1214)</f>
        <v/>
      </c>
      <c r="J1214" s="42"/>
    </row>
    <row r="1215" customFormat="false" ht="21" hidden="false" customHeight="true" outlineLevel="0" collapsed="false">
      <c r="B1215" s="41"/>
      <c r="C1215" s="9"/>
      <c r="D1215" s="9"/>
      <c r="E1215" s="42"/>
      <c r="F1215" s="43"/>
      <c r="G1215" s="27" t="str">
        <f aca="false">IF(OR(C1215="",AND(D1215="",F1215="")),"",IF(N(E1215)=0,1,E1215)*IF(F1215="",IFERROR(N(INDEX(Produtos!$L$5:$L$104,MATCH(D1215,Produtos!$B$5:$B$104,0))),0),F1215))</f>
        <v/>
      </c>
      <c r="H1215" s="27" t="str">
        <f aca="false">IF(G1215="","",IF(N(E1215)=0,1,E1215)*IFERROR(N(INDEX(Produtos!$G$5:$G$104,MATCH(D1215,Produtos!$B$5:$B$104,0))),0))</f>
        <v/>
      </c>
      <c r="I1215" s="27" t="str">
        <f aca="false">IF(G1215="","",G1215-H1215)</f>
        <v/>
      </c>
      <c r="J1215" s="42"/>
    </row>
    <row r="1216" customFormat="false" ht="21" hidden="false" customHeight="true" outlineLevel="0" collapsed="false">
      <c r="B1216" s="41"/>
      <c r="C1216" s="9"/>
      <c r="D1216" s="9"/>
      <c r="E1216" s="42"/>
      <c r="F1216" s="43"/>
      <c r="G1216" s="27" t="str">
        <f aca="false">IF(OR(C1216="",AND(D1216="",F1216="")),"",IF(N(E1216)=0,1,E1216)*IF(F1216="",IFERROR(N(INDEX(Produtos!$L$5:$L$104,MATCH(D1216,Produtos!$B$5:$B$104,0))),0),F1216))</f>
        <v/>
      </c>
      <c r="H1216" s="27" t="str">
        <f aca="false">IF(G1216="","",IF(N(E1216)=0,1,E1216)*IFERROR(N(INDEX(Produtos!$G$5:$G$104,MATCH(D1216,Produtos!$B$5:$B$104,0))),0))</f>
        <v/>
      </c>
      <c r="I1216" s="27" t="str">
        <f aca="false">IF(G1216="","",G1216-H1216)</f>
        <v/>
      </c>
      <c r="J1216" s="42"/>
    </row>
    <row r="1217" customFormat="false" ht="21" hidden="false" customHeight="true" outlineLevel="0" collapsed="false">
      <c r="B1217" s="41"/>
      <c r="C1217" s="9"/>
      <c r="D1217" s="9"/>
      <c r="E1217" s="42"/>
      <c r="F1217" s="43"/>
      <c r="G1217" s="27" t="str">
        <f aca="false">IF(OR(C1217="",AND(D1217="",F1217="")),"",IF(N(E1217)=0,1,E1217)*IF(F1217="",IFERROR(N(INDEX(Produtos!$L$5:$L$104,MATCH(D1217,Produtos!$B$5:$B$104,0))),0),F1217))</f>
        <v/>
      </c>
      <c r="H1217" s="27" t="str">
        <f aca="false">IF(G1217="","",IF(N(E1217)=0,1,E1217)*IFERROR(N(INDEX(Produtos!$G$5:$G$104,MATCH(D1217,Produtos!$B$5:$B$104,0))),0))</f>
        <v/>
      </c>
      <c r="I1217" s="27" t="str">
        <f aca="false">IF(G1217="","",G1217-H1217)</f>
        <v/>
      </c>
      <c r="J1217" s="42"/>
    </row>
    <row r="1218" customFormat="false" ht="21" hidden="false" customHeight="true" outlineLevel="0" collapsed="false">
      <c r="B1218" s="41"/>
      <c r="C1218" s="9"/>
      <c r="D1218" s="9"/>
      <c r="E1218" s="42"/>
      <c r="F1218" s="43"/>
      <c r="G1218" s="27" t="str">
        <f aca="false">IF(OR(C1218="",AND(D1218="",F1218="")),"",IF(N(E1218)=0,1,E1218)*IF(F1218="",IFERROR(N(INDEX(Produtos!$L$5:$L$104,MATCH(D1218,Produtos!$B$5:$B$104,0))),0),F1218))</f>
        <v/>
      </c>
      <c r="H1218" s="27" t="str">
        <f aca="false">IF(G1218="","",IF(N(E1218)=0,1,E1218)*IFERROR(N(INDEX(Produtos!$G$5:$G$104,MATCH(D1218,Produtos!$B$5:$B$104,0))),0))</f>
        <v/>
      </c>
      <c r="I1218" s="27" t="str">
        <f aca="false">IF(G1218="","",G1218-H1218)</f>
        <v/>
      </c>
      <c r="J1218" s="42"/>
    </row>
    <row r="1219" customFormat="false" ht="21" hidden="false" customHeight="true" outlineLevel="0" collapsed="false">
      <c r="B1219" s="41"/>
      <c r="C1219" s="9"/>
      <c r="D1219" s="9"/>
      <c r="E1219" s="42"/>
      <c r="F1219" s="43"/>
      <c r="G1219" s="27" t="str">
        <f aca="false">IF(OR(C1219="",AND(D1219="",F1219="")),"",IF(N(E1219)=0,1,E1219)*IF(F1219="",IFERROR(N(INDEX(Produtos!$L$5:$L$104,MATCH(D1219,Produtos!$B$5:$B$104,0))),0),F1219))</f>
        <v/>
      </c>
      <c r="H1219" s="27" t="str">
        <f aca="false">IF(G1219="","",IF(N(E1219)=0,1,E1219)*IFERROR(N(INDEX(Produtos!$G$5:$G$104,MATCH(D1219,Produtos!$B$5:$B$104,0))),0))</f>
        <v/>
      </c>
      <c r="I1219" s="27" t="str">
        <f aca="false">IF(G1219="","",G1219-H1219)</f>
        <v/>
      </c>
      <c r="J1219" s="42"/>
    </row>
    <row r="1220" customFormat="false" ht="21" hidden="false" customHeight="true" outlineLevel="0" collapsed="false">
      <c r="B1220" s="41"/>
      <c r="C1220" s="9"/>
      <c r="D1220" s="9"/>
      <c r="E1220" s="42"/>
      <c r="F1220" s="43"/>
      <c r="G1220" s="27" t="str">
        <f aca="false">IF(OR(C1220="",AND(D1220="",F1220="")),"",IF(N(E1220)=0,1,E1220)*IF(F1220="",IFERROR(N(INDEX(Produtos!$L$5:$L$104,MATCH(D1220,Produtos!$B$5:$B$104,0))),0),F1220))</f>
        <v/>
      </c>
      <c r="H1220" s="27" t="str">
        <f aca="false">IF(G1220="","",IF(N(E1220)=0,1,E1220)*IFERROR(N(INDEX(Produtos!$G$5:$G$104,MATCH(D1220,Produtos!$B$5:$B$104,0))),0))</f>
        <v/>
      </c>
      <c r="I1220" s="27" t="str">
        <f aca="false">IF(G1220="","",G1220-H1220)</f>
        <v/>
      </c>
      <c r="J1220" s="42"/>
    </row>
    <row r="1221" customFormat="false" ht="21" hidden="false" customHeight="true" outlineLevel="0" collapsed="false">
      <c r="B1221" s="41"/>
      <c r="C1221" s="9"/>
      <c r="D1221" s="9"/>
      <c r="E1221" s="42"/>
      <c r="F1221" s="43"/>
      <c r="G1221" s="27" t="str">
        <f aca="false">IF(OR(C1221="",AND(D1221="",F1221="")),"",IF(N(E1221)=0,1,E1221)*IF(F1221="",IFERROR(N(INDEX(Produtos!$L$5:$L$104,MATCH(D1221,Produtos!$B$5:$B$104,0))),0),F1221))</f>
        <v/>
      </c>
      <c r="H1221" s="27" t="str">
        <f aca="false">IF(G1221="","",IF(N(E1221)=0,1,E1221)*IFERROR(N(INDEX(Produtos!$G$5:$G$104,MATCH(D1221,Produtos!$B$5:$B$104,0))),0))</f>
        <v/>
      </c>
      <c r="I1221" s="27" t="str">
        <f aca="false">IF(G1221="","",G1221-H1221)</f>
        <v/>
      </c>
      <c r="J1221" s="42"/>
    </row>
    <row r="1222" customFormat="false" ht="21" hidden="false" customHeight="true" outlineLevel="0" collapsed="false">
      <c r="B1222" s="41"/>
      <c r="C1222" s="9"/>
      <c r="D1222" s="9"/>
      <c r="E1222" s="42"/>
      <c r="F1222" s="43"/>
      <c r="G1222" s="27" t="str">
        <f aca="false">IF(OR(C1222="",AND(D1222="",F1222="")),"",IF(N(E1222)=0,1,E1222)*IF(F1222="",IFERROR(N(INDEX(Produtos!$L$5:$L$104,MATCH(D1222,Produtos!$B$5:$B$104,0))),0),F1222))</f>
        <v/>
      </c>
      <c r="H1222" s="27" t="str">
        <f aca="false">IF(G1222="","",IF(N(E1222)=0,1,E1222)*IFERROR(N(INDEX(Produtos!$G$5:$G$104,MATCH(D1222,Produtos!$B$5:$B$104,0))),0))</f>
        <v/>
      </c>
      <c r="I1222" s="27" t="str">
        <f aca="false">IF(G1222="","",G1222-H1222)</f>
        <v/>
      </c>
      <c r="J1222" s="42"/>
    </row>
    <row r="1223" customFormat="false" ht="21" hidden="false" customHeight="true" outlineLevel="0" collapsed="false">
      <c r="B1223" s="41"/>
      <c r="C1223" s="9"/>
      <c r="D1223" s="9"/>
      <c r="E1223" s="42"/>
      <c r="F1223" s="43"/>
      <c r="G1223" s="27" t="str">
        <f aca="false">IF(OR(C1223="",AND(D1223="",F1223="")),"",IF(N(E1223)=0,1,E1223)*IF(F1223="",IFERROR(N(INDEX(Produtos!$L$5:$L$104,MATCH(D1223,Produtos!$B$5:$B$104,0))),0),F1223))</f>
        <v/>
      </c>
      <c r="H1223" s="27" t="str">
        <f aca="false">IF(G1223="","",IF(N(E1223)=0,1,E1223)*IFERROR(N(INDEX(Produtos!$G$5:$G$104,MATCH(D1223,Produtos!$B$5:$B$104,0))),0))</f>
        <v/>
      </c>
      <c r="I1223" s="27" t="str">
        <f aca="false">IF(G1223="","",G1223-H1223)</f>
        <v/>
      </c>
      <c r="J1223" s="42"/>
    </row>
    <row r="1224" customFormat="false" ht="21" hidden="false" customHeight="true" outlineLevel="0" collapsed="false">
      <c r="B1224" s="41"/>
      <c r="C1224" s="9"/>
      <c r="D1224" s="9"/>
      <c r="E1224" s="42"/>
      <c r="F1224" s="43"/>
      <c r="G1224" s="27" t="str">
        <f aca="false">IF(OR(C1224="",AND(D1224="",F1224="")),"",IF(N(E1224)=0,1,E1224)*IF(F1224="",IFERROR(N(INDEX(Produtos!$L$5:$L$104,MATCH(D1224,Produtos!$B$5:$B$104,0))),0),F1224))</f>
        <v/>
      </c>
      <c r="H1224" s="27" t="str">
        <f aca="false">IF(G1224="","",IF(N(E1224)=0,1,E1224)*IFERROR(N(INDEX(Produtos!$G$5:$G$104,MATCH(D1224,Produtos!$B$5:$B$104,0))),0))</f>
        <v/>
      </c>
      <c r="I1224" s="27" t="str">
        <f aca="false">IF(G1224="","",G1224-H1224)</f>
        <v/>
      </c>
      <c r="J1224" s="42"/>
    </row>
    <row r="1225" customFormat="false" ht="21" hidden="false" customHeight="true" outlineLevel="0" collapsed="false">
      <c r="B1225" s="41"/>
      <c r="C1225" s="9"/>
      <c r="D1225" s="9"/>
      <c r="E1225" s="42"/>
      <c r="F1225" s="43"/>
      <c r="G1225" s="27" t="str">
        <f aca="false">IF(OR(C1225="",AND(D1225="",F1225="")),"",IF(N(E1225)=0,1,E1225)*IF(F1225="",IFERROR(N(INDEX(Produtos!$L$5:$L$104,MATCH(D1225,Produtos!$B$5:$B$104,0))),0),F1225))</f>
        <v/>
      </c>
      <c r="H1225" s="27" t="str">
        <f aca="false">IF(G1225="","",IF(N(E1225)=0,1,E1225)*IFERROR(N(INDEX(Produtos!$G$5:$G$104,MATCH(D1225,Produtos!$B$5:$B$104,0))),0))</f>
        <v/>
      </c>
      <c r="I1225" s="27" t="str">
        <f aca="false">IF(G1225="","",G1225-H1225)</f>
        <v/>
      </c>
      <c r="J1225" s="42"/>
    </row>
    <row r="1226" customFormat="false" ht="21" hidden="false" customHeight="true" outlineLevel="0" collapsed="false">
      <c r="B1226" s="41"/>
      <c r="C1226" s="9"/>
      <c r="D1226" s="9"/>
      <c r="E1226" s="42"/>
      <c r="F1226" s="43"/>
      <c r="G1226" s="27" t="str">
        <f aca="false">IF(OR(C1226="",AND(D1226="",F1226="")),"",IF(N(E1226)=0,1,E1226)*IF(F1226="",IFERROR(N(INDEX(Produtos!$L$5:$L$104,MATCH(D1226,Produtos!$B$5:$B$104,0))),0),F1226))</f>
        <v/>
      </c>
      <c r="H1226" s="27" t="str">
        <f aca="false">IF(G1226="","",IF(N(E1226)=0,1,E1226)*IFERROR(N(INDEX(Produtos!$G$5:$G$104,MATCH(D1226,Produtos!$B$5:$B$104,0))),0))</f>
        <v/>
      </c>
      <c r="I1226" s="27" t="str">
        <f aca="false">IF(G1226="","",G1226-H1226)</f>
        <v/>
      </c>
      <c r="J1226" s="42"/>
    </row>
    <row r="1227" customFormat="false" ht="21" hidden="false" customHeight="true" outlineLevel="0" collapsed="false">
      <c r="B1227" s="41"/>
      <c r="C1227" s="9"/>
      <c r="D1227" s="9"/>
      <c r="E1227" s="42"/>
      <c r="F1227" s="43"/>
      <c r="G1227" s="27" t="str">
        <f aca="false">IF(OR(C1227="",AND(D1227="",F1227="")),"",IF(N(E1227)=0,1,E1227)*IF(F1227="",IFERROR(N(INDEX(Produtos!$L$5:$L$104,MATCH(D1227,Produtos!$B$5:$B$104,0))),0),F1227))</f>
        <v/>
      </c>
      <c r="H1227" s="27" t="str">
        <f aca="false">IF(G1227="","",IF(N(E1227)=0,1,E1227)*IFERROR(N(INDEX(Produtos!$G$5:$G$104,MATCH(D1227,Produtos!$B$5:$B$104,0))),0))</f>
        <v/>
      </c>
      <c r="I1227" s="27" t="str">
        <f aca="false">IF(G1227="","",G1227-H1227)</f>
        <v/>
      </c>
      <c r="J1227" s="42"/>
    </row>
    <row r="1228" customFormat="false" ht="21" hidden="false" customHeight="true" outlineLevel="0" collapsed="false">
      <c r="B1228" s="41"/>
      <c r="C1228" s="9"/>
      <c r="D1228" s="9"/>
      <c r="E1228" s="42"/>
      <c r="F1228" s="43"/>
      <c r="G1228" s="27" t="str">
        <f aca="false">IF(OR(C1228="",AND(D1228="",F1228="")),"",IF(N(E1228)=0,1,E1228)*IF(F1228="",IFERROR(N(INDEX(Produtos!$L$5:$L$104,MATCH(D1228,Produtos!$B$5:$B$104,0))),0),F1228))</f>
        <v/>
      </c>
      <c r="H1228" s="27" t="str">
        <f aca="false">IF(G1228="","",IF(N(E1228)=0,1,E1228)*IFERROR(N(INDEX(Produtos!$G$5:$G$104,MATCH(D1228,Produtos!$B$5:$B$104,0))),0))</f>
        <v/>
      </c>
      <c r="I1228" s="27" t="str">
        <f aca="false">IF(G1228="","",G1228-H1228)</f>
        <v/>
      </c>
      <c r="J1228" s="42"/>
    </row>
    <row r="1229" customFormat="false" ht="21" hidden="false" customHeight="true" outlineLevel="0" collapsed="false">
      <c r="B1229" s="41"/>
      <c r="C1229" s="9"/>
      <c r="D1229" s="9"/>
      <c r="E1229" s="42"/>
      <c r="F1229" s="43"/>
      <c r="G1229" s="27" t="str">
        <f aca="false">IF(OR(C1229="",AND(D1229="",F1229="")),"",IF(N(E1229)=0,1,E1229)*IF(F1229="",IFERROR(N(INDEX(Produtos!$L$5:$L$104,MATCH(D1229,Produtos!$B$5:$B$104,0))),0),F1229))</f>
        <v/>
      </c>
      <c r="H1229" s="27" t="str">
        <f aca="false">IF(G1229="","",IF(N(E1229)=0,1,E1229)*IFERROR(N(INDEX(Produtos!$G$5:$G$104,MATCH(D1229,Produtos!$B$5:$B$104,0))),0))</f>
        <v/>
      </c>
      <c r="I1229" s="27" t="str">
        <f aca="false">IF(G1229="","",G1229-H1229)</f>
        <v/>
      </c>
      <c r="J1229" s="42"/>
    </row>
    <row r="1230" customFormat="false" ht="21" hidden="false" customHeight="true" outlineLevel="0" collapsed="false">
      <c r="B1230" s="41"/>
      <c r="C1230" s="9"/>
      <c r="D1230" s="9"/>
      <c r="E1230" s="42"/>
      <c r="F1230" s="43"/>
      <c r="G1230" s="27" t="str">
        <f aca="false">IF(OR(C1230="",AND(D1230="",F1230="")),"",IF(N(E1230)=0,1,E1230)*IF(F1230="",IFERROR(N(INDEX(Produtos!$L$5:$L$104,MATCH(D1230,Produtos!$B$5:$B$104,0))),0),F1230))</f>
        <v/>
      </c>
      <c r="H1230" s="27" t="str">
        <f aca="false">IF(G1230="","",IF(N(E1230)=0,1,E1230)*IFERROR(N(INDEX(Produtos!$G$5:$G$104,MATCH(D1230,Produtos!$B$5:$B$104,0))),0))</f>
        <v/>
      </c>
      <c r="I1230" s="27" t="str">
        <f aca="false">IF(G1230="","",G1230-H1230)</f>
        <v/>
      </c>
      <c r="J1230" s="42"/>
    </row>
    <row r="1231" customFormat="false" ht="21" hidden="false" customHeight="true" outlineLevel="0" collapsed="false">
      <c r="B1231" s="41"/>
      <c r="C1231" s="9"/>
      <c r="D1231" s="9"/>
      <c r="E1231" s="42"/>
      <c r="F1231" s="43"/>
      <c r="G1231" s="27" t="str">
        <f aca="false">IF(OR(C1231="",AND(D1231="",F1231="")),"",IF(N(E1231)=0,1,E1231)*IF(F1231="",IFERROR(N(INDEX(Produtos!$L$5:$L$104,MATCH(D1231,Produtos!$B$5:$B$104,0))),0),F1231))</f>
        <v/>
      </c>
      <c r="H1231" s="27" t="str">
        <f aca="false">IF(G1231="","",IF(N(E1231)=0,1,E1231)*IFERROR(N(INDEX(Produtos!$G$5:$G$104,MATCH(D1231,Produtos!$B$5:$B$104,0))),0))</f>
        <v/>
      </c>
      <c r="I1231" s="27" t="str">
        <f aca="false">IF(G1231="","",G1231-H1231)</f>
        <v/>
      </c>
      <c r="J1231" s="42"/>
    </row>
    <row r="1232" customFormat="false" ht="21" hidden="false" customHeight="true" outlineLevel="0" collapsed="false">
      <c r="B1232" s="41"/>
      <c r="C1232" s="9"/>
      <c r="D1232" s="9"/>
      <c r="E1232" s="42"/>
      <c r="F1232" s="43"/>
      <c r="G1232" s="27" t="str">
        <f aca="false">IF(OR(C1232="",AND(D1232="",F1232="")),"",IF(N(E1232)=0,1,E1232)*IF(F1232="",IFERROR(N(INDEX(Produtos!$L$5:$L$104,MATCH(D1232,Produtos!$B$5:$B$104,0))),0),F1232))</f>
        <v/>
      </c>
      <c r="H1232" s="27" t="str">
        <f aca="false">IF(G1232="","",IF(N(E1232)=0,1,E1232)*IFERROR(N(INDEX(Produtos!$G$5:$G$104,MATCH(D1232,Produtos!$B$5:$B$104,0))),0))</f>
        <v/>
      </c>
      <c r="I1232" s="27" t="str">
        <f aca="false">IF(G1232="","",G1232-H1232)</f>
        <v/>
      </c>
      <c r="J1232" s="42"/>
    </row>
    <row r="1233" customFormat="false" ht="21" hidden="false" customHeight="true" outlineLevel="0" collapsed="false">
      <c r="B1233" s="41"/>
      <c r="C1233" s="9"/>
      <c r="D1233" s="9"/>
      <c r="E1233" s="42"/>
      <c r="F1233" s="43"/>
      <c r="G1233" s="27" t="str">
        <f aca="false">IF(OR(C1233="",AND(D1233="",F1233="")),"",IF(N(E1233)=0,1,E1233)*IF(F1233="",IFERROR(N(INDEX(Produtos!$L$5:$L$104,MATCH(D1233,Produtos!$B$5:$B$104,0))),0),F1233))</f>
        <v/>
      </c>
      <c r="H1233" s="27" t="str">
        <f aca="false">IF(G1233="","",IF(N(E1233)=0,1,E1233)*IFERROR(N(INDEX(Produtos!$G$5:$G$104,MATCH(D1233,Produtos!$B$5:$B$104,0))),0))</f>
        <v/>
      </c>
      <c r="I1233" s="27" t="str">
        <f aca="false">IF(G1233="","",G1233-H1233)</f>
        <v/>
      </c>
      <c r="J1233" s="42"/>
    </row>
    <row r="1234" customFormat="false" ht="21" hidden="false" customHeight="true" outlineLevel="0" collapsed="false">
      <c r="B1234" s="41"/>
      <c r="C1234" s="9"/>
      <c r="D1234" s="9"/>
      <c r="E1234" s="42"/>
      <c r="F1234" s="43"/>
      <c r="G1234" s="27" t="str">
        <f aca="false">IF(OR(C1234="",AND(D1234="",F1234="")),"",IF(N(E1234)=0,1,E1234)*IF(F1234="",IFERROR(N(INDEX(Produtos!$L$5:$L$104,MATCH(D1234,Produtos!$B$5:$B$104,0))),0),F1234))</f>
        <v/>
      </c>
      <c r="H1234" s="27" t="str">
        <f aca="false">IF(G1234="","",IF(N(E1234)=0,1,E1234)*IFERROR(N(INDEX(Produtos!$G$5:$G$104,MATCH(D1234,Produtos!$B$5:$B$104,0))),0))</f>
        <v/>
      </c>
      <c r="I1234" s="27" t="str">
        <f aca="false">IF(G1234="","",G1234-H1234)</f>
        <v/>
      </c>
      <c r="J1234" s="42"/>
    </row>
    <row r="1235" customFormat="false" ht="21" hidden="false" customHeight="true" outlineLevel="0" collapsed="false">
      <c r="B1235" s="41"/>
      <c r="C1235" s="9"/>
      <c r="D1235" s="9"/>
      <c r="E1235" s="42"/>
      <c r="F1235" s="43"/>
      <c r="G1235" s="27" t="str">
        <f aca="false">IF(OR(C1235="",AND(D1235="",F1235="")),"",IF(N(E1235)=0,1,E1235)*IF(F1235="",IFERROR(N(INDEX(Produtos!$L$5:$L$104,MATCH(D1235,Produtos!$B$5:$B$104,0))),0),F1235))</f>
        <v/>
      </c>
      <c r="H1235" s="27" t="str">
        <f aca="false">IF(G1235="","",IF(N(E1235)=0,1,E1235)*IFERROR(N(INDEX(Produtos!$G$5:$G$104,MATCH(D1235,Produtos!$B$5:$B$104,0))),0))</f>
        <v/>
      </c>
      <c r="I1235" s="27" t="str">
        <f aca="false">IF(G1235="","",G1235-H1235)</f>
        <v/>
      </c>
      <c r="J1235" s="42"/>
    </row>
    <row r="1236" customFormat="false" ht="21" hidden="false" customHeight="true" outlineLevel="0" collapsed="false">
      <c r="B1236" s="41"/>
      <c r="C1236" s="9"/>
      <c r="D1236" s="9"/>
      <c r="E1236" s="42"/>
      <c r="F1236" s="43"/>
      <c r="G1236" s="27" t="str">
        <f aca="false">IF(OR(C1236="",AND(D1236="",F1236="")),"",IF(N(E1236)=0,1,E1236)*IF(F1236="",IFERROR(N(INDEX(Produtos!$L$5:$L$104,MATCH(D1236,Produtos!$B$5:$B$104,0))),0),F1236))</f>
        <v/>
      </c>
      <c r="H1236" s="27" t="str">
        <f aca="false">IF(G1236="","",IF(N(E1236)=0,1,E1236)*IFERROR(N(INDEX(Produtos!$G$5:$G$104,MATCH(D1236,Produtos!$B$5:$B$104,0))),0))</f>
        <v/>
      </c>
      <c r="I1236" s="27" t="str">
        <f aca="false">IF(G1236="","",G1236-H1236)</f>
        <v/>
      </c>
      <c r="J1236" s="42"/>
    </row>
    <row r="1237" customFormat="false" ht="21" hidden="false" customHeight="true" outlineLevel="0" collapsed="false">
      <c r="B1237" s="41"/>
      <c r="C1237" s="9"/>
      <c r="D1237" s="9"/>
      <c r="E1237" s="42"/>
      <c r="F1237" s="43"/>
      <c r="G1237" s="27" t="str">
        <f aca="false">IF(OR(C1237="",AND(D1237="",F1237="")),"",IF(N(E1237)=0,1,E1237)*IF(F1237="",IFERROR(N(INDEX(Produtos!$L$5:$L$104,MATCH(D1237,Produtos!$B$5:$B$104,0))),0),F1237))</f>
        <v/>
      </c>
      <c r="H1237" s="27" t="str">
        <f aca="false">IF(G1237="","",IF(N(E1237)=0,1,E1237)*IFERROR(N(INDEX(Produtos!$G$5:$G$104,MATCH(D1237,Produtos!$B$5:$B$104,0))),0))</f>
        <v/>
      </c>
      <c r="I1237" s="27" t="str">
        <f aca="false">IF(G1237="","",G1237-H1237)</f>
        <v/>
      </c>
      <c r="J1237" s="42"/>
    </row>
    <row r="1238" customFormat="false" ht="21" hidden="false" customHeight="true" outlineLevel="0" collapsed="false">
      <c r="B1238" s="41"/>
      <c r="C1238" s="9"/>
      <c r="D1238" s="9"/>
      <c r="E1238" s="42"/>
      <c r="F1238" s="43"/>
      <c r="G1238" s="27" t="str">
        <f aca="false">IF(OR(C1238="",AND(D1238="",F1238="")),"",IF(N(E1238)=0,1,E1238)*IF(F1238="",IFERROR(N(INDEX(Produtos!$L$5:$L$104,MATCH(D1238,Produtos!$B$5:$B$104,0))),0),F1238))</f>
        <v/>
      </c>
      <c r="H1238" s="27" t="str">
        <f aca="false">IF(G1238="","",IF(N(E1238)=0,1,E1238)*IFERROR(N(INDEX(Produtos!$G$5:$G$104,MATCH(D1238,Produtos!$B$5:$B$104,0))),0))</f>
        <v/>
      </c>
      <c r="I1238" s="27" t="str">
        <f aca="false">IF(G1238="","",G1238-H1238)</f>
        <v/>
      </c>
      <c r="J1238" s="42"/>
    </row>
    <row r="1239" customFormat="false" ht="21" hidden="false" customHeight="true" outlineLevel="0" collapsed="false">
      <c r="B1239" s="41"/>
      <c r="C1239" s="9"/>
      <c r="D1239" s="9"/>
      <c r="E1239" s="42"/>
      <c r="F1239" s="43"/>
      <c r="G1239" s="27" t="str">
        <f aca="false">IF(OR(C1239="",AND(D1239="",F1239="")),"",IF(N(E1239)=0,1,E1239)*IF(F1239="",IFERROR(N(INDEX(Produtos!$L$5:$L$104,MATCH(D1239,Produtos!$B$5:$B$104,0))),0),F1239))</f>
        <v/>
      </c>
      <c r="H1239" s="27" t="str">
        <f aca="false">IF(G1239="","",IF(N(E1239)=0,1,E1239)*IFERROR(N(INDEX(Produtos!$G$5:$G$104,MATCH(D1239,Produtos!$B$5:$B$104,0))),0))</f>
        <v/>
      </c>
      <c r="I1239" s="27" t="str">
        <f aca="false">IF(G1239="","",G1239-H1239)</f>
        <v/>
      </c>
      <c r="J1239" s="42"/>
    </row>
    <row r="1240" customFormat="false" ht="21" hidden="false" customHeight="true" outlineLevel="0" collapsed="false">
      <c r="B1240" s="41"/>
      <c r="C1240" s="9"/>
      <c r="D1240" s="9"/>
      <c r="E1240" s="42"/>
      <c r="F1240" s="43"/>
      <c r="G1240" s="27" t="str">
        <f aca="false">IF(OR(C1240="",AND(D1240="",F1240="")),"",IF(N(E1240)=0,1,E1240)*IF(F1240="",IFERROR(N(INDEX(Produtos!$L$5:$L$104,MATCH(D1240,Produtos!$B$5:$B$104,0))),0),F1240))</f>
        <v/>
      </c>
      <c r="H1240" s="27" t="str">
        <f aca="false">IF(G1240="","",IF(N(E1240)=0,1,E1240)*IFERROR(N(INDEX(Produtos!$G$5:$G$104,MATCH(D1240,Produtos!$B$5:$B$104,0))),0))</f>
        <v/>
      </c>
      <c r="I1240" s="27" t="str">
        <f aca="false">IF(G1240="","",G1240-H1240)</f>
        <v/>
      </c>
      <c r="J1240" s="42"/>
    </row>
    <row r="1241" customFormat="false" ht="21" hidden="false" customHeight="true" outlineLevel="0" collapsed="false">
      <c r="B1241" s="41"/>
      <c r="C1241" s="9"/>
      <c r="D1241" s="9"/>
      <c r="E1241" s="42"/>
      <c r="F1241" s="43"/>
      <c r="G1241" s="27" t="str">
        <f aca="false">IF(OR(C1241="",AND(D1241="",F1241="")),"",IF(N(E1241)=0,1,E1241)*IF(F1241="",IFERROR(N(INDEX(Produtos!$L$5:$L$104,MATCH(D1241,Produtos!$B$5:$B$104,0))),0),F1241))</f>
        <v/>
      </c>
      <c r="H1241" s="27" t="str">
        <f aca="false">IF(G1241="","",IF(N(E1241)=0,1,E1241)*IFERROR(N(INDEX(Produtos!$G$5:$G$104,MATCH(D1241,Produtos!$B$5:$B$104,0))),0))</f>
        <v/>
      </c>
      <c r="I1241" s="27" t="str">
        <f aca="false">IF(G1241="","",G1241-H1241)</f>
        <v/>
      </c>
      <c r="J1241" s="42"/>
    </row>
    <row r="1242" customFormat="false" ht="21" hidden="false" customHeight="true" outlineLevel="0" collapsed="false">
      <c r="B1242" s="41"/>
      <c r="C1242" s="9"/>
      <c r="D1242" s="9"/>
      <c r="E1242" s="42"/>
      <c r="F1242" s="43"/>
      <c r="G1242" s="27" t="str">
        <f aca="false">IF(OR(C1242="",AND(D1242="",F1242="")),"",IF(N(E1242)=0,1,E1242)*IF(F1242="",IFERROR(N(INDEX(Produtos!$L$5:$L$104,MATCH(D1242,Produtos!$B$5:$B$104,0))),0),F1242))</f>
        <v/>
      </c>
      <c r="H1242" s="27" t="str">
        <f aca="false">IF(G1242="","",IF(N(E1242)=0,1,E1242)*IFERROR(N(INDEX(Produtos!$G$5:$G$104,MATCH(D1242,Produtos!$B$5:$B$104,0))),0))</f>
        <v/>
      </c>
      <c r="I1242" s="27" t="str">
        <f aca="false">IF(G1242="","",G1242-H1242)</f>
        <v/>
      </c>
      <c r="J1242" s="42"/>
    </row>
    <row r="1243" customFormat="false" ht="21" hidden="false" customHeight="true" outlineLevel="0" collapsed="false">
      <c r="B1243" s="41"/>
      <c r="C1243" s="9"/>
      <c r="D1243" s="9"/>
      <c r="E1243" s="42"/>
      <c r="F1243" s="43"/>
      <c r="G1243" s="27" t="str">
        <f aca="false">IF(OR(C1243="",AND(D1243="",F1243="")),"",IF(N(E1243)=0,1,E1243)*IF(F1243="",IFERROR(N(INDEX(Produtos!$L$5:$L$104,MATCH(D1243,Produtos!$B$5:$B$104,0))),0),F1243))</f>
        <v/>
      </c>
      <c r="H1243" s="27" t="str">
        <f aca="false">IF(G1243="","",IF(N(E1243)=0,1,E1243)*IFERROR(N(INDEX(Produtos!$G$5:$G$104,MATCH(D1243,Produtos!$B$5:$B$104,0))),0))</f>
        <v/>
      </c>
      <c r="I1243" s="27" t="str">
        <f aca="false">IF(G1243="","",G1243-H1243)</f>
        <v/>
      </c>
      <c r="J1243" s="42"/>
    </row>
    <row r="1244" customFormat="false" ht="21" hidden="false" customHeight="true" outlineLevel="0" collapsed="false">
      <c r="B1244" s="41"/>
      <c r="C1244" s="9"/>
      <c r="D1244" s="9"/>
      <c r="E1244" s="42"/>
      <c r="F1244" s="43"/>
      <c r="G1244" s="27" t="str">
        <f aca="false">IF(OR(C1244="",AND(D1244="",F1244="")),"",IF(N(E1244)=0,1,E1244)*IF(F1244="",IFERROR(N(INDEX(Produtos!$L$5:$L$104,MATCH(D1244,Produtos!$B$5:$B$104,0))),0),F1244))</f>
        <v/>
      </c>
      <c r="H1244" s="27" t="str">
        <f aca="false">IF(G1244="","",IF(N(E1244)=0,1,E1244)*IFERROR(N(INDEX(Produtos!$G$5:$G$104,MATCH(D1244,Produtos!$B$5:$B$104,0))),0))</f>
        <v/>
      </c>
      <c r="I1244" s="27" t="str">
        <f aca="false">IF(G1244="","",G1244-H1244)</f>
        <v/>
      </c>
      <c r="J1244" s="42"/>
    </row>
    <row r="1245" customFormat="false" ht="21" hidden="false" customHeight="true" outlineLevel="0" collapsed="false">
      <c r="B1245" s="41"/>
      <c r="C1245" s="9"/>
      <c r="D1245" s="9"/>
      <c r="E1245" s="42"/>
      <c r="F1245" s="43"/>
      <c r="G1245" s="27" t="str">
        <f aca="false">IF(OR(C1245="",AND(D1245="",F1245="")),"",IF(N(E1245)=0,1,E1245)*IF(F1245="",IFERROR(N(INDEX(Produtos!$L$5:$L$104,MATCH(D1245,Produtos!$B$5:$B$104,0))),0),F1245))</f>
        <v/>
      </c>
      <c r="H1245" s="27" t="str">
        <f aca="false">IF(G1245="","",IF(N(E1245)=0,1,E1245)*IFERROR(N(INDEX(Produtos!$G$5:$G$104,MATCH(D1245,Produtos!$B$5:$B$104,0))),0))</f>
        <v/>
      </c>
      <c r="I1245" s="27" t="str">
        <f aca="false">IF(G1245="","",G1245-H1245)</f>
        <v/>
      </c>
      <c r="J1245" s="42"/>
    </row>
    <row r="1246" customFormat="false" ht="21" hidden="false" customHeight="true" outlineLevel="0" collapsed="false">
      <c r="B1246" s="41"/>
      <c r="C1246" s="9"/>
      <c r="D1246" s="9"/>
      <c r="E1246" s="42"/>
      <c r="F1246" s="43"/>
      <c r="G1246" s="27" t="str">
        <f aca="false">IF(OR(C1246="",AND(D1246="",F1246="")),"",IF(N(E1246)=0,1,E1246)*IF(F1246="",IFERROR(N(INDEX(Produtos!$L$5:$L$104,MATCH(D1246,Produtos!$B$5:$B$104,0))),0),F1246))</f>
        <v/>
      </c>
      <c r="H1246" s="27" t="str">
        <f aca="false">IF(G1246="","",IF(N(E1246)=0,1,E1246)*IFERROR(N(INDEX(Produtos!$G$5:$G$104,MATCH(D1246,Produtos!$B$5:$B$104,0))),0))</f>
        <v/>
      </c>
      <c r="I1246" s="27" t="str">
        <f aca="false">IF(G1246="","",G1246-H1246)</f>
        <v/>
      </c>
      <c r="J1246" s="42"/>
    </row>
    <row r="1247" customFormat="false" ht="21" hidden="false" customHeight="true" outlineLevel="0" collapsed="false">
      <c r="B1247" s="41"/>
      <c r="C1247" s="9"/>
      <c r="D1247" s="9"/>
      <c r="E1247" s="42"/>
      <c r="F1247" s="43"/>
      <c r="G1247" s="27" t="str">
        <f aca="false">IF(OR(C1247="",AND(D1247="",F1247="")),"",IF(N(E1247)=0,1,E1247)*IF(F1247="",IFERROR(N(INDEX(Produtos!$L$5:$L$104,MATCH(D1247,Produtos!$B$5:$B$104,0))),0),F1247))</f>
        <v/>
      </c>
      <c r="H1247" s="27" t="str">
        <f aca="false">IF(G1247="","",IF(N(E1247)=0,1,E1247)*IFERROR(N(INDEX(Produtos!$G$5:$G$104,MATCH(D1247,Produtos!$B$5:$B$104,0))),0))</f>
        <v/>
      </c>
      <c r="I1247" s="27" t="str">
        <f aca="false">IF(G1247="","",G1247-H1247)</f>
        <v/>
      </c>
      <c r="J1247" s="42"/>
    </row>
    <row r="1248" customFormat="false" ht="21" hidden="false" customHeight="true" outlineLevel="0" collapsed="false">
      <c r="B1248" s="41"/>
      <c r="C1248" s="9"/>
      <c r="D1248" s="9"/>
      <c r="E1248" s="42"/>
      <c r="F1248" s="43"/>
      <c r="G1248" s="27" t="str">
        <f aca="false">IF(OR(C1248="",AND(D1248="",F1248="")),"",IF(N(E1248)=0,1,E1248)*IF(F1248="",IFERROR(N(INDEX(Produtos!$L$5:$L$104,MATCH(D1248,Produtos!$B$5:$B$104,0))),0),F1248))</f>
        <v/>
      </c>
      <c r="H1248" s="27" t="str">
        <f aca="false">IF(G1248="","",IF(N(E1248)=0,1,E1248)*IFERROR(N(INDEX(Produtos!$G$5:$G$104,MATCH(D1248,Produtos!$B$5:$B$104,0))),0))</f>
        <v/>
      </c>
      <c r="I1248" s="27" t="str">
        <f aca="false">IF(G1248="","",G1248-H1248)</f>
        <v/>
      </c>
      <c r="J1248" s="42"/>
    </row>
    <row r="1249" customFormat="false" ht="21" hidden="false" customHeight="true" outlineLevel="0" collapsed="false">
      <c r="B1249" s="41"/>
      <c r="C1249" s="9"/>
      <c r="D1249" s="9"/>
      <c r="E1249" s="42"/>
      <c r="F1249" s="43"/>
      <c r="G1249" s="27" t="str">
        <f aca="false">IF(OR(C1249="",AND(D1249="",F1249="")),"",IF(N(E1249)=0,1,E1249)*IF(F1249="",IFERROR(N(INDEX(Produtos!$L$5:$L$104,MATCH(D1249,Produtos!$B$5:$B$104,0))),0),F1249))</f>
        <v/>
      </c>
      <c r="H1249" s="27" t="str">
        <f aca="false">IF(G1249="","",IF(N(E1249)=0,1,E1249)*IFERROR(N(INDEX(Produtos!$G$5:$G$104,MATCH(D1249,Produtos!$B$5:$B$104,0))),0))</f>
        <v/>
      </c>
      <c r="I1249" s="27" t="str">
        <f aca="false">IF(G1249="","",G1249-H1249)</f>
        <v/>
      </c>
      <c r="J1249" s="42"/>
    </row>
    <row r="1250" customFormat="false" ht="21" hidden="false" customHeight="true" outlineLevel="0" collapsed="false">
      <c r="B1250" s="41"/>
      <c r="C1250" s="9"/>
      <c r="D1250" s="9"/>
      <c r="E1250" s="42"/>
      <c r="F1250" s="43"/>
      <c r="G1250" s="27" t="str">
        <f aca="false">IF(OR(C1250="",AND(D1250="",F1250="")),"",IF(N(E1250)=0,1,E1250)*IF(F1250="",IFERROR(N(INDEX(Produtos!$L$5:$L$104,MATCH(D1250,Produtos!$B$5:$B$104,0))),0),F1250))</f>
        <v/>
      </c>
      <c r="H1250" s="27" t="str">
        <f aca="false">IF(G1250="","",IF(N(E1250)=0,1,E1250)*IFERROR(N(INDEX(Produtos!$G$5:$G$104,MATCH(D1250,Produtos!$B$5:$B$104,0))),0))</f>
        <v/>
      </c>
      <c r="I1250" s="27" t="str">
        <f aca="false">IF(G1250="","",G1250-H1250)</f>
        <v/>
      </c>
      <c r="J1250" s="42"/>
    </row>
    <row r="1251" customFormat="false" ht="21" hidden="false" customHeight="true" outlineLevel="0" collapsed="false">
      <c r="B1251" s="41"/>
      <c r="C1251" s="9"/>
      <c r="D1251" s="9"/>
      <c r="E1251" s="42"/>
      <c r="F1251" s="43"/>
      <c r="G1251" s="27" t="str">
        <f aca="false">IF(OR(C1251="",AND(D1251="",F1251="")),"",IF(N(E1251)=0,1,E1251)*IF(F1251="",IFERROR(N(INDEX(Produtos!$L$5:$L$104,MATCH(D1251,Produtos!$B$5:$B$104,0))),0),F1251))</f>
        <v/>
      </c>
      <c r="H1251" s="27" t="str">
        <f aca="false">IF(G1251="","",IF(N(E1251)=0,1,E1251)*IFERROR(N(INDEX(Produtos!$G$5:$G$104,MATCH(D1251,Produtos!$B$5:$B$104,0))),0))</f>
        <v/>
      </c>
      <c r="I1251" s="27" t="str">
        <f aca="false">IF(G1251="","",G1251-H1251)</f>
        <v/>
      </c>
      <c r="J1251" s="42"/>
    </row>
    <row r="1252" customFormat="false" ht="21" hidden="false" customHeight="true" outlineLevel="0" collapsed="false">
      <c r="B1252" s="41"/>
      <c r="C1252" s="9"/>
      <c r="D1252" s="9"/>
      <c r="E1252" s="42"/>
      <c r="F1252" s="43"/>
      <c r="G1252" s="27" t="str">
        <f aca="false">IF(OR(C1252="",AND(D1252="",F1252="")),"",IF(N(E1252)=0,1,E1252)*IF(F1252="",IFERROR(N(INDEX(Produtos!$L$5:$L$104,MATCH(D1252,Produtos!$B$5:$B$104,0))),0),F1252))</f>
        <v/>
      </c>
      <c r="H1252" s="27" t="str">
        <f aca="false">IF(G1252="","",IF(N(E1252)=0,1,E1252)*IFERROR(N(INDEX(Produtos!$G$5:$G$104,MATCH(D1252,Produtos!$B$5:$B$104,0))),0))</f>
        <v/>
      </c>
      <c r="I1252" s="27" t="str">
        <f aca="false">IF(G1252="","",G1252-H1252)</f>
        <v/>
      </c>
      <c r="J1252" s="42"/>
    </row>
    <row r="1253" customFormat="false" ht="21" hidden="false" customHeight="true" outlineLevel="0" collapsed="false">
      <c r="B1253" s="41"/>
      <c r="C1253" s="9"/>
      <c r="D1253" s="9"/>
      <c r="E1253" s="42"/>
      <c r="F1253" s="43"/>
      <c r="G1253" s="27" t="str">
        <f aca="false">IF(OR(C1253="",AND(D1253="",F1253="")),"",IF(N(E1253)=0,1,E1253)*IF(F1253="",IFERROR(N(INDEX(Produtos!$L$5:$L$104,MATCH(D1253,Produtos!$B$5:$B$104,0))),0),F1253))</f>
        <v/>
      </c>
      <c r="H1253" s="27" t="str">
        <f aca="false">IF(G1253="","",IF(N(E1253)=0,1,E1253)*IFERROR(N(INDEX(Produtos!$G$5:$G$104,MATCH(D1253,Produtos!$B$5:$B$104,0))),0))</f>
        <v/>
      </c>
      <c r="I1253" s="27" t="str">
        <f aca="false">IF(G1253="","",G1253-H1253)</f>
        <v/>
      </c>
      <c r="J1253" s="42"/>
    </row>
    <row r="1254" customFormat="false" ht="21" hidden="false" customHeight="true" outlineLevel="0" collapsed="false">
      <c r="B1254" s="41"/>
      <c r="C1254" s="9"/>
      <c r="D1254" s="9"/>
      <c r="E1254" s="42"/>
      <c r="F1254" s="43"/>
      <c r="G1254" s="27" t="str">
        <f aca="false">IF(OR(C1254="",AND(D1254="",F1254="")),"",IF(N(E1254)=0,1,E1254)*IF(F1254="",IFERROR(N(INDEX(Produtos!$L$5:$L$104,MATCH(D1254,Produtos!$B$5:$B$104,0))),0),F1254))</f>
        <v/>
      </c>
      <c r="H1254" s="27" t="str">
        <f aca="false">IF(G1254="","",IF(N(E1254)=0,1,E1254)*IFERROR(N(INDEX(Produtos!$G$5:$G$104,MATCH(D1254,Produtos!$B$5:$B$104,0))),0))</f>
        <v/>
      </c>
      <c r="I1254" s="27" t="str">
        <f aca="false">IF(G1254="","",G1254-H1254)</f>
        <v/>
      </c>
      <c r="J1254" s="42"/>
    </row>
    <row r="1255" customFormat="false" ht="21" hidden="false" customHeight="true" outlineLevel="0" collapsed="false">
      <c r="B1255" s="41"/>
      <c r="C1255" s="9"/>
      <c r="D1255" s="9"/>
      <c r="E1255" s="42"/>
      <c r="F1255" s="43"/>
      <c r="G1255" s="27" t="str">
        <f aca="false">IF(OR(C1255="",AND(D1255="",F1255="")),"",IF(N(E1255)=0,1,E1255)*IF(F1255="",IFERROR(N(INDEX(Produtos!$L$5:$L$104,MATCH(D1255,Produtos!$B$5:$B$104,0))),0),F1255))</f>
        <v/>
      </c>
      <c r="H1255" s="27" t="str">
        <f aca="false">IF(G1255="","",IF(N(E1255)=0,1,E1255)*IFERROR(N(INDEX(Produtos!$G$5:$G$104,MATCH(D1255,Produtos!$B$5:$B$104,0))),0))</f>
        <v/>
      </c>
      <c r="I1255" s="27" t="str">
        <f aca="false">IF(G1255="","",G1255-H1255)</f>
        <v/>
      </c>
      <c r="J1255" s="42"/>
    </row>
    <row r="1256" customFormat="false" ht="21" hidden="false" customHeight="true" outlineLevel="0" collapsed="false">
      <c r="B1256" s="41"/>
      <c r="C1256" s="9"/>
      <c r="D1256" s="9"/>
      <c r="E1256" s="42"/>
      <c r="F1256" s="43"/>
      <c r="G1256" s="27" t="str">
        <f aca="false">IF(OR(C1256="",AND(D1256="",F1256="")),"",IF(N(E1256)=0,1,E1256)*IF(F1256="",IFERROR(N(INDEX(Produtos!$L$5:$L$104,MATCH(D1256,Produtos!$B$5:$B$104,0))),0),F1256))</f>
        <v/>
      </c>
      <c r="H1256" s="27" t="str">
        <f aca="false">IF(G1256="","",IF(N(E1256)=0,1,E1256)*IFERROR(N(INDEX(Produtos!$G$5:$G$104,MATCH(D1256,Produtos!$B$5:$B$104,0))),0))</f>
        <v/>
      </c>
      <c r="I1256" s="27" t="str">
        <f aca="false">IF(G1256="","",G1256-H1256)</f>
        <v/>
      </c>
      <c r="J1256" s="42"/>
    </row>
    <row r="1257" customFormat="false" ht="21" hidden="false" customHeight="true" outlineLevel="0" collapsed="false">
      <c r="B1257" s="41"/>
      <c r="C1257" s="9"/>
      <c r="D1257" s="9"/>
      <c r="E1257" s="42"/>
      <c r="F1257" s="43"/>
      <c r="G1257" s="27" t="str">
        <f aca="false">IF(OR(C1257="",AND(D1257="",F1257="")),"",IF(N(E1257)=0,1,E1257)*IF(F1257="",IFERROR(N(INDEX(Produtos!$L$5:$L$104,MATCH(D1257,Produtos!$B$5:$B$104,0))),0),F1257))</f>
        <v/>
      </c>
      <c r="H1257" s="27" t="str">
        <f aca="false">IF(G1257="","",IF(N(E1257)=0,1,E1257)*IFERROR(N(INDEX(Produtos!$G$5:$G$104,MATCH(D1257,Produtos!$B$5:$B$104,0))),0))</f>
        <v/>
      </c>
      <c r="I1257" s="27" t="str">
        <f aca="false">IF(G1257="","",G1257-H1257)</f>
        <v/>
      </c>
      <c r="J1257" s="42"/>
    </row>
    <row r="1258" customFormat="false" ht="21" hidden="false" customHeight="true" outlineLevel="0" collapsed="false">
      <c r="B1258" s="41"/>
      <c r="C1258" s="9"/>
      <c r="D1258" s="9"/>
      <c r="E1258" s="42"/>
      <c r="F1258" s="43"/>
      <c r="G1258" s="27" t="str">
        <f aca="false">IF(OR(C1258="",AND(D1258="",F1258="")),"",IF(N(E1258)=0,1,E1258)*IF(F1258="",IFERROR(N(INDEX(Produtos!$L$5:$L$104,MATCH(D1258,Produtos!$B$5:$B$104,0))),0),F1258))</f>
        <v/>
      </c>
      <c r="H1258" s="27" t="str">
        <f aca="false">IF(G1258="","",IF(N(E1258)=0,1,E1258)*IFERROR(N(INDEX(Produtos!$G$5:$G$104,MATCH(D1258,Produtos!$B$5:$B$104,0))),0))</f>
        <v/>
      </c>
      <c r="I1258" s="27" t="str">
        <f aca="false">IF(G1258="","",G1258-H1258)</f>
        <v/>
      </c>
      <c r="J1258" s="42"/>
    </row>
    <row r="1259" customFormat="false" ht="21" hidden="false" customHeight="true" outlineLevel="0" collapsed="false">
      <c r="B1259" s="41"/>
      <c r="C1259" s="9"/>
      <c r="D1259" s="9"/>
      <c r="E1259" s="42"/>
      <c r="F1259" s="43"/>
      <c r="G1259" s="27" t="str">
        <f aca="false">IF(OR(C1259="",AND(D1259="",F1259="")),"",IF(N(E1259)=0,1,E1259)*IF(F1259="",IFERROR(N(INDEX(Produtos!$L$5:$L$104,MATCH(D1259,Produtos!$B$5:$B$104,0))),0),F1259))</f>
        <v/>
      </c>
      <c r="H1259" s="27" t="str">
        <f aca="false">IF(G1259="","",IF(N(E1259)=0,1,E1259)*IFERROR(N(INDEX(Produtos!$G$5:$G$104,MATCH(D1259,Produtos!$B$5:$B$104,0))),0))</f>
        <v/>
      </c>
      <c r="I1259" s="27" t="str">
        <f aca="false">IF(G1259="","",G1259-H1259)</f>
        <v/>
      </c>
      <c r="J1259" s="42"/>
    </row>
    <row r="1260" customFormat="false" ht="21" hidden="false" customHeight="true" outlineLevel="0" collapsed="false">
      <c r="B1260" s="41"/>
      <c r="C1260" s="9"/>
      <c r="D1260" s="9"/>
      <c r="E1260" s="42"/>
      <c r="F1260" s="43"/>
      <c r="G1260" s="27" t="str">
        <f aca="false">IF(OR(C1260="",AND(D1260="",F1260="")),"",IF(N(E1260)=0,1,E1260)*IF(F1260="",IFERROR(N(INDEX(Produtos!$L$5:$L$104,MATCH(D1260,Produtos!$B$5:$B$104,0))),0),F1260))</f>
        <v/>
      </c>
      <c r="H1260" s="27" t="str">
        <f aca="false">IF(G1260="","",IF(N(E1260)=0,1,E1260)*IFERROR(N(INDEX(Produtos!$G$5:$G$104,MATCH(D1260,Produtos!$B$5:$B$104,0))),0))</f>
        <v/>
      </c>
      <c r="I1260" s="27" t="str">
        <f aca="false">IF(G1260="","",G1260-H1260)</f>
        <v/>
      </c>
      <c r="J1260" s="42"/>
    </row>
    <row r="1261" customFormat="false" ht="21" hidden="false" customHeight="true" outlineLevel="0" collapsed="false">
      <c r="B1261" s="41"/>
      <c r="C1261" s="9"/>
      <c r="D1261" s="9"/>
      <c r="E1261" s="42"/>
      <c r="F1261" s="43"/>
      <c r="G1261" s="27" t="str">
        <f aca="false">IF(OR(C1261="",AND(D1261="",F1261="")),"",IF(N(E1261)=0,1,E1261)*IF(F1261="",IFERROR(N(INDEX(Produtos!$L$5:$L$104,MATCH(D1261,Produtos!$B$5:$B$104,0))),0),F1261))</f>
        <v/>
      </c>
      <c r="H1261" s="27" t="str">
        <f aca="false">IF(G1261="","",IF(N(E1261)=0,1,E1261)*IFERROR(N(INDEX(Produtos!$G$5:$G$104,MATCH(D1261,Produtos!$B$5:$B$104,0))),0))</f>
        <v/>
      </c>
      <c r="I1261" s="27" t="str">
        <f aca="false">IF(G1261="","",G1261-H1261)</f>
        <v/>
      </c>
      <c r="J1261" s="42"/>
    </row>
    <row r="1262" customFormat="false" ht="21" hidden="false" customHeight="true" outlineLevel="0" collapsed="false">
      <c r="B1262" s="41"/>
      <c r="C1262" s="9"/>
      <c r="D1262" s="9"/>
      <c r="E1262" s="42"/>
      <c r="F1262" s="43"/>
      <c r="G1262" s="27" t="str">
        <f aca="false">IF(OR(C1262="",AND(D1262="",F1262="")),"",IF(N(E1262)=0,1,E1262)*IF(F1262="",IFERROR(N(INDEX(Produtos!$L$5:$L$104,MATCH(D1262,Produtos!$B$5:$B$104,0))),0),F1262))</f>
        <v/>
      </c>
      <c r="H1262" s="27" t="str">
        <f aca="false">IF(G1262="","",IF(N(E1262)=0,1,E1262)*IFERROR(N(INDEX(Produtos!$G$5:$G$104,MATCH(D1262,Produtos!$B$5:$B$104,0))),0))</f>
        <v/>
      </c>
      <c r="I1262" s="27" t="str">
        <f aca="false">IF(G1262="","",G1262-H1262)</f>
        <v/>
      </c>
      <c r="J1262" s="42"/>
    </row>
    <row r="1263" customFormat="false" ht="21" hidden="false" customHeight="true" outlineLevel="0" collapsed="false">
      <c r="B1263" s="41"/>
      <c r="C1263" s="9"/>
      <c r="D1263" s="9"/>
      <c r="E1263" s="42"/>
      <c r="F1263" s="43"/>
      <c r="G1263" s="27" t="str">
        <f aca="false">IF(OR(C1263="",AND(D1263="",F1263="")),"",IF(N(E1263)=0,1,E1263)*IF(F1263="",IFERROR(N(INDEX(Produtos!$L$5:$L$104,MATCH(D1263,Produtos!$B$5:$B$104,0))),0),F1263))</f>
        <v/>
      </c>
      <c r="H1263" s="27" t="str">
        <f aca="false">IF(G1263="","",IF(N(E1263)=0,1,E1263)*IFERROR(N(INDEX(Produtos!$G$5:$G$104,MATCH(D1263,Produtos!$B$5:$B$104,0))),0))</f>
        <v/>
      </c>
      <c r="I1263" s="27" t="str">
        <f aca="false">IF(G1263="","",G1263-H1263)</f>
        <v/>
      </c>
      <c r="J1263" s="42"/>
    </row>
    <row r="1264" customFormat="false" ht="21" hidden="false" customHeight="true" outlineLevel="0" collapsed="false">
      <c r="B1264" s="41"/>
      <c r="C1264" s="9"/>
      <c r="D1264" s="9"/>
      <c r="E1264" s="42"/>
      <c r="F1264" s="43"/>
      <c r="G1264" s="27" t="str">
        <f aca="false">IF(OR(C1264="",AND(D1264="",F1264="")),"",IF(N(E1264)=0,1,E1264)*IF(F1264="",IFERROR(N(INDEX(Produtos!$L$5:$L$104,MATCH(D1264,Produtos!$B$5:$B$104,0))),0),F1264))</f>
        <v/>
      </c>
      <c r="H1264" s="27" t="str">
        <f aca="false">IF(G1264="","",IF(N(E1264)=0,1,E1264)*IFERROR(N(INDEX(Produtos!$G$5:$G$104,MATCH(D1264,Produtos!$B$5:$B$104,0))),0))</f>
        <v/>
      </c>
      <c r="I1264" s="27" t="str">
        <f aca="false">IF(G1264="","",G1264-H1264)</f>
        <v/>
      </c>
      <c r="J1264" s="42"/>
    </row>
    <row r="1265" customFormat="false" ht="21" hidden="false" customHeight="true" outlineLevel="0" collapsed="false">
      <c r="B1265" s="41"/>
      <c r="C1265" s="9"/>
      <c r="D1265" s="9"/>
      <c r="E1265" s="42"/>
      <c r="F1265" s="43"/>
      <c r="G1265" s="27" t="str">
        <f aca="false">IF(OR(C1265="",AND(D1265="",F1265="")),"",IF(N(E1265)=0,1,E1265)*IF(F1265="",IFERROR(N(INDEX(Produtos!$L$5:$L$104,MATCH(D1265,Produtos!$B$5:$B$104,0))),0),F1265))</f>
        <v/>
      </c>
      <c r="H1265" s="27" t="str">
        <f aca="false">IF(G1265="","",IF(N(E1265)=0,1,E1265)*IFERROR(N(INDEX(Produtos!$G$5:$G$104,MATCH(D1265,Produtos!$B$5:$B$104,0))),0))</f>
        <v/>
      </c>
      <c r="I1265" s="27" t="str">
        <f aca="false">IF(G1265="","",G1265-H1265)</f>
        <v/>
      </c>
      <c r="J1265" s="42"/>
    </row>
    <row r="1266" customFormat="false" ht="21" hidden="false" customHeight="true" outlineLevel="0" collapsed="false">
      <c r="B1266" s="41"/>
      <c r="C1266" s="9"/>
      <c r="D1266" s="9"/>
      <c r="E1266" s="42"/>
      <c r="F1266" s="43"/>
      <c r="G1266" s="27" t="str">
        <f aca="false">IF(OR(C1266="",AND(D1266="",F1266="")),"",IF(N(E1266)=0,1,E1266)*IF(F1266="",IFERROR(N(INDEX(Produtos!$L$5:$L$104,MATCH(D1266,Produtos!$B$5:$B$104,0))),0),F1266))</f>
        <v/>
      </c>
      <c r="H1266" s="27" t="str">
        <f aca="false">IF(G1266="","",IF(N(E1266)=0,1,E1266)*IFERROR(N(INDEX(Produtos!$G$5:$G$104,MATCH(D1266,Produtos!$B$5:$B$104,0))),0))</f>
        <v/>
      </c>
      <c r="I1266" s="27" t="str">
        <f aca="false">IF(G1266="","",G1266-H1266)</f>
        <v/>
      </c>
      <c r="J1266" s="42"/>
    </row>
    <row r="1267" customFormat="false" ht="21" hidden="false" customHeight="true" outlineLevel="0" collapsed="false">
      <c r="B1267" s="41"/>
      <c r="C1267" s="9"/>
      <c r="D1267" s="9"/>
      <c r="E1267" s="42"/>
      <c r="F1267" s="43"/>
      <c r="G1267" s="27" t="str">
        <f aca="false">IF(OR(C1267="",AND(D1267="",F1267="")),"",IF(N(E1267)=0,1,E1267)*IF(F1267="",IFERROR(N(INDEX(Produtos!$L$5:$L$104,MATCH(D1267,Produtos!$B$5:$B$104,0))),0),F1267))</f>
        <v/>
      </c>
      <c r="H1267" s="27" t="str">
        <f aca="false">IF(G1267="","",IF(N(E1267)=0,1,E1267)*IFERROR(N(INDEX(Produtos!$G$5:$G$104,MATCH(D1267,Produtos!$B$5:$B$104,0))),0))</f>
        <v/>
      </c>
      <c r="I1267" s="27" t="str">
        <f aca="false">IF(G1267="","",G1267-H1267)</f>
        <v/>
      </c>
      <c r="J1267" s="42"/>
    </row>
    <row r="1268" customFormat="false" ht="21" hidden="false" customHeight="true" outlineLevel="0" collapsed="false">
      <c r="B1268" s="41"/>
      <c r="C1268" s="9"/>
      <c r="D1268" s="9"/>
      <c r="E1268" s="42"/>
      <c r="F1268" s="43"/>
      <c r="G1268" s="27" t="str">
        <f aca="false">IF(OR(C1268="",AND(D1268="",F1268="")),"",IF(N(E1268)=0,1,E1268)*IF(F1268="",IFERROR(N(INDEX(Produtos!$L$5:$L$104,MATCH(D1268,Produtos!$B$5:$B$104,0))),0),F1268))</f>
        <v/>
      </c>
      <c r="H1268" s="27" t="str">
        <f aca="false">IF(G1268="","",IF(N(E1268)=0,1,E1268)*IFERROR(N(INDEX(Produtos!$G$5:$G$104,MATCH(D1268,Produtos!$B$5:$B$104,0))),0))</f>
        <v/>
      </c>
      <c r="I1268" s="27" t="str">
        <f aca="false">IF(G1268="","",G1268-H1268)</f>
        <v/>
      </c>
      <c r="J1268" s="42"/>
    </row>
    <row r="1269" customFormat="false" ht="21" hidden="false" customHeight="true" outlineLevel="0" collapsed="false">
      <c r="B1269" s="41"/>
      <c r="C1269" s="9"/>
      <c r="D1269" s="9"/>
      <c r="E1269" s="42"/>
      <c r="F1269" s="43"/>
      <c r="G1269" s="27" t="str">
        <f aca="false">IF(OR(C1269="",AND(D1269="",F1269="")),"",IF(N(E1269)=0,1,E1269)*IF(F1269="",IFERROR(N(INDEX(Produtos!$L$5:$L$104,MATCH(D1269,Produtos!$B$5:$B$104,0))),0),F1269))</f>
        <v/>
      </c>
      <c r="H1269" s="27" t="str">
        <f aca="false">IF(G1269="","",IF(N(E1269)=0,1,E1269)*IFERROR(N(INDEX(Produtos!$G$5:$G$104,MATCH(D1269,Produtos!$B$5:$B$104,0))),0))</f>
        <v/>
      </c>
      <c r="I1269" s="27" t="str">
        <f aca="false">IF(G1269="","",G1269-H1269)</f>
        <v/>
      </c>
      <c r="J1269" s="42"/>
    </row>
    <row r="1270" customFormat="false" ht="21" hidden="false" customHeight="true" outlineLevel="0" collapsed="false">
      <c r="B1270" s="41"/>
      <c r="C1270" s="9"/>
      <c r="D1270" s="9"/>
      <c r="E1270" s="42"/>
      <c r="F1270" s="43"/>
      <c r="G1270" s="27" t="str">
        <f aca="false">IF(OR(C1270="",AND(D1270="",F1270="")),"",IF(N(E1270)=0,1,E1270)*IF(F1270="",IFERROR(N(INDEX(Produtos!$L$5:$L$104,MATCH(D1270,Produtos!$B$5:$B$104,0))),0),F1270))</f>
        <v/>
      </c>
      <c r="H1270" s="27" t="str">
        <f aca="false">IF(G1270="","",IF(N(E1270)=0,1,E1270)*IFERROR(N(INDEX(Produtos!$G$5:$G$104,MATCH(D1270,Produtos!$B$5:$B$104,0))),0))</f>
        <v/>
      </c>
      <c r="I1270" s="27" t="str">
        <f aca="false">IF(G1270="","",G1270-H1270)</f>
        <v/>
      </c>
      <c r="J1270" s="42"/>
    </row>
    <row r="1271" customFormat="false" ht="21" hidden="false" customHeight="true" outlineLevel="0" collapsed="false">
      <c r="B1271" s="41"/>
      <c r="C1271" s="9"/>
      <c r="D1271" s="9"/>
      <c r="E1271" s="42"/>
      <c r="F1271" s="43"/>
      <c r="G1271" s="27" t="str">
        <f aca="false">IF(OR(C1271="",AND(D1271="",F1271="")),"",IF(N(E1271)=0,1,E1271)*IF(F1271="",IFERROR(N(INDEX(Produtos!$L$5:$L$104,MATCH(D1271,Produtos!$B$5:$B$104,0))),0),F1271))</f>
        <v/>
      </c>
      <c r="H1271" s="27" t="str">
        <f aca="false">IF(G1271="","",IF(N(E1271)=0,1,E1271)*IFERROR(N(INDEX(Produtos!$G$5:$G$104,MATCH(D1271,Produtos!$B$5:$B$104,0))),0))</f>
        <v/>
      </c>
      <c r="I1271" s="27" t="str">
        <f aca="false">IF(G1271="","",G1271-H1271)</f>
        <v/>
      </c>
      <c r="J1271" s="42"/>
    </row>
    <row r="1272" customFormat="false" ht="21" hidden="false" customHeight="true" outlineLevel="0" collapsed="false">
      <c r="B1272" s="41"/>
      <c r="C1272" s="9"/>
      <c r="D1272" s="9"/>
      <c r="E1272" s="42"/>
      <c r="F1272" s="43"/>
      <c r="G1272" s="27" t="str">
        <f aca="false">IF(OR(C1272="",AND(D1272="",F1272="")),"",IF(N(E1272)=0,1,E1272)*IF(F1272="",IFERROR(N(INDEX(Produtos!$L$5:$L$104,MATCH(D1272,Produtos!$B$5:$B$104,0))),0),F1272))</f>
        <v/>
      </c>
      <c r="H1272" s="27" t="str">
        <f aca="false">IF(G1272="","",IF(N(E1272)=0,1,E1272)*IFERROR(N(INDEX(Produtos!$G$5:$G$104,MATCH(D1272,Produtos!$B$5:$B$104,0))),0))</f>
        <v/>
      </c>
      <c r="I1272" s="27" t="str">
        <f aca="false">IF(G1272="","",G1272-H1272)</f>
        <v/>
      </c>
      <c r="J1272" s="42"/>
    </row>
    <row r="1273" customFormat="false" ht="21" hidden="false" customHeight="true" outlineLevel="0" collapsed="false">
      <c r="B1273" s="41"/>
      <c r="C1273" s="9"/>
      <c r="D1273" s="9"/>
      <c r="E1273" s="42"/>
      <c r="F1273" s="43"/>
      <c r="G1273" s="27" t="str">
        <f aca="false">IF(OR(C1273="",AND(D1273="",F1273="")),"",IF(N(E1273)=0,1,E1273)*IF(F1273="",IFERROR(N(INDEX(Produtos!$L$5:$L$104,MATCH(D1273,Produtos!$B$5:$B$104,0))),0),F1273))</f>
        <v/>
      </c>
      <c r="H1273" s="27" t="str">
        <f aca="false">IF(G1273="","",IF(N(E1273)=0,1,E1273)*IFERROR(N(INDEX(Produtos!$G$5:$G$104,MATCH(D1273,Produtos!$B$5:$B$104,0))),0))</f>
        <v/>
      </c>
      <c r="I1273" s="27" t="str">
        <f aca="false">IF(G1273="","",G1273-H1273)</f>
        <v/>
      </c>
      <c r="J1273" s="42"/>
    </row>
    <row r="1274" customFormat="false" ht="21" hidden="false" customHeight="true" outlineLevel="0" collapsed="false">
      <c r="B1274" s="41"/>
      <c r="C1274" s="9"/>
      <c r="D1274" s="9"/>
      <c r="E1274" s="42"/>
      <c r="F1274" s="43"/>
      <c r="G1274" s="27" t="str">
        <f aca="false">IF(OR(C1274="",AND(D1274="",F1274="")),"",IF(N(E1274)=0,1,E1274)*IF(F1274="",IFERROR(N(INDEX(Produtos!$L$5:$L$104,MATCH(D1274,Produtos!$B$5:$B$104,0))),0),F1274))</f>
        <v/>
      </c>
      <c r="H1274" s="27" t="str">
        <f aca="false">IF(G1274="","",IF(N(E1274)=0,1,E1274)*IFERROR(N(INDEX(Produtos!$G$5:$G$104,MATCH(D1274,Produtos!$B$5:$B$104,0))),0))</f>
        <v/>
      </c>
      <c r="I1274" s="27" t="str">
        <f aca="false">IF(G1274="","",G1274-H1274)</f>
        <v/>
      </c>
      <c r="J1274" s="42"/>
    </row>
    <row r="1275" customFormat="false" ht="21" hidden="false" customHeight="true" outlineLevel="0" collapsed="false">
      <c r="B1275" s="41"/>
      <c r="C1275" s="9"/>
      <c r="D1275" s="9"/>
      <c r="E1275" s="42"/>
      <c r="F1275" s="43"/>
      <c r="G1275" s="27" t="str">
        <f aca="false">IF(OR(C1275="",AND(D1275="",F1275="")),"",IF(N(E1275)=0,1,E1275)*IF(F1275="",IFERROR(N(INDEX(Produtos!$L$5:$L$104,MATCH(D1275,Produtos!$B$5:$B$104,0))),0),F1275))</f>
        <v/>
      </c>
      <c r="H1275" s="27" t="str">
        <f aca="false">IF(G1275="","",IF(N(E1275)=0,1,E1275)*IFERROR(N(INDEX(Produtos!$G$5:$G$104,MATCH(D1275,Produtos!$B$5:$B$104,0))),0))</f>
        <v/>
      </c>
      <c r="I1275" s="27" t="str">
        <f aca="false">IF(G1275="","",G1275-H1275)</f>
        <v/>
      </c>
      <c r="J1275" s="42"/>
    </row>
    <row r="1276" customFormat="false" ht="21" hidden="false" customHeight="true" outlineLevel="0" collapsed="false">
      <c r="B1276" s="41"/>
      <c r="C1276" s="9"/>
      <c r="D1276" s="9"/>
      <c r="E1276" s="42"/>
      <c r="F1276" s="43"/>
      <c r="G1276" s="27" t="str">
        <f aca="false">IF(OR(C1276="",AND(D1276="",F1276="")),"",IF(N(E1276)=0,1,E1276)*IF(F1276="",IFERROR(N(INDEX(Produtos!$L$5:$L$104,MATCH(D1276,Produtos!$B$5:$B$104,0))),0),F1276))</f>
        <v/>
      </c>
      <c r="H1276" s="27" t="str">
        <f aca="false">IF(G1276="","",IF(N(E1276)=0,1,E1276)*IFERROR(N(INDEX(Produtos!$G$5:$G$104,MATCH(D1276,Produtos!$B$5:$B$104,0))),0))</f>
        <v/>
      </c>
      <c r="I1276" s="27" t="str">
        <f aca="false">IF(G1276="","",G1276-H1276)</f>
        <v/>
      </c>
      <c r="J1276" s="42"/>
    </row>
    <row r="1277" customFormat="false" ht="21" hidden="false" customHeight="true" outlineLevel="0" collapsed="false">
      <c r="B1277" s="41"/>
      <c r="C1277" s="9"/>
      <c r="D1277" s="9"/>
      <c r="E1277" s="42"/>
      <c r="F1277" s="43"/>
      <c r="G1277" s="27" t="str">
        <f aca="false">IF(OR(C1277="",AND(D1277="",F1277="")),"",IF(N(E1277)=0,1,E1277)*IF(F1277="",IFERROR(N(INDEX(Produtos!$L$5:$L$104,MATCH(D1277,Produtos!$B$5:$B$104,0))),0),F1277))</f>
        <v/>
      </c>
      <c r="H1277" s="27" t="str">
        <f aca="false">IF(G1277="","",IF(N(E1277)=0,1,E1277)*IFERROR(N(INDEX(Produtos!$G$5:$G$104,MATCH(D1277,Produtos!$B$5:$B$104,0))),0))</f>
        <v/>
      </c>
      <c r="I1277" s="27" t="str">
        <f aca="false">IF(G1277="","",G1277-H1277)</f>
        <v/>
      </c>
      <c r="J1277" s="42"/>
    </row>
    <row r="1278" customFormat="false" ht="21" hidden="false" customHeight="true" outlineLevel="0" collapsed="false">
      <c r="B1278" s="41"/>
      <c r="C1278" s="9"/>
      <c r="D1278" s="9"/>
      <c r="E1278" s="42"/>
      <c r="F1278" s="43"/>
      <c r="G1278" s="27" t="str">
        <f aca="false">IF(OR(C1278="",AND(D1278="",F1278="")),"",IF(N(E1278)=0,1,E1278)*IF(F1278="",IFERROR(N(INDEX(Produtos!$L$5:$L$104,MATCH(D1278,Produtos!$B$5:$B$104,0))),0),F1278))</f>
        <v/>
      </c>
      <c r="H1278" s="27" t="str">
        <f aca="false">IF(G1278="","",IF(N(E1278)=0,1,E1278)*IFERROR(N(INDEX(Produtos!$G$5:$G$104,MATCH(D1278,Produtos!$B$5:$B$104,0))),0))</f>
        <v/>
      </c>
      <c r="I1278" s="27" t="str">
        <f aca="false">IF(G1278="","",G1278-H1278)</f>
        <v/>
      </c>
      <c r="J1278" s="42"/>
    </row>
    <row r="1279" customFormat="false" ht="21" hidden="false" customHeight="true" outlineLevel="0" collapsed="false">
      <c r="B1279" s="41"/>
      <c r="C1279" s="9"/>
      <c r="D1279" s="9"/>
      <c r="E1279" s="42"/>
      <c r="F1279" s="43"/>
      <c r="G1279" s="27" t="str">
        <f aca="false">IF(OR(C1279="",AND(D1279="",F1279="")),"",IF(N(E1279)=0,1,E1279)*IF(F1279="",IFERROR(N(INDEX(Produtos!$L$5:$L$104,MATCH(D1279,Produtos!$B$5:$B$104,0))),0),F1279))</f>
        <v/>
      </c>
      <c r="H1279" s="27" t="str">
        <f aca="false">IF(G1279="","",IF(N(E1279)=0,1,E1279)*IFERROR(N(INDEX(Produtos!$G$5:$G$104,MATCH(D1279,Produtos!$B$5:$B$104,0))),0))</f>
        <v/>
      </c>
      <c r="I1279" s="27" t="str">
        <f aca="false">IF(G1279="","",G1279-H1279)</f>
        <v/>
      </c>
      <c r="J1279" s="42"/>
    </row>
    <row r="1280" customFormat="false" ht="21" hidden="false" customHeight="true" outlineLevel="0" collapsed="false">
      <c r="B1280" s="41"/>
      <c r="C1280" s="9"/>
      <c r="D1280" s="9"/>
      <c r="E1280" s="42"/>
      <c r="F1280" s="43"/>
      <c r="G1280" s="27" t="str">
        <f aca="false">IF(OR(C1280="",AND(D1280="",F1280="")),"",IF(N(E1280)=0,1,E1280)*IF(F1280="",IFERROR(N(INDEX(Produtos!$L$5:$L$104,MATCH(D1280,Produtos!$B$5:$B$104,0))),0),F1280))</f>
        <v/>
      </c>
      <c r="H1280" s="27" t="str">
        <f aca="false">IF(G1280="","",IF(N(E1280)=0,1,E1280)*IFERROR(N(INDEX(Produtos!$G$5:$G$104,MATCH(D1280,Produtos!$B$5:$B$104,0))),0))</f>
        <v/>
      </c>
      <c r="I1280" s="27" t="str">
        <f aca="false">IF(G1280="","",G1280-H1280)</f>
        <v/>
      </c>
      <c r="J1280" s="42"/>
    </row>
    <row r="1281" customFormat="false" ht="21" hidden="false" customHeight="true" outlineLevel="0" collapsed="false">
      <c r="B1281" s="41"/>
      <c r="C1281" s="9"/>
      <c r="D1281" s="9"/>
      <c r="E1281" s="42"/>
      <c r="F1281" s="43"/>
      <c r="G1281" s="27" t="str">
        <f aca="false">IF(OR(C1281="",AND(D1281="",F1281="")),"",IF(N(E1281)=0,1,E1281)*IF(F1281="",IFERROR(N(INDEX(Produtos!$L$5:$L$104,MATCH(D1281,Produtos!$B$5:$B$104,0))),0),F1281))</f>
        <v/>
      </c>
      <c r="H1281" s="27" t="str">
        <f aca="false">IF(G1281="","",IF(N(E1281)=0,1,E1281)*IFERROR(N(INDEX(Produtos!$G$5:$G$104,MATCH(D1281,Produtos!$B$5:$B$104,0))),0))</f>
        <v/>
      </c>
      <c r="I1281" s="27" t="str">
        <f aca="false">IF(G1281="","",G1281-H1281)</f>
        <v/>
      </c>
      <c r="J1281" s="42"/>
    </row>
    <row r="1282" customFormat="false" ht="21" hidden="false" customHeight="true" outlineLevel="0" collapsed="false">
      <c r="B1282" s="41"/>
      <c r="C1282" s="9"/>
      <c r="D1282" s="9"/>
      <c r="E1282" s="42"/>
      <c r="F1282" s="43"/>
      <c r="G1282" s="27" t="str">
        <f aca="false">IF(OR(C1282="",AND(D1282="",F1282="")),"",IF(N(E1282)=0,1,E1282)*IF(F1282="",IFERROR(N(INDEX(Produtos!$L$5:$L$104,MATCH(D1282,Produtos!$B$5:$B$104,0))),0),F1282))</f>
        <v/>
      </c>
      <c r="H1282" s="27" t="str">
        <f aca="false">IF(G1282="","",IF(N(E1282)=0,1,E1282)*IFERROR(N(INDEX(Produtos!$G$5:$G$104,MATCH(D1282,Produtos!$B$5:$B$104,0))),0))</f>
        <v/>
      </c>
      <c r="I1282" s="27" t="str">
        <f aca="false">IF(G1282="","",G1282-H1282)</f>
        <v/>
      </c>
      <c r="J1282" s="42"/>
    </row>
    <row r="1283" customFormat="false" ht="21" hidden="false" customHeight="true" outlineLevel="0" collapsed="false">
      <c r="B1283" s="41"/>
      <c r="C1283" s="9"/>
      <c r="D1283" s="9"/>
      <c r="E1283" s="42"/>
      <c r="F1283" s="43"/>
      <c r="G1283" s="27" t="str">
        <f aca="false">IF(OR(C1283="",AND(D1283="",F1283="")),"",IF(N(E1283)=0,1,E1283)*IF(F1283="",IFERROR(N(INDEX(Produtos!$L$5:$L$104,MATCH(D1283,Produtos!$B$5:$B$104,0))),0),F1283))</f>
        <v/>
      </c>
      <c r="H1283" s="27" t="str">
        <f aca="false">IF(G1283="","",IF(N(E1283)=0,1,E1283)*IFERROR(N(INDEX(Produtos!$G$5:$G$104,MATCH(D1283,Produtos!$B$5:$B$104,0))),0))</f>
        <v/>
      </c>
      <c r="I1283" s="27" t="str">
        <f aca="false">IF(G1283="","",G1283-H1283)</f>
        <v/>
      </c>
      <c r="J1283" s="42"/>
    </row>
    <row r="1284" customFormat="false" ht="21" hidden="false" customHeight="true" outlineLevel="0" collapsed="false">
      <c r="B1284" s="41"/>
      <c r="C1284" s="9"/>
      <c r="D1284" s="9"/>
      <c r="E1284" s="42"/>
      <c r="F1284" s="43"/>
      <c r="G1284" s="27" t="str">
        <f aca="false">IF(OR(C1284="",AND(D1284="",F1284="")),"",IF(N(E1284)=0,1,E1284)*IF(F1284="",IFERROR(N(INDEX(Produtos!$L$5:$L$104,MATCH(D1284,Produtos!$B$5:$B$104,0))),0),F1284))</f>
        <v/>
      </c>
      <c r="H1284" s="27" t="str">
        <f aca="false">IF(G1284="","",IF(N(E1284)=0,1,E1284)*IFERROR(N(INDEX(Produtos!$G$5:$G$104,MATCH(D1284,Produtos!$B$5:$B$104,0))),0))</f>
        <v/>
      </c>
      <c r="I1284" s="27" t="str">
        <f aca="false">IF(G1284="","",G1284-H1284)</f>
        <v/>
      </c>
      <c r="J1284" s="42"/>
    </row>
    <row r="1285" customFormat="false" ht="21" hidden="false" customHeight="true" outlineLevel="0" collapsed="false">
      <c r="B1285" s="41"/>
      <c r="C1285" s="9"/>
      <c r="D1285" s="9"/>
      <c r="E1285" s="42"/>
      <c r="F1285" s="43"/>
      <c r="G1285" s="27" t="str">
        <f aca="false">IF(OR(C1285="",AND(D1285="",F1285="")),"",IF(N(E1285)=0,1,E1285)*IF(F1285="",IFERROR(N(INDEX(Produtos!$L$5:$L$104,MATCH(D1285,Produtos!$B$5:$B$104,0))),0),F1285))</f>
        <v/>
      </c>
      <c r="H1285" s="27" t="str">
        <f aca="false">IF(G1285="","",IF(N(E1285)=0,1,E1285)*IFERROR(N(INDEX(Produtos!$G$5:$G$104,MATCH(D1285,Produtos!$B$5:$B$104,0))),0))</f>
        <v/>
      </c>
      <c r="I1285" s="27" t="str">
        <f aca="false">IF(G1285="","",G1285-H1285)</f>
        <v/>
      </c>
      <c r="J1285" s="42"/>
    </row>
    <row r="1286" customFormat="false" ht="21" hidden="false" customHeight="true" outlineLevel="0" collapsed="false">
      <c r="B1286" s="41"/>
      <c r="C1286" s="9"/>
      <c r="D1286" s="9"/>
      <c r="E1286" s="42"/>
      <c r="F1286" s="43"/>
      <c r="G1286" s="27" t="str">
        <f aca="false">IF(OR(C1286="",AND(D1286="",F1286="")),"",IF(N(E1286)=0,1,E1286)*IF(F1286="",IFERROR(N(INDEX(Produtos!$L$5:$L$104,MATCH(D1286,Produtos!$B$5:$B$104,0))),0),F1286))</f>
        <v/>
      </c>
      <c r="H1286" s="27" t="str">
        <f aca="false">IF(G1286="","",IF(N(E1286)=0,1,E1286)*IFERROR(N(INDEX(Produtos!$G$5:$G$104,MATCH(D1286,Produtos!$B$5:$B$104,0))),0))</f>
        <v/>
      </c>
      <c r="I1286" s="27" t="str">
        <f aca="false">IF(G1286="","",G1286-H1286)</f>
        <v/>
      </c>
      <c r="J1286" s="42"/>
    </row>
    <row r="1287" customFormat="false" ht="21" hidden="false" customHeight="true" outlineLevel="0" collapsed="false">
      <c r="B1287" s="41"/>
      <c r="C1287" s="9"/>
      <c r="D1287" s="9"/>
      <c r="E1287" s="42"/>
      <c r="F1287" s="43"/>
      <c r="G1287" s="27" t="str">
        <f aca="false">IF(OR(C1287="",AND(D1287="",F1287="")),"",IF(N(E1287)=0,1,E1287)*IF(F1287="",IFERROR(N(INDEX(Produtos!$L$5:$L$104,MATCH(D1287,Produtos!$B$5:$B$104,0))),0),F1287))</f>
        <v/>
      </c>
      <c r="H1287" s="27" t="str">
        <f aca="false">IF(G1287="","",IF(N(E1287)=0,1,E1287)*IFERROR(N(INDEX(Produtos!$G$5:$G$104,MATCH(D1287,Produtos!$B$5:$B$104,0))),0))</f>
        <v/>
      </c>
      <c r="I1287" s="27" t="str">
        <f aca="false">IF(G1287="","",G1287-H1287)</f>
        <v/>
      </c>
      <c r="J1287" s="42"/>
    </row>
    <row r="1288" customFormat="false" ht="21" hidden="false" customHeight="true" outlineLevel="0" collapsed="false">
      <c r="B1288" s="41"/>
      <c r="C1288" s="9"/>
      <c r="D1288" s="9"/>
      <c r="E1288" s="42"/>
      <c r="F1288" s="43"/>
      <c r="G1288" s="27" t="str">
        <f aca="false">IF(OR(C1288="",AND(D1288="",F1288="")),"",IF(N(E1288)=0,1,E1288)*IF(F1288="",IFERROR(N(INDEX(Produtos!$L$5:$L$104,MATCH(D1288,Produtos!$B$5:$B$104,0))),0),F1288))</f>
        <v/>
      </c>
      <c r="H1288" s="27" t="str">
        <f aca="false">IF(G1288="","",IF(N(E1288)=0,1,E1288)*IFERROR(N(INDEX(Produtos!$G$5:$G$104,MATCH(D1288,Produtos!$B$5:$B$104,0))),0))</f>
        <v/>
      </c>
      <c r="I1288" s="27" t="str">
        <f aca="false">IF(G1288="","",G1288-H1288)</f>
        <v/>
      </c>
      <c r="J1288" s="42"/>
    </row>
    <row r="1289" customFormat="false" ht="21" hidden="false" customHeight="true" outlineLevel="0" collapsed="false">
      <c r="B1289" s="41"/>
      <c r="C1289" s="9"/>
      <c r="D1289" s="9"/>
      <c r="E1289" s="42"/>
      <c r="F1289" s="43"/>
      <c r="G1289" s="27" t="str">
        <f aca="false">IF(OR(C1289="",AND(D1289="",F1289="")),"",IF(N(E1289)=0,1,E1289)*IF(F1289="",IFERROR(N(INDEX(Produtos!$L$5:$L$104,MATCH(D1289,Produtos!$B$5:$B$104,0))),0),F1289))</f>
        <v/>
      </c>
      <c r="H1289" s="27" t="str">
        <f aca="false">IF(G1289="","",IF(N(E1289)=0,1,E1289)*IFERROR(N(INDEX(Produtos!$G$5:$G$104,MATCH(D1289,Produtos!$B$5:$B$104,0))),0))</f>
        <v/>
      </c>
      <c r="I1289" s="27" t="str">
        <f aca="false">IF(G1289="","",G1289-H1289)</f>
        <v/>
      </c>
      <c r="J1289" s="42"/>
    </row>
    <row r="1290" customFormat="false" ht="21" hidden="false" customHeight="true" outlineLevel="0" collapsed="false">
      <c r="B1290" s="41"/>
      <c r="C1290" s="9"/>
      <c r="D1290" s="9"/>
      <c r="E1290" s="42"/>
      <c r="F1290" s="43"/>
      <c r="G1290" s="27" t="str">
        <f aca="false">IF(OR(C1290="",AND(D1290="",F1290="")),"",IF(N(E1290)=0,1,E1290)*IF(F1290="",IFERROR(N(INDEX(Produtos!$L$5:$L$104,MATCH(D1290,Produtos!$B$5:$B$104,0))),0),F1290))</f>
        <v/>
      </c>
      <c r="H1290" s="27" t="str">
        <f aca="false">IF(G1290="","",IF(N(E1290)=0,1,E1290)*IFERROR(N(INDEX(Produtos!$G$5:$G$104,MATCH(D1290,Produtos!$B$5:$B$104,0))),0))</f>
        <v/>
      </c>
      <c r="I1290" s="27" t="str">
        <f aca="false">IF(G1290="","",G1290-H1290)</f>
        <v/>
      </c>
      <c r="J1290" s="42"/>
    </row>
    <row r="1291" customFormat="false" ht="21" hidden="false" customHeight="true" outlineLevel="0" collapsed="false">
      <c r="B1291" s="41"/>
      <c r="C1291" s="9"/>
      <c r="D1291" s="9"/>
      <c r="E1291" s="42"/>
      <c r="F1291" s="43"/>
      <c r="G1291" s="27" t="str">
        <f aca="false">IF(OR(C1291="",AND(D1291="",F1291="")),"",IF(N(E1291)=0,1,E1291)*IF(F1291="",IFERROR(N(INDEX(Produtos!$L$5:$L$104,MATCH(D1291,Produtos!$B$5:$B$104,0))),0),F1291))</f>
        <v/>
      </c>
      <c r="H1291" s="27" t="str">
        <f aca="false">IF(G1291="","",IF(N(E1291)=0,1,E1291)*IFERROR(N(INDEX(Produtos!$G$5:$G$104,MATCH(D1291,Produtos!$B$5:$B$104,0))),0))</f>
        <v/>
      </c>
      <c r="I1291" s="27" t="str">
        <f aca="false">IF(G1291="","",G1291-H1291)</f>
        <v/>
      </c>
      <c r="J1291" s="42"/>
    </row>
    <row r="1292" customFormat="false" ht="21" hidden="false" customHeight="true" outlineLevel="0" collapsed="false">
      <c r="B1292" s="41"/>
      <c r="C1292" s="9"/>
      <c r="D1292" s="9"/>
      <c r="E1292" s="42"/>
      <c r="F1292" s="43"/>
      <c r="G1292" s="27" t="str">
        <f aca="false">IF(OR(C1292="",AND(D1292="",F1292="")),"",IF(N(E1292)=0,1,E1292)*IF(F1292="",IFERROR(N(INDEX(Produtos!$L$5:$L$104,MATCH(D1292,Produtos!$B$5:$B$104,0))),0),F1292))</f>
        <v/>
      </c>
      <c r="H1292" s="27" t="str">
        <f aca="false">IF(G1292="","",IF(N(E1292)=0,1,E1292)*IFERROR(N(INDEX(Produtos!$G$5:$G$104,MATCH(D1292,Produtos!$B$5:$B$104,0))),0))</f>
        <v/>
      </c>
      <c r="I1292" s="27" t="str">
        <f aca="false">IF(G1292="","",G1292-H1292)</f>
        <v/>
      </c>
      <c r="J1292" s="42"/>
    </row>
    <row r="1293" customFormat="false" ht="21" hidden="false" customHeight="true" outlineLevel="0" collapsed="false">
      <c r="B1293" s="41"/>
      <c r="C1293" s="9"/>
      <c r="D1293" s="9"/>
      <c r="E1293" s="42"/>
      <c r="F1293" s="43"/>
      <c r="G1293" s="27" t="str">
        <f aca="false">IF(OR(C1293="",AND(D1293="",F1293="")),"",IF(N(E1293)=0,1,E1293)*IF(F1293="",IFERROR(N(INDEX(Produtos!$L$5:$L$104,MATCH(D1293,Produtos!$B$5:$B$104,0))),0),F1293))</f>
        <v/>
      </c>
      <c r="H1293" s="27" t="str">
        <f aca="false">IF(G1293="","",IF(N(E1293)=0,1,E1293)*IFERROR(N(INDEX(Produtos!$G$5:$G$104,MATCH(D1293,Produtos!$B$5:$B$104,0))),0))</f>
        <v/>
      </c>
      <c r="I1293" s="27" t="str">
        <f aca="false">IF(G1293="","",G1293-H1293)</f>
        <v/>
      </c>
      <c r="J1293" s="42"/>
    </row>
    <row r="1294" customFormat="false" ht="21" hidden="false" customHeight="true" outlineLevel="0" collapsed="false">
      <c r="B1294" s="41"/>
      <c r="C1294" s="9"/>
      <c r="D1294" s="9"/>
      <c r="E1294" s="42"/>
      <c r="F1294" s="43"/>
      <c r="G1294" s="27" t="str">
        <f aca="false">IF(OR(C1294="",AND(D1294="",F1294="")),"",IF(N(E1294)=0,1,E1294)*IF(F1294="",IFERROR(N(INDEX(Produtos!$L$5:$L$104,MATCH(D1294,Produtos!$B$5:$B$104,0))),0),F1294))</f>
        <v/>
      </c>
      <c r="H1294" s="27" t="str">
        <f aca="false">IF(G1294="","",IF(N(E1294)=0,1,E1294)*IFERROR(N(INDEX(Produtos!$G$5:$G$104,MATCH(D1294,Produtos!$B$5:$B$104,0))),0))</f>
        <v/>
      </c>
      <c r="I1294" s="27" t="str">
        <f aca="false">IF(G1294="","",G1294-H1294)</f>
        <v/>
      </c>
      <c r="J1294" s="42"/>
    </row>
    <row r="1295" customFormat="false" ht="21" hidden="false" customHeight="true" outlineLevel="0" collapsed="false">
      <c r="B1295" s="41"/>
      <c r="C1295" s="9"/>
      <c r="D1295" s="9"/>
      <c r="E1295" s="42"/>
      <c r="F1295" s="43"/>
      <c r="G1295" s="27" t="str">
        <f aca="false">IF(OR(C1295="",AND(D1295="",F1295="")),"",IF(N(E1295)=0,1,E1295)*IF(F1295="",IFERROR(N(INDEX(Produtos!$L$5:$L$104,MATCH(D1295,Produtos!$B$5:$B$104,0))),0),F1295))</f>
        <v/>
      </c>
      <c r="H1295" s="27" t="str">
        <f aca="false">IF(G1295="","",IF(N(E1295)=0,1,E1295)*IFERROR(N(INDEX(Produtos!$G$5:$G$104,MATCH(D1295,Produtos!$B$5:$B$104,0))),0))</f>
        <v/>
      </c>
      <c r="I1295" s="27" t="str">
        <f aca="false">IF(G1295="","",G1295-H1295)</f>
        <v/>
      </c>
      <c r="J1295" s="42"/>
    </row>
    <row r="1296" customFormat="false" ht="21" hidden="false" customHeight="true" outlineLevel="0" collapsed="false">
      <c r="B1296" s="41"/>
      <c r="C1296" s="9"/>
      <c r="D1296" s="9"/>
      <c r="E1296" s="42"/>
      <c r="F1296" s="43"/>
      <c r="G1296" s="27" t="str">
        <f aca="false">IF(OR(C1296="",AND(D1296="",F1296="")),"",IF(N(E1296)=0,1,E1296)*IF(F1296="",IFERROR(N(INDEX(Produtos!$L$5:$L$104,MATCH(D1296,Produtos!$B$5:$B$104,0))),0),F1296))</f>
        <v/>
      </c>
      <c r="H1296" s="27" t="str">
        <f aca="false">IF(G1296="","",IF(N(E1296)=0,1,E1296)*IFERROR(N(INDEX(Produtos!$G$5:$G$104,MATCH(D1296,Produtos!$B$5:$B$104,0))),0))</f>
        <v/>
      </c>
      <c r="I1296" s="27" t="str">
        <f aca="false">IF(G1296="","",G1296-H1296)</f>
        <v/>
      </c>
      <c r="J1296" s="42"/>
    </row>
    <row r="1297" customFormat="false" ht="21" hidden="false" customHeight="true" outlineLevel="0" collapsed="false">
      <c r="B1297" s="41"/>
      <c r="C1297" s="9"/>
      <c r="D1297" s="9"/>
      <c r="E1297" s="42"/>
      <c r="F1297" s="43"/>
      <c r="G1297" s="27" t="str">
        <f aca="false">IF(OR(C1297="",AND(D1297="",F1297="")),"",IF(N(E1297)=0,1,E1297)*IF(F1297="",IFERROR(N(INDEX(Produtos!$L$5:$L$104,MATCH(D1297,Produtos!$B$5:$B$104,0))),0),F1297))</f>
        <v/>
      </c>
      <c r="H1297" s="27" t="str">
        <f aca="false">IF(G1297="","",IF(N(E1297)=0,1,E1297)*IFERROR(N(INDEX(Produtos!$G$5:$G$104,MATCH(D1297,Produtos!$B$5:$B$104,0))),0))</f>
        <v/>
      </c>
      <c r="I1297" s="27" t="str">
        <f aca="false">IF(G1297="","",G1297-H1297)</f>
        <v/>
      </c>
      <c r="J1297" s="42"/>
    </row>
    <row r="1298" customFormat="false" ht="21" hidden="false" customHeight="true" outlineLevel="0" collapsed="false">
      <c r="B1298" s="41"/>
      <c r="C1298" s="9"/>
      <c r="D1298" s="9"/>
      <c r="E1298" s="42"/>
      <c r="F1298" s="43"/>
      <c r="G1298" s="27" t="str">
        <f aca="false">IF(OR(C1298="",AND(D1298="",F1298="")),"",IF(N(E1298)=0,1,E1298)*IF(F1298="",IFERROR(N(INDEX(Produtos!$L$5:$L$104,MATCH(D1298,Produtos!$B$5:$B$104,0))),0),F1298))</f>
        <v/>
      </c>
      <c r="H1298" s="27" t="str">
        <f aca="false">IF(G1298="","",IF(N(E1298)=0,1,E1298)*IFERROR(N(INDEX(Produtos!$G$5:$G$104,MATCH(D1298,Produtos!$B$5:$B$104,0))),0))</f>
        <v/>
      </c>
      <c r="I1298" s="27" t="str">
        <f aca="false">IF(G1298="","",G1298-H1298)</f>
        <v/>
      </c>
      <c r="J1298" s="42"/>
    </row>
    <row r="1299" customFormat="false" ht="21" hidden="false" customHeight="true" outlineLevel="0" collapsed="false">
      <c r="B1299" s="41"/>
      <c r="C1299" s="9"/>
      <c r="D1299" s="9"/>
      <c r="E1299" s="42"/>
      <c r="F1299" s="43"/>
      <c r="G1299" s="27" t="str">
        <f aca="false">IF(OR(C1299="",AND(D1299="",F1299="")),"",IF(N(E1299)=0,1,E1299)*IF(F1299="",IFERROR(N(INDEX(Produtos!$L$5:$L$104,MATCH(D1299,Produtos!$B$5:$B$104,0))),0),F1299))</f>
        <v/>
      </c>
      <c r="H1299" s="27" t="str">
        <f aca="false">IF(G1299="","",IF(N(E1299)=0,1,E1299)*IFERROR(N(INDEX(Produtos!$G$5:$G$104,MATCH(D1299,Produtos!$B$5:$B$104,0))),0))</f>
        <v/>
      </c>
      <c r="I1299" s="27" t="str">
        <f aca="false">IF(G1299="","",G1299-H1299)</f>
        <v/>
      </c>
      <c r="J1299" s="42"/>
    </row>
    <row r="1300" customFormat="false" ht="21" hidden="false" customHeight="true" outlineLevel="0" collapsed="false">
      <c r="B1300" s="41"/>
      <c r="C1300" s="9"/>
      <c r="D1300" s="9"/>
      <c r="E1300" s="42"/>
      <c r="F1300" s="43"/>
      <c r="G1300" s="27" t="str">
        <f aca="false">IF(OR(C1300="",AND(D1300="",F1300="")),"",IF(N(E1300)=0,1,E1300)*IF(F1300="",IFERROR(N(INDEX(Produtos!$L$5:$L$104,MATCH(D1300,Produtos!$B$5:$B$104,0))),0),F1300))</f>
        <v/>
      </c>
      <c r="H1300" s="27" t="str">
        <f aca="false">IF(G1300="","",IF(N(E1300)=0,1,E1300)*IFERROR(N(INDEX(Produtos!$G$5:$G$104,MATCH(D1300,Produtos!$B$5:$B$104,0))),0))</f>
        <v/>
      </c>
      <c r="I1300" s="27" t="str">
        <f aca="false">IF(G1300="","",G1300-H1300)</f>
        <v/>
      </c>
      <c r="J1300" s="42"/>
    </row>
    <row r="1301" customFormat="false" ht="21" hidden="false" customHeight="true" outlineLevel="0" collapsed="false">
      <c r="B1301" s="41"/>
      <c r="C1301" s="9"/>
      <c r="D1301" s="9"/>
      <c r="E1301" s="42"/>
      <c r="F1301" s="43"/>
      <c r="G1301" s="27" t="str">
        <f aca="false">IF(OR(C1301="",AND(D1301="",F1301="")),"",IF(N(E1301)=0,1,E1301)*IF(F1301="",IFERROR(N(INDEX(Produtos!$L$5:$L$104,MATCH(D1301,Produtos!$B$5:$B$104,0))),0),F1301))</f>
        <v/>
      </c>
      <c r="H1301" s="27" t="str">
        <f aca="false">IF(G1301="","",IF(N(E1301)=0,1,E1301)*IFERROR(N(INDEX(Produtos!$G$5:$G$104,MATCH(D1301,Produtos!$B$5:$B$104,0))),0))</f>
        <v/>
      </c>
      <c r="I1301" s="27" t="str">
        <f aca="false">IF(G1301="","",G1301-H1301)</f>
        <v/>
      </c>
      <c r="J1301" s="42"/>
    </row>
    <row r="1302" customFormat="false" ht="21" hidden="false" customHeight="true" outlineLevel="0" collapsed="false">
      <c r="B1302" s="41"/>
      <c r="C1302" s="9"/>
      <c r="D1302" s="9"/>
      <c r="E1302" s="42"/>
      <c r="F1302" s="43"/>
      <c r="G1302" s="27" t="str">
        <f aca="false">IF(OR(C1302="",AND(D1302="",F1302="")),"",IF(N(E1302)=0,1,E1302)*IF(F1302="",IFERROR(N(INDEX(Produtos!$L$5:$L$104,MATCH(D1302,Produtos!$B$5:$B$104,0))),0),F1302))</f>
        <v/>
      </c>
      <c r="H1302" s="27" t="str">
        <f aca="false">IF(G1302="","",IF(N(E1302)=0,1,E1302)*IFERROR(N(INDEX(Produtos!$G$5:$G$104,MATCH(D1302,Produtos!$B$5:$B$104,0))),0))</f>
        <v/>
      </c>
      <c r="I1302" s="27" t="str">
        <f aca="false">IF(G1302="","",G1302-H1302)</f>
        <v/>
      </c>
      <c r="J1302" s="42"/>
    </row>
    <row r="1303" customFormat="false" ht="21" hidden="false" customHeight="true" outlineLevel="0" collapsed="false">
      <c r="B1303" s="41"/>
      <c r="C1303" s="9"/>
      <c r="D1303" s="9"/>
      <c r="E1303" s="42"/>
      <c r="F1303" s="43"/>
      <c r="G1303" s="27" t="str">
        <f aca="false">IF(OR(C1303="",AND(D1303="",F1303="")),"",IF(N(E1303)=0,1,E1303)*IF(F1303="",IFERROR(N(INDEX(Produtos!$L$5:$L$104,MATCH(D1303,Produtos!$B$5:$B$104,0))),0),F1303))</f>
        <v/>
      </c>
      <c r="H1303" s="27" t="str">
        <f aca="false">IF(G1303="","",IF(N(E1303)=0,1,E1303)*IFERROR(N(INDEX(Produtos!$G$5:$G$104,MATCH(D1303,Produtos!$B$5:$B$104,0))),0))</f>
        <v/>
      </c>
      <c r="I1303" s="27" t="str">
        <f aca="false">IF(G1303="","",G1303-H1303)</f>
        <v/>
      </c>
      <c r="J1303" s="42"/>
    </row>
    <row r="1304" customFormat="false" ht="21" hidden="false" customHeight="true" outlineLevel="0" collapsed="false">
      <c r="B1304" s="41"/>
      <c r="C1304" s="9"/>
      <c r="D1304" s="9"/>
      <c r="E1304" s="42"/>
      <c r="F1304" s="43"/>
      <c r="G1304" s="27" t="str">
        <f aca="false">IF(OR(C1304="",AND(D1304="",F1304="")),"",IF(N(E1304)=0,1,E1304)*IF(F1304="",IFERROR(N(INDEX(Produtos!$L$5:$L$104,MATCH(D1304,Produtos!$B$5:$B$104,0))),0),F1304))</f>
        <v/>
      </c>
      <c r="H1304" s="27" t="str">
        <f aca="false">IF(G1304="","",IF(N(E1304)=0,1,E1304)*IFERROR(N(INDEX(Produtos!$G$5:$G$104,MATCH(D1304,Produtos!$B$5:$B$104,0))),0))</f>
        <v/>
      </c>
      <c r="I1304" s="27" t="str">
        <f aca="false">IF(G1304="","",G1304-H1304)</f>
        <v/>
      </c>
      <c r="J1304" s="42"/>
    </row>
    <row r="1305" customFormat="false" ht="21" hidden="false" customHeight="true" outlineLevel="0" collapsed="false">
      <c r="B1305" s="41"/>
      <c r="C1305" s="9"/>
      <c r="D1305" s="9"/>
      <c r="E1305" s="42"/>
      <c r="F1305" s="43"/>
      <c r="G1305" s="27" t="str">
        <f aca="false">IF(OR(C1305="",AND(D1305="",F1305="")),"",IF(N(E1305)=0,1,E1305)*IF(F1305="",IFERROR(N(INDEX(Produtos!$L$5:$L$104,MATCH(D1305,Produtos!$B$5:$B$104,0))),0),F1305))</f>
        <v/>
      </c>
      <c r="H1305" s="27" t="str">
        <f aca="false">IF(G1305="","",IF(N(E1305)=0,1,E1305)*IFERROR(N(INDEX(Produtos!$G$5:$G$104,MATCH(D1305,Produtos!$B$5:$B$104,0))),0))</f>
        <v/>
      </c>
      <c r="I1305" s="27" t="str">
        <f aca="false">IF(G1305="","",G1305-H1305)</f>
        <v/>
      </c>
      <c r="J1305" s="42"/>
    </row>
    <row r="1306" customFormat="false" ht="21" hidden="false" customHeight="true" outlineLevel="0" collapsed="false">
      <c r="B1306" s="41"/>
      <c r="C1306" s="9"/>
      <c r="D1306" s="9"/>
      <c r="E1306" s="42"/>
      <c r="F1306" s="43"/>
      <c r="G1306" s="27" t="str">
        <f aca="false">IF(OR(C1306="",AND(D1306="",F1306="")),"",IF(N(E1306)=0,1,E1306)*IF(F1306="",IFERROR(N(INDEX(Produtos!$L$5:$L$104,MATCH(D1306,Produtos!$B$5:$B$104,0))),0),F1306))</f>
        <v/>
      </c>
      <c r="H1306" s="27" t="str">
        <f aca="false">IF(G1306="","",IF(N(E1306)=0,1,E1306)*IFERROR(N(INDEX(Produtos!$G$5:$G$104,MATCH(D1306,Produtos!$B$5:$B$104,0))),0))</f>
        <v/>
      </c>
      <c r="I1306" s="27" t="str">
        <f aca="false">IF(G1306="","",G1306-H1306)</f>
        <v/>
      </c>
      <c r="J1306" s="42"/>
    </row>
    <row r="1307" customFormat="false" ht="21" hidden="false" customHeight="true" outlineLevel="0" collapsed="false">
      <c r="B1307" s="41"/>
      <c r="C1307" s="9"/>
      <c r="D1307" s="9"/>
      <c r="E1307" s="42"/>
      <c r="F1307" s="43"/>
      <c r="G1307" s="27" t="str">
        <f aca="false">IF(OR(C1307="",AND(D1307="",F1307="")),"",IF(N(E1307)=0,1,E1307)*IF(F1307="",IFERROR(N(INDEX(Produtos!$L$5:$L$104,MATCH(D1307,Produtos!$B$5:$B$104,0))),0),F1307))</f>
        <v/>
      </c>
      <c r="H1307" s="27" t="str">
        <f aca="false">IF(G1307="","",IF(N(E1307)=0,1,E1307)*IFERROR(N(INDEX(Produtos!$G$5:$G$104,MATCH(D1307,Produtos!$B$5:$B$104,0))),0))</f>
        <v/>
      </c>
      <c r="I1307" s="27" t="str">
        <f aca="false">IF(G1307="","",G1307-H1307)</f>
        <v/>
      </c>
      <c r="J1307" s="42"/>
    </row>
    <row r="1308" customFormat="false" ht="21" hidden="false" customHeight="true" outlineLevel="0" collapsed="false">
      <c r="B1308" s="41"/>
      <c r="C1308" s="9"/>
      <c r="D1308" s="9"/>
      <c r="E1308" s="42"/>
      <c r="F1308" s="43"/>
      <c r="G1308" s="27" t="str">
        <f aca="false">IF(OR(C1308="",AND(D1308="",F1308="")),"",IF(N(E1308)=0,1,E1308)*IF(F1308="",IFERROR(N(INDEX(Produtos!$L$5:$L$104,MATCH(D1308,Produtos!$B$5:$B$104,0))),0),F1308))</f>
        <v/>
      </c>
      <c r="H1308" s="27" t="str">
        <f aca="false">IF(G1308="","",IF(N(E1308)=0,1,E1308)*IFERROR(N(INDEX(Produtos!$G$5:$G$104,MATCH(D1308,Produtos!$B$5:$B$104,0))),0))</f>
        <v/>
      </c>
      <c r="I1308" s="27" t="str">
        <f aca="false">IF(G1308="","",G1308-H1308)</f>
        <v/>
      </c>
      <c r="J1308" s="42"/>
    </row>
    <row r="1309" customFormat="false" ht="21" hidden="false" customHeight="true" outlineLevel="0" collapsed="false">
      <c r="B1309" s="41"/>
      <c r="C1309" s="9"/>
      <c r="D1309" s="9"/>
      <c r="E1309" s="42"/>
      <c r="F1309" s="43"/>
      <c r="G1309" s="27" t="str">
        <f aca="false">IF(OR(C1309="",AND(D1309="",F1309="")),"",IF(N(E1309)=0,1,E1309)*IF(F1309="",IFERROR(N(INDEX(Produtos!$L$5:$L$104,MATCH(D1309,Produtos!$B$5:$B$104,0))),0),F1309))</f>
        <v/>
      </c>
      <c r="H1309" s="27" t="str">
        <f aca="false">IF(G1309="","",IF(N(E1309)=0,1,E1309)*IFERROR(N(INDEX(Produtos!$G$5:$G$104,MATCH(D1309,Produtos!$B$5:$B$104,0))),0))</f>
        <v/>
      </c>
      <c r="I1309" s="27" t="str">
        <f aca="false">IF(G1309="","",G1309-H1309)</f>
        <v/>
      </c>
      <c r="J1309" s="42"/>
    </row>
    <row r="1310" customFormat="false" ht="21" hidden="false" customHeight="true" outlineLevel="0" collapsed="false">
      <c r="B1310" s="41"/>
      <c r="C1310" s="9"/>
      <c r="D1310" s="9"/>
      <c r="E1310" s="42"/>
      <c r="F1310" s="43"/>
      <c r="G1310" s="27" t="str">
        <f aca="false">IF(OR(C1310="",AND(D1310="",F1310="")),"",IF(N(E1310)=0,1,E1310)*IF(F1310="",IFERROR(N(INDEX(Produtos!$L$5:$L$104,MATCH(D1310,Produtos!$B$5:$B$104,0))),0),F1310))</f>
        <v/>
      </c>
      <c r="H1310" s="27" t="str">
        <f aca="false">IF(G1310="","",IF(N(E1310)=0,1,E1310)*IFERROR(N(INDEX(Produtos!$G$5:$G$104,MATCH(D1310,Produtos!$B$5:$B$104,0))),0))</f>
        <v/>
      </c>
      <c r="I1310" s="27" t="str">
        <f aca="false">IF(G1310="","",G1310-H1310)</f>
        <v/>
      </c>
      <c r="J1310" s="42"/>
    </row>
    <row r="1311" customFormat="false" ht="21" hidden="false" customHeight="true" outlineLevel="0" collapsed="false">
      <c r="B1311" s="41"/>
      <c r="C1311" s="9"/>
      <c r="D1311" s="9"/>
      <c r="E1311" s="42"/>
      <c r="F1311" s="43"/>
      <c r="G1311" s="27" t="str">
        <f aca="false">IF(OR(C1311="",AND(D1311="",F1311="")),"",IF(N(E1311)=0,1,E1311)*IF(F1311="",IFERROR(N(INDEX(Produtos!$L$5:$L$104,MATCH(D1311,Produtos!$B$5:$B$104,0))),0),F1311))</f>
        <v/>
      </c>
      <c r="H1311" s="27" t="str">
        <f aca="false">IF(G1311="","",IF(N(E1311)=0,1,E1311)*IFERROR(N(INDEX(Produtos!$G$5:$G$104,MATCH(D1311,Produtos!$B$5:$B$104,0))),0))</f>
        <v/>
      </c>
      <c r="I1311" s="27" t="str">
        <f aca="false">IF(G1311="","",G1311-H1311)</f>
        <v/>
      </c>
      <c r="J1311" s="42"/>
    </row>
    <row r="1312" customFormat="false" ht="21" hidden="false" customHeight="true" outlineLevel="0" collapsed="false">
      <c r="B1312" s="41"/>
      <c r="C1312" s="9"/>
      <c r="D1312" s="9"/>
      <c r="E1312" s="42"/>
      <c r="F1312" s="43"/>
      <c r="G1312" s="27" t="str">
        <f aca="false">IF(OR(C1312="",AND(D1312="",F1312="")),"",IF(N(E1312)=0,1,E1312)*IF(F1312="",IFERROR(N(INDEX(Produtos!$L$5:$L$104,MATCH(D1312,Produtos!$B$5:$B$104,0))),0),F1312))</f>
        <v/>
      </c>
      <c r="H1312" s="27" t="str">
        <f aca="false">IF(G1312="","",IF(N(E1312)=0,1,E1312)*IFERROR(N(INDEX(Produtos!$G$5:$G$104,MATCH(D1312,Produtos!$B$5:$B$104,0))),0))</f>
        <v/>
      </c>
      <c r="I1312" s="27" t="str">
        <f aca="false">IF(G1312="","",G1312-H1312)</f>
        <v/>
      </c>
      <c r="J1312" s="42"/>
    </row>
    <row r="1313" customFormat="false" ht="21" hidden="false" customHeight="true" outlineLevel="0" collapsed="false">
      <c r="B1313" s="41"/>
      <c r="C1313" s="9"/>
      <c r="D1313" s="9"/>
      <c r="E1313" s="42"/>
      <c r="F1313" s="43"/>
      <c r="G1313" s="27" t="str">
        <f aca="false">IF(OR(C1313="",AND(D1313="",F1313="")),"",IF(N(E1313)=0,1,E1313)*IF(F1313="",IFERROR(N(INDEX(Produtos!$L$5:$L$104,MATCH(D1313,Produtos!$B$5:$B$104,0))),0),F1313))</f>
        <v/>
      </c>
      <c r="H1313" s="27" t="str">
        <f aca="false">IF(G1313="","",IF(N(E1313)=0,1,E1313)*IFERROR(N(INDEX(Produtos!$G$5:$G$104,MATCH(D1313,Produtos!$B$5:$B$104,0))),0))</f>
        <v/>
      </c>
      <c r="I1313" s="27" t="str">
        <f aca="false">IF(G1313="","",G1313-H1313)</f>
        <v/>
      </c>
      <c r="J1313" s="42"/>
    </row>
    <row r="1314" customFormat="false" ht="21" hidden="false" customHeight="true" outlineLevel="0" collapsed="false">
      <c r="B1314" s="41"/>
      <c r="C1314" s="9"/>
      <c r="D1314" s="9"/>
      <c r="E1314" s="42"/>
      <c r="F1314" s="43"/>
      <c r="G1314" s="27" t="str">
        <f aca="false">IF(OR(C1314="",AND(D1314="",F1314="")),"",IF(N(E1314)=0,1,E1314)*IF(F1314="",IFERROR(N(INDEX(Produtos!$L$5:$L$104,MATCH(D1314,Produtos!$B$5:$B$104,0))),0),F1314))</f>
        <v/>
      </c>
      <c r="H1314" s="27" t="str">
        <f aca="false">IF(G1314="","",IF(N(E1314)=0,1,E1314)*IFERROR(N(INDEX(Produtos!$G$5:$G$104,MATCH(D1314,Produtos!$B$5:$B$104,0))),0))</f>
        <v/>
      </c>
      <c r="I1314" s="27" t="str">
        <f aca="false">IF(G1314="","",G1314-H1314)</f>
        <v/>
      </c>
      <c r="J1314" s="42"/>
    </row>
    <row r="1315" customFormat="false" ht="21" hidden="false" customHeight="true" outlineLevel="0" collapsed="false">
      <c r="B1315" s="41"/>
      <c r="C1315" s="9"/>
      <c r="D1315" s="9"/>
      <c r="E1315" s="42"/>
      <c r="F1315" s="43"/>
      <c r="G1315" s="27" t="str">
        <f aca="false">IF(OR(C1315="",AND(D1315="",F1315="")),"",IF(N(E1315)=0,1,E1315)*IF(F1315="",IFERROR(N(INDEX(Produtos!$L$5:$L$104,MATCH(D1315,Produtos!$B$5:$B$104,0))),0),F1315))</f>
        <v/>
      </c>
      <c r="H1315" s="27" t="str">
        <f aca="false">IF(G1315="","",IF(N(E1315)=0,1,E1315)*IFERROR(N(INDEX(Produtos!$G$5:$G$104,MATCH(D1315,Produtos!$B$5:$B$104,0))),0))</f>
        <v/>
      </c>
      <c r="I1315" s="27" t="str">
        <f aca="false">IF(G1315="","",G1315-H1315)</f>
        <v/>
      </c>
      <c r="J1315" s="42"/>
    </row>
    <row r="1316" customFormat="false" ht="21" hidden="false" customHeight="true" outlineLevel="0" collapsed="false">
      <c r="B1316" s="41"/>
      <c r="C1316" s="9"/>
      <c r="D1316" s="9"/>
      <c r="E1316" s="42"/>
      <c r="F1316" s="43"/>
      <c r="G1316" s="27" t="str">
        <f aca="false">IF(OR(C1316="",AND(D1316="",F1316="")),"",IF(N(E1316)=0,1,E1316)*IF(F1316="",IFERROR(N(INDEX(Produtos!$L$5:$L$104,MATCH(D1316,Produtos!$B$5:$B$104,0))),0),F1316))</f>
        <v/>
      </c>
      <c r="H1316" s="27" t="str">
        <f aca="false">IF(G1316="","",IF(N(E1316)=0,1,E1316)*IFERROR(N(INDEX(Produtos!$G$5:$G$104,MATCH(D1316,Produtos!$B$5:$B$104,0))),0))</f>
        <v/>
      </c>
      <c r="I1316" s="27" t="str">
        <f aca="false">IF(G1316="","",G1316-H1316)</f>
        <v/>
      </c>
      <c r="J1316" s="42"/>
    </row>
    <row r="1317" customFormat="false" ht="21" hidden="false" customHeight="true" outlineLevel="0" collapsed="false">
      <c r="B1317" s="41"/>
      <c r="C1317" s="9"/>
      <c r="D1317" s="9"/>
      <c r="E1317" s="42"/>
      <c r="F1317" s="43"/>
      <c r="G1317" s="27" t="str">
        <f aca="false">IF(OR(C1317="",AND(D1317="",F1317="")),"",IF(N(E1317)=0,1,E1317)*IF(F1317="",IFERROR(N(INDEX(Produtos!$L$5:$L$104,MATCH(D1317,Produtos!$B$5:$B$104,0))),0),F1317))</f>
        <v/>
      </c>
      <c r="H1317" s="27" t="str">
        <f aca="false">IF(G1317="","",IF(N(E1317)=0,1,E1317)*IFERROR(N(INDEX(Produtos!$G$5:$G$104,MATCH(D1317,Produtos!$B$5:$B$104,0))),0))</f>
        <v/>
      </c>
      <c r="I1317" s="27" t="str">
        <f aca="false">IF(G1317="","",G1317-H1317)</f>
        <v/>
      </c>
      <c r="J1317" s="42"/>
    </row>
    <row r="1318" customFormat="false" ht="21" hidden="false" customHeight="true" outlineLevel="0" collapsed="false">
      <c r="B1318" s="41"/>
      <c r="C1318" s="9"/>
      <c r="D1318" s="9"/>
      <c r="E1318" s="42"/>
      <c r="F1318" s="43"/>
      <c r="G1318" s="27" t="str">
        <f aca="false">IF(OR(C1318="",AND(D1318="",F1318="")),"",IF(N(E1318)=0,1,E1318)*IF(F1318="",IFERROR(N(INDEX(Produtos!$L$5:$L$104,MATCH(D1318,Produtos!$B$5:$B$104,0))),0),F1318))</f>
        <v/>
      </c>
      <c r="H1318" s="27" t="str">
        <f aca="false">IF(G1318="","",IF(N(E1318)=0,1,E1318)*IFERROR(N(INDEX(Produtos!$G$5:$G$104,MATCH(D1318,Produtos!$B$5:$B$104,0))),0))</f>
        <v/>
      </c>
      <c r="I1318" s="27" t="str">
        <f aca="false">IF(G1318="","",G1318-H1318)</f>
        <v/>
      </c>
      <c r="J1318" s="42"/>
    </row>
    <row r="1319" customFormat="false" ht="21" hidden="false" customHeight="true" outlineLevel="0" collapsed="false">
      <c r="B1319" s="41"/>
      <c r="C1319" s="9"/>
      <c r="D1319" s="9"/>
      <c r="E1319" s="42"/>
      <c r="F1319" s="43"/>
      <c r="G1319" s="27" t="str">
        <f aca="false">IF(OR(C1319="",AND(D1319="",F1319="")),"",IF(N(E1319)=0,1,E1319)*IF(F1319="",IFERROR(N(INDEX(Produtos!$L$5:$L$104,MATCH(D1319,Produtos!$B$5:$B$104,0))),0),F1319))</f>
        <v/>
      </c>
      <c r="H1319" s="27" t="str">
        <f aca="false">IF(G1319="","",IF(N(E1319)=0,1,E1319)*IFERROR(N(INDEX(Produtos!$G$5:$G$104,MATCH(D1319,Produtos!$B$5:$B$104,0))),0))</f>
        <v/>
      </c>
      <c r="I1319" s="27" t="str">
        <f aca="false">IF(G1319="","",G1319-H1319)</f>
        <v/>
      </c>
      <c r="J1319" s="42"/>
    </row>
    <row r="1320" customFormat="false" ht="21" hidden="false" customHeight="true" outlineLevel="0" collapsed="false">
      <c r="B1320" s="41"/>
      <c r="C1320" s="9"/>
      <c r="D1320" s="9"/>
      <c r="E1320" s="42"/>
      <c r="F1320" s="43"/>
      <c r="G1320" s="27" t="str">
        <f aca="false">IF(OR(C1320="",AND(D1320="",F1320="")),"",IF(N(E1320)=0,1,E1320)*IF(F1320="",IFERROR(N(INDEX(Produtos!$L$5:$L$104,MATCH(D1320,Produtos!$B$5:$B$104,0))),0),F1320))</f>
        <v/>
      </c>
      <c r="H1320" s="27" t="str">
        <f aca="false">IF(G1320="","",IF(N(E1320)=0,1,E1320)*IFERROR(N(INDEX(Produtos!$G$5:$G$104,MATCH(D1320,Produtos!$B$5:$B$104,0))),0))</f>
        <v/>
      </c>
      <c r="I1320" s="27" t="str">
        <f aca="false">IF(G1320="","",G1320-H1320)</f>
        <v/>
      </c>
      <c r="J1320" s="42"/>
    </row>
    <row r="1321" customFormat="false" ht="21" hidden="false" customHeight="true" outlineLevel="0" collapsed="false">
      <c r="B1321" s="41"/>
      <c r="C1321" s="9"/>
      <c r="D1321" s="9"/>
      <c r="E1321" s="42"/>
      <c r="F1321" s="43"/>
      <c r="G1321" s="27" t="str">
        <f aca="false">IF(OR(C1321="",AND(D1321="",F1321="")),"",IF(N(E1321)=0,1,E1321)*IF(F1321="",IFERROR(N(INDEX(Produtos!$L$5:$L$104,MATCH(D1321,Produtos!$B$5:$B$104,0))),0),F1321))</f>
        <v/>
      </c>
      <c r="H1321" s="27" t="str">
        <f aca="false">IF(G1321="","",IF(N(E1321)=0,1,E1321)*IFERROR(N(INDEX(Produtos!$G$5:$G$104,MATCH(D1321,Produtos!$B$5:$B$104,0))),0))</f>
        <v/>
      </c>
      <c r="I1321" s="27" t="str">
        <f aca="false">IF(G1321="","",G1321-H1321)</f>
        <v/>
      </c>
      <c r="J1321" s="42"/>
    </row>
    <row r="1322" customFormat="false" ht="21" hidden="false" customHeight="true" outlineLevel="0" collapsed="false">
      <c r="B1322" s="41"/>
      <c r="C1322" s="9"/>
      <c r="D1322" s="9"/>
      <c r="E1322" s="42"/>
      <c r="F1322" s="43"/>
      <c r="G1322" s="27" t="str">
        <f aca="false">IF(OR(C1322="",AND(D1322="",F1322="")),"",IF(N(E1322)=0,1,E1322)*IF(F1322="",IFERROR(N(INDEX(Produtos!$L$5:$L$104,MATCH(D1322,Produtos!$B$5:$B$104,0))),0),F1322))</f>
        <v/>
      </c>
      <c r="H1322" s="27" t="str">
        <f aca="false">IF(G1322="","",IF(N(E1322)=0,1,E1322)*IFERROR(N(INDEX(Produtos!$G$5:$G$104,MATCH(D1322,Produtos!$B$5:$B$104,0))),0))</f>
        <v/>
      </c>
      <c r="I1322" s="27" t="str">
        <f aca="false">IF(G1322="","",G1322-H1322)</f>
        <v/>
      </c>
      <c r="J1322" s="42"/>
    </row>
    <row r="1323" customFormat="false" ht="21" hidden="false" customHeight="true" outlineLevel="0" collapsed="false">
      <c r="B1323" s="41"/>
      <c r="C1323" s="9"/>
      <c r="D1323" s="9"/>
      <c r="E1323" s="42"/>
      <c r="F1323" s="43"/>
      <c r="G1323" s="27" t="str">
        <f aca="false">IF(OR(C1323="",AND(D1323="",F1323="")),"",IF(N(E1323)=0,1,E1323)*IF(F1323="",IFERROR(N(INDEX(Produtos!$L$5:$L$104,MATCH(D1323,Produtos!$B$5:$B$104,0))),0),F1323))</f>
        <v/>
      </c>
      <c r="H1323" s="27" t="str">
        <f aca="false">IF(G1323="","",IF(N(E1323)=0,1,E1323)*IFERROR(N(INDEX(Produtos!$G$5:$G$104,MATCH(D1323,Produtos!$B$5:$B$104,0))),0))</f>
        <v/>
      </c>
      <c r="I1323" s="27" t="str">
        <f aca="false">IF(G1323="","",G1323-H1323)</f>
        <v/>
      </c>
      <c r="J1323" s="42"/>
    </row>
    <row r="1324" customFormat="false" ht="21" hidden="false" customHeight="true" outlineLevel="0" collapsed="false">
      <c r="B1324" s="41"/>
      <c r="C1324" s="9"/>
      <c r="D1324" s="9"/>
      <c r="E1324" s="42"/>
      <c r="F1324" s="43"/>
      <c r="G1324" s="27" t="str">
        <f aca="false">IF(OR(C1324="",AND(D1324="",F1324="")),"",IF(N(E1324)=0,1,E1324)*IF(F1324="",IFERROR(N(INDEX(Produtos!$L$5:$L$104,MATCH(D1324,Produtos!$B$5:$B$104,0))),0),F1324))</f>
        <v/>
      </c>
      <c r="H1324" s="27" t="str">
        <f aca="false">IF(G1324="","",IF(N(E1324)=0,1,E1324)*IFERROR(N(INDEX(Produtos!$G$5:$G$104,MATCH(D1324,Produtos!$B$5:$B$104,0))),0))</f>
        <v/>
      </c>
      <c r="I1324" s="27" t="str">
        <f aca="false">IF(G1324="","",G1324-H1324)</f>
        <v/>
      </c>
      <c r="J1324" s="42"/>
    </row>
    <row r="1325" customFormat="false" ht="21" hidden="false" customHeight="true" outlineLevel="0" collapsed="false">
      <c r="B1325" s="41"/>
      <c r="C1325" s="9"/>
      <c r="D1325" s="9"/>
      <c r="E1325" s="42"/>
      <c r="F1325" s="43"/>
      <c r="G1325" s="27" t="str">
        <f aca="false">IF(OR(C1325="",AND(D1325="",F1325="")),"",IF(N(E1325)=0,1,E1325)*IF(F1325="",IFERROR(N(INDEX(Produtos!$L$5:$L$104,MATCH(D1325,Produtos!$B$5:$B$104,0))),0),F1325))</f>
        <v/>
      </c>
      <c r="H1325" s="27" t="str">
        <f aca="false">IF(G1325="","",IF(N(E1325)=0,1,E1325)*IFERROR(N(INDEX(Produtos!$G$5:$G$104,MATCH(D1325,Produtos!$B$5:$B$104,0))),0))</f>
        <v/>
      </c>
      <c r="I1325" s="27" t="str">
        <f aca="false">IF(G1325="","",G1325-H1325)</f>
        <v/>
      </c>
      <c r="J1325" s="42"/>
    </row>
    <row r="1326" customFormat="false" ht="21" hidden="false" customHeight="true" outlineLevel="0" collapsed="false">
      <c r="B1326" s="41"/>
      <c r="C1326" s="9"/>
      <c r="D1326" s="9"/>
      <c r="E1326" s="42"/>
      <c r="F1326" s="43"/>
      <c r="G1326" s="27" t="str">
        <f aca="false">IF(OR(C1326="",AND(D1326="",F1326="")),"",IF(N(E1326)=0,1,E1326)*IF(F1326="",IFERROR(N(INDEX(Produtos!$L$5:$L$104,MATCH(D1326,Produtos!$B$5:$B$104,0))),0),F1326))</f>
        <v/>
      </c>
      <c r="H1326" s="27" t="str">
        <f aca="false">IF(G1326="","",IF(N(E1326)=0,1,E1326)*IFERROR(N(INDEX(Produtos!$G$5:$G$104,MATCH(D1326,Produtos!$B$5:$B$104,0))),0))</f>
        <v/>
      </c>
      <c r="I1326" s="27" t="str">
        <f aca="false">IF(G1326="","",G1326-H1326)</f>
        <v/>
      </c>
      <c r="J1326" s="42"/>
    </row>
    <row r="1327" customFormat="false" ht="21" hidden="false" customHeight="true" outlineLevel="0" collapsed="false">
      <c r="B1327" s="41"/>
      <c r="C1327" s="9"/>
      <c r="D1327" s="9"/>
      <c r="E1327" s="42"/>
      <c r="F1327" s="43"/>
      <c r="G1327" s="27" t="str">
        <f aca="false">IF(OR(C1327="",AND(D1327="",F1327="")),"",IF(N(E1327)=0,1,E1327)*IF(F1327="",IFERROR(N(INDEX(Produtos!$L$5:$L$104,MATCH(D1327,Produtos!$B$5:$B$104,0))),0),F1327))</f>
        <v/>
      </c>
      <c r="H1327" s="27" t="str">
        <f aca="false">IF(G1327="","",IF(N(E1327)=0,1,E1327)*IFERROR(N(INDEX(Produtos!$G$5:$G$104,MATCH(D1327,Produtos!$B$5:$B$104,0))),0))</f>
        <v/>
      </c>
      <c r="I1327" s="27" t="str">
        <f aca="false">IF(G1327="","",G1327-H1327)</f>
        <v/>
      </c>
      <c r="J1327" s="42"/>
    </row>
    <row r="1328" customFormat="false" ht="21" hidden="false" customHeight="true" outlineLevel="0" collapsed="false">
      <c r="B1328" s="41"/>
      <c r="C1328" s="9"/>
      <c r="D1328" s="9"/>
      <c r="E1328" s="42"/>
      <c r="F1328" s="43"/>
      <c r="G1328" s="27" t="str">
        <f aca="false">IF(OR(C1328="",AND(D1328="",F1328="")),"",IF(N(E1328)=0,1,E1328)*IF(F1328="",IFERROR(N(INDEX(Produtos!$L$5:$L$104,MATCH(D1328,Produtos!$B$5:$B$104,0))),0),F1328))</f>
        <v/>
      </c>
      <c r="H1328" s="27" t="str">
        <f aca="false">IF(G1328="","",IF(N(E1328)=0,1,E1328)*IFERROR(N(INDEX(Produtos!$G$5:$G$104,MATCH(D1328,Produtos!$B$5:$B$104,0))),0))</f>
        <v/>
      </c>
      <c r="I1328" s="27" t="str">
        <f aca="false">IF(G1328="","",G1328-H1328)</f>
        <v/>
      </c>
      <c r="J1328" s="42"/>
    </row>
    <row r="1329" customFormat="false" ht="21" hidden="false" customHeight="true" outlineLevel="0" collapsed="false">
      <c r="B1329" s="41"/>
      <c r="C1329" s="9"/>
      <c r="D1329" s="9"/>
      <c r="E1329" s="42"/>
      <c r="F1329" s="43"/>
      <c r="G1329" s="27" t="str">
        <f aca="false">IF(OR(C1329="",AND(D1329="",F1329="")),"",IF(N(E1329)=0,1,E1329)*IF(F1329="",IFERROR(N(INDEX(Produtos!$L$5:$L$104,MATCH(D1329,Produtos!$B$5:$B$104,0))),0),F1329))</f>
        <v/>
      </c>
      <c r="H1329" s="27" t="str">
        <f aca="false">IF(G1329="","",IF(N(E1329)=0,1,E1329)*IFERROR(N(INDEX(Produtos!$G$5:$G$104,MATCH(D1329,Produtos!$B$5:$B$104,0))),0))</f>
        <v/>
      </c>
      <c r="I1329" s="27" t="str">
        <f aca="false">IF(G1329="","",G1329-H1329)</f>
        <v/>
      </c>
      <c r="J1329" s="42"/>
    </row>
    <row r="1330" customFormat="false" ht="21" hidden="false" customHeight="true" outlineLevel="0" collapsed="false">
      <c r="B1330" s="41"/>
      <c r="C1330" s="9"/>
      <c r="D1330" s="9"/>
      <c r="E1330" s="42"/>
      <c r="F1330" s="43"/>
      <c r="G1330" s="27" t="str">
        <f aca="false">IF(OR(C1330="",AND(D1330="",F1330="")),"",IF(N(E1330)=0,1,E1330)*IF(F1330="",IFERROR(N(INDEX(Produtos!$L$5:$L$104,MATCH(D1330,Produtos!$B$5:$B$104,0))),0),F1330))</f>
        <v/>
      </c>
      <c r="H1330" s="27" t="str">
        <f aca="false">IF(G1330="","",IF(N(E1330)=0,1,E1330)*IFERROR(N(INDEX(Produtos!$G$5:$G$104,MATCH(D1330,Produtos!$B$5:$B$104,0))),0))</f>
        <v/>
      </c>
      <c r="I1330" s="27" t="str">
        <f aca="false">IF(G1330="","",G1330-H1330)</f>
        <v/>
      </c>
      <c r="J1330" s="42"/>
    </row>
    <row r="1331" customFormat="false" ht="21" hidden="false" customHeight="true" outlineLevel="0" collapsed="false">
      <c r="B1331" s="41"/>
      <c r="C1331" s="9"/>
      <c r="D1331" s="9"/>
      <c r="E1331" s="42"/>
      <c r="F1331" s="43"/>
      <c r="G1331" s="27" t="str">
        <f aca="false">IF(OR(C1331="",AND(D1331="",F1331="")),"",IF(N(E1331)=0,1,E1331)*IF(F1331="",IFERROR(N(INDEX(Produtos!$L$5:$L$104,MATCH(D1331,Produtos!$B$5:$B$104,0))),0),F1331))</f>
        <v/>
      </c>
      <c r="H1331" s="27" t="str">
        <f aca="false">IF(G1331="","",IF(N(E1331)=0,1,E1331)*IFERROR(N(INDEX(Produtos!$G$5:$G$104,MATCH(D1331,Produtos!$B$5:$B$104,0))),0))</f>
        <v/>
      </c>
      <c r="I1331" s="27" t="str">
        <f aca="false">IF(G1331="","",G1331-H1331)</f>
        <v/>
      </c>
      <c r="J1331" s="42"/>
    </row>
    <row r="1332" customFormat="false" ht="21" hidden="false" customHeight="true" outlineLevel="0" collapsed="false">
      <c r="B1332" s="41"/>
      <c r="C1332" s="9"/>
      <c r="D1332" s="9"/>
      <c r="E1332" s="42"/>
      <c r="F1332" s="43"/>
      <c r="G1332" s="27" t="str">
        <f aca="false">IF(OR(C1332="",AND(D1332="",F1332="")),"",IF(N(E1332)=0,1,E1332)*IF(F1332="",IFERROR(N(INDEX(Produtos!$L$5:$L$104,MATCH(D1332,Produtos!$B$5:$B$104,0))),0),F1332))</f>
        <v/>
      </c>
      <c r="H1332" s="27" t="str">
        <f aca="false">IF(G1332="","",IF(N(E1332)=0,1,E1332)*IFERROR(N(INDEX(Produtos!$G$5:$G$104,MATCH(D1332,Produtos!$B$5:$B$104,0))),0))</f>
        <v/>
      </c>
      <c r="I1332" s="27" t="str">
        <f aca="false">IF(G1332="","",G1332-H1332)</f>
        <v/>
      </c>
      <c r="J1332" s="42"/>
    </row>
    <row r="1333" customFormat="false" ht="21" hidden="false" customHeight="true" outlineLevel="0" collapsed="false">
      <c r="B1333" s="41"/>
      <c r="C1333" s="9"/>
      <c r="D1333" s="9"/>
      <c r="E1333" s="42"/>
      <c r="F1333" s="43"/>
      <c r="G1333" s="27" t="str">
        <f aca="false">IF(OR(C1333="",AND(D1333="",F1333="")),"",IF(N(E1333)=0,1,E1333)*IF(F1333="",IFERROR(N(INDEX(Produtos!$L$5:$L$104,MATCH(D1333,Produtos!$B$5:$B$104,0))),0),F1333))</f>
        <v/>
      </c>
      <c r="H1333" s="27" t="str">
        <f aca="false">IF(G1333="","",IF(N(E1333)=0,1,E1333)*IFERROR(N(INDEX(Produtos!$G$5:$G$104,MATCH(D1333,Produtos!$B$5:$B$104,0))),0))</f>
        <v/>
      </c>
      <c r="I1333" s="27" t="str">
        <f aca="false">IF(G1333="","",G1333-H1333)</f>
        <v/>
      </c>
      <c r="J1333" s="42"/>
    </row>
    <row r="1334" customFormat="false" ht="21" hidden="false" customHeight="true" outlineLevel="0" collapsed="false">
      <c r="B1334" s="41"/>
      <c r="C1334" s="9"/>
      <c r="D1334" s="9"/>
      <c r="E1334" s="42"/>
      <c r="F1334" s="43"/>
      <c r="G1334" s="27" t="str">
        <f aca="false">IF(OR(C1334="",AND(D1334="",F1334="")),"",IF(N(E1334)=0,1,E1334)*IF(F1334="",IFERROR(N(INDEX(Produtos!$L$5:$L$104,MATCH(D1334,Produtos!$B$5:$B$104,0))),0),F1334))</f>
        <v/>
      </c>
      <c r="H1334" s="27" t="str">
        <f aca="false">IF(G1334="","",IF(N(E1334)=0,1,E1334)*IFERROR(N(INDEX(Produtos!$G$5:$G$104,MATCH(D1334,Produtos!$B$5:$B$104,0))),0))</f>
        <v/>
      </c>
      <c r="I1334" s="27" t="str">
        <f aca="false">IF(G1334="","",G1334-H1334)</f>
        <v/>
      </c>
      <c r="J1334" s="42"/>
    </row>
    <row r="1335" customFormat="false" ht="21" hidden="false" customHeight="true" outlineLevel="0" collapsed="false">
      <c r="B1335" s="41"/>
      <c r="C1335" s="9"/>
      <c r="D1335" s="9"/>
      <c r="E1335" s="42"/>
      <c r="F1335" s="43"/>
      <c r="G1335" s="27" t="str">
        <f aca="false">IF(OR(C1335="",AND(D1335="",F1335="")),"",IF(N(E1335)=0,1,E1335)*IF(F1335="",IFERROR(N(INDEX(Produtos!$L$5:$L$104,MATCH(D1335,Produtos!$B$5:$B$104,0))),0),F1335))</f>
        <v/>
      </c>
      <c r="H1335" s="27" t="str">
        <f aca="false">IF(G1335="","",IF(N(E1335)=0,1,E1335)*IFERROR(N(INDEX(Produtos!$G$5:$G$104,MATCH(D1335,Produtos!$B$5:$B$104,0))),0))</f>
        <v/>
      </c>
      <c r="I1335" s="27" t="str">
        <f aca="false">IF(G1335="","",G1335-H1335)</f>
        <v/>
      </c>
      <c r="J1335" s="42"/>
    </row>
    <row r="1336" customFormat="false" ht="21" hidden="false" customHeight="true" outlineLevel="0" collapsed="false">
      <c r="B1336" s="41"/>
      <c r="C1336" s="9"/>
      <c r="D1336" s="9"/>
      <c r="E1336" s="42"/>
      <c r="F1336" s="43"/>
      <c r="G1336" s="27" t="str">
        <f aca="false">IF(OR(C1336="",AND(D1336="",F1336="")),"",IF(N(E1336)=0,1,E1336)*IF(F1336="",IFERROR(N(INDEX(Produtos!$L$5:$L$104,MATCH(D1336,Produtos!$B$5:$B$104,0))),0),F1336))</f>
        <v/>
      </c>
      <c r="H1336" s="27" t="str">
        <f aca="false">IF(G1336="","",IF(N(E1336)=0,1,E1336)*IFERROR(N(INDEX(Produtos!$G$5:$G$104,MATCH(D1336,Produtos!$B$5:$B$104,0))),0))</f>
        <v/>
      </c>
      <c r="I1336" s="27" t="str">
        <f aca="false">IF(G1336="","",G1336-H1336)</f>
        <v/>
      </c>
      <c r="J1336" s="42"/>
    </row>
    <row r="1337" customFormat="false" ht="21" hidden="false" customHeight="true" outlineLevel="0" collapsed="false">
      <c r="B1337" s="41"/>
      <c r="C1337" s="9"/>
      <c r="D1337" s="9"/>
      <c r="E1337" s="42"/>
      <c r="F1337" s="43"/>
      <c r="G1337" s="27" t="str">
        <f aca="false">IF(OR(C1337="",AND(D1337="",F1337="")),"",IF(N(E1337)=0,1,E1337)*IF(F1337="",IFERROR(N(INDEX(Produtos!$L$5:$L$104,MATCH(D1337,Produtos!$B$5:$B$104,0))),0),F1337))</f>
        <v/>
      </c>
      <c r="H1337" s="27" t="str">
        <f aca="false">IF(G1337="","",IF(N(E1337)=0,1,E1337)*IFERROR(N(INDEX(Produtos!$G$5:$G$104,MATCH(D1337,Produtos!$B$5:$B$104,0))),0))</f>
        <v/>
      </c>
      <c r="I1337" s="27" t="str">
        <f aca="false">IF(G1337="","",G1337-H1337)</f>
        <v/>
      </c>
      <c r="J1337" s="42"/>
    </row>
    <row r="1338" customFormat="false" ht="21" hidden="false" customHeight="true" outlineLevel="0" collapsed="false">
      <c r="B1338" s="41"/>
      <c r="C1338" s="9"/>
      <c r="D1338" s="9"/>
      <c r="E1338" s="42"/>
      <c r="F1338" s="43"/>
      <c r="G1338" s="27" t="str">
        <f aca="false">IF(OR(C1338="",AND(D1338="",F1338="")),"",IF(N(E1338)=0,1,E1338)*IF(F1338="",IFERROR(N(INDEX(Produtos!$L$5:$L$104,MATCH(D1338,Produtos!$B$5:$B$104,0))),0),F1338))</f>
        <v/>
      </c>
      <c r="H1338" s="27" t="str">
        <f aca="false">IF(G1338="","",IF(N(E1338)=0,1,E1338)*IFERROR(N(INDEX(Produtos!$G$5:$G$104,MATCH(D1338,Produtos!$B$5:$B$104,0))),0))</f>
        <v/>
      </c>
      <c r="I1338" s="27" t="str">
        <f aca="false">IF(G1338="","",G1338-H1338)</f>
        <v/>
      </c>
      <c r="J1338" s="42"/>
    </row>
    <row r="1339" customFormat="false" ht="21" hidden="false" customHeight="true" outlineLevel="0" collapsed="false">
      <c r="B1339" s="41"/>
      <c r="C1339" s="9"/>
      <c r="D1339" s="9"/>
      <c r="E1339" s="42"/>
      <c r="F1339" s="43"/>
      <c r="G1339" s="27" t="str">
        <f aca="false">IF(OR(C1339="",AND(D1339="",F1339="")),"",IF(N(E1339)=0,1,E1339)*IF(F1339="",IFERROR(N(INDEX(Produtos!$L$5:$L$104,MATCH(D1339,Produtos!$B$5:$B$104,0))),0),F1339))</f>
        <v/>
      </c>
      <c r="H1339" s="27" t="str">
        <f aca="false">IF(G1339="","",IF(N(E1339)=0,1,E1339)*IFERROR(N(INDEX(Produtos!$G$5:$G$104,MATCH(D1339,Produtos!$B$5:$B$104,0))),0))</f>
        <v/>
      </c>
      <c r="I1339" s="27" t="str">
        <f aca="false">IF(G1339="","",G1339-H1339)</f>
        <v/>
      </c>
      <c r="J1339" s="42"/>
    </row>
    <row r="1340" customFormat="false" ht="21" hidden="false" customHeight="true" outlineLevel="0" collapsed="false">
      <c r="B1340" s="41"/>
      <c r="C1340" s="9"/>
      <c r="D1340" s="9"/>
      <c r="E1340" s="42"/>
      <c r="F1340" s="43"/>
      <c r="G1340" s="27" t="str">
        <f aca="false">IF(OR(C1340="",AND(D1340="",F1340="")),"",IF(N(E1340)=0,1,E1340)*IF(F1340="",IFERROR(N(INDEX(Produtos!$L$5:$L$104,MATCH(D1340,Produtos!$B$5:$B$104,0))),0),F1340))</f>
        <v/>
      </c>
      <c r="H1340" s="27" t="str">
        <f aca="false">IF(G1340="","",IF(N(E1340)=0,1,E1340)*IFERROR(N(INDEX(Produtos!$G$5:$G$104,MATCH(D1340,Produtos!$B$5:$B$104,0))),0))</f>
        <v/>
      </c>
      <c r="I1340" s="27" t="str">
        <f aca="false">IF(G1340="","",G1340-H1340)</f>
        <v/>
      </c>
      <c r="J1340" s="42"/>
    </row>
    <row r="1341" customFormat="false" ht="21" hidden="false" customHeight="true" outlineLevel="0" collapsed="false">
      <c r="B1341" s="41"/>
      <c r="C1341" s="9"/>
      <c r="D1341" s="9"/>
      <c r="E1341" s="42"/>
      <c r="F1341" s="43"/>
      <c r="G1341" s="27" t="str">
        <f aca="false">IF(OR(C1341="",AND(D1341="",F1341="")),"",IF(N(E1341)=0,1,E1341)*IF(F1341="",IFERROR(N(INDEX(Produtos!$L$5:$L$104,MATCH(D1341,Produtos!$B$5:$B$104,0))),0),F1341))</f>
        <v/>
      </c>
      <c r="H1341" s="27" t="str">
        <f aca="false">IF(G1341="","",IF(N(E1341)=0,1,E1341)*IFERROR(N(INDEX(Produtos!$G$5:$G$104,MATCH(D1341,Produtos!$B$5:$B$104,0))),0))</f>
        <v/>
      </c>
      <c r="I1341" s="27" t="str">
        <f aca="false">IF(G1341="","",G1341-H1341)</f>
        <v/>
      </c>
      <c r="J1341" s="42"/>
    </row>
    <row r="1342" customFormat="false" ht="21" hidden="false" customHeight="true" outlineLevel="0" collapsed="false">
      <c r="B1342" s="41"/>
      <c r="C1342" s="9"/>
      <c r="D1342" s="9"/>
      <c r="E1342" s="42"/>
      <c r="F1342" s="43"/>
      <c r="G1342" s="27" t="str">
        <f aca="false">IF(OR(C1342="",AND(D1342="",F1342="")),"",IF(N(E1342)=0,1,E1342)*IF(F1342="",IFERROR(N(INDEX(Produtos!$L$5:$L$104,MATCH(D1342,Produtos!$B$5:$B$104,0))),0),F1342))</f>
        <v/>
      </c>
      <c r="H1342" s="27" t="str">
        <f aca="false">IF(G1342="","",IF(N(E1342)=0,1,E1342)*IFERROR(N(INDEX(Produtos!$G$5:$G$104,MATCH(D1342,Produtos!$B$5:$B$104,0))),0))</f>
        <v/>
      </c>
      <c r="I1342" s="27" t="str">
        <f aca="false">IF(G1342="","",G1342-H1342)</f>
        <v/>
      </c>
      <c r="J1342" s="42"/>
    </row>
    <row r="1343" customFormat="false" ht="21" hidden="false" customHeight="true" outlineLevel="0" collapsed="false">
      <c r="B1343" s="41"/>
      <c r="C1343" s="9"/>
      <c r="D1343" s="9"/>
      <c r="E1343" s="42"/>
      <c r="F1343" s="43"/>
      <c r="G1343" s="27" t="str">
        <f aca="false">IF(OR(C1343="",AND(D1343="",F1343="")),"",IF(N(E1343)=0,1,E1343)*IF(F1343="",IFERROR(N(INDEX(Produtos!$L$5:$L$104,MATCH(D1343,Produtos!$B$5:$B$104,0))),0),F1343))</f>
        <v/>
      </c>
      <c r="H1343" s="27" t="str">
        <f aca="false">IF(G1343="","",IF(N(E1343)=0,1,E1343)*IFERROR(N(INDEX(Produtos!$G$5:$G$104,MATCH(D1343,Produtos!$B$5:$B$104,0))),0))</f>
        <v/>
      </c>
      <c r="I1343" s="27" t="str">
        <f aca="false">IF(G1343="","",G1343-H1343)</f>
        <v/>
      </c>
      <c r="J1343" s="42"/>
    </row>
    <row r="1344" customFormat="false" ht="21" hidden="false" customHeight="true" outlineLevel="0" collapsed="false">
      <c r="B1344" s="41"/>
      <c r="C1344" s="9"/>
      <c r="D1344" s="9"/>
      <c r="E1344" s="42"/>
      <c r="F1344" s="43"/>
      <c r="G1344" s="27" t="str">
        <f aca="false">IF(OR(C1344="",AND(D1344="",F1344="")),"",IF(N(E1344)=0,1,E1344)*IF(F1344="",IFERROR(N(INDEX(Produtos!$L$5:$L$104,MATCH(D1344,Produtos!$B$5:$B$104,0))),0),F1344))</f>
        <v/>
      </c>
      <c r="H1344" s="27" t="str">
        <f aca="false">IF(G1344="","",IF(N(E1344)=0,1,E1344)*IFERROR(N(INDEX(Produtos!$G$5:$G$104,MATCH(D1344,Produtos!$B$5:$B$104,0))),0))</f>
        <v/>
      </c>
      <c r="I1344" s="27" t="str">
        <f aca="false">IF(G1344="","",G1344-H1344)</f>
        <v/>
      </c>
      <c r="J1344" s="42"/>
    </row>
    <row r="1345" customFormat="false" ht="21" hidden="false" customHeight="true" outlineLevel="0" collapsed="false">
      <c r="B1345" s="41"/>
      <c r="C1345" s="9"/>
      <c r="D1345" s="9"/>
      <c r="E1345" s="42"/>
      <c r="F1345" s="43"/>
      <c r="G1345" s="27" t="str">
        <f aca="false">IF(OR(C1345="",AND(D1345="",F1345="")),"",IF(N(E1345)=0,1,E1345)*IF(F1345="",IFERROR(N(INDEX(Produtos!$L$5:$L$104,MATCH(D1345,Produtos!$B$5:$B$104,0))),0),F1345))</f>
        <v/>
      </c>
      <c r="H1345" s="27" t="str">
        <f aca="false">IF(G1345="","",IF(N(E1345)=0,1,E1345)*IFERROR(N(INDEX(Produtos!$G$5:$G$104,MATCH(D1345,Produtos!$B$5:$B$104,0))),0))</f>
        <v/>
      </c>
      <c r="I1345" s="27" t="str">
        <f aca="false">IF(G1345="","",G1345-H1345)</f>
        <v/>
      </c>
      <c r="J1345" s="42"/>
    </row>
    <row r="1346" customFormat="false" ht="21" hidden="false" customHeight="true" outlineLevel="0" collapsed="false">
      <c r="B1346" s="41"/>
      <c r="C1346" s="9"/>
      <c r="D1346" s="9"/>
      <c r="E1346" s="42"/>
      <c r="F1346" s="43"/>
      <c r="G1346" s="27" t="str">
        <f aca="false">IF(OR(C1346="",AND(D1346="",F1346="")),"",IF(N(E1346)=0,1,E1346)*IF(F1346="",IFERROR(N(INDEX(Produtos!$L$5:$L$104,MATCH(D1346,Produtos!$B$5:$B$104,0))),0),F1346))</f>
        <v/>
      </c>
      <c r="H1346" s="27" t="str">
        <f aca="false">IF(G1346="","",IF(N(E1346)=0,1,E1346)*IFERROR(N(INDEX(Produtos!$G$5:$G$104,MATCH(D1346,Produtos!$B$5:$B$104,0))),0))</f>
        <v/>
      </c>
      <c r="I1346" s="27" t="str">
        <f aca="false">IF(G1346="","",G1346-H1346)</f>
        <v/>
      </c>
      <c r="J1346" s="42"/>
    </row>
    <row r="1347" customFormat="false" ht="21" hidden="false" customHeight="true" outlineLevel="0" collapsed="false">
      <c r="B1347" s="41"/>
      <c r="C1347" s="9"/>
      <c r="D1347" s="9"/>
      <c r="E1347" s="42"/>
      <c r="F1347" s="43"/>
      <c r="G1347" s="27" t="str">
        <f aca="false">IF(OR(C1347="",AND(D1347="",F1347="")),"",IF(N(E1347)=0,1,E1347)*IF(F1347="",IFERROR(N(INDEX(Produtos!$L$5:$L$104,MATCH(D1347,Produtos!$B$5:$B$104,0))),0),F1347))</f>
        <v/>
      </c>
      <c r="H1347" s="27" t="str">
        <f aca="false">IF(G1347="","",IF(N(E1347)=0,1,E1347)*IFERROR(N(INDEX(Produtos!$G$5:$G$104,MATCH(D1347,Produtos!$B$5:$B$104,0))),0))</f>
        <v/>
      </c>
      <c r="I1347" s="27" t="str">
        <f aca="false">IF(G1347="","",G1347-H1347)</f>
        <v/>
      </c>
      <c r="J1347" s="42"/>
    </row>
    <row r="1348" customFormat="false" ht="21" hidden="false" customHeight="true" outlineLevel="0" collapsed="false">
      <c r="B1348" s="41"/>
      <c r="C1348" s="9"/>
      <c r="D1348" s="9"/>
      <c r="E1348" s="42"/>
      <c r="F1348" s="43"/>
      <c r="G1348" s="27" t="str">
        <f aca="false">IF(OR(C1348="",AND(D1348="",F1348="")),"",IF(N(E1348)=0,1,E1348)*IF(F1348="",IFERROR(N(INDEX(Produtos!$L$5:$L$104,MATCH(D1348,Produtos!$B$5:$B$104,0))),0),F1348))</f>
        <v/>
      </c>
      <c r="H1348" s="27" t="str">
        <f aca="false">IF(G1348="","",IF(N(E1348)=0,1,E1348)*IFERROR(N(INDEX(Produtos!$G$5:$G$104,MATCH(D1348,Produtos!$B$5:$B$104,0))),0))</f>
        <v/>
      </c>
      <c r="I1348" s="27" t="str">
        <f aca="false">IF(G1348="","",G1348-H1348)</f>
        <v/>
      </c>
      <c r="J1348" s="42"/>
    </row>
    <row r="1349" customFormat="false" ht="21" hidden="false" customHeight="true" outlineLevel="0" collapsed="false">
      <c r="B1349" s="41"/>
      <c r="C1349" s="9"/>
      <c r="D1349" s="9"/>
      <c r="E1349" s="42"/>
      <c r="F1349" s="43"/>
      <c r="G1349" s="27" t="str">
        <f aca="false">IF(OR(C1349="",AND(D1349="",F1349="")),"",IF(N(E1349)=0,1,E1349)*IF(F1349="",IFERROR(N(INDEX(Produtos!$L$5:$L$104,MATCH(D1349,Produtos!$B$5:$B$104,0))),0),F1349))</f>
        <v/>
      </c>
      <c r="H1349" s="27" t="str">
        <f aca="false">IF(G1349="","",IF(N(E1349)=0,1,E1349)*IFERROR(N(INDEX(Produtos!$G$5:$G$104,MATCH(D1349,Produtos!$B$5:$B$104,0))),0))</f>
        <v/>
      </c>
      <c r="I1349" s="27" t="str">
        <f aca="false">IF(G1349="","",G1349-H1349)</f>
        <v/>
      </c>
      <c r="J1349" s="42"/>
    </row>
    <row r="1350" customFormat="false" ht="21" hidden="false" customHeight="true" outlineLevel="0" collapsed="false">
      <c r="B1350" s="41"/>
      <c r="C1350" s="9"/>
      <c r="D1350" s="9"/>
      <c r="E1350" s="42"/>
      <c r="F1350" s="43"/>
      <c r="G1350" s="27" t="str">
        <f aca="false">IF(OR(C1350="",AND(D1350="",F1350="")),"",IF(N(E1350)=0,1,E1350)*IF(F1350="",IFERROR(N(INDEX(Produtos!$L$5:$L$104,MATCH(D1350,Produtos!$B$5:$B$104,0))),0),F1350))</f>
        <v/>
      </c>
      <c r="H1350" s="27" t="str">
        <f aca="false">IF(G1350="","",IF(N(E1350)=0,1,E1350)*IFERROR(N(INDEX(Produtos!$G$5:$G$104,MATCH(D1350,Produtos!$B$5:$B$104,0))),0))</f>
        <v/>
      </c>
      <c r="I1350" s="27" t="str">
        <f aca="false">IF(G1350="","",G1350-H1350)</f>
        <v/>
      </c>
      <c r="J1350" s="42"/>
    </row>
    <row r="1351" customFormat="false" ht="21" hidden="false" customHeight="true" outlineLevel="0" collapsed="false">
      <c r="B1351" s="41"/>
      <c r="C1351" s="9"/>
      <c r="D1351" s="9"/>
      <c r="E1351" s="42"/>
      <c r="F1351" s="43"/>
      <c r="G1351" s="27" t="str">
        <f aca="false">IF(OR(C1351="",AND(D1351="",F1351="")),"",IF(N(E1351)=0,1,E1351)*IF(F1351="",IFERROR(N(INDEX(Produtos!$L$5:$L$104,MATCH(D1351,Produtos!$B$5:$B$104,0))),0),F1351))</f>
        <v/>
      </c>
      <c r="H1351" s="27" t="str">
        <f aca="false">IF(G1351="","",IF(N(E1351)=0,1,E1351)*IFERROR(N(INDEX(Produtos!$G$5:$G$104,MATCH(D1351,Produtos!$B$5:$B$104,0))),0))</f>
        <v/>
      </c>
      <c r="I1351" s="27" t="str">
        <f aca="false">IF(G1351="","",G1351-H1351)</f>
        <v/>
      </c>
      <c r="J1351" s="42"/>
    </row>
    <row r="1352" customFormat="false" ht="21" hidden="false" customHeight="true" outlineLevel="0" collapsed="false">
      <c r="B1352" s="41"/>
      <c r="C1352" s="9"/>
      <c r="D1352" s="9"/>
      <c r="E1352" s="42"/>
      <c r="F1352" s="43"/>
      <c r="G1352" s="27" t="str">
        <f aca="false">IF(OR(C1352="",AND(D1352="",F1352="")),"",IF(N(E1352)=0,1,E1352)*IF(F1352="",IFERROR(N(INDEX(Produtos!$L$5:$L$104,MATCH(D1352,Produtos!$B$5:$B$104,0))),0),F1352))</f>
        <v/>
      </c>
      <c r="H1352" s="27" t="str">
        <f aca="false">IF(G1352="","",IF(N(E1352)=0,1,E1352)*IFERROR(N(INDEX(Produtos!$G$5:$G$104,MATCH(D1352,Produtos!$B$5:$B$104,0))),0))</f>
        <v/>
      </c>
      <c r="I1352" s="27" t="str">
        <f aca="false">IF(G1352="","",G1352-H1352)</f>
        <v/>
      </c>
      <c r="J1352" s="42"/>
    </row>
    <row r="1353" customFormat="false" ht="21" hidden="false" customHeight="true" outlineLevel="0" collapsed="false">
      <c r="B1353" s="41"/>
      <c r="C1353" s="9"/>
      <c r="D1353" s="9"/>
      <c r="E1353" s="42"/>
      <c r="F1353" s="43"/>
      <c r="G1353" s="27" t="str">
        <f aca="false">IF(OR(C1353="",AND(D1353="",F1353="")),"",IF(N(E1353)=0,1,E1353)*IF(F1353="",IFERROR(N(INDEX(Produtos!$L$5:$L$104,MATCH(D1353,Produtos!$B$5:$B$104,0))),0),F1353))</f>
        <v/>
      </c>
      <c r="H1353" s="27" t="str">
        <f aca="false">IF(G1353="","",IF(N(E1353)=0,1,E1353)*IFERROR(N(INDEX(Produtos!$G$5:$G$104,MATCH(D1353,Produtos!$B$5:$B$104,0))),0))</f>
        <v/>
      </c>
      <c r="I1353" s="27" t="str">
        <f aca="false">IF(G1353="","",G1353-H1353)</f>
        <v/>
      </c>
      <c r="J1353" s="42"/>
    </row>
    <row r="1354" customFormat="false" ht="21" hidden="false" customHeight="true" outlineLevel="0" collapsed="false">
      <c r="B1354" s="41"/>
      <c r="C1354" s="9"/>
      <c r="D1354" s="9"/>
      <c r="E1354" s="42"/>
      <c r="F1354" s="43"/>
      <c r="G1354" s="27" t="str">
        <f aca="false">IF(OR(C1354="",AND(D1354="",F1354="")),"",IF(N(E1354)=0,1,E1354)*IF(F1354="",IFERROR(N(INDEX(Produtos!$L$5:$L$104,MATCH(D1354,Produtos!$B$5:$B$104,0))),0),F1354))</f>
        <v/>
      </c>
      <c r="H1354" s="27" t="str">
        <f aca="false">IF(G1354="","",IF(N(E1354)=0,1,E1354)*IFERROR(N(INDEX(Produtos!$G$5:$G$104,MATCH(D1354,Produtos!$B$5:$B$104,0))),0))</f>
        <v/>
      </c>
      <c r="I1354" s="27" t="str">
        <f aca="false">IF(G1354="","",G1354-H1354)</f>
        <v/>
      </c>
      <c r="J1354" s="42"/>
    </row>
    <row r="1355" customFormat="false" ht="21" hidden="false" customHeight="true" outlineLevel="0" collapsed="false">
      <c r="B1355" s="41"/>
      <c r="C1355" s="9"/>
      <c r="D1355" s="9"/>
      <c r="E1355" s="42"/>
      <c r="F1355" s="43"/>
      <c r="G1355" s="27" t="str">
        <f aca="false">IF(OR(C1355="",AND(D1355="",F1355="")),"",IF(N(E1355)=0,1,E1355)*IF(F1355="",IFERROR(N(INDEX(Produtos!$L$5:$L$104,MATCH(D1355,Produtos!$B$5:$B$104,0))),0),F1355))</f>
        <v/>
      </c>
      <c r="H1355" s="27" t="str">
        <f aca="false">IF(G1355="","",IF(N(E1355)=0,1,E1355)*IFERROR(N(INDEX(Produtos!$G$5:$G$104,MATCH(D1355,Produtos!$B$5:$B$104,0))),0))</f>
        <v/>
      </c>
      <c r="I1355" s="27" t="str">
        <f aca="false">IF(G1355="","",G1355-H1355)</f>
        <v/>
      </c>
      <c r="J1355" s="42"/>
    </row>
    <row r="1356" customFormat="false" ht="21" hidden="false" customHeight="true" outlineLevel="0" collapsed="false">
      <c r="B1356" s="41"/>
      <c r="C1356" s="9"/>
      <c r="D1356" s="9"/>
      <c r="E1356" s="42"/>
      <c r="F1356" s="43"/>
      <c r="G1356" s="27" t="str">
        <f aca="false">IF(OR(C1356="",AND(D1356="",F1356="")),"",IF(N(E1356)=0,1,E1356)*IF(F1356="",IFERROR(N(INDEX(Produtos!$L$5:$L$104,MATCH(D1356,Produtos!$B$5:$B$104,0))),0),F1356))</f>
        <v/>
      </c>
      <c r="H1356" s="27" t="str">
        <f aca="false">IF(G1356="","",IF(N(E1356)=0,1,E1356)*IFERROR(N(INDEX(Produtos!$G$5:$G$104,MATCH(D1356,Produtos!$B$5:$B$104,0))),0))</f>
        <v/>
      </c>
      <c r="I1356" s="27" t="str">
        <f aca="false">IF(G1356="","",G1356-H1356)</f>
        <v/>
      </c>
      <c r="J1356" s="42"/>
    </row>
    <row r="1357" customFormat="false" ht="21" hidden="false" customHeight="true" outlineLevel="0" collapsed="false">
      <c r="B1357" s="41"/>
      <c r="C1357" s="9"/>
      <c r="D1357" s="9"/>
      <c r="E1357" s="42"/>
      <c r="F1357" s="43"/>
      <c r="G1357" s="27" t="str">
        <f aca="false">IF(OR(C1357="",AND(D1357="",F1357="")),"",IF(N(E1357)=0,1,E1357)*IF(F1357="",IFERROR(N(INDEX(Produtos!$L$5:$L$104,MATCH(D1357,Produtos!$B$5:$B$104,0))),0),F1357))</f>
        <v/>
      </c>
      <c r="H1357" s="27" t="str">
        <f aca="false">IF(G1357="","",IF(N(E1357)=0,1,E1357)*IFERROR(N(INDEX(Produtos!$G$5:$G$104,MATCH(D1357,Produtos!$B$5:$B$104,0))),0))</f>
        <v/>
      </c>
      <c r="I1357" s="27" t="str">
        <f aca="false">IF(G1357="","",G1357-H1357)</f>
        <v/>
      </c>
      <c r="J1357" s="42"/>
    </row>
    <row r="1358" customFormat="false" ht="21" hidden="false" customHeight="true" outlineLevel="0" collapsed="false">
      <c r="B1358" s="41"/>
      <c r="C1358" s="9"/>
      <c r="D1358" s="9"/>
      <c r="E1358" s="42"/>
      <c r="F1358" s="43"/>
      <c r="G1358" s="27" t="str">
        <f aca="false">IF(OR(C1358="",AND(D1358="",F1358="")),"",IF(N(E1358)=0,1,E1358)*IF(F1358="",IFERROR(N(INDEX(Produtos!$L$5:$L$104,MATCH(D1358,Produtos!$B$5:$B$104,0))),0),F1358))</f>
        <v/>
      </c>
      <c r="H1358" s="27" t="str">
        <f aca="false">IF(G1358="","",IF(N(E1358)=0,1,E1358)*IFERROR(N(INDEX(Produtos!$G$5:$G$104,MATCH(D1358,Produtos!$B$5:$B$104,0))),0))</f>
        <v/>
      </c>
      <c r="I1358" s="27" t="str">
        <f aca="false">IF(G1358="","",G1358-H1358)</f>
        <v/>
      </c>
      <c r="J1358" s="42"/>
    </row>
    <row r="1359" customFormat="false" ht="21" hidden="false" customHeight="true" outlineLevel="0" collapsed="false">
      <c r="B1359" s="41"/>
      <c r="C1359" s="9"/>
      <c r="D1359" s="9"/>
      <c r="E1359" s="42"/>
      <c r="F1359" s="43"/>
      <c r="G1359" s="27" t="str">
        <f aca="false">IF(OR(C1359="",AND(D1359="",F1359="")),"",IF(N(E1359)=0,1,E1359)*IF(F1359="",IFERROR(N(INDEX(Produtos!$L$5:$L$104,MATCH(D1359,Produtos!$B$5:$B$104,0))),0),F1359))</f>
        <v/>
      </c>
      <c r="H1359" s="27" t="str">
        <f aca="false">IF(G1359="","",IF(N(E1359)=0,1,E1359)*IFERROR(N(INDEX(Produtos!$G$5:$G$104,MATCH(D1359,Produtos!$B$5:$B$104,0))),0))</f>
        <v/>
      </c>
      <c r="I1359" s="27" t="str">
        <f aca="false">IF(G1359="","",G1359-H1359)</f>
        <v/>
      </c>
      <c r="J1359" s="42"/>
    </row>
    <row r="1360" customFormat="false" ht="21" hidden="false" customHeight="true" outlineLevel="0" collapsed="false">
      <c r="B1360" s="41"/>
      <c r="C1360" s="9"/>
      <c r="D1360" s="9"/>
      <c r="E1360" s="42"/>
      <c r="F1360" s="43"/>
      <c r="G1360" s="27" t="str">
        <f aca="false">IF(OR(C1360="",AND(D1360="",F1360="")),"",IF(N(E1360)=0,1,E1360)*IF(F1360="",IFERROR(N(INDEX(Produtos!$L$5:$L$104,MATCH(D1360,Produtos!$B$5:$B$104,0))),0),F1360))</f>
        <v/>
      </c>
      <c r="H1360" s="27" t="str">
        <f aca="false">IF(G1360="","",IF(N(E1360)=0,1,E1360)*IFERROR(N(INDEX(Produtos!$G$5:$G$104,MATCH(D1360,Produtos!$B$5:$B$104,0))),0))</f>
        <v/>
      </c>
      <c r="I1360" s="27" t="str">
        <f aca="false">IF(G1360="","",G1360-H1360)</f>
        <v/>
      </c>
      <c r="J1360" s="42"/>
    </row>
    <row r="1361" customFormat="false" ht="21" hidden="false" customHeight="true" outlineLevel="0" collapsed="false">
      <c r="B1361" s="41"/>
      <c r="C1361" s="9"/>
      <c r="D1361" s="9"/>
      <c r="E1361" s="42"/>
      <c r="F1361" s="43"/>
      <c r="G1361" s="27" t="str">
        <f aca="false">IF(OR(C1361="",AND(D1361="",F1361="")),"",IF(N(E1361)=0,1,E1361)*IF(F1361="",IFERROR(N(INDEX(Produtos!$L$5:$L$104,MATCH(D1361,Produtos!$B$5:$B$104,0))),0),F1361))</f>
        <v/>
      </c>
      <c r="H1361" s="27" t="str">
        <f aca="false">IF(G1361="","",IF(N(E1361)=0,1,E1361)*IFERROR(N(INDEX(Produtos!$G$5:$G$104,MATCH(D1361,Produtos!$B$5:$B$104,0))),0))</f>
        <v/>
      </c>
      <c r="I1361" s="27" t="str">
        <f aca="false">IF(G1361="","",G1361-H1361)</f>
        <v/>
      </c>
      <c r="J1361" s="42"/>
    </row>
    <row r="1362" customFormat="false" ht="21" hidden="false" customHeight="true" outlineLevel="0" collapsed="false">
      <c r="B1362" s="41"/>
      <c r="C1362" s="9"/>
      <c r="D1362" s="9"/>
      <c r="E1362" s="42"/>
      <c r="F1362" s="43"/>
      <c r="G1362" s="27" t="str">
        <f aca="false">IF(OR(C1362="",AND(D1362="",F1362="")),"",IF(N(E1362)=0,1,E1362)*IF(F1362="",IFERROR(N(INDEX(Produtos!$L$5:$L$104,MATCH(D1362,Produtos!$B$5:$B$104,0))),0),F1362))</f>
        <v/>
      </c>
      <c r="H1362" s="27" t="str">
        <f aca="false">IF(G1362="","",IF(N(E1362)=0,1,E1362)*IFERROR(N(INDEX(Produtos!$G$5:$G$104,MATCH(D1362,Produtos!$B$5:$B$104,0))),0))</f>
        <v/>
      </c>
      <c r="I1362" s="27" t="str">
        <f aca="false">IF(G1362="","",G1362-H1362)</f>
        <v/>
      </c>
      <c r="J1362" s="42"/>
    </row>
    <row r="1363" customFormat="false" ht="21" hidden="false" customHeight="true" outlineLevel="0" collapsed="false">
      <c r="B1363" s="41"/>
      <c r="C1363" s="9"/>
      <c r="D1363" s="9"/>
      <c r="E1363" s="42"/>
      <c r="F1363" s="43"/>
      <c r="G1363" s="27" t="str">
        <f aca="false">IF(OR(C1363="",AND(D1363="",F1363="")),"",IF(N(E1363)=0,1,E1363)*IF(F1363="",IFERROR(N(INDEX(Produtos!$L$5:$L$104,MATCH(D1363,Produtos!$B$5:$B$104,0))),0),F1363))</f>
        <v/>
      </c>
      <c r="H1363" s="27" t="str">
        <f aca="false">IF(G1363="","",IF(N(E1363)=0,1,E1363)*IFERROR(N(INDEX(Produtos!$G$5:$G$104,MATCH(D1363,Produtos!$B$5:$B$104,0))),0))</f>
        <v/>
      </c>
      <c r="I1363" s="27" t="str">
        <f aca="false">IF(G1363="","",G1363-H1363)</f>
        <v/>
      </c>
      <c r="J1363" s="42"/>
    </row>
    <row r="1364" customFormat="false" ht="21" hidden="false" customHeight="true" outlineLevel="0" collapsed="false">
      <c r="B1364" s="41"/>
      <c r="C1364" s="9"/>
      <c r="D1364" s="9"/>
      <c r="E1364" s="42"/>
      <c r="F1364" s="43"/>
      <c r="G1364" s="27" t="str">
        <f aca="false">IF(OR(C1364="",AND(D1364="",F1364="")),"",IF(N(E1364)=0,1,E1364)*IF(F1364="",IFERROR(N(INDEX(Produtos!$L$5:$L$104,MATCH(D1364,Produtos!$B$5:$B$104,0))),0),F1364))</f>
        <v/>
      </c>
      <c r="H1364" s="27" t="str">
        <f aca="false">IF(G1364="","",IF(N(E1364)=0,1,E1364)*IFERROR(N(INDEX(Produtos!$G$5:$G$104,MATCH(D1364,Produtos!$B$5:$B$104,0))),0))</f>
        <v/>
      </c>
      <c r="I1364" s="27" t="str">
        <f aca="false">IF(G1364="","",G1364-H1364)</f>
        <v/>
      </c>
      <c r="J1364" s="42"/>
    </row>
    <row r="1365" customFormat="false" ht="21" hidden="false" customHeight="true" outlineLevel="0" collapsed="false">
      <c r="B1365" s="41"/>
      <c r="C1365" s="9"/>
      <c r="D1365" s="9"/>
      <c r="E1365" s="42"/>
      <c r="F1365" s="43"/>
      <c r="G1365" s="27" t="str">
        <f aca="false">IF(OR(C1365="",AND(D1365="",F1365="")),"",IF(N(E1365)=0,1,E1365)*IF(F1365="",IFERROR(N(INDEX(Produtos!$L$5:$L$104,MATCH(D1365,Produtos!$B$5:$B$104,0))),0),F1365))</f>
        <v/>
      </c>
      <c r="H1365" s="27" t="str">
        <f aca="false">IF(G1365="","",IF(N(E1365)=0,1,E1365)*IFERROR(N(INDEX(Produtos!$G$5:$G$104,MATCH(D1365,Produtos!$B$5:$B$104,0))),0))</f>
        <v/>
      </c>
      <c r="I1365" s="27" t="str">
        <f aca="false">IF(G1365="","",G1365-H1365)</f>
        <v/>
      </c>
      <c r="J1365" s="42"/>
    </row>
    <row r="1366" customFormat="false" ht="21" hidden="false" customHeight="true" outlineLevel="0" collapsed="false">
      <c r="B1366" s="41"/>
      <c r="C1366" s="9"/>
      <c r="D1366" s="9"/>
      <c r="E1366" s="42"/>
      <c r="F1366" s="43"/>
      <c r="G1366" s="27" t="str">
        <f aca="false">IF(OR(C1366="",AND(D1366="",F1366="")),"",IF(N(E1366)=0,1,E1366)*IF(F1366="",IFERROR(N(INDEX(Produtos!$L$5:$L$104,MATCH(D1366,Produtos!$B$5:$B$104,0))),0),F1366))</f>
        <v/>
      </c>
      <c r="H1366" s="27" t="str">
        <f aca="false">IF(G1366="","",IF(N(E1366)=0,1,E1366)*IFERROR(N(INDEX(Produtos!$G$5:$G$104,MATCH(D1366,Produtos!$B$5:$B$104,0))),0))</f>
        <v/>
      </c>
      <c r="I1366" s="27" t="str">
        <f aca="false">IF(G1366="","",G1366-H1366)</f>
        <v/>
      </c>
      <c r="J1366" s="42"/>
    </row>
    <row r="1367" customFormat="false" ht="21" hidden="false" customHeight="true" outlineLevel="0" collapsed="false">
      <c r="B1367" s="41"/>
      <c r="C1367" s="9"/>
      <c r="D1367" s="9"/>
      <c r="E1367" s="42"/>
      <c r="F1367" s="43"/>
      <c r="G1367" s="27" t="str">
        <f aca="false">IF(OR(C1367="",AND(D1367="",F1367="")),"",IF(N(E1367)=0,1,E1367)*IF(F1367="",IFERROR(N(INDEX(Produtos!$L$5:$L$104,MATCH(D1367,Produtos!$B$5:$B$104,0))),0),F1367))</f>
        <v/>
      </c>
      <c r="H1367" s="27" t="str">
        <f aca="false">IF(G1367="","",IF(N(E1367)=0,1,E1367)*IFERROR(N(INDEX(Produtos!$G$5:$G$104,MATCH(D1367,Produtos!$B$5:$B$104,0))),0))</f>
        <v/>
      </c>
      <c r="I1367" s="27" t="str">
        <f aca="false">IF(G1367="","",G1367-H1367)</f>
        <v/>
      </c>
      <c r="J1367" s="42"/>
    </row>
    <row r="1368" customFormat="false" ht="21" hidden="false" customHeight="true" outlineLevel="0" collapsed="false">
      <c r="B1368" s="41"/>
      <c r="C1368" s="9"/>
      <c r="D1368" s="9"/>
      <c r="E1368" s="42"/>
      <c r="F1368" s="43"/>
      <c r="G1368" s="27" t="str">
        <f aca="false">IF(OR(C1368="",AND(D1368="",F1368="")),"",IF(N(E1368)=0,1,E1368)*IF(F1368="",IFERROR(N(INDEX(Produtos!$L$5:$L$104,MATCH(D1368,Produtos!$B$5:$B$104,0))),0),F1368))</f>
        <v/>
      </c>
      <c r="H1368" s="27" t="str">
        <f aca="false">IF(G1368="","",IF(N(E1368)=0,1,E1368)*IFERROR(N(INDEX(Produtos!$G$5:$G$104,MATCH(D1368,Produtos!$B$5:$B$104,0))),0))</f>
        <v/>
      </c>
      <c r="I1368" s="27" t="str">
        <f aca="false">IF(G1368="","",G1368-H1368)</f>
        <v/>
      </c>
      <c r="J1368" s="42"/>
    </row>
    <row r="1369" customFormat="false" ht="21" hidden="false" customHeight="true" outlineLevel="0" collapsed="false">
      <c r="B1369" s="41"/>
      <c r="C1369" s="9"/>
      <c r="D1369" s="9"/>
      <c r="E1369" s="42"/>
      <c r="F1369" s="43"/>
      <c r="G1369" s="27" t="str">
        <f aca="false">IF(OR(C1369="",AND(D1369="",F1369="")),"",IF(N(E1369)=0,1,E1369)*IF(F1369="",IFERROR(N(INDEX(Produtos!$L$5:$L$104,MATCH(D1369,Produtos!$B$5:$B$104,0))),0),F1369))</f>
        <v/>
      </c>
      <c r="H1369" s="27" t="str">
        <f aca="false">IF(G1369="","",IF(N(E1369)=0,1,E1369)*IFERROR(N(INDEX(Produtos!$G$5:$G$104,MATCH(D1369,Produtos!$B$5:$B$104,0))),0))</f>
        <v/>
      </c>
      <c r="I1369" s="27" t="str">
        <f aca="false">IF(G1369="","",G1369-H1369)</f>
        <v/>
      </c>
      <c r="J1369" s="42"/>
    </row>
    <row r="1370" customFormat="false" ht="21" hidden="false" customHeight="true" outlineLevel="0" collapsed="false">
      <c r="B1370" s="41"/>
      <c r="C1370" s="9"/>
      <c r="D1370" s="9"/>
      <c r="E1370" s="42"/>
      <c r="F1370" s="43"/>
      <c r="G1370" s="27" t="str">
        <f aca="false">IF(OR(C1370="",AND(D1370="",F1370="")),"",IF(N(E1370)=0,1,E1370)*IF(F1370="",IFERROR(N(INDEX(Produtos!$L$5:$L$104,MATCH(D1370,Produtos!$B$5:$B$104,0))),0),F1370))</f>
        <v/>
      </c>
      <c r="H1370" s="27" t="str">
        <f aca="false">IF(G1370="","",IF(N(E1370)=0,1,E1370)*IFERROR(N(INDEX(Produtos!$G$5:$G$104,MATCH(D1370,Produtos!$B$5:$B$104,0))),0))</f>
        <v/>
      </c>
      <c r="I1370" s="27" t="str">
        <f aca="false">IF(G1370="","",G1370-H1370)</f>
        <v/>
      </c>
      <c r="J1370" s="42"/>
    </row>
    <row r="1371" customFormat="false" ht="21" hidden="false" customHeight="true" outlineLevel="0" collapsed="false">
      <c r="B1371" s="41"/>
      <c r="C1371" s="9"/>
      <c r="D1371" s="9"/>
      <c r="E1371" s="42"/>
      <c r="F1371" s="43"/>
      <c r="G1371" s="27" t="str">
        <f aca="false">IF(OR(C1371="",AND(D1371="",F1371="")),"",IF(N(E1371)=0,1,E1371)*IF(F1371="",IFERROR(N(INDEX(Produtos!$L$5:$L$104,MATCH(D1371,Produtos!$B$5:$B$104,0))),0),F1371))</f>
        <v/>
      </c>
      <c r="H1371" s="27" t="str">
        <f aca="false">IF(G1371="","",IF(N(E1371)=0,1,E1371)*IFERROR(N(INDEX(Produtos!$G$5:$G$104,MATCH(D1371,Produtos!$B$5:$B$104,0))),0))</f>
        <v/>
      </c>
      <c r="I1371" s="27" t="str">
        <f aca="false">IF(G1371="","",G1371-H1371)</f>
        <v/>
      </c>
      <c r="J1371" s="42"/>
    </row>
    <row r="1372" customFormat="false" ht="21" hidden="false" customHeight="true" outlineLevel="0" collapsed="false">
      <c r="B1372" s="41"/>
      <c r="C1372" s="9"/>
      <c r="D1372" s="9"/>
      <c r="E1372" s="42"/>
      <c r="F1372" s="43"/>
      <c r="G1372" s="27" t="str">
        <f aca="false">IF(OR(C1372="",AND(D1372="",F1372="")),"",IF(N(E1372)=0,1,E1372)*IF(F1372="",IFERROR(N(INDEX(Produtos!$L$5:$L$104,MATCH(D1372,Produtos!$B$5:$B$104,0))),0),F1372))</f>
        <v/>
      </c>
      <c r="H1372" s="27" t="str">
        <f aca="false">IF(G1372="","",IF(N(E1372)=0,1,E1372)*IFERROR(N(INDEX(Produtos!$G$5:$G$104,MATCH(D1372,Produtos!$B$5:$B$104,0))),0))</f>
        <v/>
      </c>
      <c r="I1372" s="27" t="str">
        <f aca="false">IF(G1372="","",G1372-H1372)</f>
        <v/>
      </c>
      <c r="J1372" s="42"/>
    </row>
    <row r="1373" customFormat="false" ht="21" hidden="false" customHeight="true" outlineLevel="0" collapsed="false">
      <c r="B1373" s="41"/>
      <c r="C1373" s="9"/>
      <c r="D1373" s="9"/>
      <c r="E1373" s="42"/>
      <c r="F1373" s="43"/>
      <c r="G1373" s="27" t="str">
        <f aca="false">IF(OR(C1373="",AND(D1373="",F1373="")),"",IF(N(E1373)=0,1,E1373)*IF(F1373="",IFERROR(N(INDEX(Produtos!$L$5:$L$104,MATCH(D1373,Produtos!$B$5:$B$104,0))),0),F1373))</f>
        <v/>
      </c>
      <c r="H1373" s="27" t="str">
        <f aca="false">IF(G1373="","",IF(N(E1373)=0,1,E1373)*IFERROR(N(INDEX(Produtos!$G$5:$G$104,MATCH(D1373,Produtos!$B$5:$B$104,0))),0))</f>
        <v/>
      </c>
      <c r="I1373" s="27" t="str">
        <f aca="false">IF(G1373="","",G1373-H1373)</f>
        <v/>
      </c>
      <c r="J1373" s="42"/>
    </row>
    <row r="1374" customFormat="false" ht="21" hidden="false" customHeight="true" outlineLevel="0" collapsed="false">
      <c r="B1374" s="41"/>
      <c r="C1374" s="9"/>
      <c r="D1374" s="9"/>
      <c r="E1374" s="42"/>
      <c r="F1374" s="43"/>
      <c r="G1374" s="27" t="str">
        <f aca="false">IF(OR(C1374="",AND(D1374="",F1374="")),"",IF(N(E1374)=0,1,E1374)*IF(F1374="",IFERROR(N(INDEX(Produtos!$L$5:$L$104,MATCH(D1374,Produtos!$B$5:$B$104,0))),0),F1374))</f>
        <v/>
      </c>
      <c r="H1374" s="27" t="str">
        <f aca="false">IF(G1374="","",IF(N(E1374)=0,1,E1374)*IFERROR(N(INDEX(Produtos!$G$5:$G$104,MATCH(D1374,Produtos!$B$5:$B$104,0))),0))</f>
        <v/>
      </c>
      <c r="I1374" s="27" t="str">
        <f aca="false">IF(G1374="","",G1374-H1374)</f>
        <v/>
      </c>
      <c r="J1374" s="42"/>
    </row>
    <row r="1375" customFormat="false" ht="21" hidden="false" customHeight="true" outlineLevel="0" collapsed="false">
      <c r="B1375" s="41"/>
      <c r="C1375" s="9"/>
      <c r="D1375" s="9"/>
      <c r="E1375" s="42"/>
      <c r="F1375" s="43"/>
      <c r="G1375" s="27" t="str">
        <f aca="false">IF(OR(C1375="",AND(D1375="",F1375="")),"",IF(N(E1375)=0,1,E1375)*IF(F1375="",IFERROR(N(INDEX(Produtos!$L$5:$L$104,MATCH(D1375,Produtos!$B$5:$B$104,0))),0),F1375))</f>
        <v/>
      </c>
      <c r="H1375" s="27" t="str">
        <f aca="false">IF(G1375="","",IF(N(E1375)=0,1,E1375)*IFERROR(N(INDEX(Produtos!$G$5:$G$104,MATCH(D1375,Produtos!$B$5:$B$104,0))),0))</f>
        <v/>
      </c>
      <c r="I1375" s="27" t="str">
        <f aca="false">IF(G1375="","",G1375-H1375)</f>
        <v/>
      </c>
      <c r="J1375" s="42"/>
    </row>
    <row r="1376" customFormat="false" ht="21" hidden="false" customHeight="true" outlineLevel="0" collapsed="false">
      <c r="B1376" s="41"/>
      <c r="C1376" s="9"/>
      <c r="D1376" s="9"/>
      <c r="E1376" s="42"/>
      <c r="F1376" s="43"/>
      <c r="G1376" s="27" t="str">
        <f aca="false">IF(OR(C1376="",AND(D1376="",F1376="")),"",IF(N(E1376)=0,1,E1376)*IF(F1376="",IFERROR(N(INDEX(Produtos!$L$5:$L$104,MATCH(D1376,Produtos!$B$5:$B$104,0))),0),F1376))</f>
        <v/>
      </c>
      <c r="H1376" s="27" t="str">
        <f aca="false">IF(G1376="","",IF(N(E1376)=0,1,E1376)*IFERROR(N(INDEX(Produtos!$G$5:$G$104,MATCH(D1376,Produtos!$B$5:$B$104,0))),0))</f>
        <v/>
      </c>
      <c r="I1376" s="27" t="str">
        <f aca="false">IF(G1376="","",G1376-H1376)</f>
        <v/>
      </c>
      <c r="J1376" s="42"/>
    </row>
    <row r="1377" customFormat="false" ht="21" hidden="false" customHeight="true" outlineLevel="0" collapsed="false">
      <c r="B1377" s="41"/>
      <c r="C1377" s="9"/>
      <c r="D1377" s="9"/>
      <c r="E1377" s="42"/>
      <c r="F1377" s="43"/>
      <c r="G1377" s="27" t="str">
        <f aca="false">IF(OR(C1377="",AND(D1377="",F1377="")),"",IF(N(E1377)=0,1,E1377)*IF(F1377="",IFERROR(N(INDEX(Produtos!$L$5:$L$104,MATCH(D1377,Produtos!$B$5:$B$104,0))),0),F1377))</f>
        <v/>
      </c>
      <c r="H1377" s="27" t="str">
        <f aca="false">IF(G1377="","",IF(N(E1377)=0,1,E1377)*IFERROR(N(INDEX(Produtos!$G$5:$G$104,MATCH(D1377,Produtos!$B$5:$B$104,0))),0))</f>
        <v/>
      </c>
      <c r="I1377" s="27" t="str">
        <f aca="false">IF(G1377="","",G1377-H1377)</f>
        <v/>
      </c>
      <c r="J1377" s="42"/>
    </row>
    <row r="1378" customFormat="false" ht="21" hidden="false" customHeight="true" outlineLevel="0" collapsed="false">
      <c r="B1378" s="41"/>
      <c r="C1378" s="9"/>
      <c r="D1378" s="9"/>
      <c r="E1378" s="42"/>
      <c r="F1378" s="43"/>
      <c r="G1378" s="27" t="str">
        <f aca="false">IF(OR(C1378="",AND(D1378="",F1378="")),"",IF(N(E1378)=0,1,E1378)*IF(F1378="",IFERROR(N(INDEX(Produtos!$L$5:$L$104,MATCH(D1378,Produtos!$B$5:$B$104,0))),0),F1378))</f>
        <v/>
      </c>
      <c r="H1378" s="27" t="str">
        <f aca="false">IF(G1378="","",IF(N(E1378)=0,1,E1378)*IFERROR(N(INDEX(Produtos!$G$5:$G$104,MATCH(D1378,Produtos!$B$5:$B$104,0))),0))</f>
        <v/>
      </c>
      <c r="I1378" s="27" t="str">
        <f aca="false">IF(G1378="","",G1378-H1378)</f>
        <v/>
      </c>
      <c r="J1378" s="42"/>
    </row>
    <row r="1379" customFormat="false" ht="21" hidden="false" customHeight="true" outlineLevel="0" collapsed="false">
      <c r="B1379" s="41"/>
      <c r="C1379" s="9"/>
      <c r="D1379" s="9"/>
      <c r="E1379" s="42"/>
      <c r="F1379" s="43"/>
      <c r="G1379" s="27" t="str">
        <f aca="false">IF(OR(C1379="",AND(D1379="",F1379="")),"",IF(N(E1379)=0,1,E1379)*IF(F1379="",IFERROR(N(INDEX(Produtos!$L$5:$L$104,MATCH(D1379,Produtos!$B$5:$B$104,0))),0),F1379))</f>
        <v/>
      </c>
      <c r="H1379" s="27" t="str">
        <f aca="false">IF(G1379="","",IF(N(E1379)=0,1,E1379)*IFERROR(N(INDEX(Produtos!$G$5:$G$104,MATCH(D1379,Produtos!$B$5:$B$104,0))),0))</f>
        <v/>
      </c>
      <c r="I1379" s="27" t="str">
        <f aca="false">IF(G1379="","",G1379-H1379)</f>
        <v/>
      </c>
      <c r="J1379" s="42"/>
    </row>
    <row r="1380" customFormat="false" ht="21" hidden="false" customHeight="true" outlineLevel="0" collapsed="false">
      <c r="B1380" s="41"/>
      <c r="C1380" s="9"/>
      <c r="D1380" s="9"/>
      <c r="E1380" s="42"/>
      <c r="F1380" s="43"/>
      <c r="G1380" s="27" t="str">
        <f aca="false">IF(OR(C1380="",AND(D1380="",F1380="")),"",IF(N(E1380)=0,1,E1380)*IF(F1380="",IFERROR(N(INDEX(Produtos!$L$5:$L$104,MATCH(D1380,Produtos!$B$5:$B$104,0))),0),F1380))</f>
        <v/>
      </c>
      <c r="H1380" s="27" t="str">
        <f aca="false">IF(G1380="","",IF(N(E1380)=0,1,E1380)*IFERROR(N(INDEX(Produtos!$G$5:$G$104,MATCH(D1380,Produtos!$B$5:$B$104,0))),0))</f>
        <v/>
      </c>
      <c r="I1380" s="27" t="str">
        <f aca="false">IF(G1380="","",G1380-H1380)</f>
        <v/>
      </c>
      <c r="J1380" s="42"/>
    </row>
    <row r="1381" customFormat="false" ht="21" hidden="false" customHeight="true" outlineLevel="0" collapsed="false">
      <c r="B1381" s="41"/>
      <c r="C1381" s="9"/>
      <c r="D1381" s="9"/>
      <c r="E1381" s="42"/>
      <c r="F1381" s="43"/>
      <c r="G1381" s="27" t="str">
        <f aca="false">IF(OR(C1381="",AND(D1381="",F1381="")),"",IF(N(E1381)=0,1,E1381)*IF(F1381="",IFERROR(N(INDEX(Produtos!$L$5:$L$104,MATCH(D1381,Produtos!$B$5:$B$104,0))),0),F1381))</f>
        <v/>
      </c>
      <c r="H1381" s="27" t="str">
        <f aca="false">IF(G1381="","",IF(N(E1381)=0,1,E1381)*IFERROR(N(INDEX(Produtos!$G$5:$G$104,MATCH(D1381,Produtos!$B$5:$B$104,0))),0))</f>
        <v/>
      </c>
      <c r="I1381" s="27" t="str">
        <f aca="false">IF(G1381="","",G1381-H1381)</f>
        <v/>
      </c>
      <c r="J1381" s="42"/>
    </row>
    <row r="1382" customFormat="false" ht="21" hidden="false" customHeight="true" outlineLevel="0" collapsed="false">
      <c r="B1382" s="41"/>
      <c r="C1382" s="9"/>
      <c r="D1382" s="9"/>
      <c r="E1382" s="42"/>
      <c r="F1382" s="43"/>
      <c r="G1382" s="27" t="str">
        <f aca="false">IF(OR(C1382="",AND(D1382="",F1382="")),"",IF(N(E1382)=0,1,E1382)*IF(F1382="",IFERROR(N(INDEX(Produtos!$L$5:$L$104,MATCH(D1382,Produtos!$B$5:$B$104,0))),0),F1382))</f>
        <v/>
      </c>
      <c r="H1382" s="27" t="str">
        <f aca="false">IF(G1382="","",IF(N(E1382)=0,1,E1382)*IFERROR(N(INDEX(Produtos!$G$5:$G$104,MATCH(D1382,Produtos!$B$5:$B$104,0))),0))</f>
        <v/>
      </c>
      <c r="I1382" s="27" t="str">
        <f aca="false">IF(G1382="","",G1382-H1382)</f>
        <v/>
      </c>
      <c r="J1382" s="42"/>
    </row>
    <row r="1383" customFormat="false" ht="21" hidden="false" customHeight="true" outlineLevel="0" collapsed="false">
      <c r="B1383" s="41"/>
      <c r="C1383" s="9"/>
      <c r="D1383" s="9"/>
      <c r="E1383" s="42"/>
      <c r="F1383" s="43"/>
      <c r="G1383" s="27" t="str">
        <f aca="false">IF(OR(C1383="",AND(D1383="",F1383="")),"",IF(N(E1383)=0,1,E1383)*IF(F1383="",IFERROR(N(INDEX(Produtos!$L$5:$L$104,MATCH(D1383,Produtos!$B$5:$B$104,0))),0),F1383))</f>
        <v/>
      </c>
      <c r="H1383" s="27" t="str">
        <f aca="false">IF(G1383="","",IF(N(E1383)=0,1,E1383)*IFERROR(N(INDEX(Produtos!$G$5:$G$104,MATCH(D1383,Produtos!$B$5:$B$104,0))),0))</f>
        <v/>
      </c>
      <c r="I1383" s="27" t="str">
        <f aca="false">IF(G1383="","",G1383-H1383)</f>
        <v/>
      </c>
      <c r="J1383" s="42"/>
    </row>
    <row r="1384" customFormat="false" ht="21" hidden="false" customHeight="true" outlineLevel="0" collapsed="false">
      <c r="B1384" s="41"/>
      <c r="C1384" s="9"/>
      <c r="D1384" s="9"/>
      <c r="E1384" s="42"/>
      <c r="F1384" s="43"/>
      <c r="G1384" s="27" t="str">
        <f aca="false">IF(OR(C1384="",AND(D1384="",F1384="")),"",IF(N(E1384)=0,1,E1384)*IF(F1384="",IFERROR(N(INDEX(Produtos!$L$5:$L$104,MATCH(D1384,Produtos!$B$5:$B$104,0))),0),F1384))</f>
        <v/>
      </c>
      <c r="H1384" s="27" t="str">
        <f aca="false">IF(G1384="","",IF(N(E1384)=0,1,E1384)*IFERROR(N(INDEX(Produtos!$G$5:$G$104,MATCH(D1384,Produtos!$B$5:$B$104,0))),0))</f>
        <v/>
      </c>
      <c r="I1384" s="27" t="str">
        <f aca="false">IF(G1384="","",G1384-H1384)</f>
        <v/>
      </c>
      <c r="J1384" s="42"/>
    </row>
    <row r="1385" customFormat="false" ht="21" hidden="false" customHeight="true" outlineLevel="0" collapsed="false">
      <c r="B1385" s="41"/>
      <c r="C1385" s="9"/>
      <c r="D1385" s="9"/>
      <c r="E1385" s="42"/>
      <c r="F1385" s="43"/>
      <c r="G1385" s="27" t="str">
        <f aca="false">IF(OR(C1385="",AND(D1385="",F1385="")),"",IF(N(E1385)=0,1,E1385)*IF(F1385="",IFERROR(N(INDEX(Produtos!$L$5:$L$104,MATCH(D1385,Produtos!$B$5:$B$104,0))),0),F1385))</f>
        <v/>
      </c>
      <c r="H1385" s="27" t="str">
        <f aca="false">IF(G1385="","",IF(N(E1385)=0,1,E1385)*IFERROR(N(INDEX(Produtos!$G$5:$G$104,MATCH(D1385,Produtos!$B$5:$B$104,0))),0))</f>
        <v/>
      </c>
      <c r="I1385" s="27" t="str">
        <f aca="false">IF(G1385="","",G1385-H1385)</f>
        <v/>
      </c>
      <c r="J1385" s="42"/>
    </row>
    <row r="1386" customFormat="false" ht="21" hidden="false" customHeight="true" outlineLevel="0" collapsed="false">
      <c r="B1386" s="41"/>
      <c r="C1386" s="9"/>
      <c r="D1386" s="9"/>
      <c r="E1386" s="42"/>
      <c r="F1386" s="43"/>
      <c r="G1386" s="27" t="str">
        <f aca="false">IF(OR(C1386="",AND(D1386="",F1386="")),"",IF(N(E1386)=0,1,E1386)*IF(F1386="",IFERROR(N(INDEX(Produtos!$L$5:$L$104,MATCH(D1386,Produtos!$B$5:$B$104,0))),0),F1386))</f>
        <v/>
      </c>
      <c r="H1386" s="27" t="str">
        <f aca="false">IF(G1386="","",IF(N(E1386)=0,1,E1386)*IFERROR(N(INDEX(Produtos!$G$5:$G$104,MATCH(D1386,Produtos!$B$5:$B$104,0))),0))</f>
        <v/>
      </c>
      <c r="I1386" s="27" t="str">
        <f aca="false">IF(G1386="","",G1386-H1386)</f>
        <v/>
      </c>
      <c r="J1386" s="42"/>
    </row>
    <row r="1387" customFormat="false" ht="21" hidden="false" customHeight="true" outlineLevel="0" collapsed="false">
      <c r="B1387" s="41"/>
      <c r="C1387" s="9"/>
      <c r="D1387" s="9"/>
      <c r="E1387" s="42"/>
      <c r="F1387" s="43"/>
      <c r="G1387" s="27" t="str">
        <f aca="false">IF(OR(C1387="",AND(D1387="",F1387="")),"",IF(N(E1387)=0,1,E1387)*IF(F1387="",IFERROR(N(INDEX(Produtos!$L$5:$L$104,MATCH(D1387,Produtos!$B$5:$B$104,0))),0),F1387))</f>
        <v/>
      </c>
      <c r="H1387" s="27" t="str">
        <f aca="false">IF(G1387="","",IF(N(E1387)=0,1,E1387)*IFERROR(N(INDEX(Produtos!$G$5:$G$104,MATCH(D1387,Produtos!$B$5:$B$104,0))),0))</f>
        <v/>
      </c>
      <c r="I1387" s="27" t="str">
        <f aca="false">IF(G1387="","",G1387-H1387)</f>
        <v/>
      </c>
      <c r="J1387" s="42"/>
    </row>
    <row r="1388" customFormat="false" ht="21" hidden="false" customHeight="true" outlineLevel="0" collapsed="false">
      <c r="B1388" s="41"/>
      <c r="C1388" s="9"/>
      <c r="D1388" s="9"/>
      <c r="E1388" s="42"/>
      <c r="F1388" s="43"/>
      <c r="G1388" s="27" t="str">
        <f aca="false">IF(OR(C1388="",AND(D1388="",F1388="")),"",IF(N(E1388)=0,1,E1388)*IF(F1388="",IFERROR(N(INDEX(Produtos!$L$5:$L$104,MATCH(D1388,Produtos!$B$5:$B$104,0))),0),F1388))</f>
        <v/>
      </c>
      <c r="H1388" s="27" t="str">
        <f aca="false">IF(G1388="","",IF(N(E1388)=0,1,E1388)*IFERROR(N(INDEX(Produtos!$G$5:$G$104,MATCH(D1388,Produtos!$B$5:$B$104,0))),0))</f>
        <v/>
      </c>
      <c r="I1388" s="27" t="str">
        <f aca="false">IF(G1388="","",G1388-H1388)</f>
        <v/>
      </c>
      <c r="J1388" s="42"/>
    </row>
    <row r="1389" customFormat="false" ht="21" hidden="false" customHeight="true" outlineLevel="0" collapsed="false">
      <c r="B1389" s="41"/>
      <c r="C1389" s="9"/>
      <c r="D1389" s="9"/>
      <c r="E1389" s="42"/>
      <c r="F1389" s="43"/>
      <c r="G1389" s="27" t="str">
        <f aca="false">IF(OR(C1389="",AND(D1389="",F1389="")),"",IF(N(E1389)=0,1,E1389)*IF(F1389="",IFERROR(N(INDEX(Produtos!$L$5:$L$104,MATCH(D1389,Produtos!$B$5:$B$104,0))),0),F1389))</f>
        <v/>
      </c>
      <c r="H1389" s="27" t="str">
        <f aca="false">IF(G1389="","",IF(N(E1389)=0,1,E1389)*IFERROR(N(INDEX(Produtos!$G$5:$G$104,MATCH(D1389,Produtos!$B$5:$B$104,0))),0))</f>
        <v/>
      </c>
      <c r="I1389" s="27" t="str">
        <f aca="false">IF(G1389="","",G1389-H1389)</f>
        <v/>
      </c>
      <c r="J1389" s="42"/>
    </row>
    <row r="1390" customFormat="false" ht="21" hidden="false" customHeight="true" outlineLevel="0" collapsed="false">
      <c r="B1390" s="41"/>
      <c r="C1390" s="9"/>
      <c r="D1390" s="9"/>
      <c r="E1390" s="42"/>
      <c r="F1390" s="43"/>
      <c r="G1390" s="27" t="str">
        <f aca="false">IF(OR(C1390="",AND(D1390="",F1390="")),"",IF(N(E1390)=0,1,E1390)*IF(F1390="",IFERROR(N(INDEX(Produtos!$L$5:$L$104,MATCH(D1390,Produtos!$B$5:$B$104,0))),0),F1390))</f>
        <v/>
      </c>
      <c r="H1390" s="27" t="str">
        <f aca="false">IF(G1390="","",IF(N(E1390)=0,1,E1390)*IFERROR(N(INDEX(Produtos!$G$5:$G$104,MATCH(D1390,Produtos!$B$5:$B$104,0))),0))</f>
        <v/>
      </c>
      <c r="I1390" s="27" t="str">
        <f aca="false">IF(G1390="","",G1390-H1390)</f>
        <v/>
      </c>
      <c r="J1390" s="42"/>
    </row>
    <row r="1391" customFormat="false" ht="21" hidden="false" customHeight="true" outlineLevel="0" collapsed="false">
      <c r="B1391" s="41"/>
      <c r="C1391" s="9"/>
      <c r="D1391" s="9"/>
      <c r="E1391" s="42"/>
      <c r="F1391" s="43"/>
      <c r="G1391" s="27" t="str">
        <f aca="false">IF(OR(C1391="",AND(D1391="",F1391="")),"",IF(N(E1391)=0,1,E1391)*IF(F1391="",IFERROR(N(INDEX(Produtos!$L$5:$L$104,MATCH(D1391,Produtos!$B$5:$B$104,0))),0),F1391))</f>
        <v/>
      </c>
      <c r="H1391" s="27" t="str">
        <f aca="false">IF(G1391="","",IF(N(E1391)=0,1,E1391)*IFERROR(N(INDEX(Produtos!$G$5:$G$104,MATCH(D1391,Produtos!$B$5:$B$104,0))),0))</f>
        <v/>
      </c>
      <c r="I1391" s="27" t="str">
        <f aca="false">IF(G1391="","",G1391-H1391)</f>
        <v/>
      </c>
      <c r="J1391" s="42"/>
    </row>
    <row r="1392" customFormat="false" ht="21" hidden="false" customHeight="true" outlineLevel="0" collapsed="false">
      <c r="B1392" s="41"/>
      <c r="C1392" s="9"/>
      <c r="D1392" s="9"/>
      <c r="E1392" s="42"/>
      <c r="F1392" s="43"/>
      <c r="G1392" s="27" t="str">
        <f aca="false">IF(OR(C1392="",AND(D1392="",F1392="")),"",IF(N(E1392)=0,1,E1392)*IF(F1392="",IFERROR(N(INDEX(Produtos!$L$5:$L$104,MATCH(D1392,Produtos!$B$5:$B$104,0))),0),F1392))</f>
        <v/>
      </c>
      <c r="H1392" s="27" t="str">
        <f aca="false">IF(G1392="","",IF(N(E1392)=0,1,E1392)*IFERROR(N(INDEX(Produtos!$G$5:$G$104,MATCH(D1392,Produtos!$B$5:$B$104,0))),0))</f>
        <v/>
      </c>
      <c r="I1392" s="27" t="str">
        <f aca="false">IF(G1392="","",G1392-H1392)</f>
        <v/>
      </c>
      <c r="J1392" s="42"/>
    </row>
    <row r="1393" customFormat="false" ht="21" hidden="false" customHeight="true" outlineLevel="0" collapsed="false">
      <c r="B1393" s="41"/>
      <c r="C1393" s="9"/>
      <c r="D1393" s="9"/>
      <c r="E1393" s="42"/>
      <c r="F1393" s="43"/>
      <c r="G1393" s="27" t="str">
        <f aca="false">IF(OR(C1393="",AND(D1393="",F1393="")),"",IF(N(E1393)=0,1,E1393)*IF(F1393="",IFERROR(N(INDEX(Produtos!$L$5:$L$104,MATCH(D1393,Produtos!$B$5:$B$104,0))),0),F1393))</f>
        <v/>
      </c>
      <c r="H1393" s="27" t="str">
        <f aca="false">IF(G1393="","",IF(N(E1393)=0,1,E1393)*IFERROR(N(INDEX(Produtos!$G$5:$G$104,MATCH(D1393,Produtos!$B$5:$B$104,0))),0))</f>
        <v/>
      </c>
      <c r="I1393" s="27" t="str">
        <f aca="false">IF(G1393="","",G1393-H1393)</f>
        <v/>
      </c>
      <c r="J1393" s="42"/>
    </row>
    <row r="1394" customFormat="false" ht="21" hidden="false" customHeight="true" outlineLevel="0" collapsed="false">
      <c r="B1394" s="41"/>
      <c r="C1394" s="9"/>
      <c r="D1394" s="9"/>
      <c r="E1394" s="42"/>
      <c r="F1394" s="43"/>
      <c r="G1394" s="27" t="str">
        <f aca="false">IF(OR(C1394="",AND(D1394="",F1394="")),"",IF(N(E1394)=0,1,E1394)*IF(F1394="",IFERROR(N(INDEX(Produtos!$L$5:$L$104,MATCH(D1394,Produtos!$B$5:$B$104,0))),0),F1394))</f>
        <v/>
      </c>
      <c r="H1394" s="27" t="str">
        <f aca="false">IF(G1394="","",IF(N(E1394)=0,1,E1394)*IFERROR(N(INDEX(Produtos!$G$5:$G$104,MATCH(D1394,Produtos!$B$5:$B$104,0))),0))</f>
        <v/>
      </c>
      <c r="I1394" s="27" t="str">
        <f aca="false">IF(G1394="","",G1394-H1394)</f>
        <v/>
      </c>
      <c r="J1394" s="42"/>
    </row>
    <row r="1395" customFormat="false" ht="21" hidden="false" customHeight="true" outlineLevel="0" collapsed="false">
      <c r="B1395" s="41"/>
      <c r="C1395" s="9"/>
      <c r="D1395" s="9"/>
      <c r="E1395" s="42"/>
      <c r="F1395" s="43"/>
      <c r="G1395" s="27" t="str">
        <f aca="false">IF(OR(C1395="",AND(D1395="",F1395="")),"",IF(N(E1395)=0,1,E1395)*IF(F1395="",IFERROR(N(INDEX(Produtos!$L$5:$L$104,MATCH(D1395,Produtos!$B$5:$B$104,0))),0),F1395))</f>
        <v/>
      </c>
      <c r="H1395" s="27" t="str">
        <f aca="false">IF(G1395="","",IF(N(E1395)=0,1,E1395)*IFERROR(N(INDEX(Produtos!$G$5:$G$104,MATCH(D1395,Produtos!$B$5:$B$104,0))),0))</f>
        <v/>
      </c>
      <c r="I1395" s="27" t="str">
        <f aca="false">IF(G1395="","",G1395-H1395)</f>
        <v/>
      </c>
      <c r="J1395" s="42"/>
    </row>
    <row r="1396" customFormat="false" ht="21" hidden="false" customHeight="true" outlineLevel="0" collapsed="false">
      <c r="B1396" s="41"/>
      <c r="C1396" s="9"/>
      <c r="D1396" s="9"/>
      <c r="E1396" s="42"/>
      <c r="F1396" s="43"/>
      <c r="G1396" s="27" t="str">
        <f aca="false">IF(OR(C1396="",AND(D1396="",F1396="")),"",IF(N(E1396)=0,1,E1396)*IF(F1396="",IFERROR(N(INDEX(Produtos!$L$5:$L$104,MATCH(D1396,Produtos!$B$5:$B$104,0))),0),F1396))</f>
        <v/>
      </c>
      <c r="H1396" s="27" t="str">
        <f aca="false">IF(G1396="","",IF(N(E1396)=0,1,E1396)*IFERROR(N(INDEX(Produtos!$G$5:$G$104,MATCH(D1396,Produtos!$B$5:$B$104,0))),0))</f>
        <v/>
      </c>
      <c r="I1396" s="27" t="str">
        <f aca="false">IF(G1396="","",G1396-H1396)</f>
        <v/>
      </c>
      <c r="J1396" s="42"/>
    </row>
    <row r="1397" customFormat="false" ht="21" hidden="false" customHeight="true" outlineLevel="0" collapsed="false">
      <c r="B1397" s="41"/>
      <c r="C1397" s="9"/>
      <c r="D1397" s="9"/>
      <c r="E1397" s="42"/>
      <c r="F1397" s="43"/>
      <c r="G1397" s="27" t="str">
        <f aca="false">IF(OR(C1397="",AND(D1397="",F1397="")),"",IF(N(E1397)=0,1,E1397)*IF(F1397="",IFERROR(N(INDEX(Produtos!$L$5:$L$104,MATCH(D1397,Produtos!$B$5:$B$104,0))),0),F1397))</f>
        <v/>
      </c>
      <c r="H1397" s="27" t="str">
        <f aca="false">IF(G1397="","",IF(N(E1397)=0,1,E1397)*IFERROR(N(INDEX(Produtos!$G$5:$G$104,MATCH(D1397,Produtos!$B$5:$B$104,0))),0))</f>
        <v/>
      </c>
      <c r="I1397" s="27" t="str">
        <f aca="false">IF(G1397="","",G1397-H1397)</f>
        <v/>
      </c>
      <c r="J1397" s="42"/>
    </row>
    <row r="1398" customFormat="false" ht="21" hidden="false" customHeight="true" outlineLevel="0" collapsed="false">
      <c r="B1398" s="41"/>
      <c r="C1398" s="9"/>
      <c r="D1398" s="9"/>
      <c r="E1398" s="42"/>
      <c r="F1398" s="43"/>
      <c r="G1398" s="27" t="str">
        <f aca="false">IF(OR(C1398="",AND(D1398="",F1398="")),"",IF(N(E1398)=0,1,E1398)*IF(F1398="",IFERROR(N(INDEX(Produtos!$L$5:$L$104,MATCH(D1398,Produtos!$B$5:$B$104,0))),0),F1398))</f>
        <v/>
      </c>
      <c r="H1398" s="27" t="str">
        <f aca="false">IF(G1398="","",IF(N(E1398)=0,1,E1398)*IFERROR(N(INDEX(Produtos!$G$5:$G$104,MATCH(D1398,Produtos!$B$5:$B$104,0))),0))</f>
        <v/>
      </c>
      <c r="I1398" s="27" t="str">
        <f aca="false">IF(G1398="","",G1398-H1398)</f>
        <v/>
      </c>
      <c r="J1398" s="42"/>
    </row>
    <row r="1399" customFormat="false" ht="21" hidden="false" customHeight="true" outlineLevel="0" collapsed="false">
      <c r="B1399" s="41"/>
      <c r="C1399" s="9"/>
      <c r="D1399" s="9"/>
      <c r="E1399" s="42"/>
      <c r="F1399" s="43"/>
      <c r="G1399" s="27" t="str">
        <f aca="false">IF(OR(C1399="",AND(D1399="",F1399="")),"",IF(N(E1399)=0,1,E1399)*IF(F1399="",IFERROR(N(INDEX(Produtos!$L$5:$L$104,MATCH(D1399,Produtos!$B$5:$B$104,0))),0),F1399))</f>
        <v/>
      </c>
      <c r="H1399" s="27" t="str">
        <f aca="false">IF(G1399="","",IF(N(E1399)=0,1,E1399)*IFERROR(N(INDEX(Produtos!$G$5:$G$104,MATCH(D1399,Produtos!$B$5:$B$104,0))),0))</f>
        <v/>
      </c>
      <c r="I1399" s="27" t="str">
        <f aca="false">IF(G1399="","",G1399-H1399)</f>
        <v/>
      </c>
      <c r="J1399" s="42"/>
    </row>
    <row r="1400" customFormat="false" ht="21" hidden="false" customHeight="true" outlineLevel="0" collapsed="false">
      <c r="B1400" s="41"/>
      <c r="C1400" s="9"/>
      <c r="D1400" s="9"/>
      <c r="E1400" s="42"/>
      <c r="F1400" s="43"/>
      <c r="G1400" s="27" t="str">
        <f aca="false">IF(OR(C1400="",AND(D1400="",F1400="")),"",IF(N(E1400)=0,1,E1400)*IF(F1400="",IFERROR(N(INDEX(Produtos!$L$5:$L$104,MATCH(D1400,Produtos!$B$5:$B$104,0))),0),F1400))</f>
        <v/>
      </c>
      <c r="H1400" s="27" t="str">
        <f aca="false">IF(G1400="","",IF(N(E1400)=0,1,E1400)*IFERROR(N(INDEX(Produtos!$G$5:$G$104,MATCH(D1400,Produtos!$B$5:$B$104,0))),0))</f>
        <v/>
      </c>
      <c r="I1400" s="27" t="str">
        <f aca="false">IF(G1400="","",G1400-H1400)</f>
        <v/>
      </c>
      <c r="J1400" s="42"/>
    </row>
    <row r="1401" customFormat="false" ht="21" hidden="false" customHeight="true" outlineLevel="0" collapsed="false">
      <c r="B1401" s="41"/>
      <c r="C1401" s="9"/>
      <c r="D1401" s="9"/>
      <c r="E1401" s="42"/>
      <c r="F1401" s="43"/>
      <c r="G1401" s="27" t="str">
        <f aca="false">IF(OR(C1401="",AND(D1401="",F1401="")),"",IF(N(E1401)=0,1,E1401)*IF(F1401="",IFERROR(N(INDEX(Produtos!$L$5:$L$104,MATCH(D1401,Produtos!$B$5:$B$104,0))),0),F1401))</f>
        <v/>
      </c>
      <c r="H1401" s="27" t="str">
        <f aca="false">IF(G1401="","",IF(N(E1401)=0,1,E1401)*IFERROR(N(INDEX(Produtos!$G$5:$G$104,MATCH(D1401,Produtos!$B$5:$B$104,0))),0))</f>
        <v/>
      </c>
      <c r="I1401" s="27" t="str">
        <f aca="false">IF(G1401="","",G1401-H1401)</f>
        <v/>
      </c>
      <c r="J1401" s="42"/>
    </row>
    <row r="1402" customFormat="false" ht="21" hidden="false" customHeight="true" outlineLevel="0" collapsed="false">
      <c r="B1402" s="41"/>
      <c r="C1402" s="9"/>
      <c r="D1402" s="9"/>
      <c r="E1402" s="42"/>
      <c r="F1402" s="43"/>
      <c r="G1402" s="27" t="str">
        <f aca="false">IF(OR(C1402="",AND(D1402="",F1402="")),"",IF(N(E1402)=0,1,E1402)*IF(F1402="",IFERROR(N(INDEX(Produtos!$L$5:$L$104,MATCH(D1402,Produtos!$B$5:$B$104,0))),0),F1402))</f>
        <v/>
      </c>
      <c r="H1402" s="27" t="str">
        <f aca="false">IF(G1402="","",IF(N(E1402)=0,1,E1402)*IFERROR(N(INDEX(Produtos!$G$5:$G$104,MATCH(D1402,Produtos!$B$5:$B$104,0))),0))</f>
        <v/>
      </c>
      <c r="I1402" s="27" t="str">
        <f aca="false">IF(G1402="","",G1402-H1402)</f>
        <v/>
      </c>
      <c r="J1402" s="42"/>
    </row>
    <row r="1403" customFormat="false" ht="21" hidden="false" customHeight="true" outlineLevel="0" collapsed="false">
      <c r="B1403" s="41"/>
      <c r="C1403" s="9"/>
      <c r="D1403" s="9"/>
      <c r="E1403" s="42"/>
      <c r="F1403" s="43"/>
      <c r="G1403" s="27" t="str">
        <f aca="false">IF(OR(C1403="",AND(D1403="",F1403="")),"",IF(N(E1403)=0,1,E1403)*IF(F1403="",IFERROR(N(INDEX(Produtos!$L$5:$L$104,MATCH(D1403,Produtos!$B$5:$B$104,0))),0),F1403))</f>
        <v/>
      </c>
      <c r="H1403" s="27" t="str">
        <f aca="false">IF(G1403="","",IF(N(E1403)=0,1,E1403)*IFERROR(N(INDEX(Produtos!$G$5:$G$104,MATCH(D1403,Produtos!$B$5:$B$104,0))),0))</f>
        <v/>
      </c>
      <c r="I1403" s="27" t="str">
        <f aca="false">IF(G1403="","",G1403-H1403)</f>
        <v/>
      </c>
      <c r="J1403" s="42"/>
    </row>
    <row r="1404" customFormat="false" ht="21" hidden="false" customHeight="true" outlineLevel="0" collapsed="false">
      <c r="B1404" s="41"/>
      <c r="C1404" s="9"/>
      <c r="D1404" s="9"/>
      <c r="E1404" s="42"/>
      <c r="F1404" s="43"/>
      <c r="G1404" s="27" t="str">
        <f aca="false">IF(OR(C1404="",AND(D1404="",F1404="")),"",IF(N(E1404)=0,1,E1404)*IF(F1404="",IFERROR(N(INDEX(Produtos!$L$5:$L$104,MATCH(D1404,Produtos!$B$5:$B$104,0))),0),F1404))</f>
        <v/>
      </c>
      <c r="H1404" s="27" t="str">
        <f aca="false">IF(G1404="","",IF(N(E1404)=0,1,E1404)*IFERROR(N(INDEX(Produtos!$G$5:$G$104,MATCH(D1404,Produtos!$B$5:$B$104,0))),0))</f>
        <v/>
      </c>
      <c r="I1404" s="27" t="str">
        <f aca="false">IF(G1404="","",G1404-H1404)</f>
        <v/>
      </c>
      <c r="J1404" s="42"/>
    </row>
    <row r="1405" customFormat="false" ht="21" hidden="false" customHeight="true" outlineLevel="0" collapsed="false">
      <c r="B1405" s="41"/>
      <c r="C1405" s="9"/>
      <c r="D1405" s="9"/>
      <c r="E1405" s="42"/>
      <c r="F1405" s="43"/>
      <c r="G1405" s="27" t="str">
        <f aca="false">IF(OR(C1405="",AND(D1405="",F1405="")),"",IF(N(E1405)=0,1,E1405)*IF(F1405="",IFERROR(N(INDEX(Produtos!$L$5:$L$104,MATCH(D1405,Produtos!$B$5:$B$104,0))),0),F1405))</f>
        <v/>
      </c>
      <c r="H1405" s="27" t="str">
        <f aca="false">IF(G1405="","",IF(N(E1405)=0,1,E1405)*IFERROR(N(INDEX(Produtos!$G$5:$G$104,MATCH(D1405,Produtos!$B$5:$B$104,0))),0))</f>
        <v/>
      </c>
      <c r="I1405" s="27" t="str">
        <f aca="false">IF(G1405="","",G1405-H1405)</f>
        <v/>
      </c>
      <c r="J1405" s="42"/>
    </row>
    <row r="1406" customFormat="false" ht="21" hidden="false" customHeight="true" outlineLevel="0" collapsed="false">
      <c r="B1406" s="41"/>
      <c r="C1406" s="9"/>
      <c r="D1406" s="9"/>
      <c r="E1406" s="42"/>
      <c r="F1406" s="43"/>
      <c r="G1406" s="27" t="str">
        <f aca="false">IF(OR(C1406="",AND(D1406="",F1406="")),"",IF(N(E1406)=0,1,E1406)*IF(F1406="",IFERROR(N(INDEX(Produtos!$L$5:$L$104,MATCH(D1406,Produtos!$B$5:$B$104,0))),0),F1406))</f>
        <v/>
      </c>
      <c r="H1406" s="27" t="str">
        <f aca="false">IF(G1406="","",IF(N(E1406)=0,1,E1406)*IFERROR(N(INDEX(Produtos!$G$5:$G$104,MATCH(D1406,Produtos!$B$5:$B$104,0))),0))</f>
        <v/>
      </c>
      <c r="I1406" s="27" t="str">
        <f aca="false">IF(G1406="","",G1406-H1406)</f>
        <v/>
      </c>
      <c r="J1406" s="42"/>
    </row>
    <row r="1407" customFormat="false" ht="21" hidden="false" customHeight="true" outlineLevel="0" collapsed="false">
      <c r="B1407" s="41"/>
      <c r="C1407" s="9"/>
      <c r="D1407" s="9"/>
      <c r="E1407" s="42"/>
      <c r="F1407" s="43"/>
      <c r="G1407" s="27" t="str">
        <f aca="false">IF(OR(C1407="",AND(D1407="",F1407="")),"",IF(N(E1407)=0,1,E1407)*IF(F1407="",IFERROR(N(INDEX(Produtos!$L$5:$L$104,MATCH(D1407,Produtos!$B$5:$B$104,0))),0),F1407))</f>
        <v/>
      </c>
      <c r="H1407" s="27" t="str">
        <f aca="false">IF(G1407="","",IF(N(E1407)=0,1,E1407)*IFERROR(N(INDEX(Produtos!$G$5:$G$104,MATCH(D1407,Produtos!$B$5:$B$104,0))),0))</f>
        <v/>
      </c>
      <c r="I1407" s="27" t="str">
        <f aca="false">IF(G1407="","",G1407-H1407)</f>
        <v/>
      </c>
      <c r="J1407" s="42"/>
    </row>
    <row r="1408" customFormat="false" ht="21" hidden="false" customHeight="true" outlineLevel="0" collapsed="false">
      <c r="B1408" s="41"/>
      <c r="C1408" s="9"/>
      <c r="D1408" s="9"/>
      <c r="E1408" s="42"/>
      <c r="F1408" s="43"/>
      <c r="G1408" s="27" t="str">
        <f aca="false">IF(OR(C1408="",AND(D1408="",F1408="")),"",IF(N(E1408)=0,1,E1408)*IF(F1408="",IFERROR(N(INDEX(Produtos!$L$5:$L$104,MATCH(D1408,Produtos!$B$5:$B$104,0))),0),F1408))</f>
        <v/>
      </c>
      <c r="H1408" s="27" t="str">
        <f aca="false">IF(G1408="","",IF(N(E1408)=0,1,E1408)*IFERROR(N(INDEX(Produtos!$G$5:$G$104,MATCH(D1408,Produtos!$B$5:$B$104,0))),0))</f>
        <v/>
      </c>
      <c r="I1408" s="27" t="str">
        <f aca="false">IF(G1408="","",G1408-H1408)</f>
        <v/>
      </c>
      <c r="J1408" s="42"/>
    </row>
    <row r="1409" customFormat="false" ht="21" hidden="false" customHeight="true" outlineLevel="0" collapsed="false">
      <c r="B1409" s="41"/>
      <c r="C1409" s="9"/>
      <c r="D1409" s="9"/>
      <c r="E1409" s="42"/>
      <c r="F1409" s="43"/>
      <c r="G1409" s="27" t="str">
        <f aca="false">IF(OR(C1409="",AND(D1409="",F1409="")),"",IF(N(E1409)=0,1,E1409)*IF(F1409="",IFERROR(N(INDEX(Produtos!$L$5:$L$104,MATCH(D1409,Produtos!$B$5:$B$104,0))),0),F1409))</f>
        <v/>
      </c>
      <c r="H1409" s="27" t="str">
        <f aca="false">IF(G1409="","",IF(N(E1409)=0,1,E1409)*IFERROR(N(INDEX(Produtos!$G$5:$G$104,MATCH(D1409,Produtos!$B$5:$B$104,0))),0))</f>
        <v/>
      </c>
      <c r="I1409" s="27" t="str">
        <f aca="false">IF(G1409="","",G1409-H1409)</f>
        <v/>
      </c>
      <c r="J1409" s="42"/>
    </row>
    <row r="1410" customFormat="false" ht="21" hidden="false" customHeight="true" outlineLevel="0" collapsed="false">
      <c r="B1410" s="41"/>
      <c r="C1410" s="9"/>
      <c r="D1410" s="9"/>
      <c r="E1410" s="42"/>
      <c r="F1410" s="43"/>
      <c r="G1410" s="27" t="str">
        <f aca="false">IF(OR(C1410="",AND(D1410="",F1410="")),"",IF(N(E1410)=0,1,E1410)*IF(F1410="",IFERROR(N(INDEX(Produtos!$L$5:$L$104,MATCH(D1410,Produtos!$B$5:$B$104,0))),0),F1410))</f>
        <v/>
      </c>
      <c r="H1410" s="27" t="str">
        <f aca="false">IF(G1410="","",IF(N(E1410)=0,1,E1410)*IFERROR(N(INDEX(Produtos!$G$5:$G$104,MATCH(D1410,Produtos!$B$5:$B$104,0))),0))</f>
        <v/>
      </c>
      <c r="I1410" s="27" t="str">
        <f aca="false">IF(G1410="","",G1410-H1410)</f>
        <v/>
      </c>
      <c r="J1410" s="42"/>
    </row>
    <row r="1411" customFormat="false" ht="21" hidden="false" customHeight="true" outlineLevel="0" collapsed="false">
      <c r="B1411" s="41"/>
      <c r="C1411" s="9"/>
      <c r="D1411" s="9"/>
      <c r="E1411" s="42"/>
      <c r="F1411" s="43"/>
      <c r="G1411" s="27" t="str">
        <f aca="false">IF(OR(C1411="",AND(D1411="",F1411="")),"",IF(N(E1411)=0,1,E1411)*IF(F1411="",IFERROR(N(INDEX(Produtos!$L$5:$L$104,MATCH(D1411,Produtos!$B$5:$B$104,0))),0),F1411))</f>
        <v/>
      </c>
      <c r="H1411" s="27" t="str">
        <f aca="false">IF(G1411="","",IF(N(E1411)=0,1,E1411)*IFERROR(N(INDEX(Produtos!$G$5:$G$104,MATCH(D1411,Produtos!$B$5:$B$104,0))),0))</f>
        <v/>
      </c>
      <c r="I1411" s="27" t="str">
        <f aca="false">IF(G1411="","",G1411-H1411)</f>
        <v/>
      </c>
      <c r="J1411" s="42"/>
    </row>
    <row r="1412" customFormat="false" ht="21" hidden="false" customHeight="true" outlineLevel="0" collapsed="false">
      <c r="B1412" s="41"/>
      <c r="C1412" s="9"/>
      <c r="D1412" s="9"/>
      <c r="E1412" s="42"/>
      <c r="F1412" s="43"/>
      <c r="G1412" s="27" t="str">
        <f aca="false">IF(OR(C1412="",AND(D1412="",F1412="")),"",IF(N(E1412)=0,1,E1412)*IF(F1412="",IFERROR(N(INDEX(Produtos!$L$5:$L$104,MATCH(D1412,Produtos!$B$5:$B$104,0))),0),F1412))</f>
        <v/>
      </c>
      <c r="H1412" s="27" t="str">
        <f aca="false">IF(G1412="","",IF(N(E1412)=0,1,E1412)*IFERROR(N(INDEX(Produtos!$G$5:$G$104,MATCH(D1412,Produtos!$B$5:$B$104,0))),0))</f>
        <v/>
      </c>
      <c r="I1412" s="27" t="str">
        <f aca="false">IF(G1412="","",G1412-H1412)</f>
        <v/>
      </c>
      <c r="J1412" s="42"/>
    </row>
    <row r="1413" customFormat="false" ht="21" hidden="false" customHeight="true" outlineLevel="0" collapsed="false">
      <c r="B1413" s="41"/>
      <c r="C1413" s="9"/>
      <c r="D1413" s="9"/>
      <c r="E1413" s="42"/>
      <c r="F1413" s="43"/>
      <c r="G1413" s="27" t="str">
        <f aca="false">IF(OR(C1413="",AND(D1413="",F1413="")),"",IF(N(E1413)=0,1,E1413)*IF(F1413="",IFERROR(N(INDEX(Produtos!$L$5:$L$104,MATCH(D1413,Produtos!$B$5:$B$104,0))),0),F1413))</f>
        <v/>
      </c>
      <c r="H1413" s="27" t="str">
        <f aca="false">IF(G1413="","",IF(N(E1413)=0,1,E1413)*IFERROR(N(INDEX(Produtos!$G$5:$G$104,MATCH(D1413,Produtos!$B$5:$B$104,0))),0))</f>
        <v/>
      </c>
      <c r="I1413" s="27" t="str">
        <f aca="false">IF(G1413="","",G1413-H1413)</f>
        <v/>
      </c>
      <c r="J1413" s="42"/>
    </row>
    <row r="1414" customFormat="false" ht="21" hidden="false" customHeight="true" outlineLevel="0" collapsed="false">
      <c r="B1414" s="41"/>
      <c r="C1414" s="9"/>
      <c r="D1414" s="9"/>
      <c r="E1414" s="42"/>
      <c r="F1414" s="43"/>
      <c r="G1414" s="27" t="str">
        <f aca="false">IF(OR(C1414="",AND(D1414="",F1414="")),"",IF(N(E1414)=0,1,E1414)*IF(F1414="",IFERROR(N(INDEX(Produtos!$L$5:$L$104,MATCH(D1414,Produtos!$B$5:$B$104,0))),0),F1414))</f>
        <v/>
      </c>
      <c r="H1414" s="27" t="str">
        <f aca="false">IF(G1414="","",IF(N(E1414)=0,1,E1414)*IFERROR(N(INDEX(Produtos!$G$5:$G$104,MATCH(D1414,Produtos!$B$5:$B$104,0))),0))</f>
        <v/>
      </c>
      <c r="I1414" s="27" t="str">
        <f aca="false">IF(G1414="","",G1414-H1414)</f>
        <v/>
      </c>
      <c r="J1414" s="42"/>
    </row>
    <row r="1415" customFormat="false" ht="21" hidden="false" customHeight="true" outlineLevel="0" collapsed="false">
      <c r="B1415" s="41"/>
      <c r="C1415" s="9"/>
      <c r="D1415" s="9"/>
      <c r="E1415" s="42"/>
      <c r="F1415" s="43"/>
      <c r="G1415" s="27" t="str">
        <f aca="false">IF(OR(C1415="",AND(D1415="",F1415="")),"",IF(N(E1415)=0,1,E1415)*IF(F1415="",IFERROR(N(INDEX(Produtos!$L$5:$L$104,MATCH(D1415,Produtos!$B$5:$B$104,0))),0),F1415))</f>
        <v/>
      </c>
      <c r="H1415" s="27" t="str">
        <f aca="false">IF(G1415="","",IF(N(E1415)=0,1,E1415)*IFERROR(N(INDEX(Produtos!$G$5:$G$104,MATCH(D1415,Produtos!$B$5:$B$104,0))),0))</f>
        <v/>
      </c>
      <c r="I1415" s="27" t="str">
        <f aca="false">IF(G1415="","",G1415-H1415)</f>
        <v/>
      </c>
      <c r="J1415" s="42"/>
    </row>
    <row r="1416" customFormat="false" ht="21" hidden="false" customHeight="true" outlineLevel="0" collapsed="false">
      <c r="B1416" s="41"/>
      <c r="C1416" s="9"/>
      <c r="D1416" s="9"/>
      <c r="E1416" s="42"/>
      <c r="F1416" s="43"/>
      <c r="G1416" s="27" t="str">
        <f aca="false">IF(OR(C1416="",AND(D1416="",F1416="")),"",IF(N(E1416)=0,1,E1416)*IF(F1416="",IFERROR(N(INDEX(Produtos!$L$5:$L$104,MATCH(D1416,Produtos!$B$5:$B$104,0))),0),F1416))</f>
        <v/>
      </c>
      <c r="H1416" s="27" t="str">
        <f aca="false">IF(G1416="","",IF(N(E1416)=0,1,E1416)*IFERROR(N(INDEX(Produtos!$G$5:$G$104,MATCH(D1416,Produtos!$B$5:$B$104,0))),0))</f>
        <v/>
      </c>
      <c r="I1416" s="27" t="str">
        <f aca="false">IF(G1416="","",G1416-H1416)</f>
        <v/>
      </c>
      <c r="J1416" s="42"/>
    </row>
    <row r="1417" customFormat="false" ht="21" hidden="false" customHeight="true" outlineLevel="0" collapsed="false">
      <c r="B1417" s="41"/>
      <c r="C1417" s="9"/>
      <c r="D1417" s="9"/>
      <c r="E1417" s="42"/>
      <c r="F1417" s="43"/>
      <c r="G1417" s="27" t="str">
        <f aca="false">IF(OR(C1417="",AND(D1417="",F1417="")),"",IF(N(E1417)=0,1,E1417)*IF(F1417="",IFERROR(N(INDEX(Produtos!$L$5:$L$104,MATCH(D1417,Produtos!$B$5:$B$104,0))),0),F1417))</f>
        <v/>
      </c>
      <c r="H1417" s="27" t="str">
        <f aca="false">IF(G1417="","",IF(N(E1417)=0,1,E1417)*IFERROR(N(INDEX(Produtos!$G$5:$G$104,MATCH(D1417,Produtos!$B$5:$B$104,0))),0))</f>
        <v/>
      </c>
      <c r="I1417" s="27" t="str">
        <f aca="false">IF(G1417="","",G1417-H1417)</f>
        <v/>
      </c>
      <c r="J1417" s="42"/>
    </row>
    <row r="1418" customFormat="false" ht="21" hidden="false" customHeight="true" outlineLevel="0" collapsed="false">
      <c r="B1418" s="41"/>
      <c r="C1418" s="9"/>
      <c r="D1418" s="9"/>
      <c r="E1418" s="42"/>
      <c r="F1418" s="43"/>
      <c r="G1418" s="27" t="str">
        <f aca="false">IF(OR(C1418="",AND(D1418="",F1418="")),"",IF(N(E1418)=0,1,E1418)*IF(F1418="",IFERROR(N(INDEX(Produtos!$L$5:$L$104,MATCH(D1418,Produtos!$B$5:$B$104,0))),0),F1418))</f>
        <v/>
      </c>
      <c r="H1418" s="27" t="str">
        <f aca="false">IF(G1418="","",IF(N(E1418)=0,1,E1418)*IFERROR(N(INDEX(Produtos!$G$5:$G$104,MATCH(D1418,Produtos!$B$5:$B$104,0))),0))</f>
        <v/>
      </c>
      <c r="I1418" s="27" t="str">
        <f aca="false">IF(G1418="","",G1418-H1418)</f>
        <v/>
      </c>
      <c r="J1418" s="42"/>
    </row>
    <row r="1419" customFormat="false" ht="21" hidden="false" customHeight="true" outlineLevel="0" collapsed="false">
      <c r="B1419" s="41"/>
      <c r="C1419" s="9"/>
      <c r="D1419" s="9"/>
      <c r="E1419" s="42"/>
      <c r="F1419" s="43"/>
      <c r="G1419" s="27" t="str">
        <f aca="false">IF(OR(C1419="",AND(D1419="",F1419="")),"",IF(N(E1419)=0,1,E1419)*IF(F1419="",IFERROR(N(INDEX(Produtos!$L$5:$L$104,MATCH(D1419,Produtos!$B$5:$B$104,0))),0),F1419))</f>
        <v/>
      </c>
      <c r="H1419" s="27" t="str">
        <f aca="false">IF(G1419="","",IF(N(E1419)=0,1,E1419)*IFERROR(N(INDEX(Produtos!$G$5:$G$104,MATCH(D1419,Produtos!$B$5:$B$104,0))),0))</f>
        <v/>
      </c>
      <c r="I1419" s="27" t="str">
        <f aca="false">IF(G1419="","",G1419-H1419)</f>
        <v/>
      </c>
      <c r="J1419" s="42"/>
    </row>
    <row r="1420" customFormat="false" ht="21" hidden="false" customHeight="true" outlineLevel="0" collapsed="false">
      <c r="B1420" s="41"/>
      <c r="C1420" s="9"/>
      <c r="D1420" s="9"/>
      <c r="E1420" s="42"/>
      <c r="F1420" s="43"/>
      <c r="G1420" s="27" t="str">
        <f aca="false">IF(OR(C1420="",AND(D1420="",F1420="")),"",IF(N(E1420)=0,1,E1420)*IF(F1420="",IFERROR(N(INDEX(Produtos!$L$5:$L$104,MATCH(D1420,Produtos!$B$5:$B$104,0))),0),F1420))</f>
        <v/>
      </c>
      <c r="H1420" s="27" t="str">
        <f aca="false">IF(G1420="","",IF(N(E1420)=0,1,E1420)*IFERROR(N(INDEX(Produtos!$G$5:$G$104,MATCH(D1420,Produtos!$B$5:$B$104,0))),0))</f>
        <v/>
      </c>
      <c r="I1420" s="27" t="str">
        <f aca="false">IF(G1420="","",G1420-H1420)</f>
        <v/>
      </c>
      <c r="J1420" s="42"/>
    </row>
    <row r="1421" customFormat="false" ht="21" hidden="false" customHeight="true" outlineLevel="0" collapsed="false">
      <c r="B1421" s="41"/>
      <c r="C1421" s="9"/>
      <c r="D1421" s="9"/>
      <c r="E1421" s="42"/>
      <c r="F1421" s="43"/>
      <c r="G1421" s="27" t="str">
        <f aca="false">IF(OR(C1421="",AND(D1421="",F1421="")),"",IF(N(E1421)=0,1,E1421)*IF(F1421="",IFERROR(N(INDEX(Produtos!$L$5:$L$104,MATCH(D1421,Produtos!$B$5:$B$104,0))),0),F1421))</f>
        <v/>
      </c>
      <c r="H1421" s="27" t="str">
        <f aca="false">IF(G1421="","",IF(N(E1421)=0,1,E1421)*IFERROR(N(INDEX(Produtos!$G$5:$G$104,MATCH(D1421,Produtos!$B$5:$B$104,0))),0))</f>
        <v/>
      </c>
      <c r="I1421" s="27" t="str">
        <f aca="false">IF(G1421="","",G1421-H1421)</f>
        <v/>
      </c>
      <c r="J1421" s="42"/>
    </row>
    <row r="1422" customFormat="false" ht="21" hidden="false" customHeight="true" outlineLevel="0" collapsed="false">
      <c r="B1422" s="41"/>
      <c r="C1422" s="9"/>
      <c r="D1422" s="9"/>
      <c r="E1422" s="42"/>
      <c r="F1422" s="43"/>
      <c r="G1422" s="27" t="str">
        <f aca="false">IF(OR(C1422="",AND(D1422="",F1422="")),"",IF(N(E1422)=0,1,E1422)*IF(F1422="",IFERROR(N(INDEX(Produtos!$L$5:$L$104,MATCH(D1422,Produtos!$B$5:$B$104,0))),0),F1422))</f>
        <v/>
      </c>
      <c r="H1422" s="27" t="str">
        <f aca="false">IF(G1422="","",IF(N(E1422)=0,1,E1422)*IFERROR(N(INDEX(Produtos!$G$5:$G$104,MATCH(D1422,Produtos!$B$5:$B$104,0))),0))</f>
        <v/>
      </c>
      <c r="I1422" s="27" t="str">
        <f aca="false">IF(G1422="","",G1422-H1422)</f>
        <v/>
      </c>
      <c r="J1422" s="42"/>
    </row>
    <row r="1423" customFormat="false" ht="21" hidden="false" customHeight="true" outlineLevel="0" collapsed="false">
      <c r="B1423" s="41"/>
      <c r="C1423" s="9"/>
      <c r="D1423" s="9"/>
      <c r="E1423" s="42"/>
      <c r="F1423" s="43"/>
      <c r="G1423" s="27" t="str">
        <f aca="false">IF(OR(C1423="",AND(D1423="",F1423="")),"",IF(N(E1423)=0,1,E1423)*IF(F1423="",IFERROR(N(INDEX(Produtos!$L$5:$L$104,MATCH(D1423,Produtos!$B$5:$B$104,0))),0),F1423))</f>
        <v/>
      </c>
      <c r="H1423" s="27" t="str">
        <f aca="false">IF(G1423="","",IF(N(E1423)=0,1,E1423)*IFERROR(N(INDEX(Produtos!$G$5:$G$104,MATCH(D1423,Produtos!$B$5:$B$104,0))),0))</f>
        <v/>
      </c>
      <c r="I1423" s="27" t="str">
        <f aca="false">IF(G1423="","",G1423-H1423)</f>
        <v/>
      </c>
      <c r="J1423" s="42"/>
    </row>
    <row r="1424" customFormat="false" ht="21" hidden="false" customHeight="true" outlineLevel="0" collapsed="false">
      <c r="B1424" s="41"/>
      <c r="C1424" s="9"/>
      <c r="D1424" s="9"/>
      <c r="E1424" s="42"/>
      <c r="F1424" s="43"/>
      <c r="G1424" s="27" t="str">
        <f aca="false">IF(OR(C1424="",AND(D1424="",F1424="")),"",IF(N(E1424)=0,1,E1424)*IF(F1424="",IFERROR(N(INDEX(Produtos!$L$5:$L$104,MATCH(D1424,Produtos!$B$5:$B$104,0))),0),F1424))</f>
        <v/>
      </c>
      <c r="H1424" s="27" t="str">
        <f aca="false">IF(G1424="","",IF(N(E1424)=0,1,E1424)*IFERROR(N(INDEX(Produtos!$G$5:$G$104,MATCH(D1424,Produtos!$B$5:$B$104,0))),0))</f>
        <v/>
      </c>
      <c r="I1424" s="27" t="str">
        <f aca="false">IF(G1424="","",G1424-H1424)</f>
        <v/>
      </c>
      <c r="J1424" s="42"/>
    </row>
    <row r="1425" customFormat="false" ht="21" hidden="false" customHeight="true" outlineLevel="0" collapsed="false">
      <c r="B1425" s="41"/>
      <c r="C1425" s="9"/>
      <c r="D1425" s="9"/>
      <c r="E1425" s="42"/>
      <c r="F1425" s="43"/>
      <c r="G1425" s="27" t="str">
        <f aca="false">IF(OR(C1425="",AND(D1425="",F1425="")),"",IF(N(E1425)=0,1,E1425)*IF(F1425="",IFERROR(N(INDEX(Produtos!$L$5:$L$104,MATCH(D1425,Produtos!$B$5:$B$104,0))),0),F1425))</f>
        <v/>
      </c>
      <c r="H1425" s="27" t="str">
        <f aca="false">IF(G1425="","",IF(N(E1425)=0,1,E1425)*IFERROR(N(INDEX(Produtos!$G$5:$G$104,MATCH(D1425,Produtos!$B$5:$B$104,0))),0))</f>
        <v/>
      </c>
      <c r="I1425" s="27" t="str">
        <f aca="false">IF(G1425="","",G1425-H1425)</f>
        <v/>
      </c>
      <c r="J1425" s="42"/>
    </row>
    <row r="1426" customFormat="false" ht="21" hidden="false" customHeight="true" outlineLevel="0" collapsed="false">
      <c r="B1426" s="41"/>
      <c r="C1426" s="9"/>
      <c r="D1426" s="9"/>
      <c r="E1426" s="42"/>
      <c r="F1426" s="43"/>
      <c r="G1426" s="27" t="str">
        <f aca="false">IF(OR(C1426="",AND(D1426="",F1426="")),"",IF(N(E1426)=0,1,E1426)*IF(F1426="",IFERROR(N(INDEX(Produtos!$L$5:$L$104,MATCH(D1426,Produtos!$B$5:$B$104,0))),0),F1426))</f>
        <v/>
      </c>
      <c r="H1426" s="27" t="str">
        <f aca="false">IF(G1426="","",IF(N(E1426)=0,1,E1426)*IFERROR(N(INDEX(Produtos!$G$5:$G$104,MATCH(D1426,Produtos!$B$5:$B$104,0))),0))</f>
        <v/>
      </c>
      <c r="I1426" s="27" t="str">
        <f aca="false">IF(G1426="","",G1426-H1426)</f>
        <v/>
      </c>
      <c r="J1426" s="42"/>
    </row>
    <row r="1427" customFormat="false" ht="21" hidden="false" customHeight="true" outlineLevel="0" collapsed="false">
      <c r="B1427" s="41"/>
      <c r="C1427" s="9"/>
      <c r="D1427" s="9"/>
      <c r="E1427" s="42"/>
      <c r="F1427" s="43"/>
      <c r="G1427" s="27" t="str">
        <f aca="false">IF(OR(C1427="",AND(D1427="",F1427="")),"",IF(N(E1427)=0,1,E1427)*IF(F1427="",IFERROR(N(INDEX(Produtos!$L$5:$L$104,MATCH(D1427,Produtos!$B$5:$B$104,0))),0),F1427))</f>
        <v/>
      </c>
      <c r="H1427" s="27" t="str">
        <f aca="false">IF(G1427="","",IF(N(E1427)=0,1,E1427)*IFERROR(N(INDEX(Produtos!$G$5:$G$104,MATCH(D1427,Produtos!$B$5:$B$104,0))),0))</f>
        <v/>
      </c>
      <c r="I1427" s="27" t="str">
        <f aca="false">IF(G1427="","",G1427-H1427)</f>
        <v/>
      </c>
      <c r="J1427" s="42"/>
    </row>
    <row r="1428" customFormat="false" ht="21" hidden="false" customHeight="true" outlineLevel="0" collapsed="false">
      <c r="B1428" s="41"/>
      <c r="C1428" s="9"/>
      <c r="D1428" s="9"/>
      <c r="E1428" s="42"/>
      <c r="F1428" s="43"/>
      <c r="G1428" s="27" t="str">
        <f aca="false">IF(OR(C1428="",AND(D1428="",F1428="")),"",IF(N(E1428)=0,1,E1428)*IF(F1428="",IFERROR(N(INDEX(Produtos!$L$5:$L$104,MATCH(D1428,Produtos!$B$5:$B$104,0))),0),F1428))</f>
        <v/>
      </c>
      <c r="H1428" s="27" t="str">
        <f aca="false">IF(G1428="","",IF(N(E1428)=0,1,E1428)*IFERROR(N(INDEX(Produtos!$G$5:$G$104,MATCH(D1428,Produtos!$B$5:$B$104,0))),0))</f>
        <v/>
      </c>
      <c r="I1428" s="27" t="str">
        <f aca="false">IF(G1428="","",G1428-H1428)</f>
        <v/>
      </c>
      <c r="J1428" s="42"/>
    </row>
    <row r="1429" customFormat="false" ht="21" hidden="false" customHeight="true" outlineLevel="0" collapsed="false">
      <c r="B1429" s="41"/>
      <c r="C1429" s="9"/>
      <c r="D1429" s="9"/>
      <c r="E1429" s="42"/>
      <c r="F1429" s="43"/>
      <c r="G1429" s="27" t="str">
        <f aca="false">IF(OR(C1429="",AND(D1429="",F1429="")),"",IF(N(E1429)=0,1,E1429)*IF(F1429="",IFERROR(N(INDEX(Produtos!$L$5:$L$104,MATCH(D1429,Produtos!$B$5:$B$104,0))),0),F1429))</f>
        <v/>
      </c>
      <c r="H1429" s="27" t="str">
        <f aca="false">IF(G1429="","",IF(N(E1429)=0,1,E1429)*IFERROR(N(INDEX(Produtos!$G$5:$G$104,MATCH(D1429,Produtos!$B$5:$B$104,0))),0))</f>
        <v/>
      </c>
      <c r="I1429" s="27" t="str">
        <f aca="false">IF(G1429="","",G1429-H1429)</f>
        <v/>
      </c>
      <c r="J1429" s="42"/>
    </row>
    <row r="1430" customFormat="false" ht="21" hidden="false" customHeight="true" outlineLevel="0" collapsed="false">
      <c r="B1430" s="41"/>
      <c r="C1430" s="9"/>
      <c r="D1430" s="9"/>
      <c r="E1430" s="42"/>
      <c r="F1430" s="43"/>
      <c r="G1430" s="27" t="str">
        <f aca="false">IF(OR(C1430="",AND(D1430="",F1430="")),"",IF(N(E1430)=0,1,E1430)*IF(F1430="",IFERROR(N(INDEX(Produtos!$L$5:$L$104,MATCH(D1430,Produtos!$B$5:$B$104,0))),0),F1430))</f>
        <v/>
      </c>
      <c r="H1430" s="27" t="str">
        <f aca="false">IF(G1430="","",IF(N(E1430)=0,1,E1430)*IFERROR(N(INDEX(Produtos!$G$5:$G$104,MATCH(D1430,Produtos!$B$5:$B$104,0))),0))</f>
        <v/>
      </c>
      <c r="I1430" s="27" t="str">
        <f aca="false">IF(G1430="","",G1430-H1430)</f>
        <v/>
      </c>
      <c r="J1430" s="42"/>
    </row>
    <row r="1431" customFormat="false" ht="21" hidden="false" customHeight="true" outlineLevel="0" collapsed="false">
      <c r="B1431" s="41"/>
      <c r="C1431" s="9"/>
      <c r="D1431" s="9"/>
      <c r="E1431" s="42"/>
      <c r="F1431" s="43"/>
      <c r="G1431" s="27" t="str">
        <f aca="false">IF(OR(C1431="",AND(D1431="",F1431="")),"",IF(N(E1431)=0,1,E1431)*IF(F1431="",IFERROR(N(INDEX(Produtos!$L$5:$L$104,MATCH(D1431,Produtos!$B$5:$B$104,0))),0),F1431))</f>
        <v/>
      </c>
      <c r="H1431" s="27" t="str">
        <f aca="false">IF(G1431="","",IF(N(E1431)=0,1,E1431)*IFERROR(N(INDEX(Produtos!$G$5:$G$104,MATCH(D1431,Produtos!$B$5:$B$104,0))),0))</f>
        <v/>
      </c>
      <c r="I1431" s="27" t="str">
        <f aca="false">IF(G1431="","",G1431-H1431)</f>
        <v/>
      </c>
      <c r="J1431" s="42"/>
    </row>
    <row r="1432" customFormat="false" ht="21" hidden="false" customHeight="true" outlineLevel="0" collapsed="false">
      <c r="B1432" s="41"/>
      <c r="C1432" s="9"/>
      <c r="D1432" s="9"/>
      <c r="E1432" s="42"/>
      <c r="F1432" s="43"/>
      <c r="G1432" s="27" t="str">
        <f aca="false">IF(OR(C1432="",AND(D1432="",F1432="")),"",IF(N(E1432)=0,1,E1432)*IF(F1432="",IFERROR(N(INDEX(Produtos!$L$5:$L$104,MATCH(D1432,Produtos!$B$5:$B$104,0))),0),F1432))</f>
        <v/>
      </c>
      <c r="H1432" s="27" t="str">
        <f aca="false">IF(G1432="","",IF(N(E1432)=0,1,E1432)*IFERROR(N(INDEX(Produtos!$G$5:$G$104,MATCH(D1432,Produtos!$B$5:$B$104,0))),0))</f>
        <v/>
      </c>
      <c r="I1432" s="27" t="str">
        <f aca="false">IF(G1432="","",G1432-H1432)</f>
        <v/>
      </c>
      <c r="J1432" s="42"/>
    </row>
    <row r="1433" customFormat="false" ht="21" hidden="false" customHeight="true" outlineLevel="0" collapsed="false">
      <c r="B1433" s="41"/>
      <c r="C1433" s="9"/>
      <c r="D1433" s="9"/>
      <c r="E1433" s="42"/>
      <c r="F1433" s="43"/>
      <c r="G1433" s="27" t="str">
        <f aca="false">IF(OR(C1433="",AND(D1433="",F1433="")),"",IF(N(E1433)=0,1,E1433)*IF(F1433="",IFERROR(N(INDEX(Produtos!$L$5:$L$104,MATCH(D1433,Produtos!$B$5:$B$104,0))),0),F1433))</f>
        <v/>
      </c>
      <c r="H1433" s="27" t="str">
        <f aca="false">IF(G1433="","",IF(N(E1433)=0,1,E1433)*IFERROR(N(INDEX(Produtos!$G$5:$G$104,MATCH(D1433,Produtos!$B$5:$B$104,0))),0))</f>
        <v/>
      </c>
      <c r="I1433" s="27" t="str">
        <f aca="false">IF(G1433="","",G1433-H1433)</f>
        <v/>
      </c>
      <c r="J1433" s="42"/>
    </row>
    <row r="1434" customFormat="false" ht="21" hidden="false" customHeight="true" outlineLevel="0" collapsed="false">
      <c r="B1434" s="41"/>
      <c r="C1434" s="9"/>
      <c r="D1434" s="9"/>
      <c r="E1434" s="42"/>
      <c r="F1434" s="43"/>
      <c r="G1434" s="27" t="str">
        <f aca="false">IF(OR(C1434="",AND(D1434="",F1434="")),"",IF(N(E1434)=0,1,E1434)*IF(F1434="",IFERROR(N(INDEX(Produtos!$L$5:$L$104,MATCH(D1434,Produtos!$B$5:$B$104,0))),0),F1434))</f>
        <v/>
      </c>
      <c r="H1434" s="27" t="str">
        <f aca="false">IF(G1434="","",IF(N(E1434)=0,1,E1434)*IFERROR(N(INDEX(Produtos!$G$5:$G$104,MATCH(D1434,Produtos!$B$5:$B$104,0))),0))</f>
        <v/>
      </c>
      <c r="I1434" s="27" t="str">
        <f aca="false">IF(G1434="","",G1434-H1434)</f>
        <v/>
      </c>
      <c r="J1434" s="42"/>
    </row>
    <row r="1435" customFormat="false" ht="21" hidden="false" customHeight="true" outlineLevel="0" collapsed="false">
      <c r="B1435" s="41"/>
      <c r="C1435" s="9"/>
      <c r="D1435" s="9"/>
      <c r="E1435" s="42"/>
      <c r="F1435" s="43"/>
      <c r="G1435" s="27" t="str">
        <f aca="false">IF(OR(C1435="",AND(D1435="",F1435="")),"",IF(N(E1435)=0,1,E1435)*IF(F1435="",IFERROR(N(INDEX(Produtos!$L$5:$L$104,MATCH(D1435,Produtos!$B$5:$B$104,0))),0),F1435))</f>
        <v/>
      </c>
      <c r="H1435" s="27" t="str">
        <f aca="false">IF(G1435="","",IF(N(E1435)=0,1,E1435)*IFERROR(N(INDEX(Produtos!$G$5:$G$104,MATCH(D1435,Produtos!$B$5:$B$104,0))),0))</f>
        <v/>
      </c>
      <c r="I1435" s="27" t="str">
        <f aca="false">IF(G1435="","",G1435-H1435)</f>
        <v/>
      </c>
      <c r="J1435" s="42"/>
    </row>
    <row r="1436" customFormat="false" ht="21" hidden="false" customHeight="true" outlineLevel="0" collapsed="false">
      <c r="B1436" s="41"/>
      <c r="C1436" s="9"/>
      <c r="D1436" s="9"/>
      <c r="E1436" s="42"/>
      <c r="F1436" s="43"/>
      <c r="G1436" s="27" t="str">
        <f aca="false">IF(OR(C1436="",AND(D1436="",F1436="")),"",IF(N(E1436)=0,1,E1436)*IF(F1436="",IFERROR(N(INDEX(Produtos!$L$5:$L$104,MATCH(D1436,Produtos!$B$5:$B$104,0))),0),F1436))</f>
        <v/>
      </c>
      <c r="H1436" s="27" t="str">
        <f aca="false">IF(G1436="","",IF(N(E1436)=0,1,E1436)*IFERROR(N(INDEX(Produtos!$G$5:$G$104,MATCH(D1436,Produtos!$B$5:$B$104,0))),0))</f>
        <v/>
      </c>
      <c r="I1436" s="27" t="str">
        <f aca="false">IF(G1436="","",G1436-H1436)</f>
        <v/>
      </c>
      <c r="J1436" s="42"/>
    </row>
    <row r="1437" customFormat="false" ht="21" hidden="false" customHeight="true" outlineLevel="0" collapsed="false">
      <c r="B1437" s="41"/>
      <c r="C1437" s="9"/>
      <c r="D1437" s="9"/>
      <c r="E1437" s="42"/>
      <c r="F1437" s="43"/>
      <c r="G1437" s="27" t="str">
        <f aca="false">IF(OR(C1437="",AND(D1437="",F1437="")),"",IF(N(E1437)=0,1,E1437)*IF(F1437="",IFERROR(N(INDEX(Produtos!$L$5:$L$104,MATCH(D1437,Produtos!$B$5:$B$104,0))),0),F1437))</f>
        <v/>
      </c>
      <c r="H1437" s="27" t="str">
        <f aca="false">IF(G1437="","",IF(N(E1437)=0,1,E1437)*IFERROR(N(INDEX(Produtos!$G$5:$G$104,MATCH(D1437,Produtos!$B$5:$B$104,0))),0))</f>
        <v/>
      </c>
      <c r="I1437" s="27" t="str">
        <f aca="false">IF(G1437="","",G1437-H1437)</f>
        <v/>
      </c>
      <c r="J1437" s="42"/>
    </row>
    <row r="1438" customFormat="false" ht="21" hidden="false" customHeight="true" outlineLevel="0" collapsed="false">
      <c r="B1438" s="41"/>
      <c r="C1438" s="9"/>
      <c r="D1438" s="9"/>
      <c r="E1438" s="42"/>
      <c r="F1438" s="43"/>
      <c r="G1438" s="27" t="str">
        <f aca="false">IF(OR(C1438="",AND(D1438="",F1438="")),"",IF(N(E1438)=0,1,E1438)*IF(F1438="",IFERROR(N(INDEX(Produtos!$L$5:$L$104,MATCH(D1438,Produtos!$B$5:$B$104,0))),0),F1438))</f>
        <v/>
      </c>
      <c r="H1438" s="27" t="str">
        <f aca="false">IF(G1438="","",IF(N(E1438)=0,1,E1438)*IFERROR(N(INDEX(Produtos!$G$5:$G$104,MATCH(D1438,Produtos!$B$5:$B$104,0))),0))</f>
        <v/>
      </c>
      <c r="I1438" s="27" t="str">
        <f aca="false">IF(G1438="","",G1438-H1438)</f>
        <v/>
      </c>
      <c r="J1438" s="42"/>
    </row>
    <row r="1439" customFormat="false" ht="21" hidden="false" customHeight="true" outlineLevel="0" collapsed="false">
      <c r="B1439" s="41"/>
      <c r="C1439" s="9"/>
      <c r="D1439" s="9"/>
      <c r="E1439" s="42"/>
      <c r="F1439" s="43"/>
      <c r="G1439" s="27" t="str">
        <f aca="false">IF(OR(C1439="",AND(D1439="",F1439="")),"",IF(N(E1439)=0,1,E1439)*IF(F1439="",IFERROR(N(INDEX(Produtos!$L$5:$L$104,MATCH(D1439,Produtos!$B$5:$B$104,0))),0),F1439))</f>
        <v/>
      </c>
      <c r="H1439" s="27" t="str">
        <f aca="false">IF(G1439="","",IF(N(E1439)=0,1,E1439)*IFERROR(N(INDEX(Produtos!$G$5:$G$104,MATCH(D1439,Produtos!$B$5:$B$104,0))),0))</f>
        <v/>
      </c>
      <c r="I1439" s="27" t="str">
        <f aca="false">IF(G1439="","",G1439-H1439)</f>
        <v/>
      </c>
      <c r="J1439" s="42"/>
    </row>
    <row r="1440" customFormat="false" ht="21" hidden="false" customHeight="true" outlineLevel="0" collapsed="false">
      <c r="B1440" s="41"/>
      <c r="C1440" s="9"/>
      <c r="D1440" s="9"/>
      <c r="E1440" s="42"/>
      <c r="F1440" s="43"/>
      <c r="G1440" s="27" t="str">
        <f aca="false">IF(OR(C1440="",AND(D1440="",F1440="")),"",IF(N(E1440)=0,1,E1440)*IF(F1440="",IFERROR(N(INDEX(Produtos!$L$5:$L$104,MATCH(D1440,Produtos!$B$5:$B$104,0))),0),F1440))</f>
        <v/>
      </c>
      <c r="H1440" s="27" t="str">
        <f aca="false">IF(G1440="","",IF(N(E1440)=0,1,E1440)*IFERROR(N(INDEX(Produtos!$G$5:$G$104,MATCH(D1440,Produtos!$B$5:$B$104,0))),0))</f>
        <v/>
      </c>
      <c r="I1440" s="27" t="str">
        <f aca="false">IF(G1440="","",G1440-H1440)</f>
        <v/>
      </c>
      <c r="J1440" s="42"/>
    </row>
    <row r="1441" customFormat="false" ht="21" hidden="false" customHeight="true" outlineLevel="0" collapsed="false">
      <c r="B1441" s="41"/>
      <c r="C1441" s="9"/>
      <c r="D1441" s="9"/>
      <c r="E1441" s="42"/>
      <c r="F1441" s="43"/>
      <c r="G1441" s="27" t="str">
        <f aca="false">IF(OR(C1441="",AND(D1441="",F1441="")),"",IF(N(E1441)=0,1,E1441)*IF(F1441="",IFERROR(N(INDEX(Produtos!$L$5:$L$104,MATCH(D1441,Produtos!$B$5:$B$104,0))),0),F1441))</f>
        <v/>
      </c>
      <c r="H1441" s="27" t="str">
        <f aca="false">IF(G1441="","",IF(N(E1441)=0,1,E1441)*IFERROR(N(INDEX(Produtos!$G$5:$G$104,MATCH(D1441,Produtos!$B$5:$B$104,0))),0))</f>
        <v/>
      </c>
      <c r="I1441" s="27" t="str">
        <f aca="false">IF(G1441="","",G1441-H1441)</f>
        <v/>
      </c>
      <c r="J1441" s="42"/>
    </row>
    <row r="1442" customFormat="false" ht="21" hidden="false" customHeight="true" outlineLevel="0" collapsed="false">
      <c r="B1442" s="41"/>
      <c r="C1442" s="9"/>
      <c r="D1442" s="9"/>
      <c r="E1442" s="42"/>
      <c r="F1442" s="43"/>
      <c r="G1442" s="27" t="str">
        <f aca="false">IF(OR(C1442="",AND(D1442="",F1442="")),"",IF(N(E1442)=0,1,E1442)*IF(F1442="",IFERROR(N(INDEX(Produtos!$L$5:$L$104,MATCH(D1442,Produtos!$B$5:$B$104,0))),0),F1442))</f>
        <v/>
      </c>
      <c r="H1442" s="27" t="str">
        <f aca="false">IF(G1442="","",IF(N(E1442)=0,1,E1442)*IFERROR(N(INDEX(Produtos!$G$5:$G$104,MATCH(D1442,Produtos!$B$5:$B$104,0))),0))</f>
        <v/>
      </c>
      <c r="I1442" s="27" t="str">
        <f aca="false">IF(G1442="","",G1442-H1442)</f>
        <v/>
      </c>
      <c r="J1442" s="42"/>
    </row>
    <row r="1443" customFormat="false" ht="21" hidden="false" customHeight="true" outlineLevel="0" collapsed="false">
      <c r="B1443" s="41"/>
      <c r="C1443" s="9"/>
      <c r="D1443" s="9"/>
      <c r="E1443" s="42"/>
      <c r="F1443" s="43"/>
      <c r="G1443" s="27" t="str">
        <f aca="false">IF(OR(C1443="",AND(D1443="",F1443="")),"",IF(N(E1443)=0,1,E1443)*IF(F1443="",IFERROR(N(INDEX(Produtos!$L$5:$L$104,MATCH(D1443,Produtos!$B$5:$B$104,0))),0),F1443))</f>
        <v/>
      </c>
      <c r="H1443" s="27" t="str">
        <f aca="false">IF(G1443="","",IF(N(E1443)=0,1,E1443)*IFERROR(N(INDEX(Produtos!$G$5:$G$104,MATCH(D1443,Produtos!$B$5:$B$104,0))),0))</f>
        <v/>
      </c>
      <c r="I1443" s="27" t="str">
        <f aca="false">IF(G1443="","",G1443-H1443)</f>
        <v/>
      </c>
      <c r="J1443" s="42"/>
    </row>
    <row r="1444" customFormat="false" ht="21" hidden="false" customHeight="true" outlineLevel="0" collapsed="false">
      <c r="B1444" s="41"/>
      <c r="C1444" s="9"/>
      <c r="D1444" s="9"/>
      <c r="E1444" s="42"/>
      <c r="F1444" s="43"/>
      <c r="G1444" s="27" t="str">
        <f aca="false">IF(OR(C1444="",AND(D1444="",F1444="")),"",IF(N(E1444)=0,1,E1444)*IF(F1444="",IFERROR(N(INDEX(Produtos!$L$5:$L$104,MATCH(D1444,Produtos!$B$5:$B$104,0))),0),F1444))</f>
        <v/>
      </c>
      <c r="H1444" s="27" t="str">
        <f aca="false">IF(G1444="","",IF(N(E1444)=0,1,E1444)*IFERROR(N(INDEX(Produtos!$G$5:$G$104,MATCH(D1444,Produtos!$B$5:$B$104,0))),0))</f>
        <v/>
      </c>
      <c r="I1444" s="27" t="str">
        <f aca="false">IF(G1444="","",G1444-H1444)</f>
        <v/>
      </c>
      <c r="J1444" s="42"/>
    </row>
    <row r="1445" customFormat="false" ht="21" hidden="false" customHeight="true" outlineLevel="0" collapsed="false">
      <c r="B1445" s="41"/>
      <c r="C1445" s="9"/>
      <c r="D1445" s="9"/>
      <c r="E1445" s="42"/>
      <c r="F1445" s="43"/>
      <c r="G1445" s="27" t="str">
        <f aca="false">IF(OR(C1445="",AND(D1445="",F1445="")),"",IF(N(E1445)=0,1,E1445)*IF(F1445="",IFERROR(N(INDEX(Produtos!$L$5:$L$104,MATCH(D1445,Produtos!$B$5:$B$104,0))),0),F1445))</f>
        <v/>
      </c>
      <c r="H1445" s="27" t="str">
        <f aca="false">IF(G1445="","",IF(N(E1445)=0,1,E1445)*IFERROR(N(INDEX(Produtos!$G$5:$G$104,MATCH(D1445,Produtos!$B$5:$B$104,0))),0))</f>
        <v/>
      </c>
      <c r="I1445" s="27" t="str">
        <f aca="false">IF(G1445="","",G1445-H1445)</f>
        <v/>
      </c>
      <c r="J1445" s="42"/>
    </row>
    <row r="1446" customFormat="false" ht="21" hidden="false" customHeight="true" outlineLevel="0" collapsed="false">
      <c r="B1446" s="41"/>
      <c r="C1446" s="9"/>
      <c r="D1446" s="9"/>
      <c r="E1446" s="42"/>
      <c r="F1446" s="43"/>
      <c r="G1446" s="27" t="str">
        <f aca="false">IF(OR(C1446="",AND(D1446="",F1446="")),"",IF(N(E1446)=0,1,E1446)*IF(F1446="",IFERROR(N(INDEX(Produtos!$L$5:$L$104,MATCH(D1446,Produtos!$B$5:$B$104,0))),0),F1446))</f>
        <v/>
      </c>
      <c r="H1446" s="27" t="str">
        <f aca="false">IF(G1446="","",IF(N(E1446)=0,1,E1446)*IFERROR(N(INDEX(Produtos!$G$5:$G$104,MATCH(D1446,Produtos!$B$5:$B$104,0))),0))</f>
        <v/>
      </c>
      <c r="I1446" s="27" t="str">
        <f aca="false">IF(G1446="","",G1446-H1446)</f>
        <v/>
      </c>
      <c r="J1446" s="42"/>
    </row>
    <row r="1447" customFormat="false" ht="21" hidden="false" customHeight="true" outlineLevel="0" collapsed="false">
      <c r="B1447" s="41"/>
      <c r="C1447" s="9"/>
      <c r="D1447" s="9"/>
      <c r="E1447" s="42"/>
      <c r="F1447" s="43"/>
      <c r="G1447" s="27" t="str">
        <f aca="false">IF(OR(C1447="",AND(D1447="",F1447="")),"",IF(N(E1447)=0,1,E1447)*IF(F1447="",IFERROR(N(INDEX(Produtos!$L$5:$L$104,MATCH(D1447,Produtos!$B$5:$B$104,0))),0),F1447))</f>
        <v/>
      </c>
      <c r="H1447" s="27" t="str">
        <f aca="false">IF(G1447="","",IF(N(E1447)=0,1,E1447)*IFERROR(N(INDEX(Produtos!$G$5:$G$104,MATCH(D1447,Produtos!$B$5:$B$104,0))),0))</f>
        <v/>
      </c>
      <c r="I1447" s="27" t="str">
        <f aca="false">IF(G1447="","",G1447-H1447)</f>
        <v/>
      </c>
      <c r="J1447" s="42"/>
    </row>
    <row r="1448" customFormat="false" ht="21" hidden="false" customHeight="true" outlineLevel="0" collapsed="false">
      <c r="B1448" s="41"/>
      <c r="C1448" s="9"/>
      <c r="D1448" s="9"/>
      <c r="E1448" s="42"/>
      <c r="F1448" s="43"/>
      <c r="G1448" s="27" t="str">
        <f aca="false">IF(OR(C1448="",AND(D1448="",F1448="")),"",IF(N(E1448)=0,1,E1448)*IF(F1448="",IFERROR(N(INDEX(Produtos!$L$5:$L$104,MATCH(D1448,Produtos!$B$5:$B$104,0))),0),F1448))</f>
        <v/>
      </c>
      <c r="H1448" s="27" t="str">
        <f aca="false">IF(G1448="","",IF(N(E1448)=0,1,E1448)*IFERROR(N(INDEX(Produtos!$G$5:$G$104,MATCH(D1448,Produtos!$B$5:$B$104,0))),0))</f>
        <v/>
      </c>
      <c r="I1448" s="27" t="str">
        <f aca="false">IF(G1448="","",G1448-H1448)</f>
        <v/>
      </c>
      <c r="J1448" s="42"/>
    </row>
    <row r="1449" customFormat="false" ht="21" hidden="false" customHeight="true" outlineLevel="0" collapsed="false">
      <c r="B1449" s="41"/>
      <c r="C1449" s="9"/>
      <c r="D1449" s="9"/>
      <c r="E1449" s="42"/>
      <c r="F1449" s="43"/>
      <c r="G1449" s="27" t="str">
        <f aca="false">IF(OR(C1449="",AND(D1449="",F1449="")),"",IF(N(E1449)=0,1,E1449)*IF(F1449="",IFERROR(N(INDEX(Produtos!$L$5:$L$104,MATCH(D1449,Produtos!$B$5:$B$104,0))),0),F1449))</f>
        <v/>
      </c>
      <c r="H1449" s="27" t="str">
        <f aca="false">IF(G1449="","",IF(N(E1449)=0,1,E1449)*IFERROR(N(INDEX(Produtos!$G$5:$G$104,MATCH(D1449,Produtos!$B$5:$B$104,0))),0))</f>
        <v/>
      </c>
      <c r="I1449" s="27" t="str">
        <f aca="false">IF(G1449="","",G1449-H1449)</f>
        <v/>
      </c>
      <c r="J1449" s="42"/>
    </row>
    <row r="1450" customFormat="false" ht="21" hidden="false" customHeight="true" outlineLevel="0" collapsed="false">
      <c r="B1450" s="41"/>
      <c r="C1450" s="9"/>
      <c r="D1450" s="9"/>
      <c r="E1450" s="42"/>
      <c r="F1450" s="43"/>
      <c r="G1450" s="27" t="str">
        <f aca="false">IF(OR(C1450="",AND(D1450="",F1450="")),"",IF(N(E1450)=0,1,E1450)*IF(F1450="",IFERROR(N(INDEX(Produtos!$L$5:$L$104,MATCH(D1450,Produtos!$B$5:$B$104,0))),0),F1450))</f>
        <v/>
      </c>
      <c r="H1450" s="27" t="str">
        <f aca="false">IF(G1450="","",IF(N(E1450)=0,1,E1450)*IFERROR(N(INDEX(Produtos!$G$5:$G$104,MATCH(D1450,Produtos!$B$5:$B$104,0))),0))</f>
        <v/>
      </c>
      <c r="I1450" s="27" t="str">
        <f aca="false">IF(G1450="","",G1450-H1450)</f>
        <v/>
      </c>
      <c r="J1450" s="42"/>
    </row>
    <row r="1451" customFormat="false" ht="21" hidden="false" customHeight="true" outlineLevel="0" collapsed="false">
      <c r="B1451" s="41"/>
      <c r="C1451" s="9"/>
      <c r="D1451" s="9"/>
      <c r="E1451" s="42"/>
      <c r="F1451" s="43"/>
      <c r="G1451" s="27" t="str">
        <f aca="false">IF(OR(C1451="",AND(D1451="",F1451="")),"",IF(N(E1451)=0,1,E1451)*IF(F1451="",IFERROR(N(INDEX(Produtos!$L$5:$L$104,MATCH(D1451,Produtos!$B$5:$B$104,0))),0),F1451))</f>
        <v/>
      </c>
      <c r="H1451" s="27" t="str">
        <f aca="false">IF(G1451="","",IF(N(E1451)=0,1,E1451)*IFERROR(N(INDEX(Produtos!$G$5:$G$104,MATCH(D1451,Produtos!$B$5:$B$104,0))),0))</f>
        <v/>
      </c>
      <c r="I1451" s="27" t="str">
        <f aca="false">IF(G1451="","",G1451-H1451)</f>
        <v/>
      </c>
      <c r="J1451" s="42"/>
    </row>
    <row r="1452" customFormat="false" ht="21" hidden="false" customHeight="true" outlineLevel="0" collapsed="false">
      <c r="B1452" s="41"/>
      <c r="C1452" s="9"/>
      <c r="D1452" s="9"/>
      <c r="E1452" s="42"/>
      <c r="F1452" s="43"/>
      <c r="G1452" s="27" t="str">
        <f aca="false">IF(OR(C1452="",AND(D1452="",F1452="")),"",IF(N(E1452)=0,1,E1452)*IF(F1452="",IFERROR(N(INDEX(Produtos!$L$5:$L$104,MATCH(D1452,Produtos!$B$5:$B$104,0))),0),F1452))</f>
        <v/>
      </c>
      <c r="H1452" s="27" t="str">
        <f aca="false">IF(G1452="","",IF(N(E1452)=0,1,E1452)*IFERROR(N(INDEX(Produtos!$G$5:$G$104,MATCH(D1452,Produtos!$B$5:$B$104,0))),0))</f>
        <v/>
      </c>
      <c r="I1452" s="27" t="str">
        <f aca="false">IF(G1452="","",G1452-H1452)</f>
        <v/>
      </c>
      <c r="J1452" s="42"/>
    </row>
    <row r="1453" customFormat="false" ht="21" hidden="false" customHeight="true" outlineLevel="0" collapsed="false">
      <c r="B1453" s="41"/>
      <c r="C1453" s="9"/>
      <c r="D1453" s="9"/>
      <c r="E1453" s="42"/>
      <c r="F1453" s="43"/>
      <c r="G1453" s="27" t="str">
        <f aca="false">IF(OR(C1453="",AND(D1453="",F1453="")),"",IF(N(E1453)=0,1,E1453)*IF(F1453="",IFERROR(N(INDEX(Produtos!$L$5:$L$104,MATCH(D1453,Produtos!$B$5:$B$104,0))),0),F1453))</f>
        <v/>
      </c>
      <c r="H1453" s="27" t="str">
        <f aca="false">IF(G1453="","",IF(N(E1453)=0,1,E1453)*IFERROR(N(INDEX(Produtos!$G$5:$G$104,MATCH(D1453,Produtos!$B$5:$B$104,0))),0))</f>
        <v/>
      </c>
      <c r="I1453" s="27" t="str">
        <f aca="false">IF(G1453="","",G1453-H1453)</f>
        <v/>
      </c>
      <c r="J1453" s="42"/>
    </row>
    <row r="1454" customFormat="false" ht="21" hidden="false" customHeight="true" outlineLevel="0" collapsed="false">
      <c r="B1454" s="41"/>
      <c r="C1454" s="9"/>
      <c r="D1454" s="9"/>
      <c r="E1454" s="42"/>
      <c r="F1454" s="43"/>
      <c r="G1454" s="27" t="str">
        <f aca="false">IF(OR(C1454="",AND(D1454="",F1454="")),"",IF(N(E1454)=0,1,E1454)*IF(F1454="",IFERROR(N(INDEX(Produtos!$L$5:$L$104,MATCH(D1454,Produtos!$B$5:$B$104,0))),0),F1454))</f>
        <v/>
      </c>
      <c r="H1454" s="27" t="str">
        <f aca="false">IF(G1454="","",IF(N(E1454)=0,1,E1454)*IFERROR(N(INDEX(Produtos!$G$5:$G$104,MATCH(D1454,Produtos!$B$5:$B$104,0))),0))</f>
        <v/>
      </c>
      <c r="I1454" s="27" t="str">
        <f aca="false">IF(G1454="","",G1454-H1454)</f>
        <v/>
      </c>
      <c r="J1454" s="42"/>
    </row>
    <row r="1455" customFormat="false" ht="21" hidden="false" customHeight="true" outlineLevel="0" collapsed="false">
      <c r="B1455" s="41"/>
      <c r="C1455" s="9"/>
      <c r="D1455" s="9"/>
      <c r="E1455" s="42"/>
      <c r="F1455" s="43"/>
      <c r="G1455" s="27" t="str">
        <f aca="false">IF(OR(C1455="",AND(D1455="",F1455="")),"",IF(N(E1455)=0,1,E1455)*IF(F1455="",IFERROR(N(INDEX(Produtos!$L$5:$L$104,MATCH(D1455,Produtos!$B$5:$B$104,0))),0),F1455))</f>
        <v/>
      </c>
      <c r="H1455" s="27" t="str">
        <f aca="false">IF(G1455="","",IF(N(E1455)=0,1,E1455)*IFERROR(N(INDEX(Produtos!$G$5:$G$104,MATCH(D1455,Produtos!$B$5:$B$104,0))),0))</f>
        <v/>
      </c>
      <c r="I1455" s="27" t="str">
        <f aca="false">IF(G1455="","",G1455-H1455)</f>
        <v/>
      </c>
      <c r="J1455" s="42"/>
    </row>
    <row r="1456" customFormat="false" ht="21" hidden="false" customHeight="true" outlineLevel="0" collapsed="false">
      <c r="B1456" s="41"/>
      <c r="C1456" s="9"/>
      <c r="D1456" s="9"/>
      <c r="E1456" s="42"/>
      <c r="F1456" s="43"/>
      <c r="G1456" s="27" t="str">
        <f aca="false">IF(OR(C1456="",AND(D1456="",F1456="")),"",IF(N(E1456)=0,1,E1456)*IF(F1456="",IFERROR(N(INDEX(Produtos!$L$5:$L$104,MATCH(D1456,Produtos!$B$5:$B$104,0))),0),F1456))</f>
        <v/>
      </c>
      <c r="H1456" s="27" t="str">
        <f aca="false">IF(G1456="","",IF(N(E1456)=0,1,E1456)*IFERROR(N(INDEX(Produtos!$G$5:$G$104,MATCH(D1456,Produtos!$B$5:$B$104,0))),0))</f>
        <v/>
      </c>
      <c r="I1456" s="27" t="str">
        <f aca="false">IF(G1456="","",G1456-H1456)</f>
        <v/>
      </c>
      <c r="J1456" s="42"/>
    </row>
    <row r="1457" customFormat="false" ht="21" hidden="false" customHeight="true" outlineLevel="0" collapsed="false">
      <c r="B1457" s="41"/>
      <c r="C1457" s="9"/>
      <c r="D1457" s="9"/>
      <c r="E1457" s="42"/>
      <c r="F1457" s="43"/>
      <c r="G1457" s="27" t="str">
        <f aca="false">IF(OR(C1457="",AND(D1457="",F1457="")),"",IF(N(E1457)=0,1,E1457)*IF(F1457="",IFERROR(N(INDEX(Produtos!$L$5:$L$104,MATCH(D1457,Produtos!$B$5:$B$104,0))),0),F1457))</f>
        <v/>
      </c>
      <c r="H1457" s="27" t="str">
        <f aca="false">IF(G1457="","",IF(N(E1457)=0,1,E1457)*IFERROR(N(INDEX(Produtos!$G$5:$G$104,MATCH(D1457,Produtos!$B$5:$B$104,0))),0))</f>
        <v/>
      </c>
      <c r="I1457" s="27" t="str">
        <f aca="false">IF(G1457="","",G1457-H1457)</f>
        <v/>
      </c>
      <c r="J1457" s="42"/>
    </row>
    <row r="1458" customFormat="false" ht="21" hidden="false" customHeight="true" outlineLevel="0" collapsed="false">
      <c r="B1458" s="41"/>
      <c r="C1458" s="9"/>
      <c r="D1458" s="9"/>
      <c r="E1458" s="42"/>
      <c r="F1458" s="43"/>
      <c r="G1458" s="27" t="str">
        <f aca="false">IF(OR(C1458="",AND(D1458="",F1458="")),"",IF(N(E1458)=0,1,E1458)*IF(F1458="",IFERROR(N(INDEX(Produtos!$L$5:$L$104,MATCH(D1458,Produtos!$B$5:$B$104,0))),0),F1458))</f>
        <v/>
      </c>
      <c r="H1458" s="27" t="str">
        <f aca="false">IF(G1458="","",IF(N(E1458)=0,1,E1458)*IFERROR(N(INDEX(Produtos!$G$5:$G$104,MATCH(D1458,Produtos!$B$5:$B$104,0))),0))</f>
        <v/>
      </c>
      <c r="I1458" s="27" t="str">
        <f aca="false">IF(G1458="","",G1458-H1458)</f>
        <v/>
      </c>
      <c r="J1458" s="42"/>
    </row>
    <row r="1459" customFormat="false" ht="21" hidden="false" customHeight="true" outlineLevel="0" collapsed="false">
      <c r="B1459" s="41"/>
      <c r="C1459" s="9"/>
      <c r="D1459" s="9"/>
      <c r="E1459" s="42"/>
      <c r="F1459" s="43"/>
      <c r="G1459" s="27" t="str">
        <f aca="false">IF(OR(C1459="",AND(D1459="",F1459="")),"",IF(N(E1459)=0,1,E1459)*IF(F1459="",IFERROR(N(INDEX(Produtos!$L$5:$L$104,MATCH(D1459,Produtos!$B$5:$B$104,0))),0),F1459))</f>
        <v/>
      </c>
      <c r="H1459" s="27" t="str">
        <f aca="false">IF(G1459="","",IF(N(E1459)=0,1,E1459)*IFERROR(N(INDEX(Produtos!$G$5:$G$104,MATCH(D1459,Produtos!$B$5:$B$104,0))),0))</f>
        <v/>
      </c>
      <c r="I1459" s="27" t="str">
        <f aca="false">IF(G1459="","",G1459-H1459)</f>
        <v/>
      </c>
      <c r="J1459" s="42"/>
    </row>
    <row r="1460" customFormat="false" ht="21" hidden="false" customHeight="true" outlineLevel="0" collapsed="false">
      <c r="B1460" s="41"/>
      <c r="C1460" s="9"/>
      <c r="D1460" s="9"/>
      <c r="E1460" s="42"/>
      <c r="F1460" s="43"/>
      <c r="G1460" s="27" t="str">
        <f aca="false">IF(OR(C1460="",AND(D1460="",F1460="")),"",IF(N(E1460)=0,1,E1460)*IF(F1460="",IFERROR(N(INDEX(Produtos!$L$5:$L$104,MATCH(D1460,Produtos!$B$5:$B$104,0))),0),F1460))</f>
        <v/>
      </c>
      <c r="H1460" s="27" t="str">
        <f aca="false">IF(G1460="","",IF(N(E1460)=0,1,E1460)*IFERROR(N(INDEX(Produtos!$G$5:$G$104,MATCH(D1460,Produtos!$B$5:$B$104,0))),0))</f>
        <v/>
      </c>
      <c r="I1460" s="27" t="str">
        <f aca="false">IF(G1460="","",G1460-H1460)</f>
        <v/>
      </c>
      <c r="J1460" s="42"/>
    </row>
    <row r="1461" customFormat="false" ht="21" hidden="false" customHeight="true" outlineLevel="0" collapsed="false">
      <c r="B1461" s="41"/>
      <c r="C1461" s="9"/>
      <c r="D1461" s="9"/>
      <c r="E1461" s="42"/>
      <c r="F1461" s="43"/>
      <c r="G1461" s="27" t="str">
        <f aca="false">IF(OR(C1461="",AND(D1461="",F1461="")),"",IF(N(E1461)=0,1,E1461)*IF(F1461="",IFERROR(N(INDEX(Produtos!$L$5:$L$104,MATCH(D1461,Produtos!$B$5:$B$104,0))),0),F1461))</f>
        <v/>
      </c>
      <c r="H1461" s="27" t="str">
        <f aca="false">IF(G1461="","",IF(N(E1461)=0,1,E1461)*IFERROR(N(INDEX(Produtos!$G$5:$G$104,MATCH(D1461,Produtos!$B$5:$B$104,0))),0))</f>
        <v/>
      </c>
      <c r="I1461" s="27" t="str">
        <f aca="false">IF(G1461="","",G1461-H1461)</f>
        <v/>
      </c>
      <c r="J1461" s="42"/>
    </row>
    <row r="1462" customFormat="false" ht="21" hidden="false" customHeight="true" outlineLevel="0" collapsed="false">
      <c r="B1462" s="41"/>
      <c r="C1462" s="9"/>
      <c r="D1462" s="9"/>
      <c r="E1462" s="42"/>
      <c r="F1462" s="43"/>
      <c r="G1462" s="27" t="str">
        <f aca="false">IF(OR(C1462="",AND(D1462="",F1462="")),"",IF(N(E1462)=0,1,E1462)*IF(F1462="",IFERROR(N(INDEX(Produtos!$L$5:$L$104,MATCH(D1462,Produtos!$B$5:$B$104,0))),0),F1462))</f>
        <v/>
      </c>
      <c r="H1462" s="27" t="str">
        <f aca="false">IF(G1462="","",IF(N(E1462)=0,1,E1462)*IFERROR(N(INDEX(Produtos!$G$5:$G$104,MATCH(D1462,Produtos!$B$5:$B$104,0))),0))</f>
        <v/>
      </c>
      <c r="I1462" s="27" t="str">
        <f aca="false">IF(G1462="","",G1462-H1462)</f>
        <v/>
      </c>
      <c r="J1462" s="42"/>
    </row>
    <row r="1463" customFormat="false" ht="21" hidden="false" customHeight="true" outlineLevel="0" collapsed="false">
      <c r="B1463" s="41"/>
      <c r="C1463" s="9"/>
      <c r="D1463" s="9"/>
      <c r="E1463" s="42"/>
      <c r="F1463" s="43"/>
      <c r="G1463" s="27" t="str">
        <f aca="false">IF(OR(C1463="",AND(D1463="",F1463="")),"",IF(N(E1463)=0,1,E1463)*IF(F1463="",IFERROR(N(INDEX(Produtos!$L$5:$L$104,MATCH(D1463,Produtos!$B$5:$B$104,0))),0),F1463))</f>
        <v/>
      </c>
      <c r="H1463" s="27" t="str">
        <f aca="false">IF(G1463="","",IF(N(E1463)=0,1,E1463)*IFERROR(N(INDEX(Produtos!$G$5:$G$104,MATCH(D1463,Produtos!$B$5:$B$104,0))),0))</f>
        <v/>
      </c>
      <c r="I1463" s="27" t="str">
        <f aca="false">IF(G1463="","",G1463-H1463)</f>
        <v/>
      </c>
      <c r="J1463" s="42"/>
    </row>
    <row r="1464" customFormat="false" ht="21" hidden="false" customHeight="true" outlineLevel="0" collapsed="false">
      <c r="B1464" s="41"/>
      <c r="C1464" s="9"/>
      <c r="D1464" s="9"/>
      <c r="E1464" s="42"/>
      <c r="F1464" s="43"/>
      <c r="G1464" s="27" t="str">
        <f aca="false">IF(OR(C1464="",AND(D1464="",F1464="")),"",IF(N(E1464)=0,1,E1464)*IF(F1464="",IFERROR(N(INDEX(Produtos!$L$5:$L$104,MATCH(D1464,Produtos!$B$5:$B$104,0))),0),F1464))</f>
        <v/>
      </c>
      <c r="H1464" s="27" t="str">
        <f aca="false">IF(G1464="","",IF(N(E1464)=0,1,E1464)*IFERROR(N(INDEX(Produtos!$G$5:$G$104,MATCH(D1464,Produtos!$B$5:$B$104,0))),0))</f>
        <v/>
      </c>
      <c r="I1464" s="27" t="str">
        <f aca="false">IF(G1464="","",G1464-H1464)</f>
        <v/>
      </c>
      <c r="J1464" s="42"/>
    </row>
    <row r="1465" customFormat="false" ht="21" hidden="false" customHeight="true" outlineLevel="0" collapsed="false">
      <c r="B1465" s="41"/>
      <c r="C1465" s="9"/>
      <c r="D1465" s="9"/>
      <c r="E1465" s="42"/>
      <c r="F1465" s="43"/>
      <c r="G1465" s="27" t="str">
        <f aca="false">IF(OR(C1465="",AND(D1465="",F1465="")),"",IF(N(E1465)=0,1,E1465)*IF(F1465="",IFERROR(N(INDEX(Produtos!$L$5:$L$104,MATCH(D1465,Produtos!$B$5:$B$104,0))),0),F1465))</f>
        <v/>
      </c>
      <c r="H1465" s="27" t="str">
        <f aca="false">IF(G1465="","",IF(N(E1465)=0,1,E1465)*IFERROR(N(INDEX(Produtos!$G$5:$G$104,MATCH(D1465,Produtos!$B$5:$B$104,0))),0))</f>
        <v/>
      </c>
      <c r="I1465" s="27" t="str">
        <f aca="false">IF(G1465="","",G1465-H1465)</f>
        <v/>
      </c>
      <c r="J1465" s="42"/>
    </row>
    <row r="1466" customFormat="false" ht="21" hidden="false" customHeight="true" outlineLevel="0" collapsed="false">
      <c r="B1466" s="41"/>
      <c r="C1466" s="9"/>
      <c r="D1466" s="9"/>
      <c r="E1466" s="42"/>
      <c r="F1466" s="43"/>
      <c r="G1466" s="27" t="str">
        <f aca="false">IF(OR(C1466="",AND(D1466="",F1466="")),"",IF(N(E1466)=0,1,E1466)*IF(F1466="",IFERROR(N(INDEX(Produtos!$L$5:$L$104,MATCH(D1466,Produtos!$B$5:$B$104,0))),0),F1466))</f>
        <v/>
      </c>
      <c r="H1466" s="27" t="str">
        <f aca="false">IF(G1466="","",IF(N(E1466)=0,1,E1466)*IFERROR(N(INDEX(Produtos!$G$5:$G$104,MATCH(D1466,Produtos!$B$5:$B$104,0))),0))</f>
        <v/>
      </c>
      <c r="I1466" s="27" t="str">
        <f aca="false">IF(G1466="","",G1466-H1466)</f>
        <v/>
      </c>
      <c r="J1466" s="42"/>
    </row>
    <row r="1467" customFormat="false" ht="21" hidden="false" customHeight="true" outlineLevel="0" collapsed="false">
      <c r="B1467" s="41"/>
      <c r="C1467" s="9"/>
      <c r="D1467" s="9"/>
      <c r="E1467" s="42"/>
      <c r="F1467" s="43"/>
      <c r="G1467" s="27" t="str">
        <f aca="false">IF(OR(C1467="",AND(D1467="",F1467="")),"",IF(N(E1467)=0,1,E1467)*IF(F1467="",IFERROR(N(INDEX(Produtos!$L$5:$L$104,MATCH(D1467,Produtos!$B$5:$B$104,0))),0),F1467))</f>
        <v/>
      </c>
      <c r="H1467" s="27" t="str">
        <f aca="false">IF(G1467="","",IF(N(E1467)=0,1,E1467)*IFERROR(N(INDEX(Produtos!$G$5:$G$104,MATCH(D1467,Produtos!$B$5:$B$104,0))),0))</f>
        <v/>
      </c>
      <c r="I1467" s="27" t="str">
        <f aca="false">IF(G1467="","",G1467-H1467)</f>
        <v/>
      </c>
      <c r="J1467" s="42"/>
    </row>
    <row r="1468" customFormat="false" ht="21" hidden="false" customHeight="true" outlineLevel="0" collapsed="false">
      <c r="B1468" s="41"/>
      <c r="C1468" s="9"/>
      <c r="D1468" s="9"/>
      <c r="E1468" s="42"/>
      <c r="F1468" s="43"/>
      <c r="G1468" s="27" t="str">
        <f aca="false">IF(OR(C1468="",AND(D1468="",F1468="")),"",IF(N(E1468)=0,1,E1468)*IF(F1468="",IFERROR(N(INDEX(Produtos!$L$5:$L$104,MATCH(D1468,Produtos!$B$5:$B$104,0))),0),F1468))</f>
        <v/>
      </c>
      <c r="H1468" s="27" t="str">
        <f aca="false">IF(G1468="","",IF(N(E1468)=0,1,E1468)*IFERROR(N(INDEX(Produtos!$G$5:$G$104,MATCH(D1468,Produtos!$B$5:$B$104,0))),0))</f>
        <v/>
      </c>
      <c r="I1468" s="27" t="str">
        <f aca="false">IF(G1468="","",G1468-H1468)</f>
        <v/>
      </c>
      <c r="J1468" s="42"/>
    </row>
    <row r="1469" customFormat="false" ht="21" hidden="false" customHeight="true" outlineLevel="0" collapsed="false">
      <c r="B1469" s="41"/>
      <c r="C1469" s="9"/>
      <c r="D1469" s="9"/>
      <c r="E1469" s="42"/>
      <c r="F1469" s="43"/>
      <c r="G1469" s="27" t="str">
        <f aca="false">IF(OR(C1469="",AND(D1469="",F1469="")),"",IF(N(E1469)=0,1,E1469)*IF(F1469="",IFERROR(N(INDEX(Produtos!$L$5:$L$104,MATCH(D1469,Produtos!$B$5:$B$104,0))),0),F1469))</f>
        <v/>
      </c>
      <c r="H1469" s="27" t="str">
        <f aca="false">IF(G1469="","",IF(N(E1469)=0,1,E1469)*IFERROR(N(INDEX(Produtos!$G$5:$G$104,MATCH(D1469,Produtos!$B$5:$B$104,0))),0))</f>
        <v/>
      </c>
      <c r="I1469" s="27" t="str">
        <f aca="false">IF(G1469="","",G1469-H1469)</f>
        <v/>
      </c>
      <c r="J1469" s="42"/>
    </row>
    <row r="1470" customFormat="false" ht="21" hidden="false" customHeight="true" outlineLevel="0" collapsed="false">
      <c r="B1470" s="41"/>
      <c r="C1470" s="9"/>
      <c r="D1470" s="9"/>
      <c r="E1470" s="42"/>
      <c r="F1470" s="43"/>
      <c r="G1470" s="27" t="str">
        <f aca="false">IF(OR(C1470="",AND(D1470="",F1470="")),"",IF(N(E1470)=0,1,E1470)*IF(F1470="",IFERROR(N(INDEX(Produtos!$L$5:$L$104,MATCH(D1470,Produtos!$B$5:$B$104,0))),0),F1470))</f>
        <v/>
      </c>
      <c r="H1470" s="27" t="str">
        <f aca="false">IF(G1470="","",IF(N(E1470)=0,1,E1470)*IFERROR(N(INDEX(Produtos!$G$5:$G$104,MATCH(D1470,Produtos!$B$5:$B$104,0))),0))</f>
        <v/>
      </c>
      <c r="I1470" s="27" t="str">
        <f aca="false">IF(G1470="","",G1470-H1470)</f>
        <v/>
      </c>
      <c r="J1470" s="42"/>
    </row>
    <row r="1471" customFormat="false" ht="21" hidden="false" customHeight="true" outlineLevel="0" collapsed="false">
      <c r="B1471" s="41"/>
      <c r="C1471" s="9"/>
      <c r="D1471" s="9"/>
      <c r="E1471" s="42"/>
      <c r="F1471" s="43"/>
      <c r="G1471" s="27" t="str">
        <f aca="false">IF(OR(C1471="",AND(D1471="",F1471="")),"",IF(N(E1471)=0,1,E1471)*IF(F1471="",IFERROR(N(INDEX(Produtos!$L$5:$L$104,MATCH(D1471,Produtos!$B$5:$B$104,0))),0),F1471))</f>
        <v/>
      </c>
      <c r="H1471" s="27" t="str">
        <f aca="false">IF(G1471="","",IF(N(E1471)=0,1,E1471)*IFERROR(N(INDEX(Produtos!$G$5:$G$104,MATCH(D1471,Produtos!$B$5:$B$104,0))),0))</f>
        <v/>
      </c>
      <c r="I1471" s="27" t="str">
        <f aca="false">IF(G1471="","",G1471-H1471)</f>
        <v/>
      </c>
      <c r="J1471" s="42"/>
    </row>
    <row r="1472" customFormat="false" ht="21" hidden="false" customHeight="true" outlineLevel="0" collapsed="false">
      <c r="B1472" s="41"/>
      <c r="C1472" s="9"/>
      <c r="D1472" s="9"/>
      <c r="E1472" s="42"/>
      <c r="F1472" s="43"/>
      <c r="G1472" s="27" t="str">
        <f aca="false">IF(OR(C1472="",AND(D1472="",F1472="")),"",IF(N(E1472)=0,1,E1472)*IF(F1472="",IFERROR(N(INDEX(Produtos!$L$5:$L$104,MATCH(D1472,Produtos!$B$5:$B$104,0))),0),F1472))</f>
        <v/>
      </c>
      <c r="H1472" s="27" t="str">
        <f aca="false">IF(G1472="","",IF(N(E1472)=0,1,E1472)*IFERROR(N(INDEX(Produtos!$G$5:$G$104,MATCH(D1472,Produtos!$B$5:$B$104,0))),0))</f>
        <v/>
      </c>
      <c r="I1472" s="27" t="str">
        <f aca="false">IF(G1472="","",G1472-H1472)</f>
        <v/>
      </c>
      <c r="J1472" s="42"/>
    </row>
    <row r="1473" customFormat="false" ht="21" hidden="false" customHeight="true" outlineLevel="0" collapsed="false">
      <c r="B1473" s="41"/>
      <c r="C1473" s="9"/>
      <c r="D1473" s="9"/>
      <c r="E1473" s="42"/>
      <c r="F1473" s="43"/>
      <c r="G1473" s="27" t="str">
        <f aca="false">IF(OR(C1473="",AND(D1473="",F1473="")),"",IF(N(E1473)=0,1,E1473)*IF(F1473="",IFERROR(N(INDEX(Produtos!$L$5:$L$104,MATCH(D1473,Produtos!$B$5:$B$104,0))),0),F1473))</f>
        <v/>
      </c>
      <c r="H1473" s="27" t="str">
        <f aca="false">IF(G1473="","",IF(N(E1473)=0,1,E1473)*IFERROR(N(INDEX(Produtos!$G$5:$G$104,MATCH(D1473,Produtos!$B$5:$B$104,0))),0))</f>
        <v/>
      </c>
      <c r="I1473" s="27" t="str">
        <f aca="false">IF(G1473="","",G1473-H1473)</f>
        <v/>
      </c>
      <c r="J1473" s="42"/>
    </row>
    <row r="1474" customFormat="false" ht="21" hidden="false" customHeight="true" outlineLevel="0" collapsed="false">
      <c r="B1474" s="41"/>
      <c r="C1474" s="9"/>
      <c r="D1474" s="9"/>
      <c r="E1474" s="42"/>
      <c r="F1474" s="43"/>
      <c r="G1474" s="27" t="str">
        <f aca="false">IF(OR(C1474="",AND(D1474="",F1474="")),"",IF(N(E1474)=0,1,E1474)*IF(F1474="",IFERROR(N(INDEX(Produtos!$L$5:$L$104,MATCH(D1474,Produtos!$B$5:$B$104,0))),0),F1474))</f>
        <v/>
      </c>
      <c r="H1474" s="27" t="str">
        <f aca="false">IF(G1474="","",IF(N(E1474)=0,1,E1474)*IFERROR(N(INDEX(Produtos!$G$5:$G$104,MATCH(D1474,Produtos!$B$5:$B$104,0))),0))</f>
        <v/>
      </c>
      <c r="I1474" s="27" t="str">
        <f aca="false">IF(G1474="","",G1474-H1474)</f>
        <v/>
      </c>
      <c r="J1474" s="42"/>
    </row>
    <row r="1475" customFormat="false" ht="21" hidden="false" customHeight="true" outlineLevel="0" collapsed="false">
      <c r="B1475" s="41"/>
      <c r="C1475" s="9"/>
      <c r="D1475" s="9"/>
      <c r="E1475" s="42"/>
      <c r="F1475" s="43"/>
      <c r="G1475" s="27" t="str">
        <f aca="false">IF(OR(C1475="",AND(D1475="",F1475="")),"",IF(N(E1475)=0,1,E1475)*IF(F1475="",IFERROR(N(INDEX(Produtos!$L$5:$L$104,MATCH(D1475,Produtos!$B$5:$B$104,0))),0),F1475))</f>
        <v/>
      </c>
      <c r="H1475" s="27" t="str">
        <f aca="false">IF(G1475="","",IF(N(E1475)=0,1,E1475)*IFERROR(N(INDEX(Produtos!$G$5:$G$104,MATCH(D1475,Produtos!$B$5:$B$104,0))),0))</f>
        <v/>
      </c>
      <c r="I1475" s="27" t="str">
        <f aca="false">IF(G1475="","",G1475-H1475)</f>
        <v/>
      </c>
      <c r="J1475" s="42"/>
    </row>
    <row r="1476" customFormat="false" ht="21" hidden="false" customHeight="true" outlineLevel="0" collapsed="false">
      <c r="B1476" s="41"/>
      <c r="C1476" s="9"/>
      <c r="D1476" s="9"/>
      <c r="E1476" s="42"/>
      <c r="F1476" s="43"/>
      <c r="G1476" s="27" t="str">
        <f aca="false">IF(OR(C1476="",AND(D1476="",F1476="")),"",IF(N(E1476)=0,1,E1476)*IF(F1476="",IFERROR(N(INDEX(Produtos!$L$5:$L$104,MATCH(D1476,Produtos!$B$5:$B$104,0))),0),F1476))</f>
        <v/>
      </c>
      <c r="H1476" s="27" t="str">
        <f aca="false">IF(G1476="","",IF(N(E1476)=0,1,E1476)*IFERROR(N(INDEX(Produtos!$G$5:$G$104,MATCH(D1476,Produtos!$B$5:$B$104,0))),0))</f>
        <v/>
      </c>
      <c r="I1476" s="27" t="str">
        <f aca="false">IF(G1476="","",G1476-H1476)</f>
        <v/>
      </c>
      <c r="J1476" s="42"/>
    </row>
    <row r="1477" customFormat="false" ht="21" hidden="false" customHeight="true" outlineLevel="0" collapsed="false">
      <c r="B1477" s="41"/>
      <c r="C1477" s="9"/>
      <c r="D1477" s="9"/>
      <c r="E1477" s="42"/>
      <c r="F1477" s="43"/>
      <c r="G1477" s="27" t="str">
        <f aca="false">IF(OR(C1477="",AND(D1477="",F1477="")),"",IF(N(E1477)=0,1,E1477)*IF(F1477="",IFERROR(N(INDEX(Produtos!$L$5:$L$104,MATCH(D1477,Produtos!$B$5:$B$104,0))),0),F1477))</f>
        <v/>
      </c>
      <c r="H1477" s="27" t="str">
        <f aca="false">IF(G1477="","",IF(N(E1477)=0,1,E1477)*IFERROR(N(INDEX(Produtos!$G$5:$G$104,MATCH(D1477,Produtos!$B$5:$B$104,0))),0))</f>
        <v/>
      </c>
      <c r="I1477" s="27" t="str">
        <f aca="false">IF(G1477="","",G1477-H1477)</f>
        <v/>
      </c>
      <c r="J1477" s="42"/>
    </row>
    <row r="1478" customFormat="false" ht="21" hidden="false" customHeight="true" outlineLevel="0" collapsed="false">
      <c r="B1478" s="41"/>
      <c r="C1478" s="9"/>
      <c r="D1478" s="9"/>
      <c r="E1478" s="42"/>
      <c r="F1478" s="43"/>
      <c r="G1478" s="27" t="str">
        <f aca="false">IF(OR(C1478="",AND(D1478="",F1478="")),"",IF(N(E1478)=0,1,E1478)*IF(F1478="",IFERROR(N(INDEX(Produtos!$L$5:$L$104,MATCH(D1478,Produtos!$B$5:$B$104,0))),0),F1478))</f>
        <v/>
      </c>
      <c r="H1478" s="27" t="str">
        <f aca="false">IF(G1478="","",IF(N(E1478)=0,1,E1478)*IFERROR(N(INDEX(Produtos!$G$5:$G$104,MATCH(D1478,Produtos!$B$5:$B$104,0))),0))</f>
        <v/>
      </c>
      <c r="I1478" s="27" t="str">
        <f aca="false">IF(G1478="","",G1478-H1478)</f>
        <v/>
      </c>
      <c r="J1478" s="42"/>
    </row>
    <row r="1479" customFormat="false" ht="21" hidden="false" customHeight="true" outlineLevel="0" collapsed="false">
      <c r="B1479" s="41"/>
      <c r="C1479" s="9"/>
      <c r="D1479" s="9"/>
      <c r="E1479" s="42"/>
      <c r="F1479" s="43"/>
      <c r="G1479" s="27" t="str">
        <f aca="false">IF(OR(C1479="",AND(D1479="",F1479="")),"",IF(N(E1479)=0,1,E1479)*IF(F1479="",IFERROR(N(INDEX(Produtos!$L$5:$L$104,MATCH(D1479,Produtos!$B$5:$B$104,0))),0),F1479))</f>
        <v/>
      </c>
      <c r="H1479" s="27" t="str">
        <f aca="false">IF(G1479="","",IF(N(E1479)=0,1,E1479)*IFERROR(N(INDEX(Produtos!$G$5:$G$104,MATCH(D1479,Produtos!$B$5:$B$104,0))),0))</f>
        <v/>
      </c>
      <c r="I1479" s="27" t="str">
        <f aca="false">IF(G1479="","",G1479-H1479)</f>
        <v/>
      </c>
      <c r="J1479" s="42"/>
    </row>
    <row r="1480" customFormat="false" ht="21" hidden="false" customHeight="true" outlineLevel="0" collapsed="false">
      <c r="B1480" s="41"/>
      <c r="C1480" s="9"/>
      <c r="D1480" s="9"/>
      <c r="E1480" s="42"/>
      <c r="F1480" s="43"/>
      <c r="G1480" s="27" t="str">
        <f aca="false">IF(OR(C1480="",AND(D1480="",F1480="")),"",IF(N(E1480)=0,1,E1480)*IF(F1480="",IFERROR(N(INDEX(Produtos!$L$5:$L$104,MATCH(D1480,Produtos!$B$5:$B$104,0))),0),F1480))</f>
        <v/>
      </c>
      <c r="H1480" s="27" t="str">
        <f aca="false">IF(G1480="","",IF(N(E1480)=0,1,E1480)*IFERROR(N(INDEX(Produtos!$G$5:$G$104,MATCH(D1480,Produtos!$B$5:$B$104,0))),0))</f>
        <v/>
      </c>
      <c r="I1480" s="27" t="str">
        <f aca="false">IF(G1480="","",G1480-H1480)</f>
        <v/>
      </c>
      <c r="J1480" s="42"/>
    </row>
    <row r="1481" customFormat="false" ht="21" hidden="false" customHeight="true" outlineLevel="0" collapsed="false">
      <c r="B1481" s="41"/>
      <c r="C1481" s="9"/>
      <c r="D1481" s="9"/>
      <c r="E1481" s="42"/>
      <c r="F1481" s="43"/>
      <c r="G1481" s="27" t="str">
        <f aca="false">IF(OR(C1481="",AND(D1481="",F1481="")),"",IF(N(E1481)=0,1,E1481)*IF(F1481="",IFERROR(N(INDEX(Produtos!$L$5:$L$104,MATCH(D1481,Produtos!$B$5:$B$104,0))),0),F1481))</f>
        <v/>
      </c>
      <c r="H1481" s="27" t="str">
        <f aca="false">IF(G1481="","",IF(N(E1481)=0,1,E1481)*IFERROR(N(INDEX(Produtos!$G$5:$G$104,MATCH(D1481,Produtos!$B$5:$B$104,0))),0))</f>
        <v/>
      </c>
      <c r="I1481" s="27" t="str">
        <f aca="false">IF(G1481="","",G1481-H1481)</f>
        <v/>
      </c>
      <c r="J1481" s="42"/>
    </row>
    <row r="1482" customFormat="false" ht="21" hidden="false" customHeight="true" outlineLevel="0" collapsed="false">
      <c r="B1482" s="41"/>
      <c r="C1482" s="9"/>
      <c r="D1482" s="9"/>
      <c r="E1482" s="42"/>
      <c r="F1482" s="43"/>
      <c r="G1482" s="27" t="str">
        <f aca="false">IF(OR(C1482="",AND(D1482="",F1482="")),"",IF(N(E1482)=0,1,E1482)*IF(F1482="",IFERROR(N(INDEX(Produtos!$L$5:$L$104,MATCH(D1482,Produtos!$B$5:$B$104,0))),0),F1482))</f>
        <v/>
      </c>
      <c r="H1482" s="27" t="str">
        <f aca="false">IF(G1482="","",IF(N(E1482)=0,1,E1482)*IFERROR(N(INDEX(Produtos!$G$5:$G$104,MATCH(D1482,Produtos!$B$5:$B$104,0))),0))</f>
        <v/>
      </c>
      <c r="I1482" s="27" t="str">
        <f aca="false">IF(G1482="","",G1482-H1482)</f>
        <v/>
      </c>
      <c r="J1482" s="42"/>
    </row>
    <row r="1483" customFormat="false" ht="21" hidden="false" customHeight="true" outlineLevel="0" collapsed="false">
      <c r="B1483" s="41"/>
      <c r="C1483" s="9"/>
      <c r="D1483" s="9"/>
      <c r="E1483" s="42"/>
      <c r="F1483" s="43"/>
      <c r="G1483" s="27" t="str">
        <f aca="false">IF(OR(C1483="",AND(D1483="",F1483="")),"",IF(N(E1483)=0,1,E1483)*IF(F1483="",IFERROR(N(INDEX(Produtos!$L$5:$L$104,MATCH(D1483,Produtos!$B$5:$B$104,0))),0),F1483))</f>
        <v/>
      </c>
      <c r="H1483" s="27" t="str">
        <f aca="false">IF(G1483="","",IF(N(E1483)=0,1,E1483)*IFERROR(N(INDEX(Produtos!$G$5:$G$104,MATCH(D1483,Produtos!$B$5:$B$104,0))),0))</f>
        <v/>
      </c>
      <c r="I1483" s="27" t="str">
        <f aca="false">IF(G1483="","",G1483-H1483)</f>
        <v/>
      </c>
      <c r="J1483" s="42"/>
    </row>
    <row r="1484" customFormat="false" ht="21" hidden="false" customHeight="true" outlineLevel="0" collapsed="false">
      <c r="B1484" s="41"/>
      <c r="C1484" s="9"/>
      <c r="D1484" s="9"/>
      <c r="E1484" s="42"/>
      <c r="F1484" s="43"/>
      <c r="G1484" s="27" t="str">
        <f aca="false">IF(OR(C1484="",AND(D1484="",F1484="")),"",IF(N(E1484)=0,1,E1484)*IF(F1484="",IFERROR(N(INDEX(Produtos!$L$5:$L$104,MATCH(D1484,Produtos!$B$5:$B$104,0))),0),F1484))</f>
        <v/>
      </c>
      <c r="H1484" s="27" t="str">
        <f aca="false">IF(G1484="","",IF(N(E1484)=0,1,E1484)*IFERROR(N(INDEX(Produtos!$G$5:$G$104,MATCH(D1484,Produtos!$B$5:$B$104,0))),0))</f>
        <v/>
      </c>
      <c r="I1484" s="27" t="str">
        <f aca="false">IF(G1484="","",G1484-H1484)</f>
        <v/>
      </c>
      <c r="J1484" s="42"/>
    </row>
    <row r="1485" customFormat="false" ht="21" hidden="false" customHeight="true" outlineLevel="0" collapsed="false">
      <c r="B1485" s="41"/>
      <c r="C1485" s="9"/>
      <c r="D1485" s="9"/>
      <c r="E1485" s="42"/>
      <c r="F1485" s="43"/>
      <c r="G1485" s="27" t="str">
        <f aca="false">IF(OR(C1485="",AND(D1485="",F1485="")),"",IF(N(E1485)=0,1,E1485)*IF(F1485="",IFERROR(N(INDEX(Produtos!$L$5:$L$104,MATCH(D1485,Produtos!$B$5:$B$104,0))),0),F1485))</f>
        <v/>
      </c>
      <c r="H1485" s="27" t="str">
        <f aca="false">IF(G1485="","",IF(N(E1485)=0,1,E1485)*IFERROR(N(INDEX(Produtos!$G$5:$G$104,MATCH(D1485,Produtos!$B$5:$B$104,0))),0))</f>
        <v/>
      </c>
      <c r="I1485" s="27" t="str">
        <f aca="false">IF(G1485="","",G1485-H1485)</f>
        <v/>
      </c>
      <c r="J1485" s="42"/>
    </row>
    <row r="1486" customFormat="false" ht="21" hidden="false" customHeight="true" outlineLevel="0" collapsed="false">
      <c r="B1486" s="41"/>
      <c r="C1486" s="9"/>
      <c r="D1486" s="9"/>
      <c r="E1486" s="42"/>
      <c r="F1486" s="43"/>
      <c r="G1486" s="27" t="str">
        <f aca="false">IF(OR(C1486="",AND(D1486="",F1486="")),"",IF(N(E1486)=0,1,E1486)*IF(F1486="",IFERROR(N(INDEX(Produtos!$L$5:$L$104,MATCH(D1486,Produtos!$B$5:$B$104,0))),0),F1486))</f>
        <v/>
      </c>
      <c r="H1486" s="27" t="str">
        <f aca="false">IF(G1486="","",IF(N(E1486)=0,1,E1486)*IFERROR(N(INDEX(Produtos!$G$5:$G$104,MATCH(D1486,Produtos!$B$5:$B$104,0))),0))</f>
        <v/>
      </c>
      <c r="I1486" s="27" t="str">
        <f aca="false">IF(G1486="","",G1486-H1486)</f>
        <v/>
      </c>
      <c r="J1486" s="42"/>
    </row>
    <row r="1487" customFormat="false" ht="21" hidden="false" customHeight="true" outlineLevel="0" collapsed="false">
      <c r="B1487" s="41"/>
      <c r="C1487" s="9"/>
      <c r="D1487" s="9"/>
      <c r="E1487" s="42"/>
      <c r="F1487" s="43"/>
      <c r="G1487" s="27" t="str">
        <f aca="false">IF(OR(C1487="",AND(D1487="",F1487="")),"",IF(N(E1487)=0,1,E1487)*IF(F1487="",IFERROR(N(INDEX(Produtos!$L$5:$L$104,MATCH(D1487,Produtos!$B$5:$B$104,0))),0),F1487))</f>
        <v/>
      </c>
      <c r="H1487" s="27" t="str">
        <f aca="false">IF(G1487="","",IF(N(E1487)=0,1,E1487)*IFERROR(N(INDEX(Produtos!$G$5:$G$104,MATCH(D1487,Produtos!$B$5:$B$104,0))),0))</f>
        <v/>
      </c>
      <c r="I1487" s="27" t="str">
        <f aca="false">IF(G1487="","",G1487-H1487)</f>
        <v/>
      </c>
      <c r="J1487" s="42"/>
    </row>
    <row r="1488" customFormat="false" ht="21" hidden="false" customHeight="true" outlineLevel="0" collapsed="false">
      <c r="B1488" s="41"/>
      <c r="C1488" s="9"/>
      <c r="D1488" s="9"/>
      <c r="E1488" s="42"/>
      <c r="F1488" s="43"/>
      <c r="G1488" s="27" t="str">
        <f aca="false">IF(OR(C1488="",AND(D1488="",F1488="")),"",IF(N(E1488)=0,1,E1488)*IF(F1488="",IFERROR(N(INDEX(Produtos!$L$5:$L$104,MATCH(D1488,Produtos!$B$5:$B$104,0))),0),F1488))</f>
        <v/>
      </c>
      <c r="H1488" s="27" t="str">
        <f aca="false">IF(G1488="","",IF(N(E1488)=0,1,E1488)*IFERROR(N(INDEX(Produtos!$G$5:$G$104,MATCH(D1488,Produtos!$B$5:$B$104,0))),0))</f>
        <v/>
      </c>
      <c r="I1488" s="27" t="str">
        <f aca="false">IF(G1488="","",G1488-H1488)</f>
        <v/>
      </c>
      <c r="J1488" s="42"/>
    </row>
    <row r="1489" customFormat="false" ht="21" hidden="false" customHeight="true" outlineLevel="0" collapsed="false">
      <c r="B1489" s="41"/>
      <c r="C1489" s="9"/>
      <c r="D1489" s="9"/>
      <c r="E1489" s="42"/>
      <c r="F1489" s="43"/>
      <c r="G1489" s="27" t="str">
        <f aca="false">IF(OR(C1489="",AND(D1489="",F1489="")),"",IF(N(E1489)=0,1,E1489)*IF(F1489="",IFERROR(N(INDEX(Produtos!$L$5:$L$104,MATCH(D1489,Produtos!$B$5:$B$104,0))),0),F1489))</f>
        <v/>
      </c>
      <c r="H1489" s="27" t="str">
        <f aca="false">IF(G1489="","",IF(N(E1489)=0,1,E1489)*IFERROR(N(INDEX(Produtos!$G$5:$G$104,MATCH(D1489,Produtos!$B$5:$B$104,0))),0))</f>
        <v/>
      </c>
      <c r="I1489" s="27" t="str">
        <f aca="false">IF(G1489="","",G1489-H1489)</f>
        <v/>
      </c>
      <c r="J1489" s="42"/>
    </row>
    <row r="1490" customFormat="false" ht="21" hidden="false" customHeight="true" outlineLevel="0" collapsed="false">
      <c r="B1490" s="41"/>
      <c r="C1490" s="9"/>
      <c r="D1490" s="9"/>
      <c r="E1490" s="42"/>
      <c r="F1490" s="43"/>
      <c r="G1490" s="27" t="str">
        <f aca="false">IF(OR(C1490="",AND(D1490="",F1490="")),"",IF(N(E1490)=0,1,E1490)*IF(F1490="",IFERROR(N(INDEX(Produtos!$L$5:$L$104,MATCH(D1490,Produtos!$B$5:$B$104,0))),0),F1490))</f>
        <v/>
      </c>
      <c r="H1490" s="27" t="str">
        <f aca="false">IF(G1490="","",IF(N(E1490)=0,1,E1490)*IFERROR(N(INDEX(Produtos!$G$5:$G$104,MATCH(D1490,Produtos!$B$5:$B$104,0))),0))</f>
        <v/>
      </c>
      <c r="I1490" s="27" t="str">
        <f aca="false">IF(G1490="","",G1490-H1490)</f>
        <v/>
      </c>
      <c r="J1490" s="42"/>
    </row>
    <row r="1491" customFormat="false" ht="21" hidden="false" customHeight="true" outlineLevel="0" collapsed="false">
      <c r="B1491" s="41"/>
      <c r="C1491" s="9"/>
      <c r="D1491" s="9"/>
      <c r="E1491" s="42"/>
      <c r="F1491" s="43"/>
      <c r="G1491" s="27" t="str">
        <f aca="false">IF(OR(C1491="",AND(D1491="",F1491="")),"",IF(N(E1491)=0,1,E1491)*IF(F1491="",IFERROR(N(INDEX(Produtos!$L$5:$L$104,MATCH(D1491,Produtos!$B$5:$B$104,0))),0),F1491))</f>
        <v/>
      </c>
      <c r="H1491" s="27" t="str">
        <f aca="false">IF(G1491="","",IF(N(E1491)=0,1,E1491)*IFERROR(N(INDEX(Produtos!$G$5:$G$104,MATCH(D1491,Produtos!$B$5:$B$104,0))),0))</f>
        <v/>
      </c>
      <c r="I1491" s="27" t="str">
        <f aca="false">IF(G1491="","",G1491-H1491)</f>
        <v/>
      </c>
      <c r="J1491" s="42"/>
    </row>
    <row r="1492" customFormat="false" ht="21" hidden="false" customHeight="true" outlineLevel="0" collapsed="false">
      <c r="B1492" s="41"/>
      <c r="C1492" s="9"/>
      <c r="D1492" s="9"/>
      <c r="E1492" s="42"/>
      <c r="F1492" s="43"/>
      <c r="G1492" s="27" t="str">
        <f aca="false">IF(OR(C1492="",AND(D1492="",F1492="")),"",IF(N(E1492)=0,1,E1492)*IF(F1492="",IFERROR(N(INDEX(Produtos!$L$5:$L$104,MATCH(D1492,Produtos!$B$5:$B$104,0))),0),F1492))</f>
        <v/>
      </c>
      <c r="H1492" s="27" t="str">
        <f aca="false">IF(G1492="","",IF(N(E1492)=0,1,E1492)*IFERROR(N(INDEX(Produtos!$G$5:$G$104,MATCH(D1492,Produtos!$B$5:$B$104,0))),0))</f>
        <v/>
      </c>
      <c r="I1492" s="27" t="str">
        <f aca="false">IF(G1492="","",G1492-H1492)</f>
        <v/>
      </c>
      <c r="J1492" s="42"/>
    </row>
    <row r="1493" customFormat="false" ht="21" hidden="false" customHeight="true" outlineLevel="0" collapsed="false">
      <c r="B1493" s="41"/>
      <c r="C1493" s="9"/>
      <c r="D1493" s="9"/>
      <c r="E1493" s="42"/>
      <c r="F1493" s="43"/>
      <c r="G1493" s="27" t="str">
        <f aca="false">IF(OR(C1493="",AND(D1493="",F1493="")),"",IF(N(E1493)=0,1,E1493)*IF(F1493="",IFERROR(N(INDEX(Produtos!$L$5:$L$104,MATCH(D1493,Produtos!$B$5:$B$104,0))),0),F1493))</f>
        <v/>
      </c>
      <c r="H1493" s="27" t="str">
        <f aca="false">IF(G1493="","",IF(N(E1493)=0,1,E1493)*IFERROR(N(INDEX(Produtos!$G$5:$G$104,MATCH(D1493,Produtos!$B$5:$B$104,0))),0))</f>
        <v/>
      </c>
      <c r="I1493" s="27" t="str">
        <f aca="false">IF(G1493="","",G1493-H1493)</f>
        <v/>
      </c>
      <c r="J1493" s="42"/>
    </row>
    <row r="1494" customFormat="false" ht="21" hidden="false" customHeight="true" outlineLevel="0" collapsed="false">
      <c r="B1494" s="41"/>
      <c r="C1494" s="9"/>
      <c r="D1494" s="9"/>
      <c r="E1494" s="42"/>
      <c r="F1494" s="43"/>
      <c r="G1494" s="27" t="str">
        <f aca="false">IF(OR(C1494="",AND(D1494="",F1494="")),"",IF(N(E1494)=0,1,E1494)*IF(F1494="",IFERROR(N(INDEX(Produtos!$L$5:$L$104,MATCH(D1494,Produtos!$B$5:$B$104,0))),0),F1494))</f>
        <v/>
      </c>
      <c r="H1494" s="27" t="str">
        <f aca="false">IF(G1494="","",IF(N(E1494)=0,1,E1494)*IFERROR(N(INDEX(Produtos!$G$5:$G$104,MATCH(D1494,Produtos!$B$5:$B$104,0))),0))</f>
        <v/>
      </c>
      <c r="I1494" s="27" t="str">
        <f aca="false">IF(G1494="","",G1494-H1494)</f>
        <v/>
      </c>
      <c r="J1494" s="42"/>
    </row>
    <row r="1495" customFormat="false" ht="21" hidden="false" customHeight="true" outlineLevel="0" collapsed="false">
      <c r="B1495" s="41"/>
      <c r="C1495" s="9"/>
      <c r="D1495" s="9"/>
      <c r="E1495" s="42"/>
      <c r="F1495" s="43"/>
      <c r="G1495" s="27" t="str">
        <f aca="false">IF(OR(C1495="",AND(D1495="",F1495="")),"",IF(N(E1495)=0,1,E1495)*IF(F1495="",IFERROR(N(INDEX(Produtos!$L$5:$L$104,MATCH(D1495,Produtos!$B$5:$B$104,0))),0),F1495))</f>
        <v/>
      </c>
      <c r="H1495" s="27" t="str">
        <f aca="false">IF(G1495="","",IF(N(E1495)=0,1,E1495)*IFERROR(N(INDEX(Produtos!$G$5:$G$104,MATCH(D1495,Produtos!$B$5:$B$104,0))),0))</f>
        <v/>
      </c>
      <c r="I1495" s="27" t="str">
        <f aca="false">IF(G1495="","",G1495-H1495)</f>
        <v/>
      </c>
      <c r="J1495" s="42"/>
    </row>
    <row r="1496" customFormat="false" ht="21" hidden="false" customHeight="true" outlineLevel="0" collapsed="false">
      <c r="B1496" s="41"/>
      <c r="C1496" s="9"/>
      <c r="D1496" s="9"/>
      <c r="E1496" s="42"/>
      <c r="F1496" s="43"/>
      <c r="G1496" s="27" t="str">
        <f aca="false">IF(OR(C1496="",AND(D1496="",F1496="")),"",IF(N(E1496)=0,1,E1496)*IF(F1496="",IFERROR(N(INDEX(Produtos!$L$5:$L$104,MATCH(D1496,Produtos!$B$5:$B$104,0))),0),F1496))</f>
        <v/>
      </c>
      <c r="H1496" s="27" t="str">
        <f aca="false">IF(G1496="","",IF(N(E1496)=0,1,E1496)*IFERROR(N(INDEX(Produtos!$G$5:$G$104,MATCH(D1496,Produtos!$B$5:$B$104,0))),0))</f>
        <v/>
      </c>
      <c r="I1496" s="27" t="str">
        <f aca="false">IF(G1496="","",G1496-H1496)</f>
        <v/>
      </c>
      <c r="J1496" s="42"/>
    </row>
    <row r="1497" customFormat="false" ht="21" hidden="false" customHeight="true" outlineLevel="0" collapsed="false">
      <c r="B1497" s="41"/>
      <c r="C1497" s="9"/>
      <c r="D1497" s="9"/>
      <c r="E1497" s="42"/>
      <c r="F1497" s="43"/>
      <c r="G1497" s="27" t="str">
        <f aca="false">IF(OR(C1497="",AND(D1497="",F1497="")),"",IF(N(E1497)=0,1,E1497)*IF(F1497="",IFERROR(N(INDEX(Produtos!$L$5:$L$104,MATCH(D1497,Produtos!$B$5:$B$104,0))),0),F1497))</f>
        <v/>
      </c>
      <c r="H1497" s="27" t="str">
        <f aca="false">IF(G1497="","",IF(N(E1497)=0,1,E1497)*IFERROR(N(INDEX(Produtos!$G$5:$G$104,MATCH(D1497,Produtos!$B$5:$B$104,0))),0))</f>
        <v/>
      </c>
      <c r="I1497" s="27" t="str">
        <f aca="false">IF(G1497="","",G1497-H1497)</f>
        <v/>
      </c>
      <c r="J1497" s="42"/>
    </row>
    <row r="1498" customFormat="false" ht="21" hidden="false" customHeight="true" outlineLevel="0" collapsed="false">
      <c r="B1498" s="41"/>
      <c r="C1498" s="9"/>
      <c r="D1498" s="9"/>
      <c r="E1498" s="42"/>
      <c r="F1498" s="43"/>
      <c r="G1498" s="27" t="str">
        <f aca="false">IF(OR(C1498="",AND(D1498="",F1498="")),"",IF(N(E1498)=0,1,E1498)*IF(F1498="",IFERROR(N(INDEX(Produtos!$L$5:$L$104,MATCH(D1498,Produtos!$B$5:$B$104,0))),0),F1498))</f>
        <v/>
      </c>
      <c r="H1498" s="27" t="str">
        <f aca="false">IF(G1498="","",IF(N(E1498)=0,1,E1498)*IFERROR(N(INDEX(Produtos!$G$5:$G$104,MATCH(D1498,Produtos!$B$5:$B$104,0))),0))</f>
        <v/>
      </c>
      <c r="I1498" s="27" t="str">
        <f aca="false">IF(G1498="","",G1498-H1498)</f>
        <v/>
      </c>
      <c r="J1498" s="42"/>
    </row>
    <row r="1499" customFormat="false" ht="21" hidden="false" customHeight="true" outlineLevel="0" collapsed="false">
      <c r="B1499" s="41"/>
      <c r="C1499" s="9"/>
      <c r="D1499" s="9"/>
      <c r="E1499" s="42"/>
      <c r="F1499" s="43"/>
      <c r="G1499" s="27" t="str">
        <f aca="false">IF(OR(C1499="",AND(D1499="",F1499="")),"",IF(N(E1499)=0,1,E1499)*IF(F1499="",IFERROR(N(INDEX(Produtos!$L$5:$L$104,MATCH(D1499,Produtos!$B$5:$B$104,0))),0),F1499))</f>
        <v/>
      </c>
      <c r="H1499" s="27" t="str">
        <f aca="false">IF(G1499="","",IF(N(E1499)=0,1,E1499)*IFERROR(N(INDEX(Produtos!$G$5:$G$104,MATCH(D1499,Produtos!$B$5:$B$104,0))),0))</f>
        <v/>
      </c>
      <c r="I1499" s="27" t="str">
        <f aca="false">IF(G1499="","",G1499-H1499)</f>
        <v/>
      </c>
      <c r="J1499" s="42"/>
    </row>
    <row r="1500" customFormat="false" ht="21" hidden="false" customHeight="true" outlineLevel="0" collapsed="false">
      <c r="B1500" s="41"/>
      <c r="C1500" s="9"/>
      <c r="D1500" s="9"/>
      <c r="E1500" s="42"/>
      <c r="F1500" s="43"/>
      <c r="G1500" s="27" t="str">
        <f aca="false">IF(OR(C1500="",AND(D1500="",F1500="")),"",IF(N(E1500)=0,1,E1500)*IF(F1500="",IFERROR(N(INDEX(Produtos!$L$5:$L$104,MATCH(D1500,Produtos!$B$5:$B$104,0))),0),F1500))</f>
        <v/>
      </c>
      <c r="H1500" s="27" t="str">
        <f aca="false">IF(G1500="","",IF(N(E1500)=0,1,E1500)*IFERROR(N(INDEX(Produtos!$G$5:$G$104,MATCH(D1500,Produtos!$B$5:$B$104,0))),0))</f>
        <v/>
      </c>
      <c r="I1500" s="27" t="str">
        <f aca="false">IF(G1500="","",G1500-H1500)</f>
        <v/>
      </c>
      <c r="J1500" s="42"/>
    </row>
    <row r="1501" customFormat="false" ht="21" hidden="false" customHeight="true" outlineLevel="0" collapsed="false">
      <c r="B1501" s="41"/>
      <c r="C1501" s="9"/>
      <c r="D1501" s="9"/>
      <c r="E1501" s="42"/>
      <c r="F1501" s="43"/>
      <c r="G1501" s="27" t="str">
        <f aca="false">IF(OR(C1501="",AND(D1501="",F1501="")),"",IF(N(E1501)=0,1,E1501)*IF(F1501="",IFERROR(N(INDEX(Produtos!$L$5:$L$104,MATCH(D1501,Produtos!$B$5:$B$104,0))),0),F1501))</f>
        <v/>
      </c>
      <c r="H1501" s="27" t="str">
        <f aca="false">IF(G1501="","",IF(N(E1501)=0,1,E1501)*IFERROR(N(INDEX(Produtos!$G$5:$G$104,MATCH(D1501,Produtos!$B$5:$B$104,0))),0))</f>
        <v/>
      </c>
      <c r="I1501" s="27" t="str">
        <f aca="false">IF(G1501="","",G1501-H1501)</f>
        <v/>
      </c>
      <c r="J1501" s="42"/>
    </row>
    <row r="1502" customFormat="false" ht="21" hidden="false" customHeight="true" outlineLevel="0" collapsed="false">
      <c r="B1502" s="41"/>
      <c r="C1502" s="9"/>
      <c r="D1502" s="9"/>
      <c r="E1502" s="42"/>
      <c r="F1502" s="43"/>
      <c r="G1502" s="27" t="str">
        <f aca="false">IF(OR(C1502="",AND(D1502="",F1502="")),"",IF(N(E1502)=0,1,E1502)*IF(F1502="",IFERROR(N(INDEX(Produtos!$L$5:$L$104,MATCH(D1502,Produtos!$B$5:$B$104,0))),0),F1502))</f>
        <v/>
      </c>
      <c r="H1502" s="27" t="str">
        <f aca="false">IF(G1502="","",IF(N(E1502)=0,1,E1502)*IFERROR(N(INDEX(Produtos!$G$5:$G$104,MATCH(D1502,Produtos!$B$5:$B$104,0))),0))</f>
        <v/>
      </c>
      <c r="I1502" s="27" t="str">
        <f aca="false">IF(G1502="","",G1502-H1502)</f>
        <v/>
      </c>
      <c r="J1502" s="42"/>
    </row>
    <row r="1503" customFormat="false" ht="21" hidden="false" customHeight="true" outlineLevel="0" collapsed="false">
      <c r="B1503" s="41"/>
      <c r="C1503" s="9"/>
      <c r="D1503" s="9"/>
      <c r="E1503" s="42"/>
      <c r="F1503" s="43"/>
      <c r="G1503" s="27" t="str">
        <f aca="false">IF(OR(C1503="",AND(D1503="",F1503="")),"",IF(N(E1503)=0,1,E1503)*IF(F1503="",IFERROR(N(INDEX(Produtos!$L$5:$L$104,MATCH(D1503,Produtos!$B$5:$B$104,0))),0),F1503))</f>
        <v/>
      </c>
      <c r="H1503" s="27" t="str">
        <f aca="false">IF(G1503="","",IF(N(E1503)=0,1,E1503)*IFERROR(N(INDEX(Produtos!$G$5:$G$104,MATCH(D1503,Produtos!$B$5:$B$104,0))),0))</f>
        <v/>
      </c>
      <c r="I1503" s="27" t="str">
        <f aca="false">IF(G1503="","",G1503-H1503)</f>
        <v/>
      </c>
      <c r="J1503" s="42"/>
    </row>
    <row r="1504" customFormat="false" ht="21" hidden="false" customHeight="true" outlineLevel="0" collapsed="false">
      <c r="B1504" s="41"/>
      <c r="C1504" s="9"/>
      <c r="D1504" s="9"/>
      <c r="E1504" s="42"/>
      <c r="F1504" s="43"/>
      <c r="G1504" s="27" t="str">
        <f aca="false">IF(OR(C1504="",AND(D1504="",F1504="")),"",IF(N(E1504)=0,1,E1504)*IF(F1504="",IFERROR(N(INDEX(Produtos!$L$5:$L$104,MATCH(D1504,Produtos!$B$5:$B$104,0))),0),F1504))</f>
        <v/>
      </c>
      <c r="H1504" s="27" t="str">
        <f aca="false">IF(G1504="","",IF(N(E1504)=0,1,E1504)*IFERROR(N(INDEX(Produtos!$G$5:$G$104,MATCH(D1504,Produtos!$B$5:$B$104,0))),0))</f>
        <v/>
      </c>
      <c r="I1504" s="27" t="str">
        <f aca="false">IF(G1504="","",G1504-H1504)</f>
        <v/>
      </c>
      <c r="J1504" s="42"/>
    </row>
    <row r="1505" customFormat="false" ht="21" hidden="false" customHeight="true" outlineLevel="0" collapsed="false">
      <c r="B1505" s="41"/>
      <c r="C1505" s="9"/>
      <c r="D1505" s="9"/>
      <c r="E1505" s="42"/>
      <c r="F1505" s="43"/>
      <c r="G1505" s="27" t="str">
        <f aca="false">IF(OR(C1505="",AND(D1505="",F1505="")),"",IF(N(E1505)=0,1,E1505)*IF(F1505="",IFERROR(N(INDEX(Produtos!$L$5:$L$104,MATCH(D1505,Produtos!$B$5:$B$104,0))),0),F1505))</f>
        <v/>
      </c>
      <c r="H1505" s="27" t="str">
        <f aca="false">IF(G1505="","",IF(N(E1505)=0,1,E1505)*IFERROR(N(INDEX(Produtos!$G$5:$G$104,MATCH(D1505,Produtos!$B$5:$B$104,0))),0))</f>
        <v/>
      </c>
      <c r="I1505" s="27" t="str">
        <f aca="false">IF(G1505="","",G1505-H1505)</f>
        <v/>
      </c>
      <c r="J1505" s="42"/>
    </row>
    <row r="1506" customFormat="false" ht="21" hidden="false" customHeight="true" outlineLevel="0" collapsed="false">
      <c r="B1506" s="41"/>
      <c r="C1506" s="9"/>
      <c r="D1506" s="9"/>
      <c r="E1506" s="42"/>
      <c r="F1506" s="43"/>
      <c r="G1506" s="27" t="str">
        <f aca="false">IF(OR(C1506="",AND(D1506="",F1506="")),"",IF(N(E1506)=0,1,E1506)*IF(F1506="",IFERROR(N(INDEX(Produtos!$L$5:$L$104,MATCH(D1506,Produtos!$B$5:$B$104,0))),0),F1506))</f>
        <v/>
      </c>
      <c r="H1506" s="27" t="str">
        <f aca="false">IF(G1506="","",IF(N(E1506)=0,1,E1506)*IFERROR(N(INDEX(Produtos!$G$5:$G$104,MATCH(D1506,Produtos!$B$5:$B$104,0))),0))</f>
        <v/>
      </c>
      <c r="I1506" s="27" t="str">
        <f aca="false">IF(G1506="","",G1506-H1506)</f>
        <v/>
      </c>
      <c r="J1506" s="42"/>
    </row>
    <row r="1507" customFormat="false" ht="21" hidden="false" customHeight="true" outlineLevel="0" collapsed="false">
      <c r="B1507" s="41"/>
      <c r="C1507" s="9"/>
      <c r="D1507" s="9"/>
      <c r="E1507" s="42"/>
      <c r="F1507" s="43"/>
      <c r="G1507" s="27" t="str">
        <f aca="false">IF(OR(C1507="",AND(D1507="",F1507="")),"",IF(N(E1507)=0,1,E1507)*IF(F1507="",IFERROR(N(INDEX(Produtos!$L$5:$L$104,MATCH(D1507,Produtos!$B$5:$B$104,0))),0),F1507))</f>
        <v/>
      </c>
      <c r="H1507" s="27" t="str">
        <f aca="false">IF(G1507="","",IF(N(E1507)=0,1,E1507)*IFERROR(N(INDEX(Produtos!$G$5:$G$104,MATCH(D1507,Produtos!$B$5:$B$104,0))),0))</f>
        <v/>
      </c>
      <c r="I1507" s="27" t="str">
        <f aca="false">IF(G1507="","",G1507-H1507)</f>
        <v/>
      </c>
      <c r="J1507" s="42"/>
    </row>
    <row r="1508" customFormat="false" ht="21" hidden="false" customHeight="true" outlineLevel="0" collapsed="false">
      <c r="B1508" s="41"/>
      <c r="C1508" s="9"/>
      <c r="D1508" s="9"/>
      <c r="E1508" s="42"/>
      <c r="F1508" s="43"/>
      <c r="G1508" s="27" t="str">
        <f aca="false">IF(OR(C1508="",AND(D1508="",F1508="")),"",IF(N(E1508)=0,1,E1508)*IF(F1508="",IFERROR(N(INDEX(Produtos!$L$5:$L$104,MATCH(D1508,Produtos!$B$5:$B$104,0))),0),F1508))</f>
        <v/>
      </c>
      <c r="H1508" s="27" t="str">
        <f aca="false">IF(G1508="","",IF(N(E1508)=0,1,E1508)*IFERROR(N(INDEX(Produtos!$G$5:$G$104,MATCH(D1508,Produtos!$B$5:$B$104,0))),0))</f>
        <v/>
      </c>
      <c r="I1508" s="27" t="str">
        <f aca="false">IF(G1508="","",G1508-H1508)</f>
        <v/>
      </c>
      <c r="J1508" s="42"/>
    </row>
    <row r="1509" customFormat="false" ht="21" hidden="false" customHeight="true" outlineLevel="0" collapsed="false">
      <c r="B1509" s="41"/>
      <c r="C1509" s="9"/>
      <c r="D1509" s="9"/>
      <c r="E1509" s="42"/>
      <c r="F1509" s="43"/>
      <c r="G1509" s="27" t="str">
        <f aca="false">IF(OR(C1509="",AND(D1509="",F1509="")),"",IF(N(E1509)=0,1,E1509)*IF(F1509="",IFERROR(N(INDEX(Produtos!$L$5:$L$104,MATCH(D1509,Produtos!$B$5:$B$104,0))),0),F1509))</f>
        <v/>
      </c>
      <c r="H1509" s="27" t="str">
        <f aca="false">IF(G1509="","",IF(N(E1509)=0,1,E1509)*IFERROR(N(INDEX(Produtos!$G$5:$G$104,MATCH(D1509,Produtos!$B$5:$B$104,0))),0))</f>
        <v/>
      </c>
      <c r="I1509" s="27" t="str">
        <f aca="false">IF(G1509="","",G1509-H1509)</f>
        <v/>
      </c>
      <c r="J1509" s="42"/>
    </row>
    <row r="1510" customFormat="false" ht="21" hidden="false" customHeight="true" outlineLevel="0" collapsed="false">
      <c r="B1510" s="41"/>
      <c r="C1510" s="9"/>
      <c r="D1510" s="9"/>
      <c r="E1510" s="42"/>
      <c r="F1510" s="43"/>
      <c r="G1510" s="27" t="str">
        <f aca="false">IF(OR(C1510="",AND(D1510="",F1510="")),"",IF(N(E1510)=0,1,E1510)*IF(F1510="",IFERROR(N(INDEX(Produtos!$L$5:$L$104,MATCH(D1510,Produtos!$B$5:$B$104,0))),0),F1510))</f>
        <v/>
      </c>
      <c r="H1510" s="27" t="str">
        <f aca="false">IF(G1510="","",IF(N(E1510)=0,1,E1510)*IFERROR(N(INDEX(Produtos!$G$5:$G$104,MATCH(D1510,Produtos!$B$5:$B$104,0))),0))</f>
        <v/>
      </c>
      <c r="I1510" s="27" t="str">
        <f aca="false">IF(G1510="","",G1510-H1510)</f>
        <v/>
      </c>
      <c r="J1510" s="42"/>
    </row>
    <row r="1511" customFormat="false" ht="21" hidden="false" customHeight="true" outlineLevel="0" collapsed="false">
      <c r="B1511" s="41"/>
      <c r="C1511" s="9"/>
      <c r="D1511" s="9"/>
      <c r="E1511" s="42"/>
      <c r="F1511" s="43"/>
      <c r="G1511" s="27" t="str">
        <f aca="false">IF(OR(C1511="",AND(D1511="",F1511="")),"",IF(N(E1511)=0,1,E1511)*IF(F1511="",IFERROR(N(INDEX(Produtos!$L$5:$L$104,MATCH(D1511,Produtos!$B$5:$B$104,0))),0),F1511))</f>
        <v/>
      </c>
      <c r="H1511" s="27" t="str">
        <f aca="false">IF(G1511="","",IF(N(E1511)=0,1,E1511)*IFERROR(N(INDEX(Produtos!$G$5:$G$104,MATCH(D1511,Produtos!$B$5:$B$104,0))),0))</f>
        <v/>
      </c>
      <c r="I1511" s="27" t="str">
        <f aca="false">IF(G1511="","",G1511-H1511)</f>
        <v/>
      </c>
      <c r="J1511" s="42"/>
    </row>
    <row r="1512" customFormat="false" ht="21" hidden="false" customHeight="true" outlineLevel="0" collapsed="false">
      <c r="B1512" s="41"/>
      <c r="C1512" s="9"/>
      <c r="D1512" s="9"/>
      <c r="E1512" s="42"/>
      <c r="F1512" s="43"/>
      <c r="G1512" s="27" t="str">
        <f aca="false">IF(OR(C1512="",AND(D1512="",F1512="")),"",IF(N(E1512)=0,1,E1512)*IF(F1512="",IFERROR(N(INDEX(Produtos!$L$5:$L$104,MATCH(D1512,Produtos!$B$5:$B$104,0))),0),F1512))</f>
        <v/>
      </c>
      <c r="H1512" s="27" t="str">
        <f aca="false">IF(G1512="","",IF(N(E1512)=0,1,E1512)*IFERROR(N(INDEX(Produtos!$G$5:$G$104,MATCH(D1512,Produtos!$B$5:$B$104,0))),0))</f>
        <v/>
      </c>
      <c r="I1512" s="27" t="str">
        <f aca="false">IF(G1512="","",G1512-H1512)</f>
        <v/>
      </c>
      <c r="J1512" s="42"/>
    </row>
    <row r="1513" customFormat="false" ht="21" hidden="false" customHeight="true" outlineLevel="0" collapsed="false">
      <c r="B1513" s="41"/>
      <c r="C1513" s="9"/>
      <c r="D1513" s="9"/>
      <c r="E1513" s="42"/>
      <c r="F1513" s="43"/>
      <c r="G1513" s="27" t="str">
        <f aca="false">IF(OR(C1513="",AND(D1513="",F1513="")),"",IF(N(E1513)=0,1,E1513)*IF(F1513="",IFERROR(N(INDEX(Produtos!$L$5:$L$104,MATCH(D1513,Produtos!$B$5:$B$104,0))),0),F1513))</f>
        <v/>
      </c>
      <c r="H1513" s="27" t="str">
        <f aca="false">IF(G1513="","",IF(N(E1513)=0,1,E1513)*IFERROR(N(INDEX(Produtos!$G$5:$G$104,MATCH(D1513,Produtos!$B$5:$B$104,0))),0))</f>
        <v/>
      </c>
      <c r="I1513" s="27" t="str">
        <f aca="false">IF(G1513="","",G1513-H1513)</f>
        <v/>
      </c>
      <c r="J1513" s="42"/>
    </row>
    <row r="1514" customFormat="false" ht="21" hidden="false" customHeight="true" outlineLevel="0" collapsed="false">
      <c r="B1514" s="41"/>
      <c r="C1514" s="9"/>
      <c r="D1514" s="9"/>
      <c r="E1514" s="42"/>
      <c r="F1514" s="43"/>
      <c r="G1514" s="27" t="str">
        <f aca="false">IF(OR(C1514="",AND(D1514="",F1514="")),"",IF(N(E1514)=0,1,E1514)*IF(F1514="",IFERROR(N(INDEX(Produtos!$L$5:$L$104,MATCH(D1514,Produtos!$B$5:$B$104,0))),0),F1514))</f>
        <v/>
      </c>
      <c r="H1514" s="27" t="str">
        <f aca="false">IF(G1514="","",IF(N(E1514)=0,1,E1514)*IFERROR(N(INDEX(Produtos!$G$5:$G$104,MATCH(D1514,Produtos!$B$5:$B$104,0))),0))</f>
        <v/>
      </c>
      <c r="I1514" s="27" t="str">
        <f aca="false">IF(G1514="","",G1514-H1514)</f>
        <v/>
      </c>
      <c r="J1514" s="42"/>
    </row>
    <row r="1515" customFormat="false" ht="21" hidden="false" customHeight="true" outlineLevel="0" collapsed="false">
      <c r="B1515" s="41"/>
      <c r="C1515" s="9"/>
      <c r="D1515" s="9"/>
      <c r="E1515" s="42"/>
      <c r="F1515" s="43"/>
      <c r="G1515" s="27" t="str">
        <f aca="false">IF(OR(C1515="",AND(D1515="",F1515="")),"",IF(N(E1515)=0,1,E1515)*IF(F1515="",IFERROR(N(INDEX(Produtos!$L$5:$L$104,MATCH(D1515,Produtos!$B$5:$B$104,0))),0),F1515))</f>
        <v/>
      </c>
      <c r="H1515" s="27" t="str">
        <f aca="false">IF(G1515="","",IF(N(E1515)=0,1,E1515)*IFERROR(N(INDEX(Produtos!$G$5:$G$104,MATCH(D1515,Produtos!$B$5:$B$104,0))),0))</f>
        <v/>
      </c>
      <c r="I1515" s="27" t="str">
        <f aca="false">IF(G1515="","",G1515-H1515)</f>
        <v/>
      </c>
      <c r="J1515" s="42"/>
    </row>
    <row r="1516" customFormat="false" ht="21" hidden="false" customHeight="true" outlineLevel="0" collapsed="false">
      <c r="B1516" s="41"/>
      <c r="C1516" s="9"/>
      <c r="D1516" s="9"/>
      <c r="E1516" s="42"/>
      <c r="F1516" s="43"/>
      <c r="G1516" s="27" t="str">
        <f aca="false">IF(OR(C1516="",AND(D1516="",F1516="")),"",IF(N(E1516)=0,1,E1516)*IF(F1516="",IFERROR(N(INDEX(Produtos!$L$5:$L$104,MATCH(D1516,Produtos!$B$5:$B$104,0))),0),F1516))</f>
        <v/>
      </c>
      <c r="H1516" s="27" t="str">
        <f aca="false">IF(G1516="","",IF(N(E1516)=0,1,E1516)*IFERROR(N(INDEX(Produtos!$G$5:$G$104,MATCH(D1516,Produtos!$B$5:$B$104,0))),0))</f>
        <v/>
      </c>
      <c r="I1516" s="27" t="str">
        <f aca="false">IF(G1516="","",G1516-H1516)</f>
        <v/>
      </c>
      <c r="J1516" s="42"/>
    </row>
    <row r="1517" customFormat="false" ht="21" hidden="false" customHeight="true" outlineLevel="0" collapsed="false">
      <c r="B1517" s="41"/>
      <c r="C1517" s="9"/>
      <c r="D1517" s="9"/>
      <c r="E1517" s="42"/>
      <c r="F1517" s="43"/>
      <c r="G1517" s="27" t="str">
        <f aca="false">IF(OR(C1517="",AND(D1517="",F1517="")),"",IF(N(E1517)=0,1,E1517)*IF(F1517="",IFERROR(N(INDEX(Produtos!$L$5:$L$104,MATCH(D1517,Produtos!$B$5:$B$104,0))),0),F1517))</f>
        <v/>
      </c>
      <c r="H1517" s="27" t="str">
        <f aca="false">IF(G1517="","",IF(N(E1517)=0,1,E1517)*IFERROR(N(INDEX(Produtos!$G$5:$G$104,MATCH(D1517,Produtos!$B$5:$B$104,0))),0))</f>
        <v/>
      </c>
      <c r="I1517" s="27" t="str">
        <f aca="false">IF(G1517="","",G1517-H1517)</f>
        <v/>
      </c>
      <c r="J1517" s="42"/>
    </row>
    <row r="1518" customFormat="false" ht="21" hidden="false" customHeight="true" outlineLevel="0" collapsed="false">
      <c r="B1518" s="41"/>
      <c r="C1518" s="9"/>
      <c r="D1518" s="9"/>
      <c r="E1518" s="42"/>
      <c r="F1518" s="43"/>
      <c r="G1518" s="27" t="str">
        <f aca="false">IF(OR(C1518="",AND(D1518="",F1518="")),"",IF(N(E1518)=0,1,E1518)*IF(F1518="",IFERROR(N(INDEX(Produtos!$L$5:$L$104,MATCH(D1518,Produtos!$B$5:$B$104,0))),0),F1518))</f>
        <v/>
      </c>
      <c r="H1518" s="27" t="str">
        <f aca="false">IF(G1518="","",IF(N(E1518)=0,1,E1518)*IFERROR(N(INDEX(Produtos!$G$5:$G$104,MATCH(D1518,Produtos!$B$5:$B$104,0))),0))</f>
        <v/>
      </c>
      <c r="I1518" s="27" t="str">
        <f aca="false">IF(G1518="","",G1518-H1518)</f>
        <v/>
      </c>
      <c r="J1518" s="42"/>
    </row>
    <row r="1519" customFormat="false" ht="21" hidden="false" customHeight="true" outlineLevel="0" collapsed="false">
      <c r="B1519" s="41"/>
      <c r="C1519" s="9"/>
      <c r="D1519" s="9"/>
      <c r="E1519" s="42"/>
      <c r="F1519" s="43"/>
      <c r="G1519" s="27" t="str">
        <f aca="false">IF(OR(C1519="",AND(D1519="",F1519="")),"",IF(N(E1519)=0,1,E1519)*IF(F1519="",IFERROR(N(INDEX(Produtos!$L$5:$L$104,MATCH(D1519,Produtos!$B$5:$B$104,0))),0),F1519))</f>
        <v/>
      </c>
      <c r="H1519" s="27" t="str">
        <f aca="false">IF(G1519="","",IF(N(E1519)=0,1,E1519)*IFERROR(N(INDEX(Produtos!$G$5:$G$104,MATCH(D1519,Produtos!$B$5:$B$104,0))),0))</f>
        <v/>
      </c>
      <c r="I1519" s="27" t="str">
        <f aca="false">IF(G1519="","",G1519-H1519)</f>
        <v/>
      </c>
      <c r="J1519" s="42"/>
    </row>
    <row r="1520" customFormat="false" ht="21" hidden="false" customHeight="true" outlineLevel="0" collapsed="false">
      <c r="B1520" s="41"/>
      <c r="C1520" s="9"/>
      <c r="D1520" s="9"/>
      <c r="E1520" s="42"/>
      <c r="F1520" s="43"/>
      <c r="G1520" s="27" t="str">
        <f aca="false">IF(OR(C1520="",AND(D1520="",F1520="")),"",IF(N(E1520)=0,1,E1520)*IF(F1520="",IFERROR(N(INDEX(Produtos!$L$5:$L$104,MATCH(D1520,Produtos!$B$5:$B$104,0))),0),F1520))</f>
        <v/>
      </c>
      <c r="H1520" s="27" t="str">
        <f aca="false">IF(G1520="","",IF(N(E1520)=0,1,E1520)*IFERROR(N(INDEX(Produtos!$G$5:$G$104,MATCH(D1520,Produtos!$B$5:$B$104,0))),0))</f>
        <v/>
      </c>
      <c r="I1520" s="27" t="str">
        <f aca="false">IF(G1520="","",G1520-H1520)</f>
        <v/>
      </c>
      <c r="J1520" s="42"/>
    </row>
    <row r="1521" customFormat="false" ht="21" hidden="false" customHeight="true" outlineLevel="0" collapsed="false">
      <c r="B1521" s="41"/>
      <c r="C1521" s="9"/>
      <c r="D1521" s="9"/>
      <c r="E1521" s="42"/>
      <c r="F1521" s="43"/>
      <c r="G1521" s="27" t="str">
        <f aca="false">IF(OR(C1521="",AND(D1521="",F1521="")),"",IF(N(E1521)=0,1,E1521)*IF(F1521="",IFERROR(N(INDEX(Produtos!$L$5:$L$104,MATCH(D1521,Produtos!$B$5:$B$104,0))),0),F1521))</f>
        <v/>
      </c>
      <c r="H1521" s="27" t="str">
        <f aca="false">IF(G1521="","",IF(N(E1521)=0,1,E1521)*IFERROR(N(INDEX(Produtos!$G$5:$G$104,MATCH(D1521,Produtos!$B$5:$B$104,0))),0))</f>
        <v/>
      </c>
      <c r="I1521" s="27" t="str">
        <f aca="false">IF(G1521="","",G1521-H1521)</f>
        <v/>
      </c>
      <c r="J1521" s="42"/>
    </row>
    <row r="1522" customFormat="false" ht="21" hidden="false" customHeight="true" outlineLevel="0" collapsed="false">
      <c r="B1522" s="41"/>
      <c r="C1522" s="9"/>
      <c r="D1522" s="9"/>
      <c r="E1522" s="42"/>
      <c r="F1522" s="43"/>
      <c r="G1522" s="27" t="str">
        <f aca="false">IF(OR(C1522="",AND(D1522="",F1522="")),"",IF(N(E1522)=0,1,E1522)*IF(F1522="",IFERROR(N(INDEX(Produtos!$L$5:$L$104,MATCH(D1522,Produtos!$B$5:$B$104,0))),0),F1522))</f>
        <v/>
      </c>
      <c r="H1522" s="27" t="str">
        <f aca="false">IF(G1522="","",IF(N(E1522)=0,1,E1522)*IFERROR(N(INDEX(Produtos!$G$5:$G$104,MATCH(D1522,Produtos!$B$5:$B$104,0))),0))</f>
        <v/>
      </c>
      <c r="I1522" s="27" t="str">
        <f aca="false">IF(G1522="","",G1522-H1522)</f>
        <v/>
      </c>
      <c r="J1522" s="42"/>
    </row>
    <row r="1523" customFormat="false" ht="21" hidden="false" customHeight="true" outlineLevel="0" collapsed="false">
      <c r="B1523" s="41"/>
      <c r="C1523" s="9"/>
      <c r="D1523" s="9"/>
      <c r="E1523" s="42"/>
      <c r="F1523" s="43"/>
      <c r="G1523" s="27" t="str">
        <f aca="false">IF(OR(C1523="",AND(D1523="",F1523="")),"",IF(N(E1523)=0,1,E1523)*IF(F1523="",IFERROR(N(INDEX(Produtos!$L$5:$L$104,MATCH(D1523,Produtos!$B$5:$B$104,0))),0),F1523))</f>
        <v/>
      </c>
      <c r="H1523" s="27" t="str">
        <f aca="false">IF(G1523="","",IF(N(E1523)=0,1,E1523)*IFERROR(N(INDEX(Produtos!$G$5:$G$104,MATCH(D1523,Produtos!$B$5:$B$104,0))),0))</f>
        <v/>
      </c>
      <c r="I1523" s="27" t="str">
        <f aca="false">IF(G1523="","",G1523-H1523)</f>
        <v/>
      </c>
      <c r="J1523" s="42"/>
    </row>
    <row r="1524" customFormat="false" ht="21" hidden="false" customHeight="true" outlineLevel="0" collapsed="false">
      <c r="B1524" s="41"/>
      <c r="C1524" s="9"/>
      <c r="D1524" s="9"/>
      <c r="E1524" s="42"/>
      <c r="F1524" s="43"/>
      <c r="G1524" s="27" t="str">
        <f aca="false">IF(OR(C1524="",AND(D1524="",F1524="")),"",IF(N(E1524)=0,1,E1524)*IF(F1524="",IFERROR(N(INDEX(Produtos!$L$5:$L$104,MATCH(D1524,Produtos!$B$5:$B$104,0))),0),F1524))</f>
        <v/>
      </c>
      <c r="H1524" s="27" t="str">
        <f aca="false">IF(G1524="","",IF(N(E1524)=0,1,E1524)*IFERROR(N(INDEX(Produtos!$G$5:$G$104,MATCH(D1524,Produtos!$B$5:$B$104,0))),0))</f>
        <v/>
      </c>
      <c r="I1524" s="27" t="str">
        <f aca="false">IF(G1524="","",G1524-H1524)</f>
        <v/>
      </c>
      <c r="J1524" s="42"/>
    </row>
    <row r="1525" customFormat="false" ht="21" hidden="false" customHeight="true" outlineLevel="0" collapsed="false">
      <c r="B1525" s="41"/>
      <c r="C1525" s="9"/>
      <c r="D1525" s="9"/>
      <c r="E1525" s="42"/>
      <c r="F1525" s="43"/>
      <c r="G1525" s="27" t="str">
        <f aca="false">IF(OR(C1525="",AND(D1525="",F1525="")),"",IF(N(E1525)=0,1,E1525)*IF(F1525="",IFERROR(N(INDEX(Produtos!$L$5:$L$104,MATCH(D1525,Produtos!$B$5:$B$104,0))),0),F1525))</f>
        <v/>
      </c>
      <c r="H1525" s="27" t="str">
        <f aca="false">IF(G1525="","",IF(N(E1525)=0,1,E1525)*IFERROR(N(INDEX(Produtos!$G$5:$G$104,MATCH(D1525,Produtos!$B$5:$B$104,0))),0))</f>
        <v/>
      </c>
      <c r="I1525" s="27" t="str">
        <f aca="false">IF(G1525="","",G1525-H1525)</f>
        <v/>
      </c>
      <c r="J1525" s="42"/>
    </row>
    <row r="1526" customFormat="false" ht="21" hidden="false" customHeight="true" outlineLevel="0" collapsed="false">
      <c r="B1526" s="41"/>
      <c r="C1526" s="9"/>
      <c r="D1526" s="9"/>
      <c r="E1526" s="42"/>
      <c r="F1526" s="43"/>
      <c r="G1526" s="27" t="str">
        <f aca="false">IF(OR(C1526="",AND(D1526="",F1526="")),"",IF(N(E1526)=0,1,E1526)*IF(F1526="",IFERROR(N(INDEX(Produtos!$L$5:$L$104,MATCH(D1526,Produtos!$B$5:$B$104,0))),0),F1526))</f>
        <v/>
      </c>
      <c r="H1526" s="27" t="str">
        <f aca="false">IF(G1526="","",IF(N(E1526)=0,1,E1526)*IFERROR(N(INDEX(Produtos!$G$5:$G$104,MATCH(D1526,Produtos!$B$5:$B$104,0))),0))</f>
        <v/>
      </c>
      <c r="I1526" s="27" t="str">
        <f aca="false">IF(G1526="","",G1526-H1526)</f>
        <v/>
      </c>
      <c r="J1526" s="42"/>
    </row>
    <row r="1527" customFormat="false" ht="21" hidden="false" customHeight="true" outlineLevel="0" collapsed="false">
      <c r="B1527" s="41"/>
      <c r="C1527" s="9"/>
      <c r="D1527" s="9"/>
      <c r="E1527" s="42"/>
      <c r="F1527" s="43"/>
      <c r="G1527" s="27" t="str">
        <f aca="false">IF(OR(C1527="",AND(D1527="",F1527="")),"",IF(N(E1527)=0,1,E1527)*IF(F1527="",IFERROR(N(INDEX(Produtos!$L$5:$L$104,MATCH(D1527,Produtos!$B$5:$B$104,0))),0),F1527))</f>
        <v/>
      </c>
      <c r="H1527" s="27" t="str">
        <f aca="false">IF(G1527="","",IF(N(E1527)=0,1,E1527)*IFERROR(N(INDEX(Produtos!$G$5:$G$104,MATCH(D1527,Produtos!$B$5:$B$104,0))),0))</f>
        <v/>
      </c>
      <c r="I1527" s="27" t="str">
        <f aca="false">IF(G1527="","",G1527-H1527)</f>
        <v/>
      </c>
      <c r="J1527" s="42"/>
    </row>
    <row r="1528" customFormat="false" ht="21" hidden="false" customHeight="true" outlineLevel="0" collapsed="false">
      <c r="B1528" s="41"/>
      <c r="C1528" s="9"/>
      <c r="D1528" s="9"/>
      <c r="E1528" s="42"/>
      <c r="F1528" s="43"/>
      <c r="G1528" s="27" t="str">
        <f aca="false">IF(OR(C1528="",AND(D1528="",F1528="")),"",IF(N(E1528)=0,1,E1528)*IF(F1528="",IFERROR(N(INDEX(Produtos!$L$5:$L$104,MATCH(D1528,Produtos!$B$5:$B$104,0))),0),F1528))</f>
        <v/>
      </c>
      <c r="H1528" s="27" t="str">
        <f aca="false">IF(G1528="","",IF(N(E1528)=0,1,E1528)*IFERROR(N(INDEX(Produtos!$G$5:$G$104,MATCH(D1528,Produtos!$B$5:$B$104,0))),0))</f>
        <v/>
      </c>
      <c r="I1528" s="27" t="str">
        <f aca="false">IF(G1528="","",G1528-H1528)</f>
        <v/>
      </c>
      <c r="J1528" s="42"/>
    </row>
    <row r="1529" customFormat="false" ht="21" hidden="false" customHeight="true" outlineLevel="0" collapsed="false">
      <c r="B1529" s="41"/>
      <c r="C1529" s="9"/>
      <c r="D1529" s="9"/>
      <c r="E1529" s="42"/>
      <c r="F1529" s="43"/>
      <c r="G1529" s="27" t="str">
        <f aca="false">IF(OR(C1529="",AND(D1529="",F1529="")),"",IF(N(E1529)=0,1,E1529)*IF(F1529="",IFERROR(N(INDEX(Produtos!$L$5:$L$104,MATCH(D1529,Produtos!$B$5:$B$104,0))),0),F1529))</f>
        <v/>
      </c>
      <c r="H1529" s="27" t="str">
        <f aca="false">IF(G1529="","",IF(N(E1529)=0,1,E1529)*IFERROR(N(INDEX(Produtos!$G$5:$G$104,MATCH(D1529,Produtos!$B$5:$B$104,0))),0))</f>
        <v/>
      </c>
      <c r="I1529" s="27" t="str">
        <f aca="false">IF(G1529="","",G1529-H1529)</f>
        <v/>
      </c>
      <c r="J1529" s="42"/>
    </row>
    <row r="1530" customFormat="false" ht="21" hidden="false" customHeight="true" outlineLevel="0" collapsed="false">
      <c r="B1530" s="41"/>
      <c r="C1530" s="9"/>
      <c r="D1530" s="9"/>
      <c r="E1530" s="42"/>
      <c r="F1530" s="43"/>
      <c r="G1530" s="27" t="str">
        <f aca="false">IF(OR(C1530="",AND(D1530="",F1530="")),"",IF(N(E1530)=0,1,E1530)*IF(F1530="",IFERROR(N(INDEX(Produtos!$L$5:$L$104,MATCH(D1530,Produtos!$B$5:$B$104,0))),0),F1530))</f>
        <v/>
      </c>
      <c r="H1530" s="27" t="str">
        <f aca="false">IF(G1530="","",IF(N(E1530)=0,1,E1530)*IFERROR(N(INDEX(Produtos!$G$5:$G$104,MATCH(D1530,Produtos!$B$5:$B$104,0))),0))</f>
        <v/>
      </c>
      <c r="I1530" s="27" t="str">
        <f aca="false">IF(G1530="","",G1530-H1530)</f>
        <v/>
      </c>
      <c r="J1530" s="42"/>
    </row>
    <row r="1531" customFormat="false" ht="21" hidden="false" customHeight="true" outlineLevel="0" collapsed="false">
      <c r="B1531" s="41"/>
      <c r="C1531" s="9"/>
      <c r="D1531" s="9"/>
      <c r="E1531" s="42"/>
      <c r="F1531" s="43"/>
      <c r="G1531" s="27" t="str">
        <f aca="false">IF(OR(C1531="",AND(D1531="",F1531="")),"",IF(N(E1531)=0,1,E1531)*IF(F1531="",IFERROR(N(INDEX(Produtos!$L$5:$L$104,MATCH(D1531,Produtos!$B$5:$B$104,0))),0),F1531))</f>
        <v/>
      </c>
      <c r="H1531" s="27" t="str">
        <f aca="false">IF(G1531="","",IF(N(E1531)=0,1,E1531)*IFERROR(N(INDEX(Produtos!$G$5:$G$104,MATCH(D1531,Produtos!$B$5:$B$104,0))),0))</f>
        <v/>
      </c>
      <c r="I1531" s="27" t="str">
        <f aca="false">IF(G1531="","",G1531-H1531)</f>
        <v/>
      </c>
      <c r="J1531" s="42"/>
    </row>
    <row r="1532" customFormat="false" ht="21" hidden="false" customHeight="true" outlineLevel="0" collapsed="false">
      <c r="B1532" s="41"/>
      <c r="C1532" s="9"/>
      <c r="D1532" s="9"/>
      <c r="E1532" s="42"/>
      <c r="F1532" s="43"/>
      <c r="G1532" s="27" t="str">
        <f aca="false">IF(OR(C1532="",AND(D1532="",F1532="")),"",IF(N(E1532)=0,1,E1532)*IF(F1532="",IFERROR(N(INDEX(Produtos!$L$5:$L$104,MATCH(D1532,Produtos!$B$5:$B$104,0))),0),F1532))</f>
        <v/>
      </c>
      <c r="H1532" s="27" t="str">
        <f aca="false">IF(G1532="","",IF(N(E1532)=0,1,E1532)*IFERROR(N(INDEX(Produtos!$G$5:$G$104,MATCH(D1532,Produtos!$B$5:$B$104,0))),0))</f>
        <v/>
      </c>
      <c r="I1532" s="27" t="str">
        <f aca="false">IF(G1532="","",G1532-H1532)</f>
        <v/>
      </c>
      <c r="J1532" s="42"/>
    </row>
    <row r="1533" customFormat="false" ht="21" hidden="false" customHeight="true" outlineLevel="0" collapsed="false">
      <c r="B1533" s="41"/>
      <c r="C1533" s="9"/>
      <c r="D1533" s="9"/>
      <c r="E1533" s="42"/>
      <c r="F1533" s="43"/>
      <c r="G1533" s="27" t="str">
        <f aca="false">IF(OR(C1533="",AND(D1533="",F1533="")),"",IF(N(E1533)=0,1,E1533)*IF(F1533="",IFERROR(N(INDEX(Produtos!$L$5:$L$104,MATCH(D1533,Produtos!$B$5:$B$104,0))),0),F1533))</f>
        <v/>
      </c>
      <c r="H1533" s="27" t="str">
        <f aca="false">IF(G1533="","",IF(N(E1533)=0,1,E1533)*IFERROR(N(INDEX(Produtos!$G$5:$G$104,MATCH(D1533,Produtos!$B$5:$B$104,0))),0))</f>
        <v/>
      </c>
      <c r="I1533" s="27" t="str">
        <f aca="false">IF(G1533="","",G1533-H1533)</f>
        <v/>
      </c>
      <c r="J1533" s="42"/>
    </row>
    <row r="1534" customFormat="false" ht="21" hidden="false" customHeight="true" outlineLevel="0" collapsed="false">
      <c r="B1534" s="41"/>
      <c r="C1534" s="9"/>
      <c r="D1534" s="9"/>
      <c r="E1534" s="42"/>
      <c r="F1534" s="43"/>
      <c r="G1534" s="27" t="str">
        <f aca="false">IF(OR(C1534="",AND(D1534="",F1534="")),"",IF(N(E1534)=0,1,E1534)*IF(F1534="",IFERROR(N(INDEX(Produtos!$L$5:$L$104,MATCH(D1534,Produtos!$B$5:$B$104,0))),0),F1534))</f>
        <v/>
      </c>
      <c r="H1534" s="27" t="str">
        <f aca="false">IF(G1534="","",IF(N(E1534)=0,1,E1534)*IFERROR(N(INDEX(Produtos!$G$5:$G$104,MATCH(D1534,Produtos!$B$5:$B$104,0))),0))</f>
        <v/>
      </c>
      <c r="I1534" s="27" t="str">
        <f aca="false">IF(G1534="","",G1534-H1534)</f>
        <v/>
      </c>
      <c r="J1534" s="42"/>
    </row>
    <row r="1535" customFormat="false" ht="21" hidden="false" customHeight="true" outlineLevel="0" collapsed="false">
      <c r="B1535" s="41"/>
      <c r="C1535" s="9"/>
      <c r="D1535" s="9"/>
      <c r="E1535" s="42"/>
      <c r="F1535" s="43"/>
      <c r="G1535" s="27" t="str">
        <f aca="false">IF(OR(C1535="",AND(D1535="",F1535="")),"",IF(N(E1535)=0,1,E1535)*IF(F1535="",IFERROR(N(INDEX(Produtos!$L$5:$L$104,MATCH(D1535,Produtos!$B$5:$B$104,0))),0),F1535))</f>
        <v/>
      </c>
      <c r="H1535" s="27" t="str">
        <f aca="false">IF(G1535="","",IF(N(E1535)=0,1,E1535)*IFERROR(N(INDEX(Produtos!$G$5:$G$104,MATCH(D1535,Produtos!$B$5:$B$104,0))),0))</f>
        <v/>
      </c>
      <c r="I1535" s="27" t="str">
        <f aca="false">IF(G1535="","",G1535-H1535)</f>
        <v/>
      </c>
      <c r="J1535" s="42"/>
    </row>
    <row r="1536" customFormat="false" ht="21" hidden="false" customHeight="true" outlineLevel="0" collapsed="false">
      <c r="B1536" s="41"/>
      <c r="C1536" s="9"/>
      <c r="D1536" s="9"/>
      <c r="E1536" s="42"/>
      <c r="F1536" s="43"/>
      <c r="G1536" s="27" t="str">
        <f aca="false">IF(OR(C1536="",AND(D1536="",F1536="")),"",IF(N(E1536)=0,1,E1536)*IF(F1536="",IFERROR(N(INDEX(Produtos!$L$5:$L$104,MATCH(D1536,Produtos!$B$5:$B$104,0))),0),F1536))</f>
        <v/>
      </c>
      <c r="H1536" s="27" t="str">
        <f aca="false">IF(G1536="","",IF(N(E1536)=0,1,E1536)*IFERROR(N(INDEX(Produtos!$G$5:$G$104,MATCH(D1536,Produtos!$B$5:$B$104,0))),0))</f>
        <v/>
      </c>
      <c r="I1536" s="27" t="str">
        <f aca="false">IF(G1536="","",G1536-H1536)</f>
        <v/>
      </c>
      <c r="J1536" s="42"/>
    </row>
    <row r="1537" customFormat="false" ht="21" hidden="false" customHeight="true" outlineLevel="0" collapsed="false">
      <c r="B1537" s="41"/>
      <c r="C1537" s="9"/>
      <c r="D1537" s="9"/>
      <c r="E1537" s="42"/>
      <c r="F1537" s="43"/>
      <c r="G1537" s="27" t="str">
        <f aca="false">IF(OR(C1537="",AND(D1537="",F1537="")),"",IF(N(E1537)=0,1,E1537)*IF(F1537="",IFERROR(N(INDEX(Produtos!$L$5:$L$104,MATCH(D1537,Produtos!$B$5:$B$104,0))),0),F1537))</f>
        <v/>
      </c>
      <c r="H1537" s="27" t="str">
        <f aca="false">IF(G1537="","",IF(N(E1537)=0,1,E1537)*IFERROR(N(INDEX(Produtos!$G$5:$G$104,MATCH(D1537,Produtos!$B$5:$B$104,0))),0))</f>
        <v/>
      </c>
      <c r="I1537" s="27" t="str">
        <f aca="false">IF(G1537="","",G1537-H1537)</f>
        <v/>
      </c>
      <c r="J1537" s="42"/>
    </row>
    <row r="1538" customFormat="false" ht="21" hidden="false" customHeight="true" outlineLevel="0" collapsed="false">
      <c r="B1538" s="41"/>
      <c r="C1538" s="9"/>
      <c r="D1538" s="9"/>
      <c r="E1538" s="42"/>
      <c r="F1538" s="43"/>
      <c r="G1538" s="27" t="str">
        <f aca="false">IF(OR(C1538="",AND(D1538="",F1538="")),"",IF(N(E1538)=0,1,E1538)*IF(F1538="",IFERROR(N(INDEX(Produtos!$L$5:$L$104,MATCH(D1538,Produtos!$B$5:$B$104,0))),0),F1538))</f>
        <v/>
      </c>
      <c r="H1538" s="27" t="str">
        <f aca="false">IF(G1538="","",IF(N(E1538)=0,1,E1538)*IFERROR(N(INDEX(Produtos!$G$5:$G$104,MATCH(D1538,Produtos!$B$5:$B$104,0))),0))</f>
        <v/>
      </c>
      <c r="I1538" s="27" t="str">
        <f aca="false">IF(G1538="","",G1538-H1538)</f>
        <v/>
      </c>
      <c r="J1538" s="42"/>
    </row>
    <row r="1539" customFormat="false" ht="21" hidden="false" customHeight="true" outlineLevel="0" collapsed="false">
      <c r="B1539" s="41"/>
      <c r="C1539" s="9"/>
      <c r="D1539" s="9"/>
      <c r="E1539" s="42"/>
      <c r="F1539" s="43"/>
      <c r="G1539" s="27" t="str">
        <f aca="false">IF(OR(C1539="",AND(D1539="",F1539="")),"",IF(N(E1539)=0,1,E1539)*IF(F1539="",IFERROR(N(INDEX(Produtos!$L$5:$L$104,MATCH(D1539,Produtos!$B$5:$B$104,0))),0),F1539))</f>
        <v/>
      </c>
      <c r="H1539" s="27" t="str">
        <f aca="false">IF(G1539="","",IF(N(E1539)=0,1,E1539)*IFERROR(N(INDEX(Produtos!$G$5:$G$104,MATCH(D1539,Produtos!$B$5:$B$104,0))),0))</f>
        <v/>
      </c>
      <c r="I1539" s="27" t="str">
        <f aca="false">IF(G1539="","",G1539-H1539)</f>
        <v/>
      </c>
      <c r="J1539" s="42"/>
    </row>
    <row r="1540" customFormat="false" ht="21" hidden="false" customHeight="true" outlineLevel="0" collapsed="false">
      <c r="B1540" s="41"/>
      <c r="C1540" s="9"/>
      <c r="D1540" s="9"/>
      <c r="E1540" s="42"/>
      <c r="F1540" s="43"/>
      <c r="G1540" s="27" t="str">
        <f aca="false">IF(OR(C1540="",AND(D1540="",F1540="")),"",IF(N(E1540)=0,1,E1540)*IF(F1540="",IFERROR(N(INDEX(Produtos!$L$5:$L$104,MATCH(D1540,Produtos!$B$5:$B$104,0))),0),F1540))</f>
        <v/>
      </c>
      <c r="H1540" s="27" t="str">
        <f aca="false">IF(G1540="","",IF(N(E1540)=0,1,E1540)*IFERROR(N(INDEX(Produtos!$G$5:$G$104,MATCH(D1540,Produtos!$B$5:$B$104,0))),0))</f>
        <v/>
      </c>
      <c r="I1540" s="27" t="str">
        <f aca="false">IF(G1540="","",G1540-H1540)</f>
        <v/>
      </c>
      <c r="J1540" s="42"/>
    </row>
    <row r="1541" customFormat="false" ht="21" hidden="false" customHeight="true" outlineLevel="0" collapsed="false">
      <c r="B1541" s="41"/>
      <c r="C1541" s="9"/>
      <c r="D1541" s="9"/>
      <c r="E1541" s="42"/>
      <c r="F1541" s="43"/>
      <c r="G1541" s="27" t="str">
        <f aca="false">IF(OR(C1541="",AND(D1541="",F1541="")),"",IF(N(E1541)=0,1,E1541)*IF(F1541="",IFERROR(N(INDEX(Produtos!$L$5:$L$104,MATCH(D1541,Produtos!$B$5:$B$104,0))),0),F1541))</f>
        <v/>
      </c>
      <c r="H1541" s="27" t="str">
        <f aca="false">IF(G1541="","",IF(N(E1541)=0,1,E1541)*IFERROR(N(INDEX(Produtos!$G$5:$G$104,MATCH(D1541,Produtos!$B$5:$B$104,0))),0))</f>
        <v/>
      </c>
      <c r="I1541" s="27" t="str">
        <f aca="false">IF(G1541="","",G1541-H1541)</f>
        <v/>
      </c>
      <c r="J1541" s="42"/>
    </row>
    <row r="1542" customFormat="false" ht="21" hidden="false" customHeight="true" outlineLevel="0" collapsed="false">
      <c r="B1542" s="41"/>
      <c r="C1542" s="9"/>
      <c r="D1542" s="9"/>
      <c r="E1542" s="42"/>
      <c r="F1542" s="43"/>
      <c r="G1542" s="27" t="str">
        <f aca="false">IF(OR(C1542="",AND(D1542="",F1542="")),"",IF(N(E1542)=0,1,E1542)*IF(F1542="",IFERROR(N(INDEX(Produtos!$L$5:$L$104,MATCH(D1542,Produtos!$B$5:$B$104,0))),0),F1542))</f>
        <v/>
      </c>
      <c r="H1542" s="27" t="str">
        <f aca="false">IF(G1542="","",IF(N(E1542)=0,1,E1542)*IFERROR(N(INDEX(Produtos!$G$5:$G$104,MATCH(D1542,Produtos!$B$5:$B$104,0))),0))</f>
        <v/>
      </c>
      <c r="I1542" s="27" t="str">
        <f aca="false">IF(G1542="","",G1542-H1542)</f>
        <v/>
      </c>
      <c r="J1542" s="42"/>
    </row>
    <row r="1543" customFormat="false" ht="21" hidden="false" customHeight="true" outlineLevel="0" collapsed="false">
      <c r="B1543" s="41"/>
      <c r="C1543" s="9"/>
      <c r="D1543" s="9"/>
      <c r="E1543" s="42"/>
      <c r="F1543" s="43"/>
      <c r="G1543" s="27" t="str">
        <f aca="false">IF(OR(C1543="",AND(D1543="",F1543="")),"",IF(N(E1543)=0,1,E1543)*IF(F1543="",IFERROR(N(INDEX(Produtos!$L$5:$L$104,MATCH(D1543,Produtos!$B$5:$B$104,0))),0),F1543))</f>
        <v/>
      </c>
      <c r="H1543" s="27" t="str">
        <f aca="false">IF(G1543="","",IF(N(E1543)=0,1,E1543)*IFERROR(N(INDEX(Produtos!$G$5:$G$104,MATCH(D1543,Produtos!$B$5:$B$104,0))),0))</f>
        <v/>
      </c>
      <c r="I1543" s="27" t="str">
        <f aca="false">IF(G1543="","",G1543-H1543)</f>
        <v/>
      </c>
      <c r="J1543" s="42"/>
    </row>
    <row r="1544" customFormat="false" ht="21" hidden="false" customHeight="true" outlineLevel="0" collapsed="false">
      <c r="B1544" s="41"/>
      <c r="C1544" s="9"/>
      <c r="D1544" s="9"/>
      <c r="E1544" s="42"/>
      <c r="F1544" s="43"/>
      <c r="G1544" s="27" t="str">
        <f aca="false">IF(OR(C1544="",AND(D1544="",F1544="")),"",IF(N(E1544)=0,1,E1544)*IF(F1544="",IFERROR(N(INDEX(Produtos!$L$5:$L$104,MATCH(D1544,Produtos!$B$5:$B$104,0))),0),F1544))</f>
        <v/>
      </c>
      <c r="H1544" s="27" t="str">
        <f aca="false">IF(G1544="","",IF(N(E1544)=0,1,E1544)*IFERROR(N(INDEX(Produtos!$G$5:$G$104,MATCH(D1544,Produtos!$B$5:$B$104,0))),0))</f>
        <v/>
      </c>
      <c r="I1544" s="27" t="str">
        <f aca="false">IF(G1544="","",G1544-H1544)</f>
        <v/>
      </c>
      <c r="J1544" s="42"/>
    </row>
    <row r="1545" customFormat="false" ht="21" hidden="false" customHeight="true" outlineLevel="0" collapsed="false">
      <c r="B1545" s="41"/>
      <c r="C1545" s="9"/>
      <c r="D1545" s="9"/>
      <c r="E1545" s="42"/>
      <c r="F1545" s="43"/>
      <c r="G1545" s="27" t="str">
        <f aca="false">IF(OR(C1545="",AND(D1545="",F1545="")),"",IF(N(E1545)=0,1,E1545)*IF(F1545="",IFERROR(N(INDEX(Produtos!$L$5:$L$104,MATCH(D1545,Produtos!$B$5:$B$104,0))),0),F1545))</f>
        <v/>
      </c>
      <c r="H1545" s="27" t="str">
        <f aca="false">IF(G1545="","",IF(N(E1545)=0,1,E1545)*IFERROR(N(INDEX(Produtos!$G$5:$G$104,MATCH(D1545,Produtos!$B$5:$B$104,0))),0))</f>
        <v/>
      </c>
      <c r="I1545" s="27" t="str">
        <f aca="false">IF(G1545="","",G1545-H1545)</f>
        <v/>
      </c>
      <c r="J1545" s="42"/>
    </row>
    <row r="1546" customFormat="false" ht="21" hidden="false" customHeight="true" outlineLevel="0" collapsed="false">
      <c r="B1546" s="41"/>
      <c r="C1546" s="9"/>
      <c r="D1546" s="9"/>
      <c r="E1546" s="42"/>
      <c r="F1546" s="43"/>
      <c r="G1546" s="27" t="str">
        <f aca="false">IF(OR(C1546="",AND(D1546="",F1546="")),"",IF(N(E1546)=0,1,E1546)*IF(F1546="",IFERROR(N(INDEX(Produtos!$L$5:$L$104,MATCH(D1546,Produtos!$B$5:$B$104,0))),0),F1546))</f>
        <v/>
      </c>
      <c r="H1546" s="27" t="str">
        <f aca="false">IF(G1546="","",IF(N(E1546)=0,1,E1546)*IFERROR(N(INDEX(Produtos!$G$5:$G$104,MATCH(D1546,Produtos!$B$5:$B$104,0))),0))</f>
        <v/>
      </c>
      <c r="I1546" s="27" t="str">
        <f aca="false">IF(G1546="","",G1546-H1546)</f>
        <v/>
      </c>
      <c r="J1546" s="42"/>
    </row>
    <row r="1547" customFormat="false" ht="21" hidden="false" customHeight="true" outlineLevel="0" collapsed="false">
      <c r="B1547" s="41"/>
      <c r="C1547" s="9"/>
      <c r="D1547" s="9"/>
      <c r="E1547" s="42"/>
      <c r="F1547" s="43"/>
      <c r="G1547" s="27" t="str">
        <f aca="false">IF(OR(C1547="",AND(D1547="",F1547="")),"",IF(N(E1547)=0,1,E1547)*IF(F1547="",IFERROR(N(INDEX(Produtos!$L$5:$L$104,MATCH(D1547,Produtos!$B$5:$B$104,0))),0),F1547))</f>
        <v/>
      </c>
      <c r="H1547" s="27" t="str">
        <f aca="false">IF(G1547="","",IF(N(E1547)=0,1,E1547)*IFERROR(N(INDEX(Produtos!$G$5:$G$104,MATCH(D1547,Produtos!$B$5:$B$104,0))),0))</f>
        <v/>
      </c>
      <c r="I1547" s="27" t="str">
        <f aca="false">IF(G1547="","",G1547-H1547)</f>
        <v/>
      </c>
      <c r="J1547" s="42"/>
    </row>
    <row r="1548" customFormat="false" ht="21" hidden="false" customHeight="true" outlineLevel="0" collapsed="false">
      <c r="B1548" s="41"/>
      <c r="C1548" s="9"/>
      <c r="D1548" s="9"/>
      <c r="E1548" s="42"/>
      <c r="F1548" s="43"/>
      <c r="G1548" s="27" t="str">
        <f aca="false">IF(OR(C1548="",AND(D1548="",F1548="")),"",IF(N(E1548)=0,1,E1548)*IF(F1548="",IFERROR(N(INDEX(Produtos!$L$5:$L$104,MATCH(D1548,Produtos!$B$5:$B$104,0))),0),F1548))</f>
        <v/>
      </c>
      <c r="H1548" s="27" t="str">
        <f aca="false">IF(G1548="","",IF(N(E1548)=0,1,E1548)*IFERROR(N(INDEX(Produtos!$G$5:$G$104,MATCH(D1548,Produtos!$B$5:$B$104,0))),0))</f>
        <v/>
      </c>
      <c r="I1548" s="27" t="str">
        <f aca="false">IF(G1548="","",G1548-H1548)</f>
        <v/>
      </c>
      <c r="J1548" s="42"/>
    </row>
    <row r="1549" customFormat="false" ht="21" hidden="false" customHeight="true" outlineLevel="0" collapsed="false">
      <c r="B1549" s="41"/>
      <c r="C1549" s="9"/>
      <c r="D1549" s="9"/>
      <c r="E1549" s="42"/>
      <c r="F1549" s="43"/>
      <c r="G1549" s="27" t="str">
        <f aca="false">IF(OR(C1549="",AND(D1549="",F1549="")),"",IF(N(E1549)=0,1,E1549)*IF(F1549="",IFERROR(N(INDEX(Produtos!$L$5:$L$104,MATCH(D1549,Produtos!$B$5:$B$104,0))),0),F1549))</f>
        <v/>
      </c>
      <c r="H1549" s="27" t="str">
        <f aca="false">IF(G1549="","",IF(N(E1549)=0,1,E1549)*IFERROR(N(INDEX(Produtos!$G$5:$G$104,MATCH(D1549,Produtos!$B$5:$B$104,0))),0))</f>
        <v/>
      </c>
      <c r="I1549" s="27" t="str">
        <f aca="false">IF(G1549="","",G1549-H1549)</f>
        <v/>
      </c>
      <c r="J1549" s="42"/>
    </row>
    <row r="1550" customFormat="false" ht="21" hidden="false" customHeight="true" outlineLevel="0" collapsed="false">
      <c r="B1550" s="41"/>
      <c r="C1550" s="9"/>
      <c r="D1550" s="9"/>
      <c r="E1550" s="42"/>
      <c r="F1550" s="43"/>
      <c r="G1550" s="27" t="str">
        <f aca="false">IF(OR(C1550="",AND(D1550="",F1550="")),"",IF(N(E1550)=0,1,E1550)*IF(F1550="",IFERROR(N(INDEX(Produtos!$L$5:$L$104,MATCH(D1550,Produtos!$B$5:$B$104,0))),0),F1550))</f>
        <v/>
      </c>
      <c r="H1550" s="27" t="str">
        <f aca="false">IF(G1550="","",IF(N(E1550)=0,1,E1550)*IFERROR(N(INDEX(Produtos!$G$5:$G$104,MATCH(D1550,Produtos!$B$5:$B$104,0))),0))</f>
        <v/>
      </c>
      <c r="I1550" s="27" t="str">
        <f aca="false">IF(G1550="","",G1550-H1550)</f>
        <v/>
      </c>
      <c r="J1550" s="42"/>
    </row>
    <row r="1551" customFormat="false" ht="21" hidden="false" customHeight="true" outlineLevel="0" collapsed="false">
      <c r="B1551" s="41"/>
      <c r="C1551" s="9"/>
      <c r="D1551" s="9"/>
      <c r="E1551" s="42"/>
      <c r="F1551" s="43"/>
      <c r="G1551" s="27" t="str">
        <f aca="false">IF(OR(C1551="",AND(D1551="",F1551="")),"",IF(N(E1551)=0,1,E1551)*IF(F1551="",IFERROR(N(INDEX(Produtos!$L$5:$L$104,MATCH(D1551,Produtos!$B$5:$B$104,0))),0),F1551))</f>
        <v/>
      </c>
      <c r="H1551" s="27" t="str">
        <f aca="false">IF(G1551="","",IF(N(E1551)=0,1,E1551)*IFERROR(N(INDEX(Produtos!$G$5:$G$104,MATCH(D1551,Produtos!$B$5:$B$104,0))),0))</f>
        <v/>
      </c>
      <c r="I1551" s="27" t="str">
        <f aca="false">IF(G1551="","",G1551-H1551)</f>
        <v/>
      </c>
      <c r="J1551" s="42"/>
    </row>
    <row r="1552" customFormat="false" ht="21" hidden="false" customHeight="true" outlineLevel="0" collapsed="false">
      <c r="B1552" s="41"/>
      <c r="C1552" s="9"/>
      <c r="D1552" s="9"/>
      <c r="E1552" s="42"/>
      <c r="F1552" s="43"/>
      <c r="G1552" s="27" t="str">
        <f aca="false">IF(OR(C1552="",AND(D1552="",F1552="")),"",IF(N(E1552)=0,1,E1552)*IF(F1552="",IFERROR(N(INDEX(Produtos!$L$5:$L$104,MATCH(D1552,Produtos!$B$5:$B$104,0))),0),F1552))</f>
        <v/>
      </c>
      <c r="H1552" s="27" t="str">
        <f aca="false">IF(G1552="","",IF(N(E1552)=0,1,E1552)*IFERROR(N(INDEX(Produtos!$G$5:$G$104,MATCH(D1552,Produtos!$B$5:$B$104,0))),0))</f>
        <v/>
      </c>
      <c r="I1552" s="27" t="str">
        <f aca="false">IF(G1552="","",G1552-H1552)</f>
        <v/>
      </c>
      <c r="J1552" s="42"/>
    </row>
    <row r="1553" customFormat="false" ht="21" hidden="false" customHeight="true" outlineLevel="0" collapsed="false">
      <c r="B1553" s="41"/>
      <c r="C1553" s="9"/>
      <c r="D1553" s="9"/>
      <c r="E1553" s="42"/>
      <c r="F1553" s="43"/>
      <c r="G1553" s="27" t="str">
        <f aca="false">IF(OR(C1553="",AND(D1553="",F1553="")),"",IF(N(E1553)=0,1,E1553)*IF(F1553="",IFERROR(N(INDEX(Produtos!$L$5:$L$104,MATCH(D1553,Produtos!$B$5:$B$104,0))),0),F1553))</f>
        <v/>
      </c>
      <c r="H1553" s="27" t="str">
        <f aca="false">IF(G1553="","",IF(N(E1553)=0,1,E1553)*IFERROR(N(INDEX(Produtos!$G$5:$G$104,MATCH(D1553,Produtos!$B$5:$B$104,0))),0))</f>
        <v/>
      </c>
      <c r="I1553" s="27" t="str">
        <f aca="false">IF(G1553="","",G1553-H1553)</f>
        <v/>
      </c>
      <c r="J1553" s="42"/>
    </row>
    <row r="1554" customFormat="false" ht="21" hidden="false" customHeight="true" outlineLevel="0" collapsed="false">
      <c r="B1554" s="41"/>
      <c r="C1554" s="9"/>
      <c r="D1554" s="9"/>
      <c r="E1554" s="42"/>
      <c r="F1554" s="43"/>
      <c r="G1554" s="27" t="str">
        <f aca="false">IF(OR(C1554="",AND(D1554="",F1554="")),"",IF(N(E1554)=0,1,E1554)*IF(F1554="",IFERROR(N(INDEX(Produtos!$L$5:$L$104,MATCH(D1554,Produtos!$B$5:$B$104,0))),0),F1554))</f>
        <v/>
      </c>
      <c r="H1554" s="27" t="str">
        <f aca="false">IF(G1554="","",IF(N(E1554)=0,1,E1554)*IFERROR(N(INDEX(Produtos!$G$5:$G$104,MATCH(D1554,Produtos!$B$5:$B$104,0))),0))</f>
        <v/>
      </c>
      <c r="I1554" s="27" t="str">
        <f aca="false">IF(G1554="","",G1554-H1554)</f>
        <v/>
      </c>
      <c r="J1554" s="42"/>
    </row>
    <row r="1555" customFormat="false" ht="21" hidden="false" customHeight="true" outlineLevel="0" collapsed="false">
      <c r="B1555" s="41"/>
      <c r="C1555" s="9"/>
      <c r="D1555" s="9"/>
      <c r="E1555" s="42"/>
      <c r="F1555" s="43"/>
      <c r="G1555" s="27" t="str">
        <f aca="false">IF(OR(C1555="",AND(D1555="",F1555="")),"",IF(N(E1555)=0,1,E1555)*IF(F1555="",IFERROR(N(INDEX(Produtos!$L$5:$L$104,MATCH(D1555,Produtos!$B$5:$B$104,0))),0),F1555))</f>
        <v/>
      </c>
      <c r="H1555" s="27" t="str">
        <f aca="false">IF(G1555="","",IF(N(E1555)=0,1,E1555)*IFERROR(N(INDEX(Produtos!$G$5:$G$104,MATCH(D1555,Produtos!$B$5:$B$104,0))),0))</f>
        <v/>
      </c>
      <c r="I1555" s="27" t="str">
        <f aca="false">IF(G1555="","",G1555-H1555)</f>
        <v/>
      </c>
      <c r="J1555" s="42"/>
    </row>
    <row r="1556" customFormat="false" ht="21" hidden="false" customHeight="true" outlineLevel="0" collapsed="false">
      <c r="B1556" s="41"/>
      <c r="C1556" s="9"/>
      <c r="D1556" s="9"/>
      <c r="E1556" s="42"/>
      <c r="F1556" s="43"/>
      <c r="G1556" s="27" t="str">
        <f aca="false">IF(OR(C1556="",AND(D1556="",F1556="")),"",IF(N(E1556)=0,1,E1556)*IF(F1556="",IFERROR(N(INDEX(Produtos!$L$5:$L$104,MATCH(D1556,Produtos!$B$5:$B$104,0))),0),F1556))</f>
        <v/>
      </c>
      <c r="H1556" s="27" t="str">
        <f aca="false">IF(G1556="","",IF(N(E1556)=0,1,E1556)*IFERROR(N(INDEX(Produtos!$G$5:$G$104,MATCH(D1556,Produtos!$B$5:$B$104,0))),0))</f>
        <v/>
      </c>
      <c r="I1556" s="27" t="str">
        <f aca="false">IF(G1556="","",G1556-H1556)</f>
        <v/>
      </c>
      <c r="J1556" s="42"/>
    </row>
    <row r="1557" customFormat="false" ht="21" hidden="false" customHeight="true" outlineLevel="0" collapsed="false">
      <c r="B1557" s="41"/>
      <c r="C1557" s="9"/>
      <c r="D1557" s="9"/>
      <c r="E1557" s="42"/>
      <c r="F1557" s="43"/>
      <c r="G1557" s="27" t="str">
        <f aca="false">IF(OR(C1557="",AND(D1557="",F1557="")),"",IF(N(E1557)=0,1,E1557)*IF(F1557="",IFERROR(N(INDEX(Produtos!$L$5:$L$104,MATCH(D1557,Produtos!$B$5:$B$104,0))),0),F1557))</f>
        <v/>
      </c>
      <c r="H1557" s="27" t="str">
        <f aca="false">IF(G1557="","",IF(N(E1557)=0,1,E1557)*IFERROR(N(INDEX(Produtos!$G$5:$G$104,MATCH(D1557,Produtos!$B$5:$B$104,0))),0))</f>
        <v/>
      </c>
      <c r="I1557" s="27" t="str">
        <f aca="false">IF(G1557="","",G1557-H1557)</f>
        <v/>
      </c>
      <c r="J1557" s="42"/>
    </row>
    <row r="1558" customFormat="false" ht="21" hidden="false" customHeight="true" outlineLevel="0" collapsed="false">
      <c r="B1558" s="41"/>
      <c r="C1558" s="9"/>
      <c r="D1558" s="9"/>
      <c r="E1558" s="42"/>
      <c r="F1558" s="43"/>
      <c r="G1558" s="27" t="str">
        <f aca="false">IF(OR(C1558="",AND(D1558="",F1558="")),"",IF(N(E1558)=0,1,E1558)*IF(F1558="",IFERROR(N(INDEX(Produtos!$L$5:$L$104,MATCH(D1558,Produtos!$B$5:$B$104,0))),0),F1558))</f>
        <v/>
      </c>
      <c r="H1558" s="27" t="str">
        <f aca="false">IF(G1558="","",IF(N(E1558)=0,1,E1558)*IFERROR(N(INDEX(Produtos!$G$5:$G$104,MATCH(D1558,Produtos!$B$5:$B$104,0))),0))</f>
        <v/>
      </c>
      <c r="I1558" s="27" t="str">
        <f aca="false">IF(G1558="","",G1558-H1558)</f>
        <v/>
      </c>
      <c r="J1558" s="42"/>
    </row>
    <row r="1559" customFormat="false" ht="21" hidden="false" customHeight="true" outlineLevel="0" collapsed="false">
      <c r="B1559" s="41"/>
      <c r="C1559" s="9"/>
      <c r="D1559" s="9"/>
      <c r="E1559" s="42"/>
      <c r="F1559" s="43"/>
      <c r="G1559" s="27" t="str">
        <f aca="false">IF(OR(C1559="",AND(D1559="",F1559="")),"",IF(N(E1559)=0,1,E1559)*IF(F1559="",IFERROR(N(INDEX(Produtos!$L$5:$L$104,MATCH(D1559,Produtos!$B$5:$B$104,0))),0),F1559))</f>
        <v/>
      </c>
      <c r="H1559" s="27" t="str">
        <f aca="false">IF(G1559="","",IF(N(E1559)=0,1,E1559)*IFERROR(N(INDEX(Produtos!$G$5:$G$104,MATCH(D1559,Produtos!$B$5:$B$104,0))),0))</f>
        <v/>
      </c>
      <c r="I1559" s="27" t="str">
        <f aca="false">IF(G1559="","",G1559-H1559)</f>
        <v/>
      </c>
      <c r="J1559" s="42"/>
    </row>
    <row r="1560" customFormat="false" ht="21" hidden="false" customHeight="true" outlineLevel="0" collapsed="false">
      <c r="B1560" s="41"/>
      <c r="C1560" s="9"/>
      <c r="D1560" s="9"/>
      <c r="E1560" s="42"/>
      <c r="F1560" s="43"/>
      <c r="G1560" s="27" t="str">
        <f aca="false">IF(OR(C1560="",AND(D1560="",F1560="")),"",IF(N(E1560)=0,1,E1560)*IF(F1560="",IFERROR(N(INDEX(Produtos!$L$5:$L$104,MATCH(D1560,Produtos!$B$5:$B$104,0))),0),F1560))</f>
        <v/>
      </c>
      <c r="H1560" s="27" t="str">
        <f aca="false">IF(G1560="","",IF(N(E1560)=0,1,E1560)*IFERROR(N(INDEX(Produtos!$G$5:$G$104,MATCH(D1560,Produtos!$B$5:$B$104,0))),0))</f>
        <v/>
      </c>
      <c r="I1560" s="27" t="str">
        <f aca="false">IF(G1560="","",G1560-H1560)</f>
        <v/>
      </c>
      <c r="J1560" s="42"/>
    </row>
    <row r="1561" customFormat="false" ht="21" hidden="false" customHeight="true" outlineLevel="0" collapsed="false">
      <c r="B1561" s="41"/>
      <c r="C1561" s="9"/>
      <c r="D1561" s="9"/>
      <c r="E1561" s="42"/>
      <c r="F1561" s="43"/>
      <c r="G1561" s="27" t="str">
        <f aca="false">IF(OR(C1561="",AND(D1561="",F1561="")),"",IF(N(E1561)=0,1,E1561)*IF(F1561="",IFERROR(N(INDEX(Produtos!$L$5:$L$104,MATCH(D1561,Produtos!$B$5:$B$104,0))),0),F1561))</f>
        <v/>
      </c>
      <c r="H1561" s="27" t="str">
        <f aca="false">IF(G1561="","",IF(N(E1561)=0,1,E1561)*IFERROR(N(INDEX(Produtos!$G$5:$G$104,MATCH(D1561,Produtos!$B$5:$B$104,0))),0))</f>
        <v/>
      </c>
      <c r="I1561" s="27" t="str">
        <f aca="false">IF(G1561="","",G1561-H1561)</f>
        <v/>
      </c>
      <c r="J1561" s="42"/>
    </row>
    <row r="1562" customFormat="false" ht="21" hidden="false" customHeight="true" outlineLevel="0" collapsed="false">
      <c r="B1562" s="41"/>
      <c r="C1562" s="9"/>
      <c r="D1562" s="9"/>
      <c r="E1562" s="42"/>
      <c r="F1562" s="43"/>
      <c r="G1562" s="27" t="str">
        <f aca="false">IF(OR(C1562="",AND(D1562="",F1562="")),"",IF(N(E1562)=0,1,E1562)*IF(F1562="",IFERROR(N(INDEX(Produtos!$L$5:$L$104,MATCH(D1562,Produtos!$B$5:$B$104,0))),0),F1562))</f>
        <v/>
      </c>
      <c r="H1562" s="27" t="str">
        <f aca="false">IF(G1562="","",IF(N(E1562)=0,1,E1562)*IFERROR(N(INDEX(Produtos!$G$5:$G$104,MATCH(D1562,Produtos!$B$5:$B$104,0))),0))</f>
        <v/>
      </c>
      <c r="I1562" s="27" t="str">
        <f aca="false">IF(G1562="","",G1562-H1562)</f>
        <v/>
      </c>
      <c r="J1562" s="42"/>
    </row>
    <row r="1563" customFormat="false" ht="21" hidden="false" customHeight="true" outlineLevel="0" collapsed="false">
      <c r="B1563" s="41"/>
      <c r="C1563" s="9"/>
      <c r="D1563" s="9"/>
      <c r="E1563" s="42"/>
      <c r="F1563" s="43"/>
      <c r="G1563" s="27" t="str">
        <f aca="false">IF(OR(C1563="",AND(D1563="",F1563="")),"",IF(N(E1563)=0,1,E1563)*IF(F1563="",IFERROR(N(INDEX(Produtos!$L$5:$L$104,MATCH(D1563,Produtos!$B$5:$B$104,0))),0),F1563))</f>
        <v/>
      </c>
      <c r="H1563" s="27" t="str">
        <f aca="false">IF(G1563="","",IF(N(E1563)=0,1,E1563)*IFERROR(N(INDEX(Produtos!$G$5:$G$104,MATCH(D1563,Produtos!$B$5:$B$104,0))),0))</f>
        <v/>
      </c>
      <c r="I1563" s="27" t="str">
        <f aca="false">IF(G1563="","",G1563-H1563)</f>
        <v/>
      </c>
      <c r="J1563" s="42"/>
    </row>
    <row r="1564" customFormat="false" ht="21" hidden="false" customHeight="true" outlineLevel="0" collapsed="false">
      <c r="B1564" s="41"/>
      <c r="C1564" s="9"/>
      <c r="D1564" s="9"/>
      <c r="E1564" s="42"/>
      <c r="F1564" s="43"/>
      <c r="G1564" s="27" t="str">
        <f aca="false">IF(OR(C1564="",AND(D1564="",F1564="")),"",IF(N(E1564)=0,1,E1564)*IF(F1564="",IFERROR(N(INDEX(Produtos!$L$5:$L$104,MATCH(D1564,Produtos!$B$5:$B$104,0))),0),F1564))</f>
        <v/>
      </c>
      <c r="H1564" s="27" t="str">
        <f aca="false">IF(G1564="","",IF(N(E1564)=0,1,E1564)*IFERROR(N(INDEX(Produtos!$G$5:$G$104,MATCH(D1564,Produtos!$B$5:$B$104,0))),0))</f>
        <v/>
      </c>
      <c r="I1564" s="27" t="str">
        <f aca="false">IF(G1564="","",G1564-H1564)</f>
        <v/>
      </c>
      <c r="J1564" s="42"/>
    </row>
    <row r="1565" customFormat="false" ht="21" hidden="false" customHeight="true" outlineLevel="0" collapsed="false">
      <c r="B1565" s="41"/>
      <c r="C1565" s="9"/>
      <c r="D1565" s="9"/>
      <c r="E1565" s="42"/>
      <c r="F1565" s="43"/>
      <c r="G1565" s="27" t="str">
        <f aca="false">IF(OR(C1565="",AND(D1565="",F1565="")),"",IF(N(E1565)=0,1,E1565)*IF(F1565="",IFERROR(N(INDEX(Produtos!$L$5:$L$104,MATCH(D1565,Produtos!$B$5:$B$104,0))),0),F1565))</f>
        <v/>
      </c>
      <c r="H1565" s="27" t="str">
        <f aca="false">IF(G1565="","",IF(N(E1565)=0,1,E1565)*IFERROR(N(INDEX(Produtos!$G$5:$G$104,MATCH(D1565,Produtos!$B$5:$B$104,0))),0))</f>
        <v/>
      </c>
      <c r="I1565" s="27" t="str">
        <f aca="false">IF(G1565="","",G1565-H1565)</f>
        <v/>
      </c>
      <c r="J1565" s="42"/>
    </row>
    <row r="1566" customFormat="false" ht="21" hidden="false" customHeight="true" outlineLevel="0" collapsed="false">
      <c r="B1566" s="41"/>
      <c r="C1566" s="9"/>
      <c r="D1566" s="9"/>
      <c r="E1566" s="42"/>
      <c r="F1566" s="43"/>
      <c r="G1566" s="27" t="str">
        <f aca="false">IF(OR(C1566="",AND(D1566="",F1566="")),"",IF(N(E1566)=0,1,E1566)*IF(F1566="",IFERROR(N(INDEX(Produtos!$L$5:$L$104,MATCH(D1566,Produtos!$B$5:$B$104,0))),0),F1566))</f>
        <v/>
      </c>
      <c r="H1566" s="27" t="str">
        <f aca="false">IF(G1566="","",IF(N(E1566)=0,1,E1566)*IFERROR(N(INDEX(Produtos!$G$5:$G$104,MATCH(D1566,Produtos!$B$5:$B$104,0))),0))</f>
        <v/>
      </c>
      <c r="I1566" s="27" t="str">
        <f aca="false">IF(G1566="","",G1566-H1566)</f>
        <v/>
      </c>
      <c r="J1566" s="42"/>
    </row>
    <row r="1567" customFormat="false" ht="21" hidden="false" customHeight="true" outlineLevel="0" collapsed="false">
      <c r="B1567" s="41"/>
      <c r="C1567" s="9"/>
      <c r="D1567" s="9"/>
      <c r="E1567" s="42"/>
      <c r="F1567" s="43"/>
      <c r="G1567" s="27" t="str">
        <f aca="false">IF(OR(C1567="",AND(D1567="",F1567="")),"",IF(N(E1567)=0,1,E1567)*IF(F1567="",IFERROR(N(INDEX(Produtos!$L$5:$L$104,MATCH(D1567,Produtos!$B$5:$B$104,0))),0),F1567))</f>
        <v/>
      </c>
      <c r="H1567" s="27" t="str">
        <f aca="false">IF(G1567="","",IF(N(E1567)=0,1,E1567)*IFERROR(N(INDEX(Produtos!$G$5:$G$104,MATCH(D1567,Produtos!$B$5:$B$104,0))),0))</f>
        <v/>
      </c>
      <c r="I1567" s="27" t="str">
        <f aca="false">IF(G1567="","",G1567-H1567)</f>
        <v/>
      </c>
      <c r="J1567" s="42"/>
    </row>
    <row r="1568" customFormat="false" ht="21" hidden="false" customHeight="true" outlineLevel="0" collapsed="false">
      <c r="B1568" s="41"/>
      <c r="C1568" s="9"/>
      <c r="D1568" s="9"/>
      <c r="E1568" s="42"/>
      <c r="F1568" s="43"/>
      <c r="G1568" s="27" t="str">
        <f aca="false">IF(OR(C1568="",AND(D1568="",F1568="")),"",IF(N(E1568)=0,1,E1568)*IF(F1568="",IFERROR(N(INDEX(Produtos!$L$5:$L$104,MATCH(D1568,Produtos!$B$5:$B$104,0))),0),F1568))</f>
        <v/>
      </c>
      <c r="H1568" s="27" t="str">
        <f aca="false">IF(G1568="","",IF(N(E1568)=0,1,E1568)*IFERROR(N(INDEX(Produtos!$G$5:$G$104,MATCH(D1568,Produtos!$B$5:$B$104,0))),0))</f>
        <v/>
      </c>
      <c r="I1568" s="27" t="str">
        <f aca="false">IF(G1568="","",G1568-H1568)</f>
        <v/>
      </c>
      <c r="J1568" s="42"/>
    </row>
    <row r="1569" customFormat="false" ht="21" hidden="false" customHeight="true" outlineLevel="0" collapsed="false">
      <c r="B1569" s="41"/>
      <c r="C1569" s="9"/>
      <c r="D1569" s="9"/>
      <c r="E1569" s="42"/>
      <c r="F1569" s="43"/>
      <c r="G1569" s="27" t="str">
        <f aca="false">IF(OR(C1569="",AND(D1569="",F1569="")),"",IF(N(E1569)=0,1,E1569)*IF(F1569="",IFERROR(N(INDEX(Produtos!$L$5:$L$104,MATCH(D1569,Produtos!$B$5:$B$104,0))),0),F1569))</f>
        <v/>
      </c>
      <c r="H1569" s="27" t="str">
        <f aca="false">IF(G1569="","",IF(N(E1569)=0,1,E1569)*IFERROR(N(INDEX(Produtos!$G$5:$G$104,MATCH(D1569,Produtos!$B$5:$B$104,0))),0))</f>
        <v/>
      </c>
      <c r="I1569" s="27" t="str">
        <f aca="false">IF(G1569="","",G1569-H1569)</f>
        <v/>
      </c>
      <c r="J1569" s="42"/>
    </row>
    <row r="1570" customFormat="false" ht="21" hidden="false" customHeight="true" outlineLevel="0" collapsed="false">
      <c r="B1570" s="41"/>
      <c r="C1570" s="9"/>
      <c r="D1570" s="9"/>
      <c r="E1570" s="42"/>
      <c r="F1570" s="43"/>
      <c r="G1570" s="27" t="str">
        <f aca="false">IF(OR(C1570="",AND(D1570="",F1570="")),"",IF(N(E1570)=0,1,E1570)*IF(F1570="",IFERROR(N(INDEX(Produtos!$L$5:$L$104,MATCH(D1570,Produtos!$B$5:$B$104,0))),0),F1570))</f>
        <v/>
      </c>
      <c r="H1570" s="27" t="str">
        <f aca="false">IF(G1570="","",IF(N(E1570)=0,1,E1570)*IFERROR(N(INDEX(Produtos!$G$5:$G$104,MATCH(D1570,Produtos!$B$5:$B$104,0))),0))</f>
        <v/>
      </c>
      <c r="I1570" s="27" t="str">
        <f aca="false">IF(G1570="","",G1570-H1570)</f>
        <v/>
      </c>
      <c r="J1570" s="42"/>
    </row>
    <row r="1571" customFormat="false" ht="21" hidden="false" customHeight="true" outlineLevel="0" collapsed="false">
      <c r="B1571" s="41"/>
      <c r="C1571" s="9"/>
      <c r="D1571" s="9"/>
      <c r="E1571" s="42"/>
      <c r="F1571" s="43"/>
      <c r="G1571" s="27" t="str">
        <f aca="false">IF(OR(C1571="",AND(D1571="",F1571="")),"",IF(N(E1571)=0,1,E1571)*IF(F1571="",IFERROR(N(INDEX(Produtos!$L$5:$L$104,MATCH(D1571,Produtos!$B$5:$B$104,0))),0),F1571))</f>
        <v/>
      </c>
      <c r="H1571" s="27" t="str">
        <f aca="false">IF(G1571="","",IF(N(E1571)=0,1,E1571)*IFERROR(N(INDEX(Produtos!$G$5:$G$104,MATCH(D1571,Produtos!$B$5:$B$104,0))),0))</f>
        <v/>
      </c>
      <c r="I1571" s="27" t="str">
        <f aca="false">IF(G1571="","",G1571-H1571)</f>
        <v/>
      </c>
      <c r="J1571" s="42"/>
    </row>
    <row r="1572" customFormat="false" ht="21" hidden="false" customHeight="true" outlineLevel="0" collapsed="false">
      <c r="B1572" s="41"/>
      <c r="C1572" s="9"/>
      <c r="D1572" s="9"/>
      <c r="E1572" s="42"/>
      <c r="F1572" s="43"/>
      <c r="G1572" s="27" t="str">
        <f aca="false">IF(OR(C1572="",AND(D1572="",F1572="")),"",IF(N(E1572)=0,1,E1572)*IF(F1572="",IFERROR(N(INDEX(Produtos!$L$5:$L$104,MATCH(D1572,Produtos!$B$5:$B$104,0))),0),F1572))</f>
        <v/>
      </c>
      <c r="H1572" s="27" t="str">
        <f aca="false">IF(G1572="","",IF(N(E1572)=0,1,E1572)*IFERROR(N(INDEX(Produtos!$G$5:$G$104,MATCH(D1572,Produtos!$B$5:$B$104,0))),0))</f>
        <v/>
      </c>
      <c r="I1572" s="27" t="str">
        <f aca="false">IF(G1572="","",G1572-H1572)</f>
        <v/>
      </c>
      <c r="J1572" s="42"/>
    </row>
    <row r="1573" customFormat="false" ht="21" hidden="false" customHeight="true" outlineLevel="0" collapsed="false">
      <c r="B1573" s="41"/>
      <c r="C1573" s="9"/>
      <c r="D1573" s="9"/>
      <c r="E1573" s="42"/>
      <c r="F1573" s="43"/>
      <c r="G1573" s="27" t="str">
        <f aca="false">IF(OR(C1573="",AND(D1573="",F1573="")),"",IF(N(E1573)=0,1,E1573)*IF(F1573="",IFERROR(N(INDEX(Produtos!$L$5:$L$104,MATCH(D1573,Produtos!$B$5:$B$104,0))),0),F1573))</f>
        <v/>
      </c>
      <c r="H1573" s="27" t="str">
        <f aca="false">IF(G1573="","",IF(N(E1573)=0,1,E1573)*IFERROR(N(INDEX(Produtos!$G$5:$G$104,MATCH(D1573,Produtos!$B$5:$B$104,0))),0))</f>
        <v/>
      </c>
      <c r="I1573" s="27" t="str">
        <f aca="false">IF(G1573="","",G1573-H1573)</f>
        <v/>
      </c>
      <c r="J1573" s="42"/>
    </row>
    <row r="1574" customFormat="false" ht="21" hidden="false" customHeight="true" outlineLevel="0" collapsed="false">
      <c r="B1574" s="41"/>
      <c r="C1574" s="9"/>
      <c r="D1574" s="9"/>
      <c r="E1574" s="42"/>
      <c r="F1574" s="43"/>
      <c r="G1574" s="27" t="str">
        <f aca="false">IF(OR(C1574="",AND(D1574="",F1574="")),"",IF(N(E1574)=0,1,E1574)*IF(F1574="",IFERROR(N(INDEX(Produtos!$L$5:$L$104,MATCH(D1574,Produtos!$B$5:$B$104,0))),0),F1574))</f>
        <v/>
      </c>
      <c r="H1574" s="27" t="str">
        <f aca="false">IF(G1574="","",IF(N(E1574)=0,1,E1574)*IFERROR(N(INDEX(Produtos!$G$5:$G$104,MATCH(D1574,Produtos!$B$5:$B$104,0))),0))</f>
        <v/>
      </c>
      <c r="I1574" s="27" t="str">
        <f aca="false">IF(G1574="","",G1574-H1574)</f>
        <v/>
      </c>
      <c r="J1574" s="42"/>
    </row>
    <row r="1575" customFormat="false" ht="21" hidden="false" customHeight="true" outlineLevel="0" collapsed="false">
      <c r="B1575" s="41"/>
      <c r="C1575" s="9"/>
      <c r="D1575" s="9"/>
      <c r="E1575" s="42"/>
      <c r="F1575" s="43"/>
      <c r="G1575" s="27" t="str">
        <f aca="false">IF(OR(C1575="",AND(D1575="",F1575="")),"",IF(N(E1575)=0,1,E1575)*IF(F1575="",IFERROR(N(INDEX(Produtos!$L$5:$L$104,MATCH(D1575,Produtos!$B$5:$B$104,0))),0),F1575))</f>
        <v/>
      </c>
      <c r="H1575" s="27" t="str">
        <f aca="false">IF(G1575="","",IF(N(E1575)=0,1,E1575)*IFERROR(N(INDEX(Produtos!$G$5:$G$104,MATCH(D1575,Produtos!$B$5:$B$104,0))),0))</f>
        <v/>
      </c>
      <c r="I1575" s="27" t="str">
        <f aca="false">IF(G1575="","",G1575-H1575)</f>
        <v/>
      </c>
      <c r="J1575" s="42"/>
    </row>
    <row r="1576" customFormat="false" ht="21" hidden="false" customHeight="true" outlineLevel="0" collapsed="false">
      <c r="B1576" s="41"/>
      <c r="C1576" s="9"/>
      <c r="D1576" s="9"/>
      <c r="E1576" s="42"/>
      <c r="F1576" s="43"/>
      <c r="G1576" s="27" t="str">
        <f aca="false">IF(OR(C1576="",AND(D1576="",F1576="")),"",IF(N(E1576)=0,1,E1576)*IF(F1576="",IFERROR(N(INDEX(Produtos!$L$5:$L$104,MATCH(D1576,Produtos!$B$5:$B$104,0))),0),F1576))</f>
        <v/>
      </c>
      <c r="H1576" s="27" t="str">
        <f aca="false">IF(G1576="","",IF(N(E1576)=0,1,E1576)*IFERROR(N(INDEX(Produtos!$G$5:$G$104,MATCH(D1576,Produtos!$B$5:$B$104,0))),0))</f>
        <v/>
      </c>
      <c r="I1576" s="27" t="str">
        <f aca="false">IF(G1576="","",G1576-H1576)</f>
        <v/>
      </c>
      <c r="J1576" s="42"/>
    </row>
    <row r="1577" customFormat="false" ht="21" hidden="false" customHeight="true" outlineLevel="0" collapsed="false">
      <c r="B1577" s="41"/>
      <c r="C1577" s="9"/>
      <c r="D1577" s="9"/>
      <c r="E1577" s="42"/>
      <c r="F1577" s="43"/>
      <c r="G1577" s="27" t="str">
        <f aca="false">IF(OR(C1577="",AND(D1577="",F1577="")),"",IF(N(E1577)=0,1,E1577)*IF(F1577="",IFERROR(N(INDEX(Produtos!$L$5:$L$104,MATCH(D1577,Produtos!$B$5:$B$104,0))),0),F1577))</f>
        <v/>
      </c>
      <c r="H1577" s="27" t="str">
        <f aca="false">IF(G1577="","",IF(N(E1577)=0,1,E1577)*IFERROR(N(INDEX(Produtos!$G$5:$G$104,MATCH(D1577,Produtos!$B$5:$B$104,0))),0))</f>
        <v/>
      </c>
      <c r="I1577" s="27" t="str">
        <f aca="false">IF(G1577="","",G1577-H1577)</f>
        <v/>
      </c>
      <c r="J1577" s="42"/>
    </row>
    <row r="1578" customFormat="false" ht="21" hidden="false" customHeight="true" outlineLevel="0" collapsed="false">
      <c r="B1578" s="41"/>
      <c r="C1578" s="9"/>
      <c r="D1578" s="9"/>
      <c r="E1578" s="42"/>
      <c r="F1578" s="43"/>
      <c r="G1578" s="27" t="str">
        <f aca="false">IF(OR(C1578="",AND(D1578="",F1578="")),"",IF(N(E1578)=0,1,E1578)*IF(F1578="",IFERROR(N(INDEX(Produtos!$L$5:$L$104,MATCH(D1578,Produtos!$B$5:$B$104,0))),0),F1578))</f>
        <v/>
      </c>
      <c r="H1578" s="27" t="str">
        <f aca="false">IF(G1578="","",IF(N(E1578)=0,1,E1578)*IFERROR(N(INDEX(Produtos!$G$5:$G$104,MATCH(D1578,Produtos!$B$5:$B$104,0))),0))</f>
        <v/>
      </c>
      <c r="I1578" s="27" t="str">
        <f aca="false">IF(G1578="","",G1578-H1578)</f>
        <v/>
      </c>
      <c r="J1578" s="42"/>
    </row>
    <row r="1579" customFormat="false" ht="21" hidden="false" customHeight="true" outlineLevel="0" collapsed="false">
      <c r="B1579" s="41"/>
      <c r="C1579" s="9"/>
      <c r="D1579" s="9"/>
      <c r="E1579" s="42"/>
      <c r="F1579" s="43"/>
      <c r="G1579" s="27" t="str">
        <f aca="false">IF(OR(C1579="",AND(D1579="",F1579="")),"",IF(N(E1579)=0,1,E1579)*IF(F1579="",IFERROR(N(INDEX(Produtos!$L$5:$L$104,MATCH(D1579,Produtos!$B$5:$B$104,0))),0),F1579))</f>
        <v/>
      </c>
      <c r="H1579" s="27" t="str">
        <f aca="false">IF(G1579="","",IF(N(E1579)=0,1,E1579)*IFERROR(N(INDEX(Produtos!$G$5:$G$104,MATCH(D1579,Produtos!$B$5:$B$104,0))),0))</f>
        <v/>
      </c>
      <c r="I1579" s="27" t="str">
        <f aca="false">IF(G1579="","",G1579-H1579)</f>
        <v/>
      </c>
      <c r="J1579" s="42"/>
    </row>
    <row r="1580" customFormat="false" ht="21" hidden="false" customHeight="true" outlineLevel="0" collapsed="false">
      <c r="B1580" s="41"/>
      <c r="C1580" s="9"/>
      <c r="D1580" s="9"/>
      <c r="E1580" s="42"/>
      <c r="F1580" s="43"/>
      <c r="G1580" s="27" t="str">
        <f aca="false">IF(OR(C1580="",AND(D1580="",F1580="")),"",IF(N(E1580)=0,1,E1580)*IF(F1580="",IFERROR(N(INDEX(Produtos!$L$5:$L$104,MATCH(D1580,Produtos!$B$5:$B$104,0))),0),F1580))</f>
        <v/>
      </c>
      <c r="H1580" s="27" t="str">
        <f aca="false">IF(G1580="","",IF(N(E1580)=0,1,E1580)*IFERROR(N(INDEX(Produtos!$G$5:$G$104,MATCH(D1580,Produtos!$B$5:$B$104,0))),0))</f>
        <v/>
      </c>
      <c r="I1580" s="27" t="str">
        <f aca="false">IF(G1580="","",G1580-H1580)</f>
        <v/>
      </c>
      <c r="J1580" s="42"/>
    </row>
    <row r="1581" customFormat="false" ht="21" hidden="false" customHeight="true" outlineLevel="0" collapsed="false">
      <c r="B1581" s="41"/>
      <c r="C1581" s="9"/>
      <c r="D1581" s="9"/>
      <c r="E1581" s="42"/>
      <c r="F1581" s="43"/>
      <c r="G1581" s="27" t="str">
        <f aca="false">IF(OR(C1581="",AND(D1581="",F1581="")),"",IF(N(E1581)=0,1,E1581)*IF(F1581="",IFERROR(N(INDEX(Produtos!$L$5:$L$104,MATCH(D1581,Produtos!$B$5:$B$104,0))),0),F1581))</f>
        <v/>
      </c>
      <c r="H1581" s="27" t="str">
        <f aca="false">IF(G1581="","",IF(N(E1581)=0,1,E1581)*IFERROR(N(INDEX(Produtos!$G$5:$G$104,MATCH(D1581,Produtos!$B$5:$B$104,0))),0))</f>
        <v/>
      </c>
      <c r="I1581" s="27" t="str">
        <f aca="false">IF(G1581="","",G1581-H1581)</f>
        <v/>
      </c>
      <c r="J1581" s="42"/>
    </row>
    <row r="1582" customFormat="false" ht="21" hidden="false" customHeight="true" outlineLevel="0" collapsed="false">
      <c r="B1582" s="41"/>
      <c r="C1582" s="9"/>
      <c r="D1582" s="9"/>
      <c r="E1582" s="42"/>
      <c r="F1582" s="43"/>
      <c r="G1582" s="27" t="str">
        <f aca="false">IF(OR(C1582="",AND(D1582="",F1582="")),"",IF(N(E1582)=0,1,E1582)*IF(F1582="",IFERROR(N(INDEX(Produtos!$L$5:$L$104,MATCH(D1582,Produtos!$B$5:$B$104,0))),0),F1582))</f>
        <v/>
      </c>
      <c r="H1582" s="27" t="str">
        <f aca="false">IF(G1582="","",IF(N(E1582)=0,1,E1582)*IFERROR(N(INDEX(Produtos!$G$5:$G$104,MATCH(D1582,Produtos!$B$5:$B$104,0))),0))</f>
        <v/>
      </c>
      <c r="I1582" s="27" t="str">
        <f aca="false">IF(G1582="","",G1582-H1582)</f>
        <v/>
      </c>
      <c r="J1582" s="42"/>
    </row>
    <row r="1583" customFormat="false" ht="21" hidden="false" customHeight="true" outlineLevel="0" collapsed="false">
      <c r="B1583" s="41"/>
      <c r="C1583" s="9"/>
      <c r="D1583" s="9"/>
      <c r="E1583" s="42"/>
      <c r="F1583" s="43"/>
      <c r="G1583" s="27" t="str">
        <f aca="false">IF(OR(C1583="",AND(D1583="",F1583="")),"",IF(N(E1583)=0,1,E1583)*IF(F1583="",IFERROR(N(INDEX(Produtos!$L$5:$L$104,MATCH(D1583,Produtos!$B$5:$B$104,0))),0),F1583))</f>
        <v/>
      </c>
      <c r="H1583" s="27" t="str">
        <f aca="false">IF(G1583="","",IF(N(E1583)=0,1,E1583)*IFERROR(N(INDEX(Produtos!$G$5:$G$104,MATCH(D1583,Produtos!$B$5:$B$104,0))),0))</f>
        <v/>
      </c>
      <c r="I1583" s="27" t="str">
        <f aca="false">IF(G1583="","",G1583-H1583)</f>
        <v/>
      </c>
      <c r="J1583" s="42"/>
    </row>
    <row r="1584" customFormat="false" ht="21" hidden="false" customHeight="true" outlineLevel="0" collapsed="false">
      <c r="B1584" s="41"/>
      <c r="C1584" s="9"/>
      <c r="D1584" s="9"/>
      <c r="E1584" s="42"/>
      <c r="F1584" s="43"/>
      <c r="G1584" s="27" t="str">
        <f aca="false">IF(OR(C1584="",AND(D1584="",F1584="")),"",IF(N(E1584)=0,1,E1584)*IF(F1584="",IFERROR(N(INDEX(Produtos!$L$5:$L$104,MATCH(D1584,Produtos!$B$5:$B$104,0))),0),F1584))</f>
        <v/>
      </c>
      <c r="H1584" s="27" t="str">
        <f aca="false">IF(G1584="","",IF(N(E1584)=0,1,E1584)*IFERROR(N(INDEX(Produtos!$G$5:$G$104,MATCH(D1584,Produtos!$B$5:$B$104,0))),0))</f>
        <v/>
      </c>
      <c r="I1584" s="27" t="str">
        <f aca="false">IF(G1584="","",G1584-H1584)</f>
        <v/>
      </c>
      <c r="J1584" s="42"/>
    </row>
    <row r="1585" customFormat="false" ht="21" hidden="false" customHeight="true" outlineLevel="0" collapsed="false">
      <c r="B1585" s="41"/>
      <c r="C1585" s="9"/>
      <c r="D1585" s="9"/>
      <c r="E1585" s="42"/>
      <c r="F1585" s="43"/>
      <c r="G1585" s="27" t="str">
        <f aca="false">IF(OR(C1585="",AND(D1585="",F1585="")),"",IF(N(E1585)=0,1,E1585)*IF(F1585="",IFERROR(N(INDEX(Produtos!$L$5:$L$104,MATCH(D1585,Produtos!$B$5:$B$104,0))),0),F1585))</f>
        <v/>
      </c>
      <c r="H1585" s="27" t="str">
        <f aca="false">IF(G1585="","",IF(N(E1585)=0,1,E1585)*IFERROR(N(INDEX(Produtos!$G$5:$G$104,MATCH(D1585,Produtos!$B$5:$B$104,0))),0))</f>
        <v/>
      </c>
      <c r="I1585" s="27" t="str">
        <f aca="false">IF(G1585="","",G1585-H1585)</f>
        <v/>
      </c>
      <c r="J1585" s="42"/>
    </row>
    <row r="1586" customFormat="false" ht="21" hidden="false" customHeight="true" outlineLevel="0" collapsed="false">
      <c r="B1586" s="41"/>
      <c r="C1586" s="9"/>
      <c r="D1586" s="9"/>
      <c r="E1586" s="42"/>
      <c r="F1586" s="43"/>
      <c r="G1586" s="27" t="str">
        <f aca="false">IF(OR(C1586="",AND(D1586="",F1586="")),"",IF(N(E1586)=0,1,E1586)*IF(F1586="",IFERROR(N(INDEX(Produtos!$L$5:$L$104,MATCH(D1586,Produtos!$B$5:$B$104,0))),0),F1586))</f>
        <v/>
      </c>
      <c r="H1586" s="27" t="str">
        <f aca="false">IF(G1586="","",IF(N(E1586)=0,1,E1586)*IFERROR(N(INDEX(Produtos!$G$5:$G$104,MATCH(D1586,Produtos!$B$5:$B$104,0))),0))</f>
        <v/>
      </c>
      <c r="I1586" s="27" t="str">
        <f aca="false">IF(G1586="","",G1586-H1586)</f>
        <v/>
      </c>
      <c r="J1586" s="42"/>
    </row>
    <row r="1587" customFormat="false" ht="21" hidden="false" customHeight="true" outlineLevel="0" collapsed="false">
      <c r="B1587" s="41"/>
      <c r="C1587" s="9"/>
      <c r="D1587" s="9"/>
      <c r="E1587" s="42"/>
      <c r="F1587" s="43"/>
      <c r="G1587" s="27" t="str">
        <f aca="false">IF(OR(C1587="",AND(D1587="",F1587="")),"",IF(N(E1587)=0,1,E1587)*IF(F1587="",IFERROR(N(INDEX(Produtos!$L$5:$L$104,MATCH(D1587,Produtos!$B$5:$B$104,0))),0),F1587))</f>
        <v/>
      </c>
      <c r="H1587" s="27" t="str">
        <f aca="false">IF(G1587="","",IF(N(E1587)=0,1,E1587)*IFERROR(N(INDEX(Produtos!$G$5:$G$104,MATCH(D1587,Produtos!$B$5:$B$104,0))),0))</f>
        <v/>
      </c>
      <c r="I1587" s="27" t="str">
        <f aca="false">IF(G1587="","",G1587-H1587)</f>
        <v/>
      </c>
      <c r="J1587" s="42"/>
    </row>
    <row r="1588" customFormat="false" ht="21" hidden="false" customHeight="true" outlineLevel="0" collapsed="false">
      <c r="B1588" s="41"/>
      <c r="C1588" s="9"/>
      <c r="D1588" s="9"/>
      <c r="E1588" s="42"/>
      <c r="F1588" s="43"/>
      <c r="G1588" s="27" t="str">
        <f aca="false">IF(OR(C1588="",AND(D1588="",F1588="")),"",IF(N(E1588)=0,1,E1588)*IF(F1588="",IFERROR(N(INDEX(Produtos!$L$5:$L$104,MATCH(D1588,Produtos!$B$5:$B$104,0))),0),F1588))</f>
        <v/>
      </c>
      <c r="H1588" s="27" t="str">
        <f aca="false">IF(G1588="","",IF(N(E1588)=0,1,E1588)*IFERROR(N(INDEX(Produtos!$G$5:$G$104,MATCH(D1588,Produtos!$B$5:$B$104,0))),0))</f>
        <v/>
      </c>
      <c r="I1588" s="27" t="str">
        <f aca="false">IF(G1588="","",G1588-H1588)</f>
        <v/>
      </c>
      <c r="J1588" s="42"/>
    </row>
    <row r="1589" customFormat="false" ht="21" hidden="false" customHeight="true" outlineLevel="0" collapsed="false">
      <c r="B1589" s="41"/>
      <c r="C1589" s="9"/>
      <c r="D1589" s="9"/>
      <c r="E1589" s="42"/>
      <c r="F1589" s="43"/>
      <c r="G1589" s="27" t="str">
        <f aca="false">IF(OR(C1589="",AND(D1589="",F1589="")),"",IF(N(E1589)=0,1,E1589)*IF(F1589="",IFERROR(N(INDEX(Produtos!$L$5:$L$104,MATCH(D1589,Produtos!$B$5:$B$104,0))),0),F1589))</f>
        <v/>
      </c>
      <c r="H1589" s="27" t="str">
        <f aca="false">IF(G1589="","",IF(N(E1589)=0,1,E1589)*IFERROR(N(INDEX(Produtos!$G$5:$G$104,MATCH(D1589,Produtos!$B$5:$B$104,0))),0))</f>
        <v/>
      </c>
      <c r="I1589" s="27" t="str">
        <f aca="false">IF(G1589="","",G1589-H1589)</f>
        <v/>
      </c>
      <c r="J1589" s="42"/>
    </row>
    <row r="1590" customFormat="false" ht="21" hidden="false" customHeight="true" outlineLevel="0" collapsed="false">
      <c r="B1590" s="41"/>
      <c r="C1590" s="9"/>
      <c r="D1590" s="9"/>
      <c r="E1590" s="42"/>
      <c r="F1590" s="43"/>
      <c r="G1590" s="27" t="str">
        <f aca="false">IF(OR(C1590="",AND(D1590="",F1590="")),"",IF(N(E1590)=0,1,E1590)*IF(F1590="",IFERROR(N(INDEX(Produtos!$L$5:$L$104,MATCH(D1590,Produtos!$B$5:$B$104,0))),0),F1590))</f>
        <v/>
      </c>
      <c r="H1590" s="27" t="str">
        <f aca="false">IF(G1590="","",IF(N(E1590)=0,1,E1590)*IFERROR(N(INDEX(Produtos!$G$5:$G$104,MATCH(D1590,Produtos!$B$5:$B$104,0))),0))</f>
        <v/>
      </c>
      <c r="I1590" s="27" t="str">
        <f aca="false">IF(G1590="","",G1590-H1590)</f>
        <v/>
      </c>
      <c r="J1590" s="42"/>
    </row>
    <row r="1591" customFormat="false" ht="21" hidden="false" customHeight="true" outlineLevel="0" collapsed="false">
      <c r="B1591" s="41"/>
      <c r="C1591" s="9"/>
      <c r="D1591" s="9"/>
      <c r="E1591" s="42"/>
      <c r="F1591" s="43"/>
      <c r="G1591" s="27" t="str">
        <f aca="false">IF(OR(C1591="",AND(D1591="",F1591="")),"",IF(N(E1591)=0,1,E1591)*IF(F1591="",IFERROR(N(INDEX(Produtos!$L$5:$L$104,MATCH(D1591,Produtos!$B$5:$B$104,0))),0),F1591))</f>
        <v/>
      </c>
      <c r="H1591" s="27" t="str">
        <f aca="false">IF(G1591="","",IF(N(E1591)=0,1,E1591)*IFERROR(N(INDEX(Produtos!$G$5:$G$104,MATCH(D1591,Produtos!$B$5:$B$104,0))),0))</f>
        <v/>
      </c>
      <c r="I1591" s="27" t="str">
        <f aca="false">IF(G1591="","",G1591-H1591)</f>
        <v/>
      </c>
      <c r="J1591" s="42"/>
    </row>
    <row r="1592" customFormat="false" ht="21" hidden="false" customHeight="true" outlineLevel="0" collapsed="false">
      <c r="B1592" s="41"/>
      <c r="C1592" s="9"/>
      <c r="D1592" s="9"/>
      <c r="E1592" s="42"/>
      <c r="F1592" s="43"/>
      <c r="G1592" s="27" t="str">
        <f aca="false">IF(OR(C1592="",AND(D1592="",F1592="")),"",IF(N(E1592)=0,1,E1592)*IF(F1592="",IFERROR(N(INDEX(Produtos!$L$5:$L$104,MATCH(D1592,Produtos!$B$5:$B$104,0))),0),F1592))</f>
        <v/>
      </c>
      <c r="H1592" s="27" t="str">
        <f aca="false">IF(G1592="","",IF(N(E1592)=0,1,E1592)*IFERROR(N(INDEX(Produtos!$G$5:$G$104,MATCH(D1592,Produtos!$B$5:$B$104,0))),0))</f>
        <v/>
      </c>
      <c r="I1592" s="27" t="str">
        <f aca="false">IF(G1592="","",G1592-H1592)</f>
        <v/>
      </c>
      <c r="J1592" s="42"/>
    </row>
    <row r="1593" customFormat="false" ht="21" hidden="false" customHeight="true" outlineLevel="0" collapsed="false">
      <c r="B1593" s="41"/>
      <c r="C1593" s="9"/>
      <c r="D1593" s="9"/>
      <c r="E1593" s="42"/>
      <c r="F1593" s="43"/>
      <c r="G1593" s="27" t="str">
        <f aca="false">IF(OR(C1593="",AND(D1593="",F1593="")),"",IF(N(E1593)=0,1,E1593)*IF(F1593="",IFERROR(N(INDEX(Produtos!$L$5:$L$104,MATCH(D1593,Produtos!$B$5:$B$104,0))),0),F1593))</f>
        <v/>
      </c>
      <c r="H1593" s="27" t="str">
        <f aca="false">IF(G1593="","",IF(N(E1593)=0,1,E1593)*IFERROR(N(INDEX(Produtos!$G$5:$G$104,MATCH(D1593,Produtos!$B$5:$B$104,0))),0))</f>
        <v/>
      </c>
      <c r="I1593" s="27" t="str">
        <f aca="false">IF(G1593="","",G1593-H1593)</f>
        <v/>
      </c>
      <c r="J1593" s="42"/>
    </row>
    <row r="1594" customFormat="false" ht="21" hidden="false" customHeight="true" outlineLevel="0" collapsed="false">
      <c r="B1594" s="41"/>
      <c r="C1594" s="9"/>
      <c r="D1594" s="9"/>
      <c r="E1594" s="42"/>
      <c r="F1594" s="43"/>
      <c r="G1594" s="27" t="str">
        <f aca="false">IF(OR(C1594="",AND(D1594="",F1594="")),"",IF(N(E1594)=0,1,E1594)*IF(F1594="",IFERROR(N(INDEX(Produtos!$L$5:$L$104,MATCH(D1594,Produtos!$B$5:$B$104,0))),0),F1594))</f>
        <v/>
      </c>
      <c r="H1594" s="27" t="str">
        <f aca="false">IF(G1594="","",IF(N(E1594)=0,1,E1594)*IFERROR(N(INDEX(Produtos!$G$5:$G$104,MATCH(D1594,Produtos!$B$5:$B$104,0))),0))</f>
        <v/>
      </c>
      <c r="I1594" s="27" t="str">
        <f aca="false">IF(G1594="","",G1594-H1594)</f>
        <v/>
      </c>
      <c r="J1594" s="42"/>
    </row>
    <row r="1595" customFormat="false" ht="21" hidden="false" customHeight="true" outlineLevel="0" collapsed="false">
      <c r="B1595" s="41"/>
      <c r="C1595" s="9"/>
      <c r="D1595" s="9"/>
      <c r="E1595" s="42"/>
      <c r="F1595" s="43"/>
      <c r="G1595" s="27" t="str">
        <f aca="false">IF(OR(C1595="",AND(D1595="",F1595="")),"",IF(N(E1595)=0,1,E1595)*IF(F1595="",IFERROR(N(INDEX(Produtos!$L$5:$L$104,MATCH(D1595,Produtos!$B$5:$B$104,0))),0),F1595))</f>
        <v/>
      </c>
      <c r="H1595" s="27" t="str">
        <f aca="false">IF(G1595="","",IF(N(E1595)=0,1,E1595)*IFERROR(N(INDEX(Produtos!$G$5:$G$104,MATCH(D1595,Produtos!$B$5:$B$104,0))),0))</f>
        <v/>
      </c>
      <c r="I1595" s="27" t="str">
        <f aca="false">IF(G1595="","",G1595-H1595)</f>
        <v/>
      </c>
      <c r="J1595" s="42"/>
    </row>
    <row r="1596" customFormat="false" ht="21" hidden="false" customHeight="true" outlineLevel="0" collapsed="false">
      <c r="B1596" s="41"/>
      <c r="C1596" s="9"/>
      <c r="D1596" s="9"/>
      <c r="E1596" s="42"/>
      <c r="F1596" s="43"/>
      <c r="G1596" s="27" t="str">
        <f aca="false">IF(OR(C1596="",AND(D1596="",F1596="")),"",IF(N(E1596)=0,1,E1596)*IF(F1596="",IFERROR(N(INDEX(Produtos!$L$5:$L$104,MATCH(D1596,Produtos!$B$5:$B$104,0))),0),F1596))</f>
        <v/>
      </c>
      <c r="H1596" s="27" t="str">
        <f aca="false">IF(G1596="","",IF(N(E1596)=0,1,E1596)*IFERROR(N(INDEX(Produtos!$G$5:$G$104,MATCH(D1596,Produtos!$B$5:$B$104,0))),0))</f>
        <v/>
      </c>
      <c r="I1596" s="27" t="str">
        <f aca="false">IF(G1596="","",G1596-H1596)</f>
        <v/>
      </c>
      <c r="J1596" s="42"/>
    </row>
    <row r="1597" customFormat="false" ht="21" hidden="false" customHeight="true" outlineLevel="0" collapsed="false">
      <c r="B1597" s="41"/>
      <c r="C1597" s="9"/>
      <c r="D1597" s="9"/>
      <c r="E1597" s="42"/>
      <c r="F1597" s="43"/>
      <c r="G1597" s="27" t="str">
        <f aca="false">IF(OR(C1597="",AND(D1597="",F1597="")),"",IF(N(E1597)=0,1,E1597)*IF(F1597="",IFERROR(N(INDEX(Produtos!$L$5:$L$104,MATCH(D1597,Produtos!$B$5:$B$104,0))),0),F1597))</f>
        <v/>
      </c>
      <c r="H1597" s="27" t="str">
        <f aca="false">IF(G1597="","",IF(N(E1597)=0,1,E1597)*IFERROR(N(INDEX(Produtos!$G$5:$G$104,MATCH(D1597,Produtos!$B$5:$B$104,0))),0))</f>
        <v/>
      </c>
      <c r="I1597" s="27" t="str">
        <f aca="false">IF(G1597="","",G1597-H1597)</f>
        <v/>
      </c>
      <c r="J1597" s="42"/>
    </row>
    <row r="1598" customFormat="false" ht="21" hidden="false" customHeight="true" outlineLevel="0" collapsed="false">
      <c r="B1598" s="41"/>
      <c r="C1598" s="9"/>
      <c r="D1598" s="9"/>
      <c r="E1598" s="42"/>
      <c r="F1598" s="43"/>
      <c r="G1598" s="27" t="str">
        <f aca="false">IF(OR(C1598="",AND(D1598="",F1598="")),"",IF(N(E1598)=0,1,E1598)*IF(F1598="",IFERROR(N(INDEX(Produtos!$L$5:$L$104,MATCH(D1598,Produtos!$B$5:$B$104,0))),0),F1598))</f>
        <v/>
      </c>
      <c r="H1598" s="27" t="str">
        <f aca="false">IF(G1598="","",IF(N(E1598)=0,1,E1598)*IFERROR(N(INDEX(Produtos!$G$5:$G$104,MATCH(D1598,Produtos!$B$5:$B$104,0))),0))</f>
        <v/>
      </c>
      <c r="I1598" s="27" t="str">
        <f aca="false">IF(G1598="","",G1598-H1598)</f>
        <v/>
      </c>
      <c r="J1598" s="42"/>
    </row>
    <row r="1599" customFormat="false" ht="21" hidden="false" customHeight="true" outlineLevel="0" collapsed="false">
      <c r="B1599" s="41"/>
      <c r="C1599" s="9"/>
      <c r="D1599" s="9"/>
      <c r="E1599" s="42"/>
      <c r="F1599" s="43"/>
      <c r="G1599" s="27" t="str">
        <f aca="false">IF(OR(C1599="",AND(D1599="",F1599="")),"",IF(N(E1599)=0,1,E1599)*IF(F1599="",IFERROR(N(INDEX(Produtos!$L$5:$L$104,MATCH(D1599,Produtos!$B$5:$B$104,0))),0),F1599))</f>
        <v/>
      </c>
      <c r="H1599" s="27" t="str">
        <f aca="false">IF(G1599="","",IF(N(E1599)=0,1,E1599)*IFERROR(N(INDEX(Produtos!$G$5:$G$104,MATCH(D1599,Produtos!$B$5:$B$104,0))),0))</f>
        <v/>
      </c>
      <c r="I1599" s="27" t="str">
        <f aca="false">IF(G1599="","",G1599-H1599)</f>
        <v/>
      </c>
      <c r="J1599" s="42"/>
    </row>
    <row r="1600" customFormat="false" ht="21" hidden="false" customHeight="true" outlineLevel="0" collapsed="false">
      <c r="B1600" s="41"/>
      <c r="C1600" s="9"/>
      <c r="D1600" s="9"/>
      <c r="E1600" s="42"/>
      <c r="F1600" s="43"/>
      <c r="G1600" s="27" t="str">
        <f aca="false">IF(OR(C1600="",AND(D1600="",F1600="")),"",IF(N(E1600)=0,1,E1600)*IF(F1600="",IFERROR(N(INDEX(Produtos!$L$5:$L$104,MATCH(D1600,Produtos!$B$5:$B$104,0))),0),F1600))</f>
        <v/>
      </c>
      <c r="H1600" s="27" t="str">
        <f aca="false">IF(G1600="","",IF(N(E1600)=0,1,E1600)*IFERROR(N(INDEX(Produtos!$G$5:$G$104,MATCH(D1600,Produtos!$B$5:$B$104,0))),0))</f>
        <v/>
      </c>
      <c r="I1600" s="27" t="str">
        <f aca="false">IF(G1600="","",G1600-H1600)</f>
        <v/>
      </c>
      <c r="J1600" s="42"/>
    </row>
    <row r="1601" customFormat="false" ht="21" hidden="false" customHeight="true" outlineLevel="0" collapsed="false">
      <c r="B1601" s="41"/>
      <c r="C1601" s="9"/>
      <c r="D1601" s="9"/>
      <c r="E1601" s="42"/>
      <c r="F1601" s="43"/>
      <c r="G1601" s="27" t="str">
        <f aca="false">IF(OR(C1601="",AND(D1601="",F1601="")),"",IF(N(E1601)=0,1,E1601)*IF(F1601="",IFERROR(N(INDEX(Produtos!$L$5:$L$104,MATCH(D1601,Produtos!$B$5:$B$104,0))),0),F1601))</f>
        <v/>
      </c>
      <c r="H1601" s="27" t="str">
        <f aca="false">IF(G1601="","",IF(N(E1601)=0,1,E1601)*IFERROR(N(INDEX(Produtos!$G$5:$G$104,MATCH(D1601,Produtos!$B$5:$B$104,0))),0))</f>
        <v/>
      </c>
      <c r="I1601" s="27" t="str">
        <f aca="false">IF(G1601="","",G1601-H1601)</f>
        <v/>
      </c>
      <c r="J1601" s="42"/>
    </row>
    <row r="1602" customFormat="false" ht="21" hidden="false" customHeight="true" outlineLevel="0" collapsed="false">
      <c r="B1602" s="41"/>
      <c r="C1602" s="9"/>
      <c r="D1602" s="9"/>
      <c r="E1602" s="42"/>
      <c r="F1602" s="43"/>
      <c r="G1602" s="27" t="str">
        <f aca="false">IF(OR(C1602="",AND(D1602="",F1602="")),"",IF(N(E1602)=0,1,E1602)*IF(F1602="",IFERROR(N(INDEX(Produtos!$L$5:$L$104,MATCH(D1602,Produtos!$B$5:$B$104,0))),0),F1602))</f>
        <v/>
      </c>
      <c r="H1602" s="27" t="str">
        <f aca="false">IF(G1602="","",IF(N(E1602)=0,1,E1602)*IFERROR(N(INDEX(Produtos!$G$5:$G$104,MATCH(D1602,Produtos!$B$5:$B$104,0))),0))</f>
        <v/>
      </c>
      <c r="I1602" s="27" t="str">
        <f aca="false">IF(G1602="","",G1602-H1602)</f>
        <v/>
      </c>
      <c r="J1602" s="42"/>
    </row>
    <row r="1603" customFormat="false" ht="21" hidden="false" customHeight="true" outlineLevel="0" collapsed="false">
      <c r="B1603" s="41"/>
      <c r="C1603" s="9"/>
      <c r="D1603" s="9"/>
      <c r="E1603" s="42"/>
      <c r="F1603" s="43"/>
      <c r="G1603" s="27" t="str">
        <f aca="false">IF(OR(C1603="",AND(D1603="",F1603="")),"",IF(N(E1603)=0,1,E1603)*IF(F1603="",IFERROR(N(INDEX(Produtos!$L$5:$L$104,MATCH(D1603,Produtos!$B$5:$B$104,0))),0),F1603))</f>
        <v/>
      </c>
      <c r="H1603" s="27" t="str">
        <f aca="false">IF(G1603="","",IF(N(E1603)=0,1,E1603)*IFERROR(N(INDEX(Produtos!$G$5:$G$104,MATCH(D1603,Produtos!$B$5:$B$104,0))),0))</f>
        <v/>
      </c>
      <c r="I1603" s="27" t="str">
        <f aca="false">IF(G1603="","",G1603-H1603)</f>
        <v/>
      </c>
      <c r="J1603" s="42"/>
    </row>
    <row r="1604" customFormat="false" ht="21" hidden="false" customHeight="true" outlineLevel="0" collapsed="false">
      <c r="B1604" s="41"/>
      <c r="C1604" s="9"/>
      <c r="D1604" s="9"/>
      <c r="E1604" s="42"/>
      <c r="F1604" s="43"/>
      <c r="G1604" s="27" t="str">
        <f aca="false">IF(OR(C1604="",AND(D1604="",F1604="")),"",IF(N(E1604)=0,1,E1604)*IF(F1604="",IFERROR(N(INDEX(Produtos!$L$5:$L$104,MATCH(D1604,Produtos!$B$5:$B$104,0))),0),F1604))</f>
        <v/>
      </c>
      <c r="H1604" s="27" t="str">
        <f aca="false">IF(G1604="","",IF(N(E1604)=0,1,E1604)*IFERROR(N(INDEX(Produtos!$G$5:$G$104,MATCH(D1604,Produtos!$B$5:$B$104,0))),0))</f>
        <v/>
      </c>
      <c r="I1604" s="27" t="str">
        <f aca="false">IF(G1604="","",G1604-H1604)</f>
        <v/>
      </c>
      <c r="J1604" s="42"/>
    </row>
    <row r="1605" customFormat="false" ht="21" hidden="false" customHeight="true" outlineLevel="0" collapsed="false">
      <c r="B1605" s="41"/>
      <c r="C1605" s="9"/>
      <c r="D1605" s="9"/>
      <c r="E1605" s="42"/>
      <c r="F1605" s="43"/>
      <c r="G1605" s="27" t="str">
        <f aca="false">IF(OR(C1605="",AND(D1605="",F1605="")),"",IF(N(E1605)=0,1,E1605)*IF(F1605="",IFERROR(N(INDEX(Produtos!$L$5:$L$104,MATCH(D1605,Produtos!$B$5:$B$104,0))),0),F1605))</f>
        <v/>
      </c>
      <c r="H1605" s="27" t="str">
        <f aca="false">IF(G1605="","",IF(N(E1605)=0,1,E1605)*IFERROR(N(INDEX(Produtos!$G$5:$G$104,MATCH(D1605,Produtos!$B$5:$B$104,0))),0))</f>
        <v/>
      </c>
      <c r="I1605" s="27" t="str">
        <f aca="false">IF(G1605="","",G1605-H1605)</f>
        <v/>
      </c>
      <c r="J1605" s="42"/>
    </row>
    <row r="1606" customFormat="false" ht="21" hidden="false" customHeight="true" outlineLevel="0" collapsed="false">
      <c r="B1606" s="41"/>
      <c r="C1606" s="9"/>
      <c r="D1606" s="9"/>
      <c r="E1606" s="42"/>
      <c r="F1606" s="43"/>
      <c r="G1606" s="27" t="str">
        <f aca="false">IF(OR(C1606="",AND(D1606="",F1606="")),"",IF(N(E1606)=0,1,E1606)*IF(F1606="",IFERROR(N(INDEX(Produtos!$L$5:$L$104,MATCH(D1606,Produtos!$B$5:$B$104,0))),0),F1606))</f>
        <v/>
      </c>
      <c r="H1606" s="27" t="str">
        <f aca="false">IF(G1606="","",IF(N(E1606)=0,1,E1606)*IFERROR(N(INDEX(Produtos!$G$5:$G$104,MATCH(D1606,Produtos!$B$5:$B$104,0))),0))</f>
        <v/>
      </c>
      <c r="I1606" s="27" t="str">
        <f aca="false">IF(G1606="","",G1606-H1606)</f>
        <v/>
      </c>
      <c r="J1606" s="42"/>
    </row>
    <row r="1607" customFormat="false" ht="21" hidden="false" customHeight="true" outlineLevel="0" collapsed="false">
      <c r="B1607" s="41"/>
      <c r="C1607" s="9"/>
      <c r="D1607" s="9"/>
      <c r="E1607" s="42"/>
      <c r="F1607" s="43"/>
      <c r="G1607" s="27" t="str">
        <f aca="false">IF(OR(C1607="",AND(D1607="",F1607="")),"",IF(N(E1607)=0,1,E1607)*IF(F1607="",IFERROR(N(INDEX(Produtos!$L$5:$L$104,MATCH(D1607,Produtos!$B$5:$B$104,0))),0),F1607))</f>
        <v/>
      </c>
      <c r="H1607" s="27" t="str">
        <f aca="false">IF(G1607="","",IF(N(E1607)=0,1,E1607)*IFERROR(N(INDEX(Produtos!$G$5:$G$104,MATCH(D1607,Produtos!$B$5:$B$104,0))),0))</f>
        <v/>
      </c>
      <c r="I1607" s="27" t="str">
        <f aca="false">IF(G1607="","",G1607-H1607)</f>
        <v/>
      </c>
      <c r="J1607" s="42"/>
    </row>
    <row r="1608" customFormat="false" ht="21" hidden="false" customHeight="true" outlineLevel="0" collapsed="false">
      <c r="B1608" s="41"/>
      <c r="C1608" s="9"/>
      <c r="D1608" s="9"/>
      <c r="E1608" s="42"/>
      <c r="F1608" s="43"/>
      <c r="G1608" s="27" t="str">
        <f aca="false">IF(OR(C1608="",AND(D1608="",F1608="")),"",IF(N(E1608)=0,1,E1608)*IF(F1608="",IFERROR(N(INDEX(Produtos!$L$5:$L$104,MATCH(D1608,Produtos!$B$5:$B$104,0))),0),F1608))</f>
        <v/>
      </c>
      <c r="H1608" s="27" t="str">
        <f aca="false">IF(G1608="","",IF(N(E1608)=0,1,E1608)*IFERROR(N(INDEX(Produtos!$G$5:$G$104,MATCH(D1608,Produtos!$B$5:$B$104,0))),0))</f>
        <v/>
      </c>
      <c r="I1608" s="27" t="str">
        <f aca="false">IF(G1608="","",G1608-H1608)</f>
        <v/>
      </c>
      <c r="J1608" s="42"/>
    </row>
    <row r="1609" customFormat="false" ht="21" hidden="false" customHeight="true" outlineLevel="0" collapsed="false">
      <c r="B1609" s="41"/>
      <c r="C1609" s="9"/>
      <c r="D1609" s="9"/>
      <c r="E1609" s="42"/>
      <c r="F1609" s="43"/>
      <c r="G1609" s="27" t="str">
        <f aca="false">IF(OR(C1609="",AND(D1609="",F1609="")),"",IF(N(E1609)=0,1,E1609)*IF(F1609="",IFERROR(N(INDEX(Produtos!$L$5:$L$104,MATCH(D1609,Produtos!$B$5:$B$104,0))),0),F1609))</f>
        <v/>
      </c>
      <c r="H1609" s="27" t="str">
        <f aca="false">IF(G1609="","",IF(N(E1609)=0,1,E1609)*IFERROR(N(INDEX(Produtos!$G$5:$G$104,MATCH(D1609,Produtos!$B$5:$B$104,0))),0))</f>
        <v/>
      </c>
      <c r="I1609" s="27" t="str">
        <f aca="false">IF(G1609="","",G1609-H1609)</f>
        <v/>
      </c>
      <c r="J1609" s="42"/>
    </row>
    <row r="1610" customFormat="false" ht="21" hidden="false" customHeight="true" outlineLevel="0" collapsed="false">
      <c r="B1610" s="41"/>
      <c r="C1610" s="9"/>
      <c r="D1610" s="9"/>
      <c r="E1610" s="42"/>
      <c r="F1610" s="43"/>
      <c r="G1610" s="27" t="str">
        <f aca="false">IF(OR(C1610="",AND(D1610="",F1610="")),"",IF(N(E1610)=0,1,E1610)*IF(F1610="",IFERROR(N(INDEX(Produtos!$L$5:$L$104,MATCH(D1610,Produtos!$B$5:$B$104,0))),0),F1610))</f>
        <v/>
      </c>
      <c r="H1610" s="27" t="str">
        <f aca="false">IF(G1610="","",IF(N(E1610)=0,1,E1610)*IFERROR(N(INDEX(Produtos!$G$5:$G$104,MATCH(D1610,Produtos!$B$5:$B$104,0))),0))</f>
        <v/>
      </c>
      <c r="I1610" s="27" t="str">
        <f aca="false">IF(G1610="","",G1610-H1610)</f>
        <v/>
      </c>
      <c r="J1610" s="42"/>
    </row>
    <row r="1611" customFormat="false" ht="21" hidden="false" customHeight="true" outlineLevel="0" collapsed="false">
      <c r="B1611" s="41"/>
      <c r="C1611" s="9"/>
      <c r="D1611" s="9"/>
      <c r="E1611" s="42"/>
      <c r="F1611" s="43"/>
      <c r="G1611" s="27" t="str">
        <f aca="false">IF(OR(C1611="",AND(D1611="",F1611="")),"",IF(N(E1611)=0,1,E1611)*IF(F1611="",IFERROR(N(INDEX(Produtos!$L$5:$L$104,MATCH(D1611,Produtos!$B$5:$B$104,0))),0),F1611))</f>
        <v/>
      </c>
      <c r="H1611" s="27" t="str">
        <f aca="false">IF(G1611="","",IF(N(E1611)=0,1,E1611)*IFERROR(N(INDEX(Produtos!$G$5:$G$104,MATCH(D1611,Produtos!$B$5:$B$104,0))),0))</f>
        <v/>
      </c>
      <c r="I1611" s="27" t="str">
        <f aca="false">IF(G1611="","",G1611-H1611)</f>
        <v/>
      </c>
      <c r="J1611" s="42"/>
    </row>
    <row r="1612" customFormat="false" ht="21" hidden="false" customHeight="true" outlineLevel="0" collapsed="false">
      <c r="B1612" s="41"/>
      <c r="C1612" s="9"/>
      <c r="D1612" s="9"/>
      <c r="E1612" s="42"/>
      <c r="F1612" s="43"/>
      <c r="G1612" s="27" t="str">
        <f aca="false">IF(OR(C1612="",AND(D1612="",F1612="")),"",IF(N(E1612)=0,1,E1612)*IF(F1612="",IFERROR(N(INDEX(Produtos!$L$5:$L$104,MATCH(D1612,Produtos!$B$5:$B$104,0))),0),F1612))</f>
        <v/>
      </c>
      <c r="H1612" s="27" t="str">
        <f aca="false">IF(G1612="","",IF(N(E1612)=0,1,E1612)*IFERROR(N(INDEX(Produtos!$G$5:$G$104,MATCH(D1612,Produtos!$B$5:$B$104,0))),0))</f>
        <v/>
      </c>
      <c r="I1612" s="27" t="str">
        <f aca="false">IF(G1612="","",G1612-H1612)</f>
        <v/>
      </c>
      <c r="J1612" s="42"/>
    </row>
    <row r="1613" customFormat="false" ht="21" hidden="false" customHeight="true" outlineLevel="0" collapsed="false">
      <c r="B1613" s="41"/>
      <c r="C1613" s="9"/>
      <c r="D1613" s="9"/>
      <c r="E1613" s="42"/>
      <c r="F1613" s="43"/>
      <c r="G1613" s="27" t="str">
        <f aca="false">IF(OR(C1613="",AND(D1613="",F1613="")),"",IF(N(E1613)=0,1,E1613)*IF(F1613="",IFERROR(N(INDEX(Produtos!$L$5:$L$104,MATCH(D1613,Produtos!$B$5:$B$104,0))),0),F1613))</f>
        <v/>
      </c>
      <c r="H1613" s="27" t="str">
        <f aca="false">IF(G1613="","",IF(N(E1613)=0,1,E1613)*IFERROR(N(INDEX(Produtos!$G$5:$G$104,MATCH(D1613,Produtos!$B$5:$B$104,0))),0))</f>
        <v/>
      </c>
      <c r="I1613" s="27" t="str">
        <f aca="false">IF(G1613="","",G1613-H1613)</f>
        <v/>
      </c>
      <c r="J1613" s="42"/>
    </row>
    <row r="1614" customFormat="false" ht="21" hidden="false" customHeight="true" outlineLevel="0" collapsed="false">
      <c r="B1614" s="41"/>
      <c r="C1614" s="9"/>
      <c r="D1614" s="9"/>
      <c r="E1614" s="42"/>
      <c r="F1614" s="43"/>
      <c r="G1614" s="27" t="str">
        <f aca="false">IF(OR(C1614="",AND(D1614="",F1614="")),"",IF(N(E1614)=0,1,E1614)*IF(F1614="",IFERROR(N(INDEX(Produtos!$L$5:$L$104,MATCH(D1614,Produtos!$B$5:$B$104,0))),0),F1614))</f>
        <v/>
      </c>
      <c r="H1614" s="27" t="str">
        <f aca="false">IF(G1614="","",IF(N(E1614)=0,1,E1614)*IFERROR(N(INDEX(Produtos!$G$5:$G$104,MATCH(D1614,Produtos!$B$5:$B$104,0))),0))</f>
        <v/>
      </c>
      <c r="I1614" s="27" t="str">
        <f aca="false">IF(G1614="","",G1614-H1614)</f>
        <v/>
      </c>
      <c r="J1614" s="42"/>
    </row>
    <row r="1615" customFormat="false" ht="21" hidden="false" customHeight="true" outlineLevel="0" collapsed="false">
      <c r="B1615" s="41"/>
      <c r="C1615" s="9"/>
      <c r="D1615" s="9"/>
      <c r="E1615" s="42"/>
      <c r="F1615" s="43"/>
      <c r="G1615" s="27" t="str">
        <f aca="false">IF(OR(C1615="",AND(D1615="",F1615="")),"",IF(N(E1615)=0,1,E1615)*IF(F1615="",IFERROR(N(INDEX(Produtos!$L$5:$L$104,MATCH(D1615,Produtos!$B$5:$B$104,0))),0),F1615))</f>
        <v/>
      </c>
      <c r="H1615" s="27" t="str">
        <f aca="false">IF(G1615="","",IF(N(E1615)=0,1,E1615)*IFERROR(N(INDEX(Produtos!$G$5:$G$104,MATCH(D1615,Produtos!$B$5:$B$104,0))),0))</f>
        <v/>
      </c>
      <c r="I1615" s="27" t="str">
        <f aca="false">IF(G1615="","",G1615-H1615)</f>
        <v/>
      </c>
      <c r="J1615" s="42"/>
    </row>
    <row r="1616" customFormat="false" ht="21" hidden="false" customHeight="true" outlineLevel="0" collapsed="false">
      <c r="B1616" s="41"/>
      <c r="C1616" s="9"/>
      <c r="D1616" s="9"/>
      <c r="E1616" s="42"/>
      <c r="F1616" s="43"/>
      <c r="G1616" s="27" t="str">
        <f aca="false">IF(OR(C1616="",AND(D1616="",F1616="")),"",IF(N(E1616)=0,1,E1616)*IF(F1616="",IFERROR(N(INDEX(Produtos!$L$5:$L$104,MATCH(D1616,Produtos!$B$5:$B$104,0))),0),F1616))</f>
        <v/>
      </c>
      <c r="H1616" s="27" t="str">
        <f aca="false">IF(G1616="","",IF(N(E1616)=0,1,E1616)*IFERROR(N(INDEX(Produtos!$G$5:$G$104,MATCH(D1616,Produtos!$B$5:$B$104,0))),0))</f>
        <v/>
      </c>
      <c r="I1616" s="27" t="str">
        <f aca="false">IF(G1616="","",G1616-H1616)</f>
        <v/>
      </c>
      <c r="J1616" s="42"/>
    </row>
    <row r="1617" customFormat="false" ht="21" hidden="false" customHeight="true" outlineLevel="0" collapsed="false">
      <c r="B1617" s="41"/>
      <c r="C1617" s="9"/>
      <c r="D1617" s="9"/>
      <c r="E1617" s="42"/>
      <c r="F1617" s="43"/>
      <c r="G1617" s="27" t="str">
        <f aca="false">IF(OR(C1617="",AND(D1617="",F1617="")),"",IF(N(E1617)=0,1,E1617)*IF(F1617="",IFERROR(N(INDEX(Produtos!$L$5:$L$104,MATCH(D1617,Produtos!$B$5:$B$104,0))),0),F1617))</f>
        <v/>
      </c>
      <c r="H1617" s="27" t="str">
        <f aca="false">IF(G1617="","",IF(N(E1617)=0,1,E1617)*IFERROR(N(INDEX(Produtos!$G$5:$G$104,MATCH(D1617,Produtos!$B$5:$B$104,0))),0))</f>
        <v/>
      </c>
      <c r="I1617" s="27" t="str">
        <f aca="false">IF(G1617="","",G1617-H1617)</f>
        <v/>
      </c>
      <c r="J1617" s="42"/>
    </row>
    <row r="1618" customFormat="false" ht="21" hidden="false" customHeight="true" outlineLevel="0" collapsed="false">
      <c r="B1618" s="41"/>
      <c r="C1618" s="9"/>
      <c r="D1618" s="9"/>
      <c r="E1618" s="42"/>
      <c r="F1618" s="43"/>
      <c r="G1618" s="27" t="str">
        <f aca="false">IF(OR(C1618="",AND(D1618="",F1618="")),"",IF(N(E1618)=0,1,E1618)*IF(F1618="",IFERROR(N(INDEX(Produtos!$L$5:$L$104,MATCH(D1618,Produtos!$B$5:$B$104,0))),0),F1618))</f>
        <v/>
      </c>
      <c r="H1618" s="27" t="str">
        <f aca="false">IF(G1618="","",IF(N(E1618)=0,1,E1618)*IFERROR(N(INDEX(Produtos!$G$5:$G$104,MATCH(D1618,Produtos!$B$5:$B$104,0))),0))</f>
        <v/>
      </c>
      <c r="I1618" s="27" t="str">
        <f aca="false">IF(G1618="","",G1618-H1618)</f>
        <v/>
      </c>
      <c r="J1618" s="42"/>
    </row>
    <row r="1619" customFormat="false" ht="21" hidden="false" customHeight="true" outlineLevel="0" collapsed="false">
      <c r="B1619" s="41"/>
      <c r="C1619" s="9"/>
      <c r="D1619" s="9"/>
      <c r="E1619" s="42"/>
      <c r="F1619" s="43"/>
      <c r="G1619" s="27" t="str">
        <f aca="false">IF(OR(C1619="",AND(D1619="",F1619="")),"",IF(N(E1619)=0,1,E1619)*IF(F1619="",IFERROR(N(INDEX(Produtos!$L$5:$L$104,MATCH(D1619,Produtos!$B$5:$B$104,0))),0),F1619))</f>
        <v/>
      </c>
      <c r="H1619" s="27" t="str">
        <f aca="false">IF(G1619="","",IF(N(E1619)=0,1,E1619)*IFERROR(N(INDEX(Produtos!$G$5:$G$104,MATCH(D1619,Produtos!$B$5:$B$104,0))),0))</f>
        <v/>
      </c>
      <c r="I1619" s="27" t="str">
        <f aca="false">IF(G1619="","",G1619-H1619)</f>
        <v/>
      </c>
      <c r="J1619" s="42"/>
    </row>
    <row r="1620" customFormat="false" ht="21" hidden="false" customHeight="true" outlineLevel="0" collapsed="false">
      <c r="B1620" s="41"/>
      <c r="C1620" s="9"/>
      <c r="D1620" s="9"/>
      <c r="E1620" s="42"/>
      <c r="F1620" s="43"/>
      <c r="G1620" s="27" t="str">
        <f aca="false">IF(OR(C1620="",AND(D1620="",F1620="")),"",IF(N(E1620)=0,1,E1620)*IF(F1620="",IFERROR(N(INDEX(Produtos!$L$5:$L$104,MATCH(D1620,Produtos!$B$5:$B$104,0))),0),F1620))</f>
        <v/>
      </c>
      <c r="H1620" s="27" t="str">
        <f aca="false">IF(G1620="","",IF(N(E1620)=0,1,E1620)*IFERROR(N(INDEX(Produtos!$G$5:$G$104,MATCH(D1620,Produtos!$B$5:$B$104,0))),0))</f>
        <v/>
      </c>
      <c r="I1620" s="27" t="str">
        <f aca="false">IF(G1620="","",G1620-H1620)</f>
        <v/>
      </c>
      <c r="J1620" s="42"/>
    </row>
    <row r="1621" customFormat="false" ht="21" hidden="false" customHeight="true" outlineLevel="0" collapsed="false">
      <c r="B1621" s="41"/>
      <c r="C1621" s="9"/>
      <c r="D1621" s="9"/>
      <c r="E1621" s="42"/>
      <c r="F1621" s="43"/>
      <c r="G1621" s="27" t="str">
        <f aca="false">IF(OR(C1621="",AND(D1621="",F1621="")),"",IF(N(E1621)=0,1,E1621)*IF(F1621="",IFERROR(N(INDEX(Produtos!$L$5:$L$104,MATCH(D1621,Produtos!$B$5:$B$104,0))),0),F1621))</f>
        <v/>
      </c>
      <c r="H1621" s="27" t="str">
        <f aca="false">IF(G1621="","",IF(N(E1621)=0,1,E1621)*IFERROR(N(INDEX(Produtos!$G$5:$G$104,MATCH(D1621,Produtos!$B$5:$B$104,0))),0))</f>
        <v/>
      </c>
      <c r="I1621" s="27" t="str">
        <f aca="false">IF(G1621="","",G1621-H1621)</f>
        <v/>
      </c>
      <c r="J1621" s="42"/>
    </row>
    <row r="1622" customFormat="false" ht="21" hidden="false" customHeight="true" outlineLevel="0" collapsed="false">
      <c r="B1622" s="41"/>
      <c r="C1622" s="9"/>
      <c r="D1622" s="9"/>
      <c r="E1622" s="42"/>
      <c r="F1622" s="43"/>
      <c r="G1622" s="27" t="str">
        <f aca="false">IF(OR(C1622="",AND(D1622="",F1622="")),"",IF(N(E1622)=0,1,E1622)*IF(F1622="",IFERROR(N(INDEX(Produtos!$L$5:$L$104,MATCH(D1622,Produtos!$B$5:$B$104,0))),0),F1622))</f>
        <v/>
      </c>
      <c r="H1622" s="27" t="str">
        <f aca="false">IF(G1622="","",IF(N(E1622)=0,1,E1622)*IFERROR(N(INDEX(Produtos!$G$5:$G$104,MATCH(D1622,Produtos!$B$5:$B$104,0))),0))</f>
        <v/>
      </c>
      <c r="I1622" s="27" t="str">
        <f aca="false">IF(G1622="","",G1622-H1622)</f>
        <v/>
      </c>
      <c r="J1622" s="42"/>
    </row>
    <row r="1623" customFormat="false" ht="21" hidden="false" customHeight="true" outlineLevel="0" collapsed="false">
      <c r="B1623" s="41"/>
      <c r="C1623" s="9"/>
      <c r="D1623" s="9"/>
      <c r="E1623" s="42"/>
      <c r="F1623" s="43"/>
      <c r="G1623" s="27" t="str">
        <f aca="false">IF(OR(C1623="",AND(D1623="",F1623="")),"",IF(N(E1623)=0,1,E1623)*IF(F1623="",IFERROR(N(INDEX(Produtos!$L$5:$L$104,MATCH(D1623,Produtos!$B$5:$B$104,0))),0),F1623))</f>
        <v/>
      </c>
      <c r="H1623" s="27" t="str">
        <f aca="false">IF(G1623="","",IF(N(E1623)=0,1,E1623)*IFERROR(N(INDEX(Produtos!$G$5:$G$104,MATCH(D1623,Produtos!$B$5:$B$104,0))),0))</f>
        <v/>
      </c>
      <c r="I1623" s="27" t="str">
        <f aca="false">IF(G1623="","",G1623-H1623)</f>
        <v/>
      </c>
      <c r="J1623" s="42"/>
    </row>
    <row r="1624" customFormat="false" ht="21" hidden="false" customHeight="true" outlineLevel="0" collapsed="false">
      <c r="B1624" s="41"/>
      <c r="C1624" s="9"/>
      <c r="D1624" s="9"/>
      <c r="E1624" s="42"/>
      <c r="F1624" s="43"/>
      <c r="G1624" s="27" t="str">
        <f aca="false">IF(OR(C1624="",AND(D1624="",F1624="")),"",IF(N(E1624)=0,1,E1624)*IF(F1624="",IFERROR(N(INDEX(Produtos!$L$5:$L$104,MATCH(D1624,Produtos!$B$5:$B$104,0))),0),F1624))</f>
        <v/>
      </c>
      <c r="H1624" s="27" t="str">
        <f aca="false">IF(G1624="","",IF(N(E1624)=0,1,E1624)*IFERROR(N(INDEX(Produtos!$G$5:$G$104,MATCH(D1624,Produtos!$B$5:$B$104,0))),0))</f>
        <v/>
      </c>
      <c r="I1624" s="27" t="str">
        <f aca="false">IF(G1624="","",G1624-H1624)</f>
        <v/>
      </c>
      <c r="J1624" s="42"/>
    </row>
    <row r="1625" customFormat="false" ht="21" hidden="false" customHeight="true" outlineLevel="0" collapsed="false">
      <c r="B1625" s="41"/>
      <c r="C1625" s="9"/>
      <c r="D1625" s="9"/>
      <c r="E1625" s="42"/>
      <c r="F1625" s="43"/>
      <c r="G1625" s="27" t="str">
        <f aca="false">IF(OR(C1625="",AND(D1625="",F1625="")),"",IF(N(E1625)=0,1,E1625)*IF(F1625="",IFERROR(N(INDEX(Produtos!$L$5:$L$104,MATCH(D1625,Produtos!$B$5:$B$104,0))),0),F1625))</f>
        <v/>
      </c>
      <c r="H1625" s="27" t="str">
        <f aca="false">IF(G1625="","",IF(N(E1625)=0,1,E1625)*IFERROR(N(INDEX(Produtos!$G$5:$G$104,MATCH(D1625,Produtos!$B$5:$B$104,0))),0))</f>
        <v/>
      </c>
      <c r="I1625" s="27" t="str">
        <f aca="false">IF(G1625="","",G1625-H1625)</f>
        <v/>
      </c>
      <c r="J1625" s="42"/>
    </row>
    <row r="1626" customFormat="false" ht="21" hidden="false" customHeight="true" outlineLevel="0" collapsed="false">
      <c r="B1626" s="41"/>
      <c r="C1626" s="9"/>
      <c r="D1626" s="9"/>
      <c r="E1626" s="42"/>
      <c r="F1626" s="43"/>
      <c r="G1626" s="27" t="str">
        <f aca="false">IF(OR(C1626="",AND(D1626="",F1626="")),"",IF(N(E1626)=0,1,E1626)*IF(F1626="",IFERROR(N(INDEX(Produtos!$L$5:$L$104,MATCH(D1626,Produtos!$B$5:$B$104,0))),0),F1626))</f>
        <v/>
      </c>
      <c r="H1626" s="27" t="str">
        <f aca="false">IF(G1626="","",IF(N(E1626)=0,1,E1626)*IFERROR(N(INDEX(Produtos!$G$5:$G$104,MATCH(D1626,Produtos!$B$5:$B$104,0))),0))</f>
        <v/>
      </c>
      <c r="I1626" s="27" t="str">
        <f aca="false">IF(G1626="","",G1626-H1626)</f>
        <v/>
      </c>
      <c r="J1626" s="42"/>
    </row>
    <row r="1627" customFormat="false" ht="21" hidden="false" customHeight="true" outlineLevel="0" collapsed="false">
      <c r="B1627" s="41"/>
      <c r="C1627" s="9"/>
      <c r="D1627" s="9"/>
      <c r="E1627" s="42"/>
      <c r="F1627" s="43"/>
      <c r="G1627" s="27" t="str">
        <f aca="false">IF(OR(C1627="",AND(D1627="",F1627="")),"",IF(N(E1627)=0,1,E1627)*IF(F1627="",IFERROR(N(INDEX(Produtos!$L$5:$L$104,MATCH(D1627,Produtos!$B$5:$B$104,0))),0),F1627))</f>
        <v/>
      </c>
      <c r="H1627" s="27" t="str">
        <f aca="false">IF(G1627="","",IF(N(E1627)=0,1,E1627)*IFERROR(N(INDEX(Produtos!$G$5:$G$104,MATCH(D1627,Produtos!$B$5:$B$104,0))),0))</f>
        <v/>
      </c>
      <c r="I1627" s="27" t="str">
        <f aca="false">IF(G1627="","",G1627-H1627)</f>
        <v/>
      </c>
      <c r="J1627" s="42"/>
    </row>
    <row r="1628" customFormat="false" ht="21" hidden="false" customHeight="true" outlineLevel="0" collapsed="false">
      <c r="B1628" s="41"/>
      <c r="C1628" s="9"/>
      <c r="D1628" s="9"/>
      <c r="E1628" s="42"/>
      <c r="F1628" s="43"/>
      <c r="G1628" s="27" t="str">
        <f aca="false">IF(OR(C1628="",AND(D1628="",F1628="")),"",IF(N(E1628)=0,1,E1628)*IF(F1628="",IFERROR(N(INDEX(Produtos!$L$5:$L$104,MATCH(D1628,Produtos!$B$5:$B$104,0))),0),F1628))</f>
        <v/>
      </c>
      <c r="H1628" s="27" t="str">
        <f aca="false">IF(G1628="","",IF(N(E1628)=0,1,E1628)*IFERROR(N(INDEX(Produtos!$G$5:$G$104,MATCH(D1628,Produtos!$B$5:$B$104,0))),0))</f>
        <v/>
      </c>
      <c r="I1628" s="27" t="str">
        <f aca="false">IF(G1628="","",G1628-H1628)</f>
        <v/>
      </c>
      <c r="J1628" s="42"/>
    </row>
    <row r="1629" customFormat="false" ht="21" hidden="false" customHeight="true" outlineLevel="0" collapsed="false">
      <c r="B1629" s="41"/>
      <c r="C1629" s="9"/>
      <c r="D1629" s="9"/>
      <c r="E1629" s="42"/>
      <c r="F1629" s="43"/>
      <c r="G1629" s="27" t="str">
        <f aca="false">IF(OR(C1629="",AND(D1629="",F1629="")),"",IF(N(E1629)=0,1,E1629)*IF(F1629="",IFERROR(N(INDEX(Produtos!$L$5:$L$104,MATCH(D1629,Produtos!$B$5:$B$104,0))),0),F1629))</f>
        <v/>
      </c>
      <c r="H1629" s="27" t="str">
        <f aca="false">IF(G1629="","",IF(N(E1629)=0,1,E1629)*IFERROR(N(INDEX(Produtos!$G$5:$G$104,MATCH(D1629,Produtos!$B$5:$B$104,0))),0))</f>
        <v/>
      </c>
      <c r="I1629" s="27" t="str">
        <f aca="false">IF(G1629="","",G1629-H1629)</f>
        <v/>
      </c>
      <c r="J1629" s="42"/>
    </row>
    <row r="1630" customFormat="false" ht="21" hidden="false" customHeight="true" outlineLevel="0" collapsed="false">
      <c r="B1630" s="41"/>
      <c r="C1630" s="9"/>
      <c r="D1630" s="9"/>
      <c r="E1630" s="42"/>
      <c r="F1630" s="43"/>
      <c r="G1630" s="27" t="str">
        <f aca="false">IF(OR(C1630="",AND(D1630="",F1630="")),"",IF(N(E1630)=0,1,E1630)*IF(F1630="",IFERROR(N(INDEX(Produtos!$L$5:$L$104,MATCH(D1630,Produtos!$B$5:$B$104,0))),0),F1630))</f>
        <v/>
      </c>
      <c r="H1630" s="27" t="str">
        <f aca="false">IF(G1630="","",IF(N(E1630)=0,1,E1630)*IFERROR(N(INDEX(Produtos!$G$5:$G$104,MATCH(D1630,Produtos!$B$5:$B$104,0))),0))</f>
        <v/>
      </c>
      <c r="I1630" s="27" t="str">
        <f aca="false">IF(G1630="","",G1630-H1630)</f>
        <v/>
      </c>
      <c r="J1630" s="42"/>
    </row>
    <row r="1631" customFormat="false" ht="21" hidden="false" customHeight="true" outlineLevel="0" collapsed="false">
      <c r="B1631" s="41"/>
      <c r="C1631" s="9"/>
      <c r="D1631" s="9"/>
      <c r="E1631" s="42"/>
      <c r="F1631" s="43"/>
      <c r="G1631" s="27" t="str">
        <f aca="false">IF(OR(C1631="",AND(D1631="",F1631="")),"",IF(N(E1631)=0,1,E1631)*IF(F1631="",IFERROR(N(INDEX(Produtos!$L$5:$L$104,MATCH(D1631,Produtos!$B$5:$B$104,0))),0),F1631))</f>
        <v/>
      </c>
      <c r="H1631" s="27" t="str">
        <f aca="false">IF(G1631="","",IF(N(E1631)=0,1,E1631)*IFERROR(N(INDEX(Produtos!$G$5:$G$104,MATCH(D1631,Produtos!$B$5:$B$104,0))),0))</f>
        <v/>
      </c>
      <c r="I1631" s="27" t="str">
        <f aca="false">IF(G1631="","",G1631-H1631)</f>
        <v/>
      </c>
      <c r="J1631" s="42"/>
    </row>
    <row r="1632" customFormat="false" ht="21" hidden="false" customHeight="true" outlineLevel="0" collapsed="false">
      <c r="B1632" s="41"/>
      <c r="C1632" s="9"/>
      <c r="D1632" s="9"/>
      <c r="E1632" s="42"/>
      <c r="F1632" s="43"/>
      <c r="G1632" s="27" t="str">
        <f aca="false">IF(OR(C1632="",AND(D1632="",F1632="")),"",IF(N(E1632)=0,1,E1632)*IF(F1632="",IFERROR(N(INDEX(Produtos!$L$5:$L$104,MATCH(D1632,Produtos!$B$5:$B$104,0))),0),F1632))</f>
        <v/>
      </c>
      <c r="H1632" s="27" t="str">
        <f aca="false">IF(G1632="","",IF(N(E1632)=0,1,E1632)*IFERROR(N(INDEX(Produtos!$G$5:$G$104,MATCH(D1632,Produtos!$B$5:$B$104,0))),0))</f>
        <v/>
      </c>
      <c r="I1632" s="27" t="str">
        <f aca="false">IF(G1632="","",G1632-H1632)</f>
        <v/>
      </c>
      <c r="J1632" s="42"/>
    </row>
    <row r="1633" customFormat="false" ht="21" hidden="false" customHeight="true" outlineLevel="0" collapsed="false">
      <c r="B1633" s="41"/>
      <c r="C1633" s="9"/>
      <c r="D1633" s="9"/>
      <c r="E1633" s="42"/>
      <c r="F1633" s="43"/>
      <c r="G1633" s="27" t="str">
        <f aca="false">IF(OR(C1633="",AND(D1633="",F1633="")),"",IF(N(E1633)=0,1,E1633)*IF(F1633="",IFERROR(N(INDEX(Produtos!$L$5:$L$104,MATCH(D1633,Produtos!$B$5:$B$104,0))),0),F1633))</f>
        <v/>
      </c>
      <c r="H1633" s="27" t="str">
        <f aca="false">IF(G1633="","",IF(N(E1633)=0,1,E1633)*IFERROR(N(INDEX(Produtos!$G$5:$G$104,MATCH(D1633,Produtos!$B$5:$B$104,0))),0))</f>
        <v/>
      </c>
      <c r="I1633" s="27" t="str">
        <f aca="false">IF(G1633="","",G1633-H1633)</f>
        <v/>
      </c>
      <c r="J1633" s="42"/>
    </row>
    <row r="1634" customFormat="false" ht="21" hidden="false" customHeight="true" outlineLevel="0" collapsed="false">
      <c r="B1634" s="41"/>
      <c r="C1634" s="9"/>
      <c r="D1634" s="9"/>
      <c r="E1634" s="42"/>
      <c r="F1634" s="43"/>
      <c r="G1634" s="27" t="str">
        <f aca="false">IF(OR(C1634="",AND(D1634="",F1634="")),"",IF(N(E1634)=0,1,E1634)*IF(F1634="",IFERROR(N(INDEX(Produtos!$L$5:$L$104,MATCH(D1634,Produtos!$B$5:$B$104,0))),0),F1634))</f>
        <v/>
      </c>
      <c r="H1634" s="27" t="str">
        <f aca="false">IF(G1634="","",IF(N(E1634)=0,1,E1634)*IFERROR(N(INDEX(Produtos!$G$5:$G$104,MATCH(D1634,Produtos!$B$5:$B$104,0))),0))</f>
        <v/>
      </c>
      <c r="I1634" s="27" t="str">
        <f aca="false">IF(G1634="","",G1634-H1634)</f>
        <v/>
      </c>
      <c r="J1634" s="42"/>
    </row>
    <row r="1635" customFormat="false" ht="21" hidden="false" customHeight="true" outlineLevel="0" collapsed="false">
      <c r="B1635" s="41"/>
      <c r="C1635" s="9"/>
      <c r="D1635" s="9"/>
      <c r="E1635" s="42"/>
      <c r="F1635" s="43"/>
      <c r="G1635" s="27" t="str">
        <f aca="false">IF(OR(C1635="",AND(D1635="",F1635="")),"",IF(N(E1635)=0,1,E1635)*IF(F1635="",IFERROR(N(INDEX(Produtos!$L$5:$L$104,MATCH(D1635,Produtos!$B$5:$B$104,0))),0),F1635))</f>
        <v/>
      </c>
      <c r="H1635" s="27" t="str">
        <f aca="false">IF(G1635="","",IF(N(E1635)=0,1,E1635)*IFERROR(N(INDEX(Produtos!$G$5:$G$104,MATCH(D1635,Produtos!$B$5:$B$104,0))),0))</f>
        <v/>
      </c>
      <c r="I1635" s="27" t="str">
        <f aca="false">IF(G1635="","",G1635-H1635)</f>
        <v/>
      </c>
      <c r="J1635" s="42"/>
    </row>
    <row r="1636" customFormat="false" ht="21" hidden="false" customHeight="true" outlineLevel="0" collapsed="false">
      <c r="B1636" s="41"/>
      <c r="C1636" s="9"/>
      <c r="D1636" s="9"/>
      <c r="E1636" s="42"/>
      <c r="F1636" s="43"/>
      <c r="G1636" s="27" t="str">
        <f aca="false">IF(OR(C1636="",AND(D1636="",F1636="")),"",IF(N(E1636)=0,1,E1636)*IF(F1636="",IFERROR(N(INDEX(Produtos!$L$5:$L$104,MATCH(D1636,Produtos!$B$5:$B$104,0))),0),F1636))</f>
        <v/>
      </c>
      <c r="H1636" s="27" t="str">
        <f aca="false">IF(G1636="","",IF(N(E1636)=0,1,E1636)*IFERROR(N(INDEX(Produtos!$G$5:$G$104,MATCH(D1636,Produtos!$B$5:$B$104,0))),0))</f>
        <v/>
      </c>
      <c r="I1636" s="27" t="str">
        <f aca="false">IF(G1636="","",G1636-H1636)</f>
        <v/>
      </c>
      <c r="J1636" s="42"/>
    </row>
    <row r="1637" customFormat="false" ht="21" hidden="false" customHeight="true" outlineLevel="0" collapsed="false">
      <c r="B1637" s="41"/>
      <c r="C1637" s="9"/>
      <c r="D1637" s="9"/>
      <c r="E1637" s="42"/>
      <c r="F1637" s="43"/>
      <c r="G1637" s="27" t="str">
        <f aca="false">IF(OR(C1637="",AND(D1637="",F1637="")),"",IF(N(E1637)=0,1,E1637)*IF(F1637="",IFERROR(N(INDEX(Produtos!$L$5:$L$104,MATCH(D1637,Produtos!$B$5:$B$104,0))),0),F1637))</f>
        <v/>
      </c>
      <c r="H1637" s="27" t="str">
        <f aca="false">IF(G1637="","",IF(N(E1637)=0,1,E1637)*IFERROR(N(INDEX(Produtos!$G$5:$G$104,MATCH(D1637,Produtos!$B$5:$B$104,0))),0))</f>
        <v/>
      </c>
      <c r="I1637" s="27" t="str">
        <f aca="false">IF(G1637="","",G1637-H1637)</f>
        <v/>
      </c>
      <c r="J1637" s="42"/>
    </row>
    <row r="1638" customFormat="false" ht="21" hidden="false" customHeight="true" outlineLevel="0" collapsed="false">
      <c r="B1638" s="41"/>
      <c r="C1638" s="9"/>
      <c r="D1638" s="9"/>
      <c r="E1638" s="42"/>
      <c r="F1638" s="43"/>
      <c r="G1638" s="27" t="str">
        <f aca="false">IF(OR(C1638="",AND(D1638="",F1638="")),"",IF(N(E1638)=0,1,E1638)*IF(F1638="",IFERROR(N(INDEX(Produtos!$L$5:$L$104,MATCH(D1638,Produtos!$B$5:$B$104,0))),0),F1638))</f>
        <v/>
      </c>
      <c r="H1638" s="27" t="str">
        <f aca="false">IF(G1638="","",IF(N(E1638)=0,1,E1638)*IFERROR(N(INDEX(Produtos!$G$5:$G$104,MATCH(D1638,Produtos!$B$5:$B$104,0))),0))</f>
        <v/>
      </c>
      <c r="I1638" s="27" t="str">
        <f aca="false">IF(G1638="","",G1638-H1638)</f>
        <v/>
      </c>
      <c r="J1638" s="42"/>
    </row>
    <row r="1639" customFormat="false" ht="21" hidden="false" customHeight="true" outlineLevel="0" collapsed="false">
      <c r="B1639" s="41"/>
      <c r="C1639" s="9"/>
      <c r="D1639" s="9"/>
      <c r="E1639" s="42"/>
      <c r="F1639" s="43"/>
      <c r="G1639" s="27" t="str">
        <f aca="false">IF(OR(C1639="",AND(D1639="",F1639="")),"",IF(N(E1639)=0,1,E1639)*IF(F1639="",IFERROR(N(INDEX(Produtos!$L$5:$L$104,MATCH(D1639,Produtos!$B$5:$B$104,0))),0),F1639))</f>
        <v/>
      </c>
      <c r="H1639" s="27" t="str">
        <f aca="false">IF(G1639="","",IF(N(E1639)=0,1,E1639)*IFERROR(N(INDEX(Produtos!$G$5:$G$104,MATCH(D1639,Produtos!$B$5:$B$104,0))),0))</f>
        <v/>
      </c>
      <c r="I1639" s="27" t="str">
        <f aca="false">IF(G1639="","",G1639-H1639)</f>
        <v/>
      </c>
      <c r="J1639" s="42"/>
    </row>
    <row r="1640" customFormat="false" ht="21" hidden="false" customHeight="true" outlineLevel="0" collapsed="false">
      <c r="B1640" s="41"/>
      <c r="C1640" s="9"/>
      <c r="D1640" s="9"/>
      <c r="E1640" s="42"/>
      <c r="F1640" s="43"/>
      <c r="G1640" s="27" t="str">
        <f aca="false">IF(OR(C1640="",AND(D1640="",F1640="")),"",IF(N(E1640)=0,1,E1640)*IF(F1640="",IFERROR(N(INDEX(Produtos!$L$5:$L$104,MATCH(D1640,Produtos!$B$5:$B$104,0))),0),F1640))</f>
        <v/>
      </c>
      <c r="H1640" s="27" t="str">
        <f aca="false">IF(G1640="","",IF(N(E1640)=0,1,E1640)*IFERROR(N(INDEX(Produtos!$G$5:$G$104,MATCH(D1640,Produtos!$B$5:$B$104,0))),0))</f>
        <v/>
      </c>
      <c r="I1640" s="27" t="str">
        <f aca="false">IF(G1640="","",G1640-H1640)</f>
        <v/>
      </c>
      <c r="J1640" s="42"/>
    </row>
    <row r="1641" customFormat="false" ht="21" hidden="false" customHeight="true" outlineLevel="0" collapsed="false">
      <c r="B1641" s="41"/>
      <c r="C1641" s="9"/>
      <c r="D1641" s="9"/>
      <c r="E1641" s="42"/>
      <c r="F1641" s="43"/>
      <c r="G1641" s="27" t="str">
        <f aca="false">IF(OR(C1641="",AND(D1641="",F1641="")),"",IF(N(E1641)=0,1,E1641)*IF(F1641="",IFERROR(N(INDEX(Produtos!$L$5:$L$104,MATCH(D1641,Produtos!$B$5:$B$104,0))),0),F1641))</f>
        <v/>
      </c>
      <c r="H1641" s="27" t="str">
        <f aca="false">IF(G1641="","",IF(N(E1641)=0,1,E1641)*IFERROR(N(INDEX(Produtos!$G$5:$G$104,MATCH(D1641,Produtos!$B$5:$B$104,0))),0))</f>
        <v/>
      </c>
      <c r="I1641" s="27" t="str">
        <f aca="false">IF(G1641="","",G1641-H1641)</f>
        <v/>
      </c>
      <c r="J1641" s="42"/>
    </row>
    <row r="1642" customFormat="false" ht="21" hidden="false" customHeight="true" outlineLevel="0" collapsed="false">
      <c r="B1642" s="41"/>
      <c r="C1642" s="9"/>
      <c r="D1642" s="9"/>
      <c r="E1642" s="42"/>
      <c r="F1642" s="43"/>
      <c r="G1642" s="27" t="str">
        <f aca="false">IF(OR(C1642="",AND(D1642="",F1642="")),"",IF(N(E1642)=0,1,E1642)*IF(F1642="",IFERROR(N(INDEX(Produtos!$L$5:$L$104,MATCH(D1642,Produtos!$B$5:$B$104,0))),0),F1642))</f>
        <v/>
      </c>
      <c r="H1642" s="27" t="str">
        <f aca="false">IF(G1642="","",IF(N(E1642)=0,1,E1642)*IFERROR(N(INDEX(Produtos!$G$5:$G$104,MATCH(D1642,Produtos!$B$5:$B$104,0))),0))</f>
        <v/>
      </c>
      <c r="I1642" s="27" t="str">
        <f aca="false">IF(G1642="","",G1642-H1642)</f>
        <v/>
      </c>
      <c r="J1642" s="42"/>
    </row>
    <row r="1643" customFormat="false" ht="21" hidden="false" customHeight="true" outlineLevel="0" collapsed="false">
      <c r="B1643" s="41"/>
      <c r="C1643" s="9"/>
      <c r="D1643" s="9"/>
      <c r="E1643" s="42"/>
      <c r="F1643" s="43"/>
      <c r="G1643" s="27" t="str">
        <f aca="false">IF(OR(C1643="",AND(D1643="",F1643="")),"",IF(N(E1643)=0,1,E1643)*IF(F1643="",IFERROR(N(INDEX(Produtos!$L$5:$L$104,MATCH(D1643,Produtos!$B$5:$B$104,0))),0),F1643))</f>
        <v/>
      </c>
      <c r="H1643" s="27" t="str">
        <f aca="false">IF(G1643="","",IF(N(E1643)=0,1,E1643)*IFERROR(N(INDEX(Produtos!$G$5:$G$104,MATCH(D1643,Produtos!$B$5:$B$104,0))),0))</f>
        <v/>
      </c>
      <c r="I1643" s="27" t="str">
        <f aca="false">IF(G1643="","",G1643-H1643)</f>
        <v/>
      </c>
      <c r="J1643" s="42"/>
    </row>
    <row r="1644" customFormat="false" ht="21" hidden="false" customHeight="true" outlineLevel="0" collapsed="false">
      <c r="B1644" s="41"/>
      <c r="C1644" s="9"/>
      <c r="D1644" s="9"/>
      <c r="E1644" s="42"/>
      <c r="F1644" s="43"/>
      <c r="G1644" s="27" t="str">
        <f aca="false">IF(OR(C1644="",AND(D1644="",F1644="")),"",IF(N(E1644)=0,1,E1644)*IF(F1644="",IFERROR(N(INDEX(Produtos!$L$5:$L$104,MATCH(D1644,Produtos!$B$5:$B$104,0))),0),F1644))</f>
        <v/>
      </c>
      <c r="H1644" s="27" t="str">
        <f aca="false">IF(G1644="","",IF(N(E1644)=0,1,E1644)*IFERROR(N(INDEX(Produtos!$G$5:$G$104,MATCH(D1644,Produtos!$B$5:$B$104,0))),0))</f>
        <v/>
      </c>
      <c r="I1644" s="27" t="str">
        <f aca="false">IF(G1644="","",G1644-H1644)</f>
        <v/>
      </c>
      <c r="J1644" s="42"/>
    </row>
    <row r="1645" customFormat="false" ht="21" hidden="false" customHeight="true" outlineLevel="0" collapsed="false">
      <c r="B1645" s="41"/>
      <c r="C1645" s="9"/>
      <c r="D1645" s="9"/>
      <c r="E1645" s="42"/>
      <c r="F1645" s="43"/>
      <c r="G1645" s="27" t="str">
        <f aca="false">IF(OR(C1645="",AND(D1645="",F1645="")),"",IF(N(E1645)=0,1,E1645)*IF(F1645="",IFERROR(N(INDEX(Produtos!$L$5:$L$104,MATCH(D1645,Produtos!$B$5:$B$104,0))),0),F1645))</f>
        <v/>
      </c>
      <c r="H1645" s="27" t="str">
        <f aca="false">IF(G1645="","",IF(N(E1645)=0,1,E1645)*IFERROR(N(INDEX(Produtos!$G$5:$G$104,MATCH(D1645,Produtos!$B$5:$B$104,0))),0))</f>
        <v/>
      </c>
      <c r="I1645" s="27" t="str">
        <f aca="false">IF(G1645="","",G1645-H1645)</f>
        <v/>
      </c>
      <c r="J1645" s="42"/>
    </row>
    <row r="1646" customFormat="false" ht="21" hidden="false" customHeight="true" outlineLevel="0" collapsed="false">
      <c r="B1646" s="41"/>
      <c r="C1646" s="9"/>
      <c r="D1646" s="9"/>
      <c r="E1646" s="42"/>
      <c r="F1646" s="43"/>
      <c r="G1646" s="27" t="str">
        <f aca="false">IF(OR(C1646="",AND(D1646="",F1646="")),"",IF(N(E1646)=0,1,E1646)*IF(F1646="",IFERROR(N(INDEX(Produtos!$L$5:$L$104,MATCH(D1646,Produtos!$B$5:$B$104,0))),0),F1646))</f>
        <v/>
      </c>
      <c r="H1646" s="27" t="str">
        <f aca="false">IF(G1646="","",IF(N(E1646)=0,1,E1646)*IFERROR(N(INDEX(Produtos!$G$5:$G$104,MATCH(D1646,Produtos!$B$5:$B$104,0))),0))</f>
        <v/>
      </c>
      <c r="I1646" s="27" t="str">
        <f aca="false">IF(G1646="","",G1646-H1646)</f>
        <v/>
      </c>
      <c r="J1646" s="42"/>
    </row>
    <row r="1647" customFormat="false" ht="21" hidden="false" customHeight="true" outlineLevel="0" collapsed="false">
      <c r="B1647" s="41"/>
      <c r="C1647" s="9"/>
      <c r="D1647" s="9"/>
      <c r="E1647" s="42"/>
      <c r="F1647" s="43"/>
      <c r="G1647" s="27" t="str">
        <f aca="false">IF(OR(C1647="",AND(D1647="",F1647="")),"",IF(N(E1647)=0,1,E1647)*IF(F1647="",IFERROR(N(INDEX(Produtos!$L$5:$L$104,MATCH(D1647,Produtos!$B$5:$B$104,0))),0),F1647))</f>
        <v/>
      </c>
      <c r="H1647" s="27" t="str">
        <f aca="false">IF(G1647="","",IF(N(E1647)=0,1,E1647)*IFERROR(N(INDEX(Produtos!$G$5:$G$104,MATCH(D1647,Produtos!$B$5:$B$104,0))),0))</f>
        <v/>
      </c>
      <c r="I1647" s="27" t="str">
        <f aca="false">IF(G1647="","",G1647-H1647)</f>
        <v/>
      </c>
      <c r="J1647" s="42"/>
    </row>
    <row r="1648" customFormat="false" ht="21" hidden="false" customHeight="true" outlineLevel="0" collapsed="false">
      <c r="B1648" s="41"/>
      <c r="C1648" s="9"/>
      <c r="D1648" s="9"/>
      <c r="E1648" s="42"/>
      <c r="F1648" s="43"/>
      <c r="G1648" s="27" t="str">
        <f aca="false">IF(OR(C1648="",AND(D1648="",F1648="")),"",IF(N(E1648)=0,1,E1648)*IF(F1648="",IFERROR(N(INDEX(Produtos!$L$5:$L$104,MATCH(D1648,Produtos!$B$5:$B$104,0))),0),F1648))</f>
        <v/>
      </c>
      <c r="H1648" s="27" t="str">
        <f aca="false">IF(G1648="","",IF(N(E1648)=0,1,E1648)*IFERROR(N(INDEX(Produtos!$G$5:$G$104,MATCH(D1648,Produtos!$B$5:$B$104,0))),0))</f>
        <v/>
      </c>
      <c r="I1648" s="27" t="str">
        <f aca="false">IF(G1648="","",G1648-H1648)</f>
        <v/>
      </c>
      <c r="J1648" s="42"/>
    </row>
    <row r="1649" customFormat="false" ht="21" hidden="false" customHeight="true" outlineLevel="0" collapsed="false">
      <c r="B1649" s="41"/>
      <c r="C1649" s="9"/>
      <c r="D1649" s="9"/>
      <c r="E1649" s="42"/>
      <c r="F1649" s="43"/>
      <c r="G1649" s="27" t="str">
        <f aca="false">IF(OR(C1649="",AND(D1649="",F1649="")),"",IF(N(E1649)=0,1,E1649)*IF(F1649="",IFERROR(N(INDEX(Produtos!$L$5:$L$104,MATCH(D1649,Produtos!$B$5:$B$104,0))),0),F1649))</f>
        <v/>
      </c>
      <c r="H1649" s="27" t="str">
        <f aca="false">IF(G1649="","",IF(N(E1649)=0,1,E1649)*IFERROR(N(INDEX(Produtos!$G$5:$G$104,MATCH(D1649,Produtos!$B$5:$B$104,0))),0))</f>
        <v/>
      </c>
      <c r="I1649" s="27" t="str">
        <f aca="false">IF(G1649="","",G1649-H1649)</f>
        <v/>
      </c>
      <c r="J1649" s="42"/>
    </row>
    <row r="1650" customFormat="false" ht="21" hidden="false" customHeight="true" outlineLevel="0" collapsed="false">
      <c r="B1650" s="41"/>
      <c r="C1650" s="9"/>
      <c r="D1650" s="9"/>
      <c r="E1650" s="42"/>
      <c r="F1650" s="43"/>
      <c r="G1650" s="27" t="str">
        <f aca="false">IF(OR(C1650="",AND(D1650="",F1650="")),"",IF(N(E1650)=0,1,E1650)*IF(F1650="",IFERROR(N(INDEX(Produtos!$L$5:$L$104,MATCH(D1650,Produtos!$B$5:$B$104,0))),0),F1650))</f>
        <v/>
      </c>
      <c r="H1650" s="27" t="str">
        <f aca="false">IF(G1650="","",IF(N(E1650)=0,1,E1650)*IFERROR(N(INDEX(Produtos!$G$5:$G$104,MATCH(D1650,Produtos!$B$5:$B$104,0))),0))</f>
        <v/>
      </c>
      <c r="I1650" s="27" t="str">
        <f aca="false">IF(G1650="","",G1650-H1650)</f>
        <v/>
      </c>
      <c r="J1650" s="42"/>
    </row>
    <row r="1651" customFormat="false" ht="21" hidden="false" customHeight="true" outlineLevel="0" collapsed="false">
      <c r="B1651" s="41"/>
      <c r="C1651" s="9"/>
      <c r="D1651" s="9"/>
      <c r="E1651" s="42"/>
      <c r="F1651" s="43"/>
      <c r="G1651" s="27" t="str">
        <f aca="false">IF(OR(C1651="",AND(D1651="",F1651="")),"",IF(N(E1651)=0,1,E1651)*IF(F1651="",IFERROR(N(INDEX(Produtos!$L$5:$L$104,MATCH(D1651,Produtos!$B$5:$B$104,0))),0),F1651))</f>
        <v/>
      </c>
      <c r="H1651" s="27" t="str">
        <f aca="false">IF(G1651="","",IF(N(E1651)=0,1,E1651)*IFERROR(N(INDEX(Produtos!$G$5:$G$104,MATCH(D1651,Produtos!$B$5:$B$104,0))),0))</f>
        <v/>
      </c>
      <c r="I1651" s="27" t="str">
        <f aca="false">IF(G1651="","",G1651-H1651)</f>
        <v/>
      </c>
      <c r="J1651" s="42"/>
    </row>
    <row r="1652" customFormat="false" ht="21" hidden="false" customHeight="true" outlineLevel="0" collapsed="false">
      <c r="B1652" s="41"/>
      <c r="C1652" s="9"/>
      <c r="D1652" s="9"/>
      <c r="E1652" s="42"/>
      <c r="F1652" s="43"/>
      <c r="G1652" s="27" t="str">
        <f aca="false">IF(OR(C1652="",AND(D1652="",F1652="")),"",IF(N(E1652)=0,1,E1652)*IF(F1652="",IFERROR(N(INDEX(Produtos!$L$5:$L$104,MATCH(D1652,Produtos!$B$5:$B$104,0))),0),F1652))</f>
        <v/>
      </c>
      <c r="H1652" s="27" t="str">
        <f aca="false">IF(G1652="","",IF(N(E1652)=0,1,E1652)*IFERROR(N(INDEX(Produtos!$G$5:$G$104,MATCH(D1652,Produtos!$B$5:$B$104,0))),0))</f>
        <v/>
      </c>
      <c r="I1652" s="27" t="str">
        <f aca="false">IF(G1652="","",G1652-H1652)</f>
        <v/>
      </c>
      <c r="J1652" s="42"/>
    </row>
    <row r="1653" customFormat="false" ht="21" hidden="false" customHeight="true" outlineLevel="0" collapsed="false">
      <c r="B1653" s="41"/>
      <c r="C1653" s="9"/>
      <c r="D1653" s="9"/>
      <c r="E1653" s="42"/>
      <c r="F1653" s="43"/>
      <c r="G1653" s="27" t="str">
        <f aca="false">IF(OR(C1653="",AND(D1653="",F1653="")),"",IF(N(E1653)=0,1,E1653)*IF(F1653="",IFERROR(N(INDEX(Produtos!$L$5:$L$104,MATCH(D1653,Produtos!$B$5:$B$104,0))),0),F1653))</f>
        <v/>
      </c>
      <c r="H1653" s="27" t="str">
        <f aca="false">IF(G1653="","",IF(N(E1653)=0,1,E1653)*IFERROR(N(INDEX(Produtos!$G$5:$G$104,MATCH(D1653,Produtos!$B$5:$B$104,0))),0))</f>
        <v/>
      </c>
      <c r="I1653" s="27" t="str">
        <f aca="false">IF(G1653="","",G1653-H1653)</f>
        <v/>
      </c>
      <c r="J1653" s="42"/>
    </row>
    <row r="1654" customFormat="false" ht="21" hidden="false" customHeight="true" outlineLevel="0" collapsed="false">
      <c r="B1654" s="41"/>
      <c r="C1654" s="9"/>
      <c r="D1654" s="9"/>
      <c r="E1654" s="42"/>
      <c r="F1654" s="43"/>
      <c r="G1654" s="27" t="str">
        <f aca="false">IF(OR(C1654="",AND(D1654="",F1654="")),"",IF(N(E1654)=0,1,E1654)*IF(F1654="",IFERROR(N(INDEX(Produtos!$L$5:$L$104,MATCH(D1654,Produtos!$B$5:$B$104,0))),0),F1654))</f>
        <v/>
      </c>
      <c r="H1654" s="27" t="str">
        <f aca="false">IF(G1654="","",IF(N(E1654)=0,1,E1654)*IFERROR(N(INDEX(Produtos!$G$5:$G$104,MATCH(D1654,Produtos!$B$5:$B$104,0))),0))</f>
        <v/>
      </c>
      <c r="I1654" s="27" t="str">
        <f aca="false">IF(G1654="","",G1654-H1654)</f>
        <v/>
      </c>
      <c r="J1654" s="42"/>
    </row>
    <row r="1655" customFormat="false" ht="21" hidden="false" customHeight="true" outlineLevel="0" collapsed="false">
      <c r="B1655" s="41"/>
      <c r="C1655" s="9"/>
      <c r="D1655" s="9"/>
      <c r="E1655" s="42"/>
      <c r="F1655" s="43"/>
      <c r="G1655" s="27" t="str">
        <f aca="false">IF(OR(C1655="",AND(D1655="",F1655="")),"",IF(N(E1655)=0,1,E1655)*IF(F1655="",IFERROR(N(INDEX(Produtos!$L$5:$L$104,MATCH(D1655,Produtos!$B$5:$B$104,0))),0),F1655))</f>
        <v/>
      </c>
      <c r="H1655" s="27" t="str">
        <f aca="false">IF(G1655="","",IF(N(E1655)=0,1,E1655)*IFERROR(N(INDEX(Produtos!$G$5:$G$104,MATCH(D1655,Produtos!$B$5:$B$104,0))),0))</f>
        <v/>
      </c>
      <c r="I1655" s="27" t="str">
        <f aca="false">IF(G1655="","",G1655-H1655)</f>
        <v/>
      </c>
      <c r="J1655" s="42"/>
    </row>
    <row r="1656" customFormat="false" ht="21" hidden="false" customHeight="true" outlineLevel="0" collapsed="false">
      <c r="B1656" s="41"/>
      <c r="C1656" s="9"/>
      <c r="D1656" s="9"/>
      <c r="E1656" s="42"/>
      <c r="F1656" s="43"/>
      <c r="G1656" s="27" t="str">
        <f aca="false">IF(OR(C1656="",AND(D1656="",F1656="")),"",IF(N(E1656)=0,1,E1656)*IF(F1656="",IFERROR(N(INDEX(Produtos!$L$5:$L$104,MATCH(D1656,Produtos!$B$5:$B$104,0))),0),F1656))</f>
        <v/>
      </c>
      <c r="H1656" s="27" t="str">
        <f aca="false">IF(G1656="","",IF(N(E1656)=0,1,E1656)*IFERROR(N(INDEX(Produtos!$G$5:$G$104,MATCH(D1656,Produtos!$B$5:$B$104,0))),0))</f>
        <v/>
      </c>
      <c r="I1656" s="27" t="str">
        <f aca="false">IF(G1656="","",G1656-H1656)</f>
        <v/>
      </c>
      <c r="J1656" s="42"/>
    </row>
    <row r="1657" customFormat="false" ht="21" hidden="false" customHeight="true" outlineLevel="0" collapsed="false">
      <c r="B1657" s="41"/>
      <c r="C1657" s="9"/>
      <c r="D1657" s="9"/>
      <c r="E1657" s="42"/>
      <c r="F1657" s="43"/>
      <c r="G1657" s="27" t="str">
        <f aca="false">IF(OR(C1657="",AND(D1657="",F1657="")),"",IF(N(E1657)=0,1,E1657)*IF(F1657="",IFERROR(N(INDEX(Produtos!$L$5:$L$104,MATCH(D1657,Produtos!$B$5:$B$104,0))),0),F1657))</f>
        <v/>
      </c>
      <c r="H1657" s="27" t="str">
        <f aca="false">IF(G1657="","",IF(N(E1657)=0,1,E1657)*IFERROR(N(INDEX(Produtos!$G$5:$G$104,MATCH(D1657,Produtos!$B$5:$B$104,0))),0))</f>
        <v/>
      </c>
      <c r="I1657" s="27" t="str">
        <f aca="false">IF(G1657="","",G1657-H1657)</f>
        <v/>
      </c>
      <c r="J1657" s="42"/>
    </row>
    <row r="1658" customFormat="false" ht="21" hidden="false" customHeight="true" outlineLevel="0" collapsed="false">
      <c r="B1658" s="41"/>
      <c r="C1658" s="9"/>
      <c r="D1658" s="9"/>
      <c r="E1658" s="42"/>
      <c r="F1658" s="43"/>
      <c r="G1658" s="27" t="str">
        <f aca="false">IF(OR(C1658="",AND(D1658="",F1658="")),"",IF(N(E1658)=0,1,E1658)*IF(F1658="",IFERROR(N(INDEX(Produtos!$L$5:$L$104,MATCH(D1658,Produtos!$B$5:$B$104,0))),0),F1658))</f>
        <v/>
      </c>
      <c r="H1658" s="27" t="str">
        <f aca="false">IF(G1658="","",IF(N(E1658)=0,1,E1658)*IFERROR(N(INDEX(Produtos!$G$5:$G$104,MATCH(D1658,Produtos!$B$5:$B$104,0))),0))</f>
        <v/>
      </c>
      <c r="I1658" s="27" t="str">
        <f aca="false">IF(G1658="","",G1658-H1658)</f>
        <v/>
      </c>
      <c r="J1658" s="42"/>
    </row>
    <row r="1659" customFormat="false" ht="21" hidden="false" customHeight="true" outlineLevel="0" collapsed="false">
      <c r="B1659" s="41"/>
      <c r="C1659" s="9"/>
      <c r="D1659" s="9"/>
      <c r="E1659" s="42"/>
      <c r="F1659" s="43"/>
      <c r="G1659" s="27" t="str">
        <f aca="false">IF(OR(C1659="",AND(D1659="",F1659="")),"",IF(N(E1659)=0,1,E1659)*IF(F1659="",IFERROR(N(INDEX(Produtos!$L$5:$L$104,MATCH(D1659,Produtos!$B$5:$B$104,0))),0),F1659))</f>
        <v/>
      </c>
      <c r="H1659" s="27" t="str">
        <f aca="false">IF(G1659="","",IF(N(E1659)=0,1,E1659)*IFERROR(N(INDEX(Produtos!$G$5:$G$104,MATCH(D1659,Produtos!$B$5:$B$104,0))),0))</f>
        <v/>
      </c>
      <c r="I1659" s="27" t="str">
        <f aca="false">IF(G1659="","",G1659-H1659)</f>
        <v/>
      </c>
      <c r="J1659" s="42"/>
    </row>
    <row r="1660" customFormat="false" ht="21" hidden="false" customHeight="true" outlineLevel="0" collapsed="false">
      <c r="B1660" s="41"/>
      <c r="C1660" s="9"/>
      <c r="D1660" s="9"/>
      <c r="E1660" s="42"/>
      <c r="F1660" s="43"/>
      <c r="G1660" s="27" t="str">
        <f aca="false">IF(OR(C1660="",AND(D1660="",F1660="")),"",IF(N(E1660)=0,1,E1660)*IF(F1660="",IFERROR(N(INDEX(Produtos!$L$5:$L$104,MATCH(D1660,Produtos!$B$5:$B$104,0))),0),F1660))</f>
        <v/>
      </c>
      <c r="H1660" s="27" t="str">
        <f aca="false">IF(G1660="","",IF(N(E1660)=0,1,E1660)*IFERROR(N(INDEX(Produtos!$G$5:$G$104,MATCH(D1660,Produtos!$B$5:$B$104,0))),0))</f>
        <v/>
      </c>
      <c r="I1660" s="27" t="str">
        <f aca="false">IF(G1660="","",G1660-H1660)</f>
        <v/>
      </c>
      <c r="J1660" s="42"/>
    </row>
    <row r="1661" customFormat="false" ht="21" hidden="false" customHeight="true" outlineLevel="0" collapsed="false">
      <c r="B1661" s="41"/>
      <c r="C1661" s="9"/>
      <c r="D1661" s="9"/>
      <c r="E1661" s="42"/>
      <c r="F1661" s="43"/>
      <c r="G1661" s="27" t="str">
        <f aca="false">IF(OR(C1661="",AND(D1661="",F1661="")),"",IF(N(E1661)=0,1,E1661)*IF(F1661="",IFERROR(N(INDEX(Produtos!$L$5:$L$104,MATCH(D1661,Produtos!$B$5:$B$104,0))),0),F1661))</f>
        <v/>
      </c>
      <c r="H1661" s="27" t="str">
        <f aca="false">IF(G1661="","",IF(N(E1661)=0,1,E1661)*IFERROR(N(INDEX(Produtos!$G$5:$G$104,MATCH(D1661,Produtos!$B$5:$B$104,0))),0))</f>
        <v/>
      </c>
      <c r="I1661" s="27" t="str">
        <f aca="false">IF(G1661="","",G1661-H1661)</f>
        <v/>
      </c>
      <c r="J1661" s="42"/>
    </row>
    <row r="1662" customFormat="false" ht="21" hidden="false" customHeight="true" outlineLevel="0" collapsed="false">
      <c r="B1662" s="41"/>
      <c r="C1662" s="9"/>
      <c r="D1662" s="9"/>
      <c r="E1662" s="42"/>
      <c r="F1662" s="43"/>
      <c r="G1662" s="27" t="str">
        <f aca="false">IF(OR(C1662="",AND(D1662="",F1662="")),"",IF(N(E1662)=0,1,E1662)*IF(F1662="",IFERROR(N(INDEX(Produtos!$L$5:$L$104,MATCH(D1662,Produtos!$B$5:$B$104,0))),0),F1662))</f>
        <v/>
      </c>
      <c r="H1662" s="27" t="str">
        <f aca="false">IF(G1662="","",IF(N(E1662)=0,1,E1662)*IFERROR(N(INDEX(Produtos!$G$5:$G$104,MATCH(D1662,Produtos!$B$5:$B$104,0))),0))</f>
        <v/>
      </c>
      <c r="I1662" s="27" t="str">
        <f aca="false">IF(G1662="","",G1662-H1662)</f>
        <v/>
      </c>
      <c r="J1662" s="42"/>
    </row>
    <row r="1663" customFormat="false" ht="21" hidden="false" customHeight="true" outlineLevel="0" collapsed="false">
      <c r="B1663" s="41"/>
      <c r="C1663" s="9"/>
      <c r="D1663" s="9"/>
      <c r="E1663" s="42"/>
      <c r="F1663" s="43"/>
      <c r="G1663" s="27" t="str">
        <f aca="false">IF(OR(C1663="",AND(D1663="",F1663="")),"",IF(N(E1663)=0,1,E1663)*IF(F1663="",IFERROR(N(INDEX(Produtos!$L$5:$L$104,MATCH(D1663,Produtos!$B$5:$B$104,0))),0),F1663))</f>
        <v/>
      </c>
      <c r="H1663" s="27" t="str">
        <f aca="false">IF(G1663="","",IF(N(E1663)=0,1,E1663)*IFERROR(N(INDEX(Produtos!$G$5:$G$104,MATCH(D1663,Produtos!$B$5:$B$104,0))),0))</f>
        <v/>
      </c>
      <c r="I1663" s="27" t="str">
        <f aca="false">IF(G1663="","",G1663-H1663)</f>
        <v/>
      </c>
      <c r="J1663" s="42"/>
    </row>
    <row r="1664" customFormat="false" ht="21" hidden="false" customHeight="true" outlineLevel="0" collapsed="false">
      <c r="B1664" s="41"/>
      <c r="C1664" s="9"/>
      <c r="D1664" s="9"/>
      <c r="E1664" s="42"/>
      <c r="F1664" s="43"/>
      <c r="G1664" s="27" t="str">
        <f aca="false">IF(OR(C1664="",AND(D1664="",F1664="")),"",IF(N(E1664)=0,1,E1664)*IF(F1664="",IFERROR(N(INDEX(Produtos!$L$5:$L$104,MATCH(D1664,Produtos!$B$5:$B$104,0))),0),F1664))</f>
        <v/>
      </c>
      <c r="H1664" s="27" t="str">
        <f aca="false">IF(G1664="","",IF(N(E1664)=0,1,E1664)*IFERROR(N(INDEX(Produtos!$G$5:$G$104,MATCH(D1664,Produtos!$B$5:$B$104,0))),0))</f>
        <v/>
      </c>
      <c r="I1664" s="27" t="str">
        <f aca="false">IF(G1664="","",G1664-H1664)</f>
        <v/>
      </c>
      <c r="J1664" s="42"/>
    </row>
    <row r="1665" customFormat="false" ht="21" hidden="false" customHeight="true" outlineLevel="0" collapsed="false">
      <c r="B1665" s="41"/>
      <c r="C1665" s="9"/>
      <c r="D1665" s="9"/>
      <c r="E1665" s="42"/>
      <c r="F1665" s="43"/>
      <c r="G1665" s="27" t="str">
        <f aca="false">IF(OR(C1665="",AND(D1665="",F1665="")),"",IF(N(E1665)=0,1,E1665)*IF(F1665="",IFERROR(N(INDEX(Produtos!$L$5:$L$104,MATCH(D1665,Produtos!$B$5:$B$104,0))),0),F1665))</f>
        <v/>
      </c>
      <c r="H1665" s="27" t="str">
        <f aca="false">IF(G1665="","",IF(N(E1665)=0,1,E1665)*IFERROR(N(INDEX(Produtos!$G$5:$G$104,MATCH(D1665,Produtos!$B$5:$B$104,0))),0))</f>
        <v/>
      </c>
      <c r="I1665" s="27" t="str">
        <f aca="false">IF(G1665="","",G1665-H1665)</f>
        <v/>
      </c>
      <c r="J1665" s="42"/>
    </row>
    <row r="1666" customFormat="false" ht="21" hidden="false" customHeight="true" outlineLevel="0" collapsed="false">
      <c r="B1666" s="41"/>
      <c r="C1666" s="9"/>
      <c r="D1666" s="9"/>
      <c r="E1666" s="42"/>
      <c r="F1666" s="43"/>
      <c r="G1666" s="27" t="str">
        <f aca="false">IF(OR(C1666="",AND(D1666="",F1666="")),"",IF(N(E1666)=0,1,E1666)*IF(F1666="",IFERROR(N(INDEX(Produtos!$L$5:$L$104,MATCH(D1666,Produtos!$B$5:$B$104,0))),0),F1666))</f>
        <v/>
      </c>
      <c r="H1666" s="27" t="str">
        <f aca="false">IF(G1666="","",IF(N(E1666)=0,1,E1666)*IFERROR(N(INDEX(Produtos!$G$5:$G$104,MATCH(D1666,Produtos!$B$5:$B$104,0))),0))</f>
        <v/>
      </c>
      <c r="I1666" s="27" t="str">
        <f aca="false">IF(G1666="","",G1666-H1666)</f>
        <v/>
      </c>
      <c r="J1666" s="42"/>
    </row>
    <row r="1667" customFormat="false" ht="21" hidden="false" customHeight="true" outlineLevel="0" collapsed="false">
      <c r="B1667" s="41"/>
      <c r="C1667" s="9"/>
      <c r="D1667" s="9"/>
      <c r="E1667" s="42"/>
      <c r="F1667" s="43"/>
      <c r="G1667" s="27" t="str">
        <f aca="false">IF(OR(C1667="",AND(D1667="",F1667="")),"",IF(N(E1667)=0,1,E1667)*IF(F1667="",IFERROR(N(INDEX(Produtos!$L$5:$L$104,MATCH(D1667,Produtos!$B$5:$B$104,0))),0),F1667))</f>
        <v/>
      </c>
      <c r="H1667" s="27" t="str">
        <f aca="false">IF(G1667="","",IF(N(E1667)=0,1,E1667)*IFERROR(N(INDEX(Produtos!$G$5:$G$104,MATCH(D1667,Produtos!$B$5:$B$104,0))),0))</f>
        <v/>
      </c>
      <c r="I1667" s="27" t="str">
        <f aca="false">IF(G1667="","",G1667-H1667)</f>
        <v/>
      </c>
      <c r="J1667" s="42"/>
    </row>
    <row r="1668" customFormat="false" ht="21" hidden="false" customHeight="true" outlineLevel="0" collapsed="false">
      <c r="B1668" s="41"/>
      <c r="C1668" s="9"/>
      <c r="D1668" s="9"/>
      <c r="E1668" s="42"/>
      <c r="F1668" s="43"/>
      <c r="G1668" s="27" t="str">
        <f aca="false">IF(OR(C1668="",AND(D1668="",F1668="")),"",IF(N(E1668)=0,1,E1668)*IF(F1668="",IFERROR(N(INDEX(Produtos!$L$5:$L$104,MATCH(D1668,Produtos!$B$5:$B$104,0))),0),F1668))</f>
        <v/>
      </c>
      <c r="H1668" s="27" t="str">
        <f aca="false">IF(G1668="","",IF(N(E1668)=0,1,E1668)*IFERROR(N(INDEX(Produtos!$G$5:$G$104,MATCH(D1668,Produtos!$B$5:$B$104,0))),0))</f>
        <v/>
      </c>
      <c r="I1668" s="27" t="str">
        <f aca="false">IF(G1668="","",G1668-H1668)</f>
        <v/>
      </c>
      <c r="J1668" s="42"/>
    </row>
    <row r="1669" customFormat="false" ht="21" hidden="false" customHeight="true" outlineLevel="0" collapsed="false">
      <c r="B1669" s="41"/>
      <c r="C1669" s="9"/>
      <c r="D1669" s="9"/>
      <c r="E1669" s="42"/>
      <c r="F1669" s="43"/>
      <c r="G1669" s="27" t="str">
        <f aca="false">IF(OR(C1669="",AND(D1669="",F1669="")),"",IF(N(E1669)=0,1,E1669)*IF(F1669="",IFERROR(N(INDEX(Produtos!$L$5:$L$104,MATCH(D1669,Produtos!$B$5:$B$104,0))),0),F1669))</f>
        <v/>
      </c>
      <c r="H1669" s="27" t="str">
        <f aca="false">IF(G1669="","",IF(N(E1669)=0,1,E1669)*IFERROR(N(INDEX(Produtos!$G$5:$G$104,MATCH(D1669,Produtos!$B$5:$B$104,0))),0))</f>
        <v/>
      </c>
      <c r="I1669" s="27" t="str">
        <f aca="false">IF(G1669="","",G1669-H1669)</f>
        <v/>
      </c>
      <c r="J1669" s="42"/>
    </row>
    <row r="1670" customFormat="false" ht="21" hidden="false" customHeight="true" outlineLevel="0" collapsed="false">
      <c r="B1670" s="41"/>
      <c r="C1670" s="9"/>
      <c r="D1670" s="9"/>
      <c r="E1670" s="42"/>
      <c r="F1670" s="43"/>
      <c r="G1670" s="27" t="str">
        <f aca="false">IF(OR(C1670="",AND(D1670="",F1670="")),"",IF(N(E1670)=0,1,E1670)*IF(F1670="",IFERROR(N(INDEX(Produtos!$L$5:$L$104,MATCH(D1670,Produtos!$B$5:$B$104,0))),0),F1670))</f>
        <v/>
      </c>
      <c r="H1670" s="27" t="str">
        <f aca="false">IF(G1670="","",IF(N(E1670)=0,1,E1670)*IFERROR(N(INDEX(Produtos!$G$5:$G$104,MATCH(D1670,Produtos!$B$5:$B$104,0))),0))</f>
        <v/>
      </c>
      <c r="I1670" s="27" t="str">
        <f aca="false">IF(G1670="","",G1670-H1670)</f>
        <v/>
      </c>
      <c r="J1670" s="42"/>
    </row>
    <row r="1671" customFormat="false" ht="21" hidden="false" customHeight="true" outlineLevel="0" collapsed="false">
      <c r="B1671" s="41"/>
      <c r="C1671" s="9"/>
      <c r="D1671" s="9"/>
      <c r="E1671" s="42"/>
      <c r="F1671" s="43"/>
      <c r="G1671" s="27" t="str">
        <f aca="false">IF(OR(C1671="",AND(D1671="",F1671="")),"",IF(N(E1671)=0,1,E1671)*IF(F1671="",IFERROR(N(INDEX(Produtos!$L$5:$L$104,MATCH(D1671,Produtos!$B$5:$B$104,0))),0),F1671))</f>
        <v/>
      </c>
      <c r="H1671" s="27" t="str">
        <f aca="false">IF(G1671="","",IF(N(E1671)=0,1,E1671)*IFERROR(N(INDEX(Produtos!$G$5:$G$104,MATCH(D1671,Produtos!$B$5:$B$104,0))),0))</f>
        <v/>
      </c>
      <c r="I1671" s="27" t="str">
        <f aca="false">IF(G1671="","",G1671-H1671)</f>
        <v/>
      </c>
      <c r="J1671" s="42"/>
    </row>
    <row r="1672" customFormat="false" ht="21" hidden="false" customHeight="true" outlineLevel="0" collapsed="false">
      <c r="B1672" s="41"/>
      <c r="C1672" s="9"/>
      <c r="D1672" s="9"/>
      <c r="E1672" s="42"/>
      <c r="F1672" s="43"/>
      <c r="G1672" s="27" t="str">
        <f aca="false">IF(OR(C1672="",AND(D1672="",F1672="")),"",IF(N(E1672)=0,1,E1672)*IF(F1672="",IFERROR(N(INDEX(Produtos!$L$5:$L$104,MATCH(D1672,Produtos!$B$5:$B$104,0))),0),F1672))</f>
        <v/>
      </c>
      <c r="H1672" s="27" t="str">
        <f aca="false">IF(G1672="","",IF(N(E1672)=0,1,E1672)*IFERROR(N(INDEX(Produtos!$G$5:$G$104,MATCH(D1672,Produtos!$B$5:$B$104,0))),0))</f>
        <v/>
      </c>
      <c r="I1672" s="27" t="str">
        <f aca="false">IF(G1672="","",G1672-H1672)</f>
        <v/>
      </c>
      <c r="J1672" s="42"/>
    </row>
    <row r="1673" customFormat="false" ht="21" hidden="false" customHeight="true" outlineLevel="0" collapsed="false">
      <c r="B1673" s="41"/>
      <c r="C1673" s="9"/>
      <c r="D1673" s="9"/>
      <c r="E1673" s="42"/>
      <c r="F1673" s="43"/>
      <c r="G1673" s="27" t="str">
        <f aca="false">IF(OR(C1673="",AND(D1673="",F1673="")),"",IF(N(E1673)=0,1,E1673)*IF(F1673="",IFERROR(N(INDEX(Produtos!$L$5:$L$104,MATCH(D1673,Produtos!$B$5:$B$104,0))),0),F1673))</f>
        <v/>
      </c>
      <c r="H1673" s="27" t="str">
        <f aca="false">IF(G1673="","",IF(N(E1673)=0,1,E1673)*IFERROR(N(INDEX(Produtos!$G$5:$G$104,MATCH(D1673,Produtos!$B$5:$B$104,0))),0))</f>
        <v/>
      </c>
      <c r="I1673" s="27" t="str">
        <f aca="false">IF(G1673="","",G1673-H1673)</f>
        <v/>
      </c>
      <c r="J1673" s="42"/>
    </row>
    <row r="1674" customFormat="false" ht="21" hidden="false" customHeight="true" outlineLevel="0" collapsed="false">
      <c r="B1674" s="41"/>
      <c r="C1674" s="9"/>
      <c r="D1674" s="9"/>
      <c r="E1674" s="42"/>
      <c r="F1674" s="43"/>
      <c r="G1674" s="27" t="str">
        <f aca="false">IF(OR(C1674="",AND(D1674="",F1674="")),"",IF(N(E1674)=0,1,E1674)*IF(F1674="",IFERROR(N(INDEX(Produtos!$L$5:$L$104,MATCH(D1674,Produtos!$B$5:$B$104,0))),0),F1674))</f>
        <v/>
      </c>
      <c r="H1674" s="27" t="str">
        <f aca="false">IF(G1674="","",IF(N(E1674)=0,1,E1674)*IFERROR(N(INDEX(Produtos!$G$5:$G$104,MATCH(D1674,Produtos!$B$5:$B$104,0))),0))</f>
        <v/>
      </c>
      <c r="I1674" s="27" t="str">
        <f aca="false">IF(G1674="","",G1674-H1674)</f>
        <v/>
      </c>
      <c r="J1674" s="42"/>
    </row>
    <row r="1675" customFormat="false" ht="21" hidden="false" customHeight="true" outlineLevel="0" collapsed="false">
      <c r="B1675" s="41"/>
      <c r="C1675" s="9"/>
      <c r="D1675" s="9"/>
      <c r="E1675" s="42"/>
      <c r="F1675" s="43"/>
      <c r="G1675" s="27" t="str">
        <f aca="false">IF(OR(C1675="",AND(D1675="",F1675="")),"",IF(N(E1675)=0,1,E1675)*IF(F1675="",IFERROR(N(INDEX(Produtos!$L$5:$L$104,MATCH(D1675,Produtos!$B$5:$B$104,0))),0),F1675))</f>
        <v/>
      </c>
      <c r="H1675" s="27" t="str">
        <f aca="false">IF(G1675="","",IF(N(E1675)=0,1,E1675)*IFERROR(N(INDEX(Produtos!$G$5:$G$104,MATCH(D1675,Produtos!$B$5:$B$104,0))),0))</f>
        <v/>
      </c>
      <c r="I1675" s="27" t="str">
        <f aca="false">IF(G1675="","",G1675-H1675)</f>
        <v/>
      </c>
      <c r="J1675" s="42"/>
    </row>
    <row r="1676" customFormat="false" ht="21" hidden="false" customHeight="true" outlineLevel="0" collapsed="false">
      <c r="B1676" s="41"/>
      <c r="C1676" s="9"/>
      <c r="D1676" s="9"/>
      <c r="E1676" s="42"/>
      <c r="F1676" s="43"/>
      <c r="G1676" s="27" t="str">
        <f aca="false">IF(OR(C1676="",AND(D1676="",F1676="")),"",IF(N(E1676)=0,1,E1676)*IF(F1676="",IFERROR(N(INDEX(Produtos!$L$5:$L$104,MATCH(D1676,Produtos!$B$5:$B$104,0))),0),F1676))</f>
        <v/>
      </c>
      <c r="H1676" s="27" t="str">
        <f aca="false">IF(G1676="","",IF(N(E1676)=0,1,E1676)*IFERROR(N(INDEX(Produtos!$G$5:$G$104,MATCH(D1676,Produtos!$B$5:$B$104,0))),0))</f>
        <v/>
      </c>
      <c r="I1676" s="27" t="str">
        <f aca="false">IF(G1676="","",G1676-H1676)</f>
        <v/>
      </c>
      <c r="J1676" s="42"/>
    </row>
    <row r="1677" customFormat="false" ht="21" hidden="false" customHeight="true" outlineLevel="0" collapsed="false">
      <c r="B1677" s="41"/>
      <c r="C1677" s="9"/>
      <c r="D1677" s="9"/>
      <c r="E1677" s="42"/>
      <c r="F1677" s="43"/>
      <c r="G1677" s="27" t="str">
        <f aca="false">IF(OR(C1677="",AND(D1677="",F1677="")),"",IF(N(E1677)=0,1,E1677)*IF(F1677="",IFERROR(N(INDEX(Produtos!$L$5:$L$104,MATCH(D1677,Produtos!$B$5:$B$104,0))),0),F1677))</f>
        <v/>
      </c>
      <c r="H1677" s="27" t="str">
        <f aca="false">IF(G1677="","",IF(N(E1677)=0,1,E1677)*IFERROR(N(INDEX(Produtos!$G$5:$G$104,MATCH(D1677,Produtos!$B$5:$B$104,0))),0))</f>
        <v/>
      </c>
      <c r="I1677" s="27" t="str">
        <f aca="false">IF(G1677="","",G1677-H1677)</f>
        <v/>
      </c>
      <c r="J1677" s="42"/>
    </row>
    <row r="1678" customFormat="false" ht="21" hidden="false" customHeight="true" outlineLevel="0" collapsed="false">
      <c r="B1678" s="41"/>
      <c r="C1678" s="9"/>
      <c r="D1678" s="9"/>
      <c r="E1678" s="42"/>
      <c r="F1678" s="43"/>
      <c r="G1678" s="27" t="str">
        <f aca="false">IF(OR(C1678="",AND(D1678="",F1678="")),"",IF(N(E1678)=0,1,E1678)*IF(F1678="",IFERROR(N(INDEX(Produtos!$L$5:$L$104,MATCH(D1678,Produtos!$B$5:$B$104,0))),0),F1678))</f>
        <v/>
      </c>
      <c r="H1678" s="27" t="str">
        <f aca="false">IF(G1678="","",IF(N(E1678)=0,1,E1678)*IFERROR(N(INDEX(Produtos!$G$5:$G$104,MATCH(D1678,Produtos!$B$5:$B$104,0))),0))</f>
        <v/>
      </c>
      <c r="I1678" s="27" t="str">
        <f aca="false">IF(G1678="","",G1678-H1678)</f>
        <v/>
      </c>
      <c r="J1678" s="42"/>
    </row>
    <row r="1679" customFormat="false" ht="21" hidden="false" customHeight="true" outlineLevel="0" collapsed="false">
      <c r="B1679" s="41"/>
      <c r="C1679" s="9"/>
      <c r="D1679" s="9"/>
      <c r="E1679" s="42"/>
      <c r="F1679" s="43"/>
      <c r="G1679" s="27" t="str">
        <f aca="false">IF(OR(C1679="",AND(D1679="",F1679="")),"",IF(N(E1679)=0,1,E1679)*IF(F1679="",IFERROR(N(INDEX(Produtos!$L$5:$L$104,MATCH(D1679,Produtos!$B$5:$B$104,0))),0),F1679))</f>
        <v/>
      </c>
      <c r="H1679" s="27" t="str">
        <f aca="false">IF(G1679="","",IF(N(E1679)=0,1,E1679)*IFERROR(N(INDEX(Produtos!$G$5:$G$104,MATCH(D1679,Produtos!$B$5:$B$104,0))),0))</f>
        <v/>
      </c>
      <c r="I1679" s="27" t="str">
        <f aca="false">IF(G1679="","",G1679-H1679)</f>
        <v/>
      </c>
      <c r="J1679" s="42"/>
    </row>
    <row r="1680" customFormat="false" ht="21" hidden="false" customHeight="true" outlineLevel="0" collapsed="false">
      <c r="B1680" s="41"/>
      <c r="C1680" s="9"/>
      <c r="D1680" s="9"/>
      <c r="E1680" s="42"/>
      <c r="F1680" s="43"/>
      <c r="G1680" s="27" t="str">
        <f aca="false">IF(OR(C1680="",AND(D1680="",F1680="")),"",IF(N(E1680)=0,1,E1680)*IF(F1680="",IFERROR(N(INDEX(Produtos!$L$5:$L$104,MATCH(D1680,Produtos!$B$5:$B$104,0))),0),F1680))</f>
        <v/>
      </c>
      <c r="H1680" s="27" t="str">
        <f aca="false">IF(G1680="","",IF(N(E1680)=0,1,E1680)*IFERROR(N(INDEX(Produtos!$G$5:$G$104,MATCH(D1680,Produtos!$B$5:$B$104,0))),0))</f>
        <v/>
      </c>
      <c r="I1680" s="27" t="str">
        <f aca="false">IF(G1680="","",G1680-H1680)</f>
        <v/>
      </c>
      <c r="J1680" s="42"/>
    </row>
    <row r="1681" customFormat="false" ht="21" hidden="false" customHeight="true" outlineLevel="0" collapsed="false">
      <c r="B1681" s="41"/>
      <c r="C1681" s="9"/>
      <c r="D1681" s="9"/>
      <c r="E1681" s="42"/>
      <c r="F1681" s="43"/>
      <c r="G1681" s="27" t="str">
        <f aca="false">IF(OR(C1681="",AND(D1681="",F1681="")),"",IF(N(E1681)=0,1,E1681)*IF(F1681="",IFERROR(N(INDEX(Produtos!$L$5:$L$104,MATCH(D1681,Produtos!$B$5:$B$104,0))),0),F1681))</f>
        <v/>
      </c>
      <c r="H1681" s="27" t="str">
        <f aca="false">IF(G1681="","",IF(N(E1681)=0,1,E1681)*IFERROR(N(INDEX(Produtos!$G$5:$G$104,MATCH(D1681,Produtos!$B$5:$B$104,0))),0))</f>
        <v/>
      </c>
      <c r="I1681" s="27" t="str">
        <f aca="false">IF(G1681="","",G1681-H1681)</f>
        <v/>
      </c>
      <c r="J1681" s="42"/>
    </row>
    <row r="1682" customFormat="false" ht="21" hidden="false" customHeight="true" outlineLevel="0" collapsed="false">
      <c r="B1682" s="41"/>
      <c r="C1682" s="9"/>
      <c r="D1682" s="9"/>
      <c r="E1682" s="42"/>
      <c r="F1682" s="43"/>
      <c r="G1682" s="27" t="str">
        <f aca="false">IF(OR(C1682="",AND(D1682="",F1682="")),"",IF(N(E1682)=0,1,E1682)*IF(F1682="",IFERROR(N(INDEX(Produtos!$L$5:$L$104,MATCH(D1682,Produtos!$B$5:$B$104,0))),0),F1682))</f>
        <v/>
      </c>
      <c r="H1682" s="27" t="str">
        <f aca="false">IF(G1682="","",IF(N(E1682)=0,1,E1682)*IFERROR(N(INDEX(Produtos!$G$5:$G$104,MATCH(D1682,Produtos!$B$5:$B$104,0))),0))</f>
        <v/>
      </c>
      <c r="I1682" s="27" t="str">
        <f aca="false">IF(G1682="","",G1682-H1682)</f>
        <v/>
      </c>
      <c r="J1682" s="42"/>
    </row>
    <row r="1683" customFormat="false" ht="21" hidden="false" customHeight="true" outlineLevel="0" collapsed="false">
      <c r="B1683" s="41"/>
      <c r="C1683" s="9"/>
      <c r="D1683" s="9"/>
      <c r="E1683" s="42"/>
      <c r="F1683" s="43"/>
      <c r="G1683" s="27" t="str">
        <f aca="false">IF(OR(C1683="",AND(D1683="",F1683="")),"",IF(N(E1683)=0,1,E1683)*IF(F1683="",IFERROR(N(INDEX(Produtos!$L$5:$L$104,MATCH(D1683,Produtos!$B$5:$B$104,0))),0),F1683))</f>
        <v/>
      </c>
      <c r="H1683" s="27" t="str">
        <f aca="false">IF(G1683="","",IF(N(E1683)=0,1,E1683)*IFERROR(N(INDEX(Produtos!$G$5:$G$104,MATCH(D1683,Produtos!$B$5:$B$104,0))),0))</f>
        <v/>
      </c>
      <c r="I1683" s="27" t="str">
        <f aca="false">IF(G1683="","",G1683-H1683)</f>
        <v/>
      </c>
      <c r="J1683" s="42"/>
    </row>
    <row r="1684" customFormat="false" ht="21" hidden="false" customHeight="true" outlineLevel="0" collapsed="false">
      <c r="B1684" s="41"/>
      <c r="C1684" s="9"/>
      <c r="D1684" s="9"/>
      <c r="E1684" s="42"/>
      <c r="F1684" s="43"/>
      <c r="G1684" s="27" t="str">
        <f aca="false">IF(OR(C1684="",AND(D1684="",F1684="")),"",IF(N(E1684)=0,1,E1684)*IF(F1684="",IFERROR(N(INDEX(Produtos!$L$5:$L$104,MATCH(D1684,Produtos!$B$5:$B$104,0))),0),F1684))</f>
        <v/>
      </c>
      <c r="H1684" s="27" t="str">
        <f aca="false">IF(G1684="","",IF(N(E1684)=0,1,E1684)*IFERROR(N(INDEX(Produtos!$G$5:$G$104,MATCH(D1684,Produtos!$B$5:$B$104,0))),0))</f>
        <v/>
      </c>
      <c r="I1684" s="27" t="str">
        <f aca="false">IF(G1684="","",G1684-H1684)</f>
        <v/>
      </c>
      <c r="J1684" s="42"/>
    </row>
    <row r="1685" customFormat="false" ht="21" hidden="false" customHeight="true" outlineLevel="0" collapsed="false">
      <c r="B1685" s="41"/>
      <c r="C1685" s="9"/>
      <c r="D1685" s="9"/>
      <c r="E1685" s="42"/>
      <c r="F1685" s="43"/>
      <c r="G1685" s="27" t="str">
        <f aca="false">IF(OR(C1685="",AND(D1685="",F1685="")),"",IF(N(E1685)=0,1,E1685)*IF(F1685="",IFERROR(N(INDEX(Produtos!$L$5:$L$104,MATCH(D1685,Produtos!$B$5:$B$104,0))),0),F1685))</f>
        <v/>
      </c>
      <c r="H1685" s="27" t="str">
        <f aca="false">IF(G1685="","",IF(N(E1685)=0,1,E1685)*IFERROR(N(INDEX(Produtos!$G$5:$G$104,MATCH(D1685,Produtos!$B$5:$B$104,0))),0))</f>
        <v/>
      </c>
      <c r="I1685" s="27" t="str">
        <f aca="false">IF(G1685="","",G1685-H1685)</f>
        <v/>
      </c>
      <c r="J1685" s="42"/>
    </row>
    <row r="1686" customFormat="false" ht="21" hidden="false" customHeight="true" outlineLevel="0" collapsed="false">
      <c r="B1686" s="41"/>
      <c r="C1686" s="9"/>
      <c r="D1686" s="9"/>
      <c r="E1686" s="42"/>
      <c r="F1686" s="43"/>
      <c r="G1686" s="27" t="str">
        <f aca="false">IF(OR(C1686="",AND(D1686="",F1686="")),"",IF(N(E1686)=0,1,E1686)*IF(F1686="",IFERROR(N(INDEX(Produtos!$L$5:$L$104,MATCH(D1686,Produtos!$B$5:$B$104,0))),0),F1686))</f>
        <v/>
      </c>
      <c r="H1686" s="27" t="str">
        <f aca="false">IF(G1686="","",IF(N(E1686)=0,1,E1686)*IFERROR(N(INDEX(Produtos!$G$5:$G$104,MATCH(D1686,Produtos!$B$5:$B$104,0))),0))</f>
        <v/>
      </c>
      <c r="I1686" s="27" t="str">
        <f aca="false">IF(G1686="","",G1686-H1686)</f>
        <v/>
      </c>
      <c r="J1686" s="42"/>
    </row>
    <row r="1687" customFormat="false" ht="21" hidden="false" customHeight="true" outlineLevel="0" collapsed="false">
      <c r="B1687" s="41"/>
      <c r="C1687" s="9"/>
      <c r="D1687" s="9"/>
      <c r="E1687" s="42"/>
      <c r="F1687" s="43"/>
      <c r="G1687" s="27" t="str">
        <f aca="false">IF(OR(C1687="",AND(D1687="",F1687="")),"",IF(N(E1687)=0,1,E1687)*IF(F1687="",IFERROR(N(INDEX(Produtos!$L$5:$L$104,MATCH(D1687,Produtos!$B$5:$B$104,0))),0),F1687))</f>
        <v/>
      </c>
      <c r="H1687" s="27" t="str">
        <f aca="false">IF(G1687="","",IF(N(E1687)=0,1,E1687)*IFERROR(N(INDEX(Produtos!$G$5:$G$104,MATCH(D1687,Produtos!$B$5:$B$104,0))),0))</f>
        <v/>
      </c>
      <c r="I1687" s="27" t="str">
        <f aca="false">IF(G1687="","",G1687-H1687)</f>
        <v/>
      </c>
      <c r="J1687" s="42"/>
    </row>
    <row r="1688" customFormat="false" ht="21" hidden="false" customHeight="true" outlineLevel="0" collapsed="false">
      <c r="B1688" s="41"/>
      <c r="C1688" s="9"/>
      <c r="D1688" s="9"/>
      <c r="E1688" s="42"/>
      <c r="F1688" s="43"/>
      <c r="G1688" s="27" t="str">
        <f aca="false">IF(OR(C1688="",AND(D1688="",F1688="")),"",IF(N(E1688)=0,1,E1688)*IF(F1688="",IFERROR(N(INDEX(Produtos!$L$5:$L$104,MATCH(D1688,Produtos!$B$5:$B$104,0))),0),F1688))</f>
        <v/>
      </c>
      <c r="H1688" s="27" t="str">
        <f aca="false">IF(G1688="","",IF(N(E1688)=0,1,E1688)*IFERROR(N(INDEX(Produtos!$G$5:$G$104,MATCH(D1688,Produtos!$B$5:$B$104,0))),0))</f>
        <v/>
      </c>
      <c r="I1688" s="27" t="str">
        <f aca="false">IF(G1688="","",G1688-H1688)</f>
        <v/>
      </c>
      <c r="J1688" s="42"/>
    </row>
    <row r="1689" customFormat="false" ht="21" hidden="false" customHeight="true" outlineLevel="0" collapsed="false">
      <c r="B1689" s="41"/>
      <c r="C1689" s="9"/>
      <c r="D1689" s="9"/>
      <c r="E1689" s="42"/>
      <c r="F1689" s="43"/>
      <c r="G1689" s="27" t="str">
        <f aca="false">IF(OR(C1689="",AND(D1689="",F1689="")),"",IF(N(E1689)=0,1,E1689)*IF(F1689="",IFERROR(N(INDEX(Produtos!$L$5:$L$104,MATCH(D1689,Produtos!$B$5:$B$104,0))),0),F1689))</f>
        <v/>
      </c>
      <c r="H1689" s="27" t="str">
        <f aca="false">IF(G1689="","",IF(N(E1689)=0,1,E1689)*IFERROR(N(INDEX(Produtos!$G$5:$G$104,MATCH(D1689,Produtos!$B$5:$B$104,0))),0))</f>
        <v/>
      </c>
      <c r="I1689" s="27" t="str">
        <f aca="false">IF(G1689="","",G1689-H1689)</f>
        <v/>
      </c>
      <c r="J1689" s="42"/>
    </row>
    <row r="1690" customFormat="false" ht="21" hidden="false" customHeight="true" outlineLevel="0" collapsed="false">
      <c r="B1690" s="41"/>
      <c r="C1690" s="9"/>
      <c r="D1690" s="9"/>
      <c r="E1690" s="42"/>
      <c r="F1690" s="43"/>
      <c r="G1690" s="27" t="str">
        <f aca="false">IF(OR(C1690="",AND(D1690="",F1690="")),"",IF(N(E1690)=0,1,E1690)*IF(F1690="",IFERROR(N(INDEX(Produtos!$L$5:$L$104,MATCH(D1690,Produtos!$B$5:$B$104,0))),0),F1690))</f>
        <v/>
      </c>
      <c r="H1690" s="27" t="str">
        <f aca="false">IF(G1690="","",IF(N(E1690)=0,1,E1690)*IFERROR(N(INDEX(Produtos!$G$5:$G$104,MATCH(D1690,Produtos!$B$5:$B$104,0))),0))</f>
        <v/>
      </c>
      <c r="I1690" s="27" t="str">
        <f aca="false">IF(G1690="","",G1690-H1690)</f>
        <v/>
      </c>
      <c r="J1690" s="42"/>
    </row>
    <row r="1691" customFormat="false" ht="21" hidden="false" customHeight="true" outlineLevel="0" collapsed="false">
      <c r="B1691" s="41"/>
      <c r="C1691" s="9"/>
      <c r="D1691" s="9"/>
      <c r="E1691" s="42"/>
      <c r="F1691" s="43"/>
      <c r="G1691" s="27" t="str">
        <f aca="false">IF(OR(C1691="",AND(D1691="",F1691="")),"",IF(N(E1691)=0,1,E1691)*IF(F1691="",IFERROR(N(INDEX(Produtos!$L$5:$L$104,MATCH(D1691,Produtos!$B$5:$B$104,0))),0),F1691))</f>
        <v/>
      </c>
      <c r="H1691" s="27" t="str">
        <f aca="false">IF(G1691="","",IF(N(E1691)=0,1,E1691)*IFERROR(N(INDEX(Produtos!$G$5:$G$104,MATCH(D1691,Produtos!$B$5:$B$104,0))),0))</f>
        <v/>
      </c>
      <c r="I1691" s="27" t="str">
        <f aca="false">IF(G1691="","",G1691-H1691)</f>
        <v/>
      </c>
      <c r="J1691" s="42"/>
    </row>
    <row r="1692" customFormat="false" ht="21" hidden="false" customHeight="true" outlineLevel="0" collapsed="false">
      <c r="B1692" s="41"/>
      <c r="C1692" s="9"/>
      <c r="D1692" s="9"/>
      <c r="E1692" s="42"/>
      <c r="F1692" s="43"/>
      <c r="G1692" s="27" t="str">
        <f aca="false">IF(OR(C1692="",AND(D1692="",F1692="")),"",IF(N(E1692)=0,1,E1692)*IF(F1692="",IFERROR(N(INDEX(Produtos!$L$5:$L$104,MATCH(D1692,Produtos!$B$5:$B$104,0))),0),F1692))</f>
        <v/>
      </c>
      <c r="H1692" s="27" t="str">
        <f aca="false">IF(G1692="","",IF(N(E1692)=0,1,E1692)*IFERROR(N(INDEX(Produtos!$G$5:$G$104,MATCH(D1692,Produtos!$B$5:$B$104,0))),0))</f>
        <v/>
      </c>
      <c r="I1692" s="27" t="str">
        <f aca="false">IF(G1692="","",G1692-H1692)</f>
        <v/>
      </c>
      <c r="J1692" s="42"/>
    </row>
    <row r="1693" customFormat="false" ht="21" hidden="false" customHeight="true" outlineLevel="0" collapsed="false">
      <c r="B1693" s="41"/>
      <c r="C1693" s="9"/>
      <c r="D1693" s="9"/>
      <c r="E1693" s="42"/>
      <c r="F1693" s="43"/>
      <c r="G1693" s="27" t="str">
        <f aca="false">IF(OR(C1693="",AND(D1693="",F1693="")),"",IF(N(E1693)=0,1,E1693)*IF(F1693="",IFERROR(N(INDEX(Produtos!$L$5:$L$104,MATCH(D1693,Produtos!$B$5:$B$104,0))),0),F1693))</f>
        <v/>
      </c>
      <c r="H1693" s="27" t="str">
        <f aca="false">IF(G1693="","",IF(N(E1693)=0,1,E1693)*IFERROR(N(INDEX(Produtos!$G$5:$G$104,MATCH(D1693,Produtos!$B$5:$B$104,0))),0))</f>
        <v/>
      </c>
      <c r="I1693" s="27" t="str">
        <f aca="false">IF(G1693="","",G1693-H1693)</f>
        <v/>
      </c>
      <c r="J1693" s="42"/>
    </row>
    <row r="1694" customFormat="false" ht="21" hidden="false" customHeight="true" outlineLevel="0" collapsed="false">
      <c r="B1694" s="41"/>
      <c r="C1694" s="9"/>
      <c r="D1694" s="9"/>
      <c r="E1694" s="42"/>
      <c r="F1694" s="43"/>
      <c r="G1694" s="27" t="str">
        <f aca="false">IF(OR(C1694="",AND(D1694="",F1694="")),"",IF(N(E1694)=0,1,E1694)*IF(F1694="",IFERROR(N(INDEX(Produtos!$L$5:$L$104,MATCH(D1694,Produtos!$B$5:$B$104,0))),0),F1694))</f>
        <v/>
      </c>
      <c r="H1694" s="27" t="str">
        <f aca="false">IF(G1694="","",IF(N(E1694)=0,1,E1694)*IFERROR(N(INDEX(Produtos!$G$5:$G$104,MATCH(D1694,Produtos!$B$5:$B$104,0))),0))</f>
        <v/>
      </c>
      <c r="I1694" s="27" t="str">
        <f aca="false">IF(G1694="","",G1694-H1694)</f>
        <v/>
      </c>
      <c r="J1694" s="42"/>
    </row>
    <row r="1695" customFormat="false" ht="21" hidden="false" customHeight="true" outlineLevel="0" collapsed="false">
      <c r="B1695" s="41"/>
      <c r="C1695" s="9"/>
      <c r="D1695" s="9"/>
      <c r="E1695" s="42"/>
      <c r="F1695" s="43"/>
      <c r="G1695" s="27" t="str">
        <f aca="false">IF(OR(C1695="",AND(D1695="",F1695="")),"",IF(N(E1695)=0,1,E1695)*IF(F1695="",IFERROR(N(INDEX(Produtos!$L$5:$L$104,MATCH(D1695,Produtos!$B$5:$B$104,0))),0),F1695))</f>
        <v/>
      </c>
      <c r="H1695" s="27" t="str">
        <f aca="false">IF(G1695="","",IF(N(E1695)=0,1,E1695)*IFERROR(N(INDEX(Produtos!$G$5:$G$104,MATCH(D1695,Produtos!$B$5:$B$104,0))),0))</f>
        <v/>
      </c>
      <c r="I1695" s="27" t="str">
        <f aca="false">IF(G1695="","",G1695-H1695)</f>
        <v/>
      </c>
      <c r="J1695" s="42"/>
    </row>
    <row r="1696" customFormat="false" ht="21" hidden="false" customHeight="true" outlineLevel="0" collapsed="false">
      <c r="B1696" s="41"/>
      <c r="C1696" s="9"/>
      <c r="D1696" s="9"/>
      <c r="E1696" s="42"/>
      <c r="F1696" s="43"/>
      <c r="G1696" s="27" t="str">
        <f aca="false">IF(OR(C1696="",AND(D1696="",F1696="")),"",IF(N(E1696)=0,1,E1696)*IF(F1696="",IFERROR(N(INDEX(Produtos!$L$5:$L$104,MATCH(D1696,Produtos!$B$5:$B$104,0))),0),F1696))</f>
        <v/>
      </c>
      <c r="H1696" s="27" t="str">
        <f aca="false">IF(G1696="","",IF(N(E1696)=0,1,E1696)*IFERROR(N(INDEX(Produtos!$G$5:$G$104,MATCH(D1696,Produtos!$B$5:$B$104,0))),0))</f>
        <v/>
      </c>
      <c r="I1696" s="27" t="str">
        <f aca="false">IF(G1696="","",G1696-H1696)</f>
        <v/>
      </c>
      <c r="J1696" s="42"/>
    </row>
    <row r="1697" customFormat="false" ht="21" hidden="false" customHeight="true" outlineLevel="0" collapsed="false">
      <c r="B1697" s="41"/>
      <c r="C1697" s="9"/>
      <c r="D1697" s="9"/>
      <c r="E1697" s="42"/>
      <c r="F1697" s="43"/>
      <c r="G1697" s="27" t="str">
        <f aca="false">IF(OR(C1697="",AND(D1697="",F1697="")),"",IF(N(E1697)=0,1,E1697)*IF(F1697="",IFERROR(N(INDEX(Produtos!$L$5:$L$104,MATCH(D1697,Produtos!$B$5:$B$104,0))),0),F1697))</f>
        <v/>
      </c>
      <c r="H1697" s="27" t="str">
        <f aca="false">IF(G1697="","",IF(N(E1697)=0,1,E1697)*IFERROR(N(INDEX(Produtos!$G$5:$G$104,MATCH(D1697,Produtos!$B$5:$B$104,0))),0))</f>
        <v/>
      </c>
      <c r="I1697" s="27" t="str">
        <f aca="false">IF(G1697="","",G1697-H1697)</f>
        <v/>
      </c>
      <c r="J1697" s="42"/>
    </row>
    <row r="1698" customFormat="false" ht="21" hidden="false" customHeight="true" outlineLevel="0" collapsed="false">
      <c r="B1698" s="41"/>
      <c r="C1698" s="9"/>
      <c r="D1698" s="9"/>
      <c r="E1698" s="42"/>
      <c r="F1698" s="43"/>
      <c r="G1698" s="27" t="str">
        <f aca="false">IF(OR(C1698="",AND(D1698="",F1698="")),"",IF(N(E1698)=0,1,E1698)*IF(F1698="",IFERROR(N(INDEX(Produtos!$L$5:$L$104,MATCH(D1698,Produtos!$B$5:$B$104,0))),0),F1698))</f>
        <v/>
      </c>
      <c r="H1698" s="27" t="str">
        <f aca="false">IF(G1698="","",IF(N(E1698)=0,1,E1698)*IFERROR(N(INDEX(Produtos!$G$5:$G$104,MATCH(D1698,Produtos!$B$5:$B$104,0))),0))</f>
        <v/>
      </c>
      <c r="I1698" s="27" t="str">
        <f aca="false">IF(G1698="","",G1698-H1698)</f>
        <v/>
      </c>
      <c r="J1698" s="42"/>
    </row>
    <row r="1699" customFormat="false" ht="21" hidden="false" customHeight="true" outlineLevel="0" collapsed="false">
      <c r="B1699" s="41"/>
      <c r="C1699" s="9"/>
      <c r="D1699" s="9"/>
      <c r="E1699" s="42"/>
      <c r="F1699" s="43"/>
      <c r="G1699" s="27" t="str">
        <f aca="false">IF(OR(C1699="",AND(D1699="",F1699="")),"",IF(N(E1699)=0,1,E1699)*IF(F1699="",IFERROR(N(INDEX(Produtos!$L$5:$L$104,MATCH(D1699,Produtos!$B$5:$B$104,0))),0),F1699))</f>
        <v/>
      </c>
      <c r="H1699" s="27" t="str">
        <f aca="false">IF(G1699="","",IF(N(E1699)=0,1,E1699)*IFERROR(N(INDEX(Produtos!$G$5:$G$104,MATCH(D1699,Produtos!$B$5:$B$104,0))),0))</f>
        <v/>
      </c>
      <c r="I1699" s="27" t="str">
        <f aca="false">IF(G1699="","",G1699-H1699)</f>
        <v/>
      </c>
      <c r="J1699" s="42"/>
    </row>
    <row r="1700" customFormat="false" ht="21" hidden="false" customHeight="true" outlineLevel="0" collapsed="false">
      <c r="B1700" s="41"/>
      <c r="C1700" s="9"/>
      <c r="D1700" s="9"/>
      <c r="E1700" s="42"/>
      <c r="F1700" s="43"/>
      <c r="G1700" s="27" t="str">
        <f aca="false">IF(OR(C1700="",AND(D1700="",F1700="")),"",IF(N(E1700)=0,1,E1700)*IF(F1700="",IFERROR(N(INDEX(Produtos!$L$5:$L$104,MATCH(D1700,Produtos!$B$5:$B$104,0))),0),F1700))</f>
        <v/>
      </c>
      <c r="H1700" s="27" t="str">
        <f aca="false">IF(G1700="","",IF(N(E1700)=0,1,E1700)*IFERROR(N(INDEX(Produtos!$G$5:$G$104,MATCH(D1700,Produtos!$B$5:$B$104,0))),0))</f>
        <v/>
      </c>
      <c r="I1700" s="27" t="str">
        <f aca="false">IF(G1700="","",G1700-H1700)</f>
        <v/>
      </c>
      <c r="J1700" s="42"/>
    </row>
    <row r="1701" customFormat="false" ht="21" hidden="false" customHeight="true" outlineLevel="0" collapsed="false">
      <c r="B1701" s="41"/>
      <c r="C1701" s="9"/>
      <c r="D1701" s="9"/>
      <c r="E1701" s="42"/>
      <c r="F1701" s="43"/>
      <c r="G1701" s="27" t="str">
        <f aca="false">IF(OR(C1701="",AND(D1701="",F1701="")),"",IF(N(E1701)=0,1,E1701)*IF(F1701="",IFERROR(N(INDEX(Produtos!$L$5:$L$104,MATCH(D1701,Produtos!$B$5:$B$104,0))),0),F1701))</f>
        <v/>
      </c>
      <c r="H1701" s="27" t="str">
        <f aca="false">IF(G1701="","",IF(N(E1701)=0,1,E1701)*IFERROR(N(INDEX(Produtos!$G$5:$G$104,MATCH(D1701,Produtos!$B$5:$B$104,0))),0))</f>
        <v/>
      </c>
      <c r="I1701" s="27" t="str">
        <f aca="false">IF(G1701="","",G1701-H1701)</f>
        <v/>
      </c>
      <c r="J1701" s="42"/>
    </row>
    <row r="1702" customFormat="false" ht="21" hidden="false" customHeight="true" outlineLevel="0" collapsed="false">
      <c r="B1702" s="41"/>
      <c r="C1702" s="9"/>
      <c r="D1702" s="9"/>
      <c r="E1702" s="42"/>
      <c r="F1702" s="43"/>
      <c r="G1702" s="27" t="str">
        <f aca="false">IF(OR(C1702="",AND(D1702="",F1702="")),"",IF(N(E1702)=0,1,E1702)*IF(F1702="",IFERROR(N(INDEX(Produtos!$L$5:$L$104,MATCH(D1702,Produtos!$B$5:$B$104,0))),0),F1702))</f>
        <v/>
      </c>
      <c r="H1702" s="27" t="str">
        <f aca="false">IF(G1702="","",IF(N(E1702)=0,1,E1702)*IFERROR(N(INDEX(Produtos!$G$5:$G$104,MATCH(D1702,Produtos!$B$5:$B$104,0))),0))</f>
        <v/>
      </c>
      <c r="I1702" s="27" t="str">
        <f aca="false">IF(G1702="","",G1702-H1702)</f>
        <v/>
      </c>
      <c r="J1702" s="42"/>
    </row>
    <row r="1703" customFormat="false" ht="21" hidden="false" customHeight="true" outlineLevel="0" collapsed="false">
      <c r="B1703" s="41"/>
      <c r="C1703" s="9"/>
      <c r="D1703" s="9"/>
      <c r="E1703" s="42"/>
      <c r="F1703" s="43"/>
      <c r="G1703" s="27" t="str">
        <f aca="false">IF(OR(C1703="",AND(D1703="",F1703="")),"",IF(N(E1703)=0,1,E1703)*IF(F1703="",IFERROR(N(INDEX(Produtos!$L$5:$L$104,MATCH(D1703,Produtos!$B$5:$B$104,0))),0),F1703))</f>
        <v/>
      </c>
      <c r="H1703" s="27" t="str">
        <f aca="false">IF(G1703="","",IF(N(E1703)=0,1,E1703)*IFERROR(N(INDEX(Produtos!$G$5:$G$104,MATCH(D1703,Produtos!$B$5:$B$104,0))),0))</f>
        <v/>
      </c>
      <c r="I1703" s="27" t="str">
        <f aca="false">IF(G1703="","",G1703-H1703)</f>
        <v/>
      </c>
      <c r="J1703" s="42"/>
    </row>
    <row r="1704" customFormat="false" ht="21" hidden="false" customHeight="true" outlineLevel="0" collapsed="false">
      <c r="B1704" s="41"/>
      <c r="C1704" s="9"/>
      <c r="D1704" s="9"/>
      <c r="E1704" s="42"/>
      <c r="F1704" s="43"/>
      <c r="G1704" s="27" t="str">
        <f aca="false">IF(OR(C1704="",AND(D1704="",F1704="")),"",IF(N(E1704)=0,1,E1704)*IF(F1704="",IFERROR(N(INDEX(Produtos!$L$5:$L$104,MATCH(D1704,Produtos!$B$5:$B$104,0))),0),F1704))</f>
        <v/>
      </c>
      <c r="H1704" s="27" t="str">
        <f aca="false">IF(G1704="","",IF(N(E1704)=0,1,E1704)*IFERROR(N(INDEX(Produtos!$G$5:$G$104,MATCH(D1704,Produtos!$B$5:$B$104,0))),0))</f>
        <v/>
      </c>
      <c r="I1704" s="27" t="str">
        <f aca="false">IF(G1704="","",G1704-H1704)</f>
        <v/>
      </c>
      <c r="J1704" s="42"/>
    </row>
    <row r="1705" customFormat="false" ht="21" hidden="false" customHeight="true" outlineLevel="0" collapsed="false">
      <c r="B1705" s="41"/>
      <c r="C1705" s="9"/>
      <c r="D1705" s="9"/>
      <c r="E1705" s="42"/>
      <c r="F1705" s="43"/>
      <c r="G1705" s="27" t="str">
        <f aca="false">IF(OR(C1705="",AND(D1705="",F1705="")),"",IF(N(E1705)=0,1,E1705)*IF(F1705="",IFERROR(N(INDEX(Produtos!$L$5:$L$104,MATCH(D1705,Produtos!$B$5:$B$104,0))),0),F1705))</f>
        <v/>
      </c>
      <c r="H1705" s="27" t="str">
        <f aca="false">IF(G1705="","",IF(N(E1705)=0,1,E1705)*IFERROR(N(INDEX(Produtos!$G$5:$G$104,MATCH(D1705,Produtos!$B$5:$B$104,0))),0))</f>
        <v/>
      </c>
      <c r="I1705" s="27" t="str">
        <f aca="false">IF(G1705="","",G1705-H1705)</f>
        <v/>
      </c>
      <c r="J1705" s="42"/>
    </row>
    <row r="1706" customFormat="false" ht="21" hidden="false" customHeight="true" outlineLevel="0" collapsed="false">
      <c r="B1706" s="41"/>
      <c r="C1706" s="9"/>
      <c r="D1706" s="9"/>
      <c r="E1706" s="42"/>
      <c r="F1706" s="43"/>
      <c r="G1706" s="27" t="str">
        <f aca="false">IF(OR(C1706="",AND(D1706="",F1706="")),"",IF(N(E1706)=0,1,E1706)*IF(F1706="",IFERROR(N(INDEX(Produtos!$L$5:$L$104,MATCH(D1706,Produtos!$B$5:$B$104,0))),0),F1706))</f>
        <v/>
      </c>
      <c r="H1706" s="27" t="str">
        <f aca="false">IF(G1706="","",IF(N(E1706)=0,1,E1706)*IFERROR(N(INDEX(Produtos!$G$5:$G$104,MATCH(D1706,Produtos!$B$5:$B$104,0))),0))</f>
        <v/>
      </c>
      <c r="I1706" s="27" t="str">
        <f aca="false">IF(G1706="","",G1706-H1706)</f>
        <v/>
      </c>
      <c r="J1706" s="42"/>
    </row>
    <row r="1707" customFormat="false" ht="21" hidden="false" customHeight="true" outlineLevel="0" collapsed="false">
      <c r="B1707" s="41"/>
      <c r="C1707" s="9"/>
      <c r="D1707" s="9"/>
      <c r="E1707" s="42"/>
      <c r="F1707" s="43"/>
      <c r="G1707" s="27" t="str">
        <f aca="false">IF(OR(C1707="",AND(D1707="",F1707="")),"",IF(N(E1707)=0,1,E1707)*IF(F1707="",IFERROR(N(INDEX(Produtos!$L$5:$L$104,MATCH(D1707,Produtos!$B$5:$B$104,0))),0),F1707))</f>
        <v/>
      </c>
      <c r="H1707" s="27" t="str">
        <f aca="false">IF(G1707="","",IF(N(E1707)=0,1,E1707)*IFERROR(N(INDEX(Produtos!$G$5:$G$104,MATCH(D1707,Produtos!$B$5:$B$104,0))),0))</f>
        <v/>
      </c>
      <c r="I1707" s="27" t="str">
        <f aca="false">IF(G1707="","",G1707-H1707)</f>
        <v/>
      </c>
      <c r="J1707" s="42"/>
    </row>
    <row r="1708" customFormat="false" ht="21" hidden="false" customHeight="true" outlineLevel="0" collapsed="false">
      <c r="B1708" s="41"/>
      <c r="C1708" s="9"/>
      <c r="D1708" s="9"/>
      <c r="E1708" s="42"/>
      <c r="F1708" s="43"/>
      <c r="G1708" s="27" t="str">
        <f aca="false">IF(OR(C1708="",AND(D1708="",F1708="")),"",IF(N(E1708)=0,1,E1708)*IF(F1708="",IFERROR(N(INDEX(Produtos!$L$5:$L$104,MATCH(D1708,Produtos!$B$5:$B$104,0))),0),F1708))</f>
        <v/>
      </c>
      <c r="H1708" s="27" t="str">
        <f aca="false">IF(G1708="","",IF(N(E1708)=0,1,E1708)*IFERROR(N(INDEX(Produtos!$G$5:$G$104,MATCH(D1708,Produtos!$B$5:$B$104,0))),0))</f>
        <v/>
      </c>
      <c r="I1708" s="27" t="str">
        <f aca="false">IF(G1708="","",G1708-H1708)</f>
        <v/>
      </c>
      <c r="J1708" s="42"/>
    </row>
    <row r="1709" customFormat="false" ht="21" hidden="false" customHeight="true" outlineLevel="0" collapsed="false">
      <c r="B1709" s="41"/>
      <c r="C1709" s="9"/>
      <c r="D1709" s="9"/>
      <c r="E1709" s="42"/>
      <c r="F1709" s="43"/>
      <c r="G1709" s="27" t="str">
        <f aca="false">IF(OR(C1709="",AND(D1709="",F1709="")),"",IF(N(E1709)=0,1,E1709)*IF(F1709="",IFERROR(N(INDEX(Produtos!$L$5:$L$104,MATCH(D1709,Produtos!$B$5:$B$104,0))),0),F1709))</f>
        <v/>
      </c>
      <c r="H1709" s="27" t="str">
        <f aca="false">IF(G1709="","",IF(N(E1709)=0,1,E1709)*IFERROR(N(INDEX(Produtos!$G$5:$G$104,MATCH(D1709,Produtos!$B$5:$B$104,0))),0))</f>
        <v/>
      </c>
      <c r="I1709" s="27" t="str">
        <f aca="false">IF(G1709="","",G1709-H1709)</f>
        <v/>
      </c>
      <c r="J1709" s="42"/>
    </row>
    <row r="1710" customFormat="false" ht="21" hidden="false" customHeight="true" outlineLevel="0" collapsed="false">
      <c r="B1710" s="41"/>
      <c r="C1710" s="9"/>
      <c r="D1710" s="9"/>
      <c r="E1710" s="42"/>
      <c r="F1710" s="43"/>
      <c r="G1710" s="27" t="str">
        <f aca="false">IF(OR(C1710="",AND(D1710="",F1710="")),"",IF(N(E1710)=0,1,E1710)*IF(F1710="",IFERROR(N(INDEX(Produtos!$L$5:$L$104,MATCH(D1710,Produtos!$B$5:$B$104,0))),0),F1710))</f>
        <v/>
      </c>
      <c r="H1710" s="27" t="str">
        <f aca="false">IF(G1710="","",IF(N(E1710)=0,1,E1710)*IFERROR(N(INDEX(Produtos!$G$5:$G$104,MATCH(D1710,Produtos!$B$5:$B$104,0))),0))</f>
        <v/>
      </c>
      <c r="I1710" s="27" t="str">
        <f aca="false">IF(G1710="","",G1710-H1710)</f>
        <v/>
      </c>
      <c r="J1710" s="42"/>
    </row>
    <row r="1711" customFormat="false" ht="21" hidden="false" customHeight="true" outlineLevel="0" collapsed="false">
      <c r="B1711" s="41"/>
      <c r="C1711" s="9"/>
      <c r="D1711" s="9"/>
      <c r="E1711" s="42"/>
      <c r="F1711" s="43"/>
      <c r="G1711" s="27" t="str">
        <f aca="false">IF(OR(C1711="",AND(D1711="",F1711="")),"",IF(N(E1711)=0,1,E1711)*IF(F1711="",IFERROR(N(INDEX(Produtos!$L$5:$L$104,MATCH(D1711,Produtos!$B$5:$B$104,0))),0),F1711))</f>
        <v/>
      </c>
      <c r="H1711" s="27" t="str">
        <f aca="false">IF(G1711="","",IF(N(E1711)=0,1,E1711)*IFERROR(N(INDEX(Produtos!$G$5:$G$104,MATCH(D1711,Produtos!$B$5:$B$104,0))),0))</f>
        <v/>
      </c>
      <c r="I1711" s="27" t="str">
        <f aca="false">IF(G1711="","",G1711-H1711)</f>
        <v/>
      </c>
      <c r="J1711" s="42"/>
    </row>
    <row r="1712" customFormat="false" ht="21" hidden="false" customHeight="true" outlineLevel="0" collapsed="false">
      <c r="B1712" s="41"/>
      <c r="C1712" s="9"/>
      <c r="D1712" s="9"/>
      <c r="E1712" s="42"/>
      <c r="F1712" s="43"/>
      <c r="G1712" s="27" t="str">
        <f aca="false">IF(OR(C1712="",AND(D1712="",F1712="")),"",IF(N(E1712)=0,1,E1712)*IF(F1712="",IFERROR(N(INDEX(Produtos!$L$5:$L$104,MATCH(D1712,Produtos!$B$5:$B$104,0))),0),F1712))</f>
        <v/>
      </c>
      <c r="H1712" s="27" t="str">
        <f aca="false">IF(G1712="","",IF(N(E1712)=0,1,E1712)*IFERROR(N(INDEX(Produtos!$G$5:$G$104,MATCH(D1712,Produtos!$B$5:$B$104,0))),0))</f>
        <v/>
      </c>
      <c r="I1712" s="27" t="str">
        <f aca="false">IF(G1712="","",G1712-H1712)</f>
        <v/>
      </c>
      <c r="J1712" s="42"/>
    </row>
    <row r="1713" customFormat="false" ht="21" hidden="false" customHeight="true" outlineLevel="0" collapsed="false">
      <c r="B1713" s="41"/>
      <c r="C1713" s="9"/>
      <c r="D1713" s="9"/>
      <c r="E1713" s="42"/>
      <c r="F1713" s="43"/>
      <c r="G1713" s="27" t="str">
        <f aca="false">IF(OR(C1713="",AND(D1713="",F1713="")),"",IF(N(E1713)=0,1,E1713)*IF(F1713="",IFERROR(N(INDEX(Produtos!$L$5:$L$104,MATCH(D1713,Produtos!$B$5:$B$104,0))),0),F1713))</f>
        <v/>
      </c>
      <c r="H1713" s="27" t="str">
        <f aca="false">IF(G1713="","",IF(N(E1713)=0,1,E1713)*IFERROR(N(INDEX(Produtos!$G$5:$G$104,MATCH(D1713,Produtos!$B$5:$B$104,0))),0))</f>
        <v/>
      </c>
      <c r="I1713" s="27" t="str">
        <f aca="false">IF(G1713="","",G1713-H1713)</f>
        <v/>
      </c>
      <c r="J1713" s="42"/>
    </row>
    <row r="1714" customFormat="false" ht="21" hidden="false" customHeight="true" outlineLevel="0" collapsed="false">
      <c r="B1714" s="41"/>
      <c r="C1714" s="9"/>
      <c r="D1714" s="9"/>
      <c r="E1714" s="42"/>
      <c r="F1714" s="43"/>
      <c r="G1714" s="27" t="str">
        <f aca="false">IF(OR(C1714="",AND(D1714="",F1714="")),"",IF(N(E1714)=0,1,E1714)*IF(F1714="",IFERROR(N(INDEX(Produtos!$L$5:$L$104,MATCH(D1714,Produtos!$B$5:$B$104,0))),0),F1714))</f>
        <v/>
      </c>
      <c r="H1714" s="27" t="str">
        <f aca="false">IF(G1714="","",IF(N(E1714)=0,1,E1714)*IFERROR(N(INDEX(Produtos!$G$5:$G$104,MATCH(D1714,Produtos!$B$5:$B$104,0))),0))</f>
        <v/>
      </c>
      <c r="I1714" s="27" t="str">
        <f aca="false">IF(G1714="","",G1714-H1714)</f>
        <v/>
      </c>
      <c r="J1714" s="42"/>
    </row>
    <row r="1715" customFormat="false" ht="21" hidden="false" customHeight="true" outlineLevel="0" collapsed="false">
      <c r="B1715" s="41"/>
      <c r="C1715" s="9"/>
      <c r="D1715" s="9"/>
      <c r="E1715" s="42"/>
      <c r="F1715" s="43"/>
      <c r="G1715" s="27" t="str">
        <f aca="false">IF(OR(C1715="",AND(D1715="",F1715="")),"",IF(N(E1715)=0,1,E1715)*IF(F1715="",IFERROR(N(INDEX(Produtos!$L$5:$L$104,MATCH(D1715,Produtos!$B$5:$B$104,0))),0),F1715))</f>
        <v/>
      </c>
      <c r="H1715" s="27" t="str">
        <f aca="false">IF(G1715="","",IF(N(E1715)=0,1,E1715)*IFERROR(N(INDEX(Produtos!$G$5:$G$104,MATCH(D1715,Produtos!$B$5:$B$104,0))),0))</f>
        <v/>
      </c>
      <c r="I1715" s="27" t="str">
        <f aca="false">IF(G1715="","",G1715-H1715)</f>
        <v/>
      </c>
      <c r="J1715" s="42"/>
    </row>
    <row r="1716" customFormat="false" ht="21" hidden="false" customHeight="true" outlineLevel="0" collapsed="false">
      <c r="B1716" s="41"/>
      <c r="C1716" s="9"/>
      <c r="D1716" s="9"/>
      <c r="E1716" s="42"/>
      <c r="F1716" s="43"/>
      <c r="G1716" s="27" t="str">
        <f aca="false">IF(OR(C1716="",AND(D1716="",F1716="")),"",IF(N(E1716)=0,1,E1716)*IF(F1716="",IFERROR(N(INDEX(Produtos!$L$5:$L$104,MATCH(D1716,Produtos!$B$5:$B$104,0))),0),F1716))</f>
        <v/>
      </c>
      <c r="H1716" s="27" t="str">
        <f aca="false">IF(G1716="","",IF(N(E1716)=0,1,E1716)*IFERROR(N(INDEX(Produtos!$G$5:$G$104,MATCH(D1716,Produtos!$B$5:$B$104,0))),0))</f>
        <v/>
      </c>
      <c r="I1716" s="27" t="str">
        <f aca="false">IF(G1716="","",G1716-H1716)</f>
        <v/>
      </c>
      <c r="J1716" s="42"/>
    </row>
    <row r="1717" customFormat="false" ht="21" hidden="false" customHeight="true" outlineLevel="0" collapsed="false">
      <c r="B1717" s="41"/>
      <c r="C1717" s="9"/>
      <c r="D1717" s="9"/>
      <c r="E1717" s="42"/>
      <c r="F1717" s="43"/>
      <c r="G1717" s="27" t="str">
        <f aca="false">IF(OR(C1717="",AND(D1717="",F1717="")),"",IF(N(E1717)=0,1,E1717)*IF(F1717="",IFERROR(N(INDEX(Produtos!$L$5:$L$104,MATCH(D1717,Produtos!$B$5:$B$104,0))),0),F1717))</f>
        <v/>
      </c>
      <c r="H1717" s="27" t="str">
        <f aca="false">IF(G1717="","",IF(N(E1717)=0,1,E1717)*IFERROR(N(INDEX(Produtos!$G$5:$G$104,MATCH(D1717,Produtos!$B$5:$B$104,0))),0))</f>
        <v/>
      </c>
      <c r="I1717" s="27" t="str">
        <f aca="false">IF(G1717="","",G1717-H1717)</f>
        <v/>
      </c>
      <c r="J1717" s="42"/>
    </row>
    <row r="1718" customFormat="false" ht="21" hidden="false" customHeight="true" outlineLevel="0" collapsed="false">
      <c r="B1718" s="41"/>
      <c r="C1718" s="9"/>
      <c r="D1718" s="9"/>
      <c r="E1718" s="42"/>
      <c r="F1718" s="43"/>
      <c r="G1718" s="27" t="str">
        <f aca="false">IF(OR(C1718="",AND(D1718="",F1718="")),"",IF(N(E1718)=0,1,E1718)*IF(F1718="",IFERROR(N(INDEX(Produtos!$L$5:$L$104,MATCH(D1718,Produtos!$B$5:$B$104,0))),0),F1718))</f>
        <v/>
      </c>
      <c r="H1718" s="27" t="str">
        <f aca="false">IF(G1718="","",IF(N(E1718)=0,1,E1718)*IFERROR(N(INDEX(Produtos!$G$5:$G$104,MATCH(D1718,Produtos!$B$5:$B$104,0))),0))</f>
        <v/>
      </c>
      <c r="I1718" s="27" t="str">
        <f aca="false">IF(G1718="","",G1718-H1718)</f>
        <v/>
      </c>
      <c r="J1718" s="42"/>
    </row>
    <row r="1719" customFormat="false" ht="21" hidden="false" customHeight="true" outlineLevel="0" collapsed="false">
      <c r="B1719" s="41"/>
      <c r="C1719" s="9"/>
      <c r="D1719" s="9"/>
      <c r="E1719" s="42"/>
      <c r="F1719" s="43"/>
      <c r="G1719" s="27" t="str">
        <f aca="false">IF(OR(C1719="",AND(D1719="",F1719="")),"",IF(N(E1719)=0,1,E1719)*IF(F1719="",IFERROR(N(INDEX(Produtos!$L$5:$L$104,MATCH(D1719,Produtos!$B$5:$B$104,0))),0),F1719))</f>
        <v/>
      </c>
      <c r="H1719" s="27" t="str">
        <f aca="false">IF(G1719="","",IF(N(E1719)=0,1,E1719)*IFERROR(N(INDEX(Produtos!$G$5:$G$104,MATCH(D1719,Produtos!$B$5:$B$104,0))),0))</f>
        <v/>
      </c>
      <c r="I1719" s="27" t="str">
        <f aca="false">IF(G1719="","",G1719-H1719)</f>
        <v/>
      </c>
      <c r="J1719" s="42"/>
    </row>
    <row r="1720" customFormat="false" ht="21" hidden="false" customHeight="true" outlineLevel="0" collapsed="false">
      <c r="B1720" s="41"/>
      <c r="C1720" s="9"/>
      <c r="D1720" s="9"/>
      <c r="E1720" s="42"/>
      <c r="F1720" s="43"/>
      <c r="G1720" s="27" t="str">
        <f aca="false">IF(OR(C1720="",AND(D1720="",F1720="")),"",IF(N(E1720)=0,1,E1720)*IF(F1720="",IFERROR(N(INDEX(Produtos!$L$5:$L$104,MATCH(D1720,Produtos!$B$5:$B$104,0))),0),F1720))</f>
        <v/>
      </c>
      <c r="H1720" s="27" t="str">
        <f aca="false">IF(G1720="","",IF(N(E1720)=0,1,E1720)*IFERROR(N(INDEX(Produtos!$G$5:$G$104,MATCH(D1720,Produtos!$B$5:$B$104,0))),0))</f>
        <v/>
      </c>
      <c r="I1720" s="27" t="str">
        <f aca="false">IF(G1720="","",G1720-H1720)</f>
        <v/>
      </c>
      <c r="J1720" s="42"/>
    </row>
    <row r="1721" customFormat="false" ht="21" hidden="false" customHeight="true" outlineLevel="0" collapsed="false">
      <c r="B1721" s="41"/>
      <c r="C1721" s="9"/>
      <c r="D1721" s="9"/>
      <c r="E1721" s="42"/>
      <c r="F1721" s="43"/>
      <c r="G1721" s="27" t="str">
        <f aca="false">IF(OR(C1721="",AND(D1721="",F1721="")),"",IF(N(E1721)=0,1,E1721)*IF(F1721="",IFERROR(N(INDEX(Produtos!$L$5:$L$104,MATCH(D1721,Produtos!$B$5:$B$104,0))),0),F1721))</f>
        <v/>
      </c>
      <c r="H1721" s="27" t="str">
        <f aca="false">IF(G1721="","",IF(N(E1721)=0,1,E1721)*IFERROR(N(INDEX(Produtos!$G$5:$G$104,MATCH(D1721,Produtos!$B$5:$B$104,0))),0))</f>
        <v/>
      </c>
      <c r="I1721" s="27" t="str">
        <f aca="false">IF(G1721="","",G1721-H1721)</f>
        <v/>
      </c>
      <c r="J1721" s="42"/>
    </row>
    <row r="1722" customFormat="false" ht="21" hidden="false" customHeight="true" outlineLevel="0" collapsed="false">
      <c r="B1722" s="41"/>
      <c r="C1722" s="9"/>
      <c r="D1722" s="9"/>
      <c r="E1722" s="42"/>
      <c r="F1722" s="43"/>
      <c r="G1722" s="27" t="str">
        <f aca="false">IF(OR(C1722="",AND(D1722="",F1722="")),"",IF(N(E1722)=0,1,E1722)*IF(F1722="",IFERROR(N(INDEX(Produtos!$L$5:$L$104,MATCH(D1722,Produtos!$B$5:$B$104,0))),0),F1722))</f>
        <v/>
      </c>
      <c r="H1722" s="27" t="str">
        <f aca="false">IF(G1722="","",IF(N(E1722)=0,1,E1722)*IFERROR(N(INDEX(Produtos!$G$5:$G$104,MATCH(D1722,Produtos!$B$5:$B$104,0))),0))</f>
        <v/>
      </c>
      <c r="I1722" s="27" t="str">
        <f aca="false">IF(G1722="","",G1722-H1722)</f>
        <v/>
      </c>
      <c r="J1722" s="42"/>
    </row>
    <row r="1723" customFormat="false" ht="21" hidden="false" customHeight="true" outlineLevel="0" collapsed="false">
      <c r="B1723" s="41"/>
      <c r="C1723" s="9"/>
      <c r="D1723" s="9"/>
      <c r="E1723" s="42"/>
      <c r="F1723" s="43"/>
      <c r="G1723" s="27" t="str">
        <f aca="false">IF(OR(C1723="",AND(D1723="",F1723="")),"",IF(N(E1723)=0,1,E1723)*IF(F1723="",IFERROR(N(INDEX(Produtos!$L$5:$L$104,MATCH(D1723,Produtos!$B$5:$B$104,0))),0),F1723))</f>
        <v/>
      </c>
      <c r="H1723" s="27" t="str">
        <f aca="false">IF(G1723="","",IF(N(E1723)=0,1,E1723)*IFERROR(N(INDEX(Produtos!$G$5:$G$104,MATCH(D1723,Produtos!$B$5:$B$104,0))),0))</f>
        <v/>
      </c>
      <c r="I1723" s="27" t="str">
        <f aca="false">IF(G1723="","",G1723-H1723)</f>
        <v/>
      </c>
      <c r="J1723" s="42"/>
    </row>
    <row r="1724" customFormat="false" ht="21" hidden="false" customHeight="true" outlineLevel="0" collapsed="false">
      <c r="B1724" s="41"/>
      <c r="C1724" s="9"/>
      <c r="D1724" s="9"/>
      <c r="E1724" s="42"/>
      <c r="F1724" s="43"/>
      <c r="G1724" s="27" t="str">
        <f aca="false">IF(OR(C1724="",AND(D1724="",F1724="")),"",IF(N(E1724)=0,1,E1724)*IF(F1724="",IFERROR(N(INDEX(Produtos!$L$5:$L$104,MATCH(D1724,Produtos!$B$5:$B$104,0))),0),F1724))</f>
        <v/>
      </c>
      <c r="H1724" s="27" t="str">
        <f aca="false">IF(G1724="","",IF(N(E1724)=0,1,E1724)*IFERROR(N(INDEX(Produtos!$G$5:$G$104,MATCH(D1724,Produtos!$B$5:$B$104,0))),0))</f>
        <v/>
      </c>
      <c r="I1724" s="27" t="str">
        <f aca="false">IF(G1724="","",G1724-H1724)</f>
        <v/>
      </c>
      <c r="J1724" s="42"/>
    </row>
    <row r="1725" customFormat="false" ht="21" hidden="false" customHeight="true" outlineLevel="0" collapsed="false">
      <c r="B1725" s="41"/>
      <c r="C1725" s="9"/>
      <c r="D1725" s="9"/>
      <c r="E1725" s="42"/>
      <c r="F1725" s="43"/>
      <c r="G1725" s="27" t="str">
        <f aca="false">IF(OR(C1725="",AND(D1725="",F1725="")),"",IF(N(E1725)=0,1,E1725)*IF(F1725="",IFERROR(N(INDEX(Produtos!$L$5:$L$104,MATCH(D1725,Produtos!$B$5:$B$104,0))),0),F1725))</f>
        <v/>
      </c>
      <c r="H1725" s="27" t="str">
        <f aca="false">IF(G1725="","",IF(N(E1725)=0,1,E1725)*IFERROR(N(INDEX(Produtos!$G$5:$G$104,MATCH(D1725,Produtos!$B$5:$B$104,0))),0))</f>
        <v/>
      </c>
      <c r="I1725" s="27" t="str">
        <f aca="false">IF(G1725="","",G1725-H1725)</f>
        <v/>
      </c>
      <c r="J1725" s="42"/>
    </row>
    <row r="1726" customFormat="false" ht="21" hidden="false" customHeight="true" outlineLevel="0" collapsed="false">
      <c r="B1726" s="41"/>
      <c r="C1726" s="9"/>
      <c r="D1726" s="9"/>
      <c r="E1726" s="42"/>
      <c r="F1726" s="43"/>
      <c r="G1726" s="27" t="str">
        <f aca="false">IF(OR(C1726="",AND(D1726="",F1726="")),"",IF(N(E1726)=0,1,E1726)*IF(F1726="",IFERROR(N(INDEX(Produtos!$L$5:$L$104,MATCH(D1726,Produtos!$B$5:$B$104,0))),0),F1726))</f>
        <v/>
      </c>
      <c r="H1726" s="27" t="str">
        <f aca="false">IF(G1726="","",IF(N(E1726)=0,1,E1726)*IFERROR(N(INDEX(Produtos!$G$5:$G$104,MATCH(D1726,Produtos!$B$5:$B$104,0))),0))</f>
        <v/>
      </c>
      <c r="I1726" s="27" t="str">
        <f aca="false">IF(G1726="","",G1726-H1726)</f>
        <v/>
      </c>
      <c r="J1726" s="42"/>
    </row>
    <row r="1727" customFormat="false" ht="21" hidden="false" customHeight="true" outlineLevel="0" collapsed="false">
      <c r="B1727" s="41"/>
      <c r="C1727" s="9"/>
      <c r="D1727" s="9"/>
      <c r="E1727" s="42"/>
      <c r="F1727" s="43"/>
      <c r="G1727" s="27" t="str">
        <f aca="false">IF(OR(C1727="",AND(D1727="",F1727="")),"",IF(N(E1727)=0,1,E1727)*IF(F1727="",IFERROR(N(INDEX(Produtos!$L$5:$L$104,MATCH(D1727,Produtos!$B$5:$B$104,0))),0),F1727))</f>
        <v/>
      </c>
      <c r="H1727" s="27" t="str">
        <f aca="false">IF(G1727="","",IF(N(E1727)=0,1,E1727)*IFERROR(N(INDEX(Produtos!$G$5:$G$104,MATCH(D1727,Produtos!$B$5:$B$104,0))),0))</f>
        <v/>
      </c>
      <c r="I1727" s="27" t="str">
        <f aca="false">IF(G1727="","",G1727-H1727)</f>
        <v/>
      </c>
      <c r="J1727" s="42"/>
    </row>
    <row r="1728" customFormat="false" ht="21" hidden="false" customHeight="true" outlineLevel="0" collapsed="false">
      <c r="B1728" s="41"/>
      <c r="C1728" s="9"/>
      <c r="D1728" s="9"/>
      <c r="E1728" s="42"/>
      <c r="F1728" s="43"/>
      <c r="G1728" s="27" t="str">
        <f aca="false">IF(OR(C1728="",AND(D1728="",F1728="")),"",IF(N(E1728)=0,1,E1728)*IF(F1728="",IFERROR(N(INDEX(Produtos!$L$5:$L$104,MATCH(D1728,Produtos!$B$5:$B$104,0))),0),F1728))</f>
        <v/>
      </c>
      <c r="H1728" s="27" t="str">
        <f aca="false">IF(G1728="","",IF(N(E1728)=0,1,E1728)*IFERROR(N(INDEX(Produtos!$G$5:$G$104,MATCH(D1728,Produtos!$B$5:$B$104,0))),0))</f>
        <v/>
      </c>
      <c r="I1728" s="27" t="str">
        <f aca="false">IF(G1728="","",G1728-H1728)</f>
        <v/>
      </c>
      <c r="J1728" s="42"/>
    </row>
    <row r="1729" customFormat="false" ht="21" hidden="false" customHeight="true" outlineLevel="0" collapsed="false">
      <c r="B1729" s="41"/>
      <c r="C1729" s="9"/>
      <c r="D1729" s="9"/>
      <c r="E1729" s="42"/>
      <c r="F1729" s="43"/>
      <c r="G1729" s="27" t="str">
        <f aca="false">IF(OR(C1729="",AND(D1729="",F1729="")),"",IF(N(E1729)=0,1,E1729)*IF(F1729="",IFERROR(N(INDEX(Produtos!$L$5:$L$104,MATCH(D1729,Produtos!$B$5:$B$104,0))),0),F1729))</f>
        <v/>
      </c>
      <c r="H1729" s="27" t="str">
        <f aca="false">IF(G1729="","",IF(N(E1729)=0,1,E1729)*IFERROR(N(INDEX(Produtos!$G$5:$G$104,MATCH(D1729,Produtos!$B$5:$B$104,0))),0))</f>
        <v/>
      </c>
      <c r="I1729" s="27" t="str">
        <f aca="false">IF(G1729="","",G1729-H1729)</f>
        <v/>
      </c>
      <c r="J1729" s="42"/>
    </row>
    <row r="1730" customFormat="false" ht="21" hidden="false" customHeight="true" outlineLevel="0" collapsed="false">
      <c r="B1730" s="41"/>
      <c r="C1730" s="9"/>
      <c r="D1730" s="9"/>
      <c r="E1730" s="42"/>
      <c r="F1730" s="43"/>
      <c r="G1730" s="27" t="str">
        <f aca="false">IF(OR(C1730="",AND(D1730="",F1730="")),"",IF(N(E1730)=0,1,E1730)*IF(F1730="",IFERROR(N(INDEX(Produtos!$L$5:$L$104,MATCH(D1730,Produtos!$B$5:$B$104,0))),0),F1730))</f>
        <v/>
      </c>
      <c r="H1730" s="27" t="str">
        <f aca="false">IF(G1730="","",IF(N(E1730)=0,1,E1730)*IFERROR(N(INDEX(Produtos!$G$5:$G$104,MATCH(D1730,Produtos!$B$5:$B$104,0))),0))</f>
        <v/>
      </c>
      <c r="I1730" s="27" t="str">
        <f aca="false">IF(G1730="","",G1730-H1730)</f>
        <v/>
      </c>
      <c r="J1730" s="42"/>
    </row>
    <row r="1731" customFormat="false" ht="21" hidden="false" customHeight="true" outlineLevel="0" collapsed="false">
      <c r="B1731" s="41"/>
      <c r="C1731" s="9"/>
      <c r="D1731" s="9"/>
      <c r="E1731" s="42"/>
      <c r="F1731" s="43"/>
      <c r="G1731" s="27" t="str">
        <f aca="false">IF(OR(C1731="",AND(D1731="",F1731="")),"",IF(N(E1731)=0,1,E1731)*IF(F1731="",IFERROR(N(INDEX(Produtos!$L$5:$L$104,MATCH(D1731,Produtos!$B$5:$B$104,0))),0),F1731))</f>
        <v/>
      </c>
      <c r="H1731" s="27" t="str">
        <f aca="false">IF(G1731="","",IF(N(E1731)=0,1,E1731)*IFERROR(N(INDEX(Produtos!$G$5:$G$104,MATCH(D1731,Produtos!$B$5:$B$104,0))),0))</f>
        <v/>
      </c>
      <c r="I1731" s="27" t="str">
        <f aca="false">IF(G1731="","",G1731-H1731)</f>
        <v/>
      </c>
      <c r="J1731" s="42"/>
    </row>
    <row r="1732" customFormat="false" ht="21" hidden="false" customHeight="true" outlineLevel="0" collapsed="false">
      <c r="B1732" s="41"/>
      <c r="C1732" s="9"/>
      <c r="D1732" s="9"/>
      <c r="E1732" s="42"/>
      <c r="F1732" s="43"/>
      <c r="G1732" s="27" t="str">
        <f aca="false">IF(OR(C1732="",AND(D1732="",F1732="")),"",IF(N(E1732)=0,1,E1732)*IF(F1732="",IFERROR(N(INDEX(Produtos!$L$5:$L$104,MATCH(D1732,Produtos!$B$5:$B$104,0))),0),F1732))</f>
        <v/>
      </c>
      <c r="H1732" s="27" t="str">
        <f aca="false">IF(G1732="","",IF(N(E1732)=0,1,E1732)*IFERROR(N(INDEX(Produtos!$G$5:$G$104,MATCH(D1732,Produtos!$B$5:$B$104,0))),0))</f>
        <v/>
      </c>
      <c r="I1732" s="27" t="str">
        <f aca="false">IF(G1732="","",G1732-H1732)</f>
        <v/>
      </c>
      <c r="J1732" s="42"/>
    </row>
    <row r="1733" customFormat="false" ht="21" hidden="false" customHeight="true" outlineLevel="0" collapsed="false">
      <c r="B1733" s="41"/>
      <c r="C1733" s="9"/>
      <c r="D1733" s="9"/>
      <c r="E1733" s="42"/>
      <c r="F1733" s="43"/>
      <c r="G1733" s="27" t="str">
        <f aca="false">IF(OR(C1733="",AND(D1733="",F1733="")),"",IF(N(E1733)=0,1,E1733)*IF(F1733="",IFERROR(N(INDEX(Produtos!$L$5:$L$104,MATCH(D1733,Produtos!$B$5:$B$104,0))),0),F1733))</f>
        <v/>
      </c>
      <c r="H1733" s="27" t="str">
        <f aca="false">IF(G1733="","",IF(N(E1733)=0,1,E1733)*IFERROR(N(INDEX(Produtos!$G$5:$G$104,MATCH(D1733,Produtos!$B$5:$B$104,0))),0))</f>
        <v/>
      </c>
      <c r="I1733" s="27" t="str">
        <f aca="false">IF(G1733="","",G1733-H1733)</f>
        <v/>
      </c>
      <c r="J1733" s="42"/>
    </row>
    <row r="1734" customFormat="false" ht="21" hidden="false" customHeight="true" outlineLevel="0" collapsed="false">
      <c r="B1734" s="41"/>
      <c r="C1734" s="9"/>
      <c r="D1734" s="9"/>
      <c r="E1734" s="42"/>
      <c r="F1734" s="43"/>
      <c r="G1734" s="27" t="str">
        <f aca="false">IF(OR(C1734="",AND(D1734="",F1734="")),"",IF(N(E1734)=0,1,E1734)*IF(F1734="",IFERROR(N(INDEX(Produtos!$L$5:$L$104,MATCH(D1734,Produtos!$B$5:$B$104,0))),0),F1734))</f>
        <v/>
      </c>
      <c r="H1734" s="27" t="str">
        <f aca="false">IF(G1734="","",IF(N(E1734)=0,1,E1734)*IFERROR(N(INDEX(Produtos!$G$5:$G$104,MATCH(D1734,Produtos!$B$5:$B$104,0))),0))</f>
        <v/>
      </c>
      <c r="I1734" s="27" t="str">
        <f aca="false">IF(G1734="","",G1734-H1734)</f>
        <v/>
      </c>
      <c r="J1734" s="42"/>
    </row>
    <row r="1735" customFormat="false" ht="21" hidden="false" customHeight="true" outlineLevel="0" collapsed="false">
      <c r="B1735" s="41"/>
      <c r="C1735" s="9"/>
      <c r="D1735" s="9"/>
      <c r="E1735" s="42"/>
      <c r="F1735" s="43"/>
      <c r="G1735" s="27" t="str">
        <f aca="false">IF(OR(C1735="",AND(D1735="",F1735="")),"",IF(N(E1735)=0,1,E1735)*IF(F1735="",IFERROR(N(INDEX(Produtos!$L$5:$L$104,MATCH(D1735,Produtos!$B$5:$B$104,0))),0),F1735))</f>
        <v/>
      </c>
      <c r="H1735" s="27" t="str">
        <f aca="false">IF(G1735="","",IF(N(E1735)=0,1,E1735)*IFERROR(N(INDEX(Produtos!$G$5:$G$104,MATCH(D1735,Produtos!$B$5:$B$104,0))),0))</f>
        <v/>
      </c>
      <c r="I1735" s="27" t="str">
        <f aca="false">IF(G1735="","",G1735-H1735)</f>
        <v/>
      </c>
      <c r="J1735" s="42"/>
    </row>
    <row r="1736" customFormat="false" ht="21" hidden="false" customHeight="true" outlineLevel="0" collapsed="false">
      <c r="B1736" s="41"/>
      <c r="C1736" s="9"/>
      <c r="D1736" s="9"/>
      <c r="E1736" s="42"/>
      <c r="F1736" s="43"/>
      <c r="G1736" s="27" t="str">
        <f aca="false">IF(OR(C1736="",AND(D1736="",F1736="")),"",IF(N(E1736)=0,1,E1736)*IF(F1736="",IFERROR(N(INDEX(Produtos!$L$5:$L$104,MATCH(D1736,Produtos!$B$5:$B$104,0))),0),F1736))</f>
        <v/>
      </c>
      <c r="H1736" s="27" t="str">
        <f aca="false">IF(G1736="","",IF(N(E1736)=0,1,E1736)*IFERROR(N(INDEX(Produtos!$G$5:$G$104,MATCH(D1736,Produtos!$B$5:$B$104,0))),0))</f>
        <v/>
      </c>
      <c r="I1736" s="27" t="str">
        <f aca="false">IF(G1736="","",G1736-H1736)</f>
        <v/>
      </c>
      <c r="J1736" s="42"/>
    </row>
    <row r="1737" customFormat="false" ht="21" hidden="false" customHeight="true" outlineLevel="0" collapsed="false">
      <c r="B1737" s="41"/>
      <c r="C1737" s="9"/>
      <c r="D1737" s="9"/>
      <c r="E1737" s="42"/>
      <c r="F1737" s="43"/>
      <c r="G1737" s="27" t="str">
        <f aca="false">IF(OR(C1737="",AND(D1737="",F1737="")),"",IF(N(E1737)=0,1,E1737)*IF(F1737="",IFERROR(N(INDEX(Produtos!$L$5:$L$104,MATCH(D1737,Produtos!$B$5:$B$104,0))),0),F1737))</f>
        <v/>
      </c>
      <c r="H1737" s="27" t="str">
        <f aca="false">IF(G1737="","",IF(N(E1737)=0,1,E1737)*IFERROR(N(INDEX(Produtos!$G$5:$G$104,MATCH(D1737,Produtos!$B$5:$B$104,0))),0))</f>
        <v/>
      </c>
      <c r="I1737" s="27" t="str">
        <f aca="false">IF(G1737="","",G1737-H1737)</f>
        <v/>
      </c>
      <c r="J1737" s="42"/>
    </row>
    <row r="1738" customFormat="false" ht="21" hidden="false" customHeight="true" outlineLevel="0" collapsed="false">
      <c r="B1738" s="41"/>
      <c r="C1738" s="9"/>
      <c r="D1738" s="9"/>
      <c r="E1738" s="42"/>
      <c r="F1738" s="43"/>
      <c r="G1738" s="27" t="str">
        <f aca="false">IF(OR(C1738="",AND(D1738="",F1738="")),"",IF(N(E1738)=0,1,E1738)*IF(F1738="",IFERROR(N(INDEX(Produtos!$L$5:$L$104,MATCH(D1738,Produtos!$B$5:$B$104,0))),0),F1738))</f>
        <v/>
      </c>
      <c r="H1738" s="27" t="str">
        <f aca="false">IF(G1738="","",IF(N(E1738)=0,1,E1738)*IFERROR(N(INDEX(Produtos!$G$5:$G$104,MATCH(D1738,Produtos!$B$5:$B$104,0))),0))</f>
        <v/>
      </c>
      <c r="I1738" s="27" t="str">
        <f aca="false">IF(G1738="","",G1738-H1738)</f>
        <v/>
      </c>
      <c r="J1738" s="42"/>
    </row>
    <row r="1739" customFormat="false" ht="21" hidden="false" customHeight="true" outlineLevel="0" collapsed="false">
      <c r="B1739" s="41"/>
      <c r="C1739" s="9"/>
      <c r="D1739" s="9"/>
      <c r="E1739" s="42"/>
      <c r="F1739" s="43"/>
      <c r="G1739" s="27" t="str">
        <f aca="false">IF(OR(C1739="",AND(D1739="",F1739="")),"",IF(N(E1739)=0,1,E1739)*IF(F1739="",IFERROR(N(INDEX(Produtos!$L$5:$L$104,MATCH(D1739,Produtos!$B$5:$B$104,0))),0),F1739))</f>
        <v/>
      </c>
      <c r="H1739" s="27" t="str">
        <f aca="false">IF(G1739="","",IF(N(E1739)=0,1,E1739)*IFERROR(N(INDEX(Produtos!$G$5:$G$104,MATCH(D1739,Produtos!$B$5:$B$104,0))),0))</f>
        <v/>
      </c>
      <c r="I1739" s="27" t="str">
        <f aca="false">IF(G1739="","",G1739-H1739)</f>
        <v/>
      </c>
      <c r="J1739" s="42"/>
    </row>
    <row r="1740" customFormat="false" ht="21" hidden="false" customHeight="true" outlineLevel="0" collapsed="false">
      <c r="B1740" s="41"/>
      <c r="C1740" s="9"/>
      <c r="D1740" s="9"/>
      <c r="E1740" s="42"/>
      <c r="F1740" s="43"/>
      <c r="G1740" s="27" t="str">
        <f aca="false">IF(OR(C1740="",AND(D1740="",F1740="")),"",IF(N(E1740)=0,1,E1740)*IF(F1740="",IFERROR(N(INDEX(Produtos!$L$5:$L$104,MATCH(D1740,Produtos!$B$5:$B$104,0))),0),F1740))</f>
        <v/>
      </c>
      <c r="H1740" s="27" t="str">
        <f aca="false">IF(G1740="","",IF(N(E1740)=0,1,E1740)*IFERROR(N(INDEX(Produtos!$G$5:$G$104,MATCH(D1740,Produtos!$B$5:$B$104,0))),0))</f>
        <v/>
      </c>
      <c r="I1740" s="27" t="str">
        <f aca="false">IF(G1740="","",G1740-H1740)</f>
        <v/>
      </c>
      <c r="J1740" s="42"/>
    </row>
    <row r="1741" customFormat="false" ht="21" hidden="false" customHeight="true" outlineLevel="0" collapsed="false">
      <c r="B1741" s="41"/>
      <c r="C1741" s="9"/>
      <c r="D1741" s="9"/>
      <c r="E1741" s="42"/>
      <c r="F1741" s="43"/>
      <c r="G1741" s="27" t="str">
        <f aca="false">IF(OR(C1741="",AND(D1741="",F1741="")),"",IF(N(E1741)=0,1,E1741)*IF(F1741="",IFERROR(N(INDEX(Produtos!$L$5:$L$104,MATCH(D1741,Produtos!$B$5:$B$104,0))),0),F1741))</f>
        <v/>
      </c>
      <c r="H1741" s="27" t="str">
        <f aca="false">IF(G1741="","",IF(N(E1741)=0,1,E1741)*IFERROR(N(INDEX(Produtos!$G$5:$G$104,MATCH(D1741,Produtos!$B$5:$B$104,0))),0))</f>
        <v/>
      </c>
      <c r="I1741" s="27" t="str">
        <f aca="false">IF(G1741="","",G1741-H1741)</f>
        <v/>
      </c>
      <c r="J1741" s="42"/>
    </row>
    <row r="1742" customFormat="false" ht="21" hidden="false" customHeight="true" outlineLevel="0" collapsed="false">
      <c r="B1742" s="41"/>
      <c r="C1742" s="9"/>
      <c r="D1742" s="9"/>
      <c r="E1742" s="42"/>
      <c r="F1742" s="43"/>
      <c r="G1742" s="27" t="str">
        <f aca="false">IF(OR(C1742="",AND(D1742="",F1742="")),"",IF(N(E1742)=0,1,E1742)*IF(F1742="",IFERROR(N(INDEX(Produtos!$L$5:$L$104,MATCH(D1742,Produtos!$B$5:$B$104,0))),0),F1742))</f>
        <v/>
      </c>
      <c r="H1742" s="27" t="str">
        <f aca="false">IF(G1742="","",IF(N(E1742)=0,1,E1742)*IFERROR(N(INDEX(Produtos!$G$5:$G$104,MATCH(D1742,Produtos!$B$5:$B$104,0))),0))</f>
        <v/>
      </c>
      <c r="I1742" s="27" t="str">
        <f aca="false">IF(G1742="","",G1742-H1742)</f>
        <v/>
      </c>
      <c r="J1742" s="42"/>
    </row>
    <row r="1743" customFormat="false" ht="21" hidden="false" customHeight="true" outlineLevel="0" collapsed="false">
      <c r="B1743" s="41"/>
      <c r="C1743" s="9"/>
      <c r="D1743" s="9"/>
      <c r="E1743" s="42"/>
      <c r="F1743" s="43"/>
      <c r="G1743" s="27" t="str">
        <f aca="false">IF(OR(C1743="",AND(D1743="",F1743="")),"",IF(N(E1743)=0,1,E1743)*IF(F1743="",IFERROR(N(INDEX(Produtos!$L$5:$L$104,MATCH(D1743,Produtos!$B$5:$B$104,0))),0),F1743))</f>
        <v/>
      </c>
      <c r="H1743" s="27" t="str">
        <f aca="false">IF(G1743="","",IF(N(E1743)=0,1,E1743)*IFERROR(N(INDEX(Produtos!$G$5:$G$104,MATCH(D1743,Produtos!$B$5:$B$104,0))),0))</f>
        <v/>
      </c>
      <c r="I1743" s="27" t="str">
        <f aca="false">IF(G1743="","",G1743-H1743)</f>
        <v/>
      </c>
      <c r="J1743" s="42"/>
    </row>
    <row r="1744" customFormat="false" ht="21" hidden="false" customHeight="true" outlineLevel="0" collapsed="false">
      <c r="B1744" s="41"/>
      <c r="C1744" s="9"/>
      <c r="D1744" s="9"/>
      <c r="E1744" s="42"/>
      <c r="F1744" s="43"/>
      <c r="G1744" s="27" t="str">
        <f aca="false">IF(OR(C1744="",AND(D1744="",F1744="")),"",IF(N(E1744)=0,1,E1744)*IF(F1744="",IFERROR(N(INDEX(Produtos!$L$5:$L$104,MATCH(D1744,Produtos!$B$5:$B$104,0))),0),F1744))</f>
        <v/>
      </c>
      <c r="H1744" s="27" t="str">
        <f aca="false">IF(G1744="","",IF(N(E1744)=0,1,E1744)*IFERROR(N(INDEX(Produtos!$G$5:$G$104,MATCH(D1744,Produtos!$B$5:$B$104,0))),0))</f>
        <v/>
      </c>
      <c r="I1744" s="27" t="str">
        <f aca="false">IF(G1744="","",G1744-H1744)</f>
        <v/>
      </c>
      <c r="J1744" s="42"/>
    </row>
    <row r="1745" customFormat="false" ht="21" hidden="false" customHeight="true" outlineLevel="0" collapsed="false">
      <c r="B1745" s="41"/>
      <c r="C1745" s="9"/>
      <c r="D1745" s="9"/>
      <c r="E1745" s="42"/>
      <c r="F1745" s="43"/>
      <c r="G1745" s="27" t="str">
        <f aca="false">IF(OR(C1745="",AND(D1745="",F1745="")),"",IF(N(E1745)=0,1,E1745)*IF(F1745="",IFERROR(N(INDEX(Produtos!$L$5:$L$104,MATCH(D1745,Produtos!$B$5:$B$104,0))),0),F1745))</f>
        <v/>
      </c>
      <c r="H1745" s="27" t="str">
        <f aca="false">IF(G1745="","",IF(N(E1745)=0,1,E1745)*IFERROR(N(INDEX(Produtos!$G$5:$G$104,MATCH(D1745,Produtos!$B$5:$B$104,0))),0))</f>
        <v/>
      </c>
      <c r="I1745" s="27" t="str">
        <f aca="false">IF(G1745="","",G1745-H1745)</f>
        <v/>
      </c>
      <c r="J1745" s="42"/>
    </row>
    <row r="1746" customFormat="false" ht="21" hidden="false" customHeight="true" outlineLevel="0" collapsed="false">
      <c r="B1746" s="41"/>
      <c r="C1746" s="9"/>
      <c r="D1746" s="9"/>
      <c r="E1746" s="42"/>
      <c r="F1746" s="43"/>
      <c r="G1746" s="27" t="str">
        <f aca="false">IF(OR(C1746="",AND(D1746="",F1746="")),"",IF(N(E1746)=0,1,E1746)*IF(F1746="",IFERROR(N(INDEX(Produtos!$L$5:$L$104,MATCH(D1746,Produtos!$B$5:$B$104,0))),0),F1746))</f>
        <v/>
      </c>
      <c r="H1746" s="27" t="str">
        <f aca="false">IF(G1746="","",IF(N(E1746)=0,1,E1746)*IFERROR(N(INDEX(Produtos!$G$5:$G$104,MATCH(D1746,Produtos!$B$5:$B$104,0))),0))</f>
        <v/>
      </c>
      <c r="I1746" s="27" t="str">
        <f aca="false">IF(G1746="","",G1746-H1746)</f>
        <v/>
      </c>
      <c r="J1746" s="42"/>
    </row>
    <row r="1747" customFormat="false" ht="21" hidden="false" customHeight="true" outlineLevel="0" collapsed="false">
      <c r="B1747" s="41"/>
      <c r="C1747" s="9"/>
      <c r="D1747" s="9"/>
      <c r="E1747" s="42"/>
      <c r="F1747" s="43"/>
      <c r="G1747" s="27" t="str">
        <f aca="false">IF(OR(C1747="",AND(D1747="",F1747="")),"",IF(N(E1747)=0,1,E1747)*IF(F1747="",IFERROR(N(INDEX(Produtos!$L$5:$L$104,MATCH(D1747,Produtos!$B$5:$B$104,0))),0),F1747))</f>
        <v/>
      </c>
      <c r="H1747" s="27" t="str">
        <f aca="false">IF(G1747="","",IF(N(E1747)=0,1,E1747)*IFERROR(N(INDEX(Produtos!$G$5:$G$104,MATCH(D1747,Produtos!$B$5:$B$104,0))),0))</f>
        <v/>
      </c>
      <c r="I1747" s="27" t="str">
        <f aca="false">IF(G1747="","",G1747-H1747)</f>
        <v/>
      </c>
      <c r="J1747" s="42"/>
    </row>
    <row r="1748" customFormat="false" ht="21" hidden="false" customHeight="true" outlineLevel="0" collapsed="false">
      <c r="B1748" s="41"/>
      <c r="C1748" s="9"/>
      <c r="D1748" s="9"/>
      <c r="E1748" s="42"/>
      <c r="F1748" s="43"/>
      <c r="G1748" s="27" t="str">
        <f aca="false">IF(OR(C1748="",AND(D1748="",F1748="")),"",IF(N(E1748)=0,1,E1748)*IF(F1748="",IFERROR(N(INDEX(Produtos!$L$5:$L$104,MATCH(D1748,Produtos!$B$5:$B$104,0))),0),F1748))</f>
        <v/>
      </c>
      <c r="H1748" s="27" t="str">
        <f aca="false">IF(G1748="","",IF(N(E1748)=0,1,E1748)*IFERROR(N(INDEX(Produtos!$G$5:$G$104,MATCH(D1748,Produtos!$B$5:$B$104,0))),0))</f>
        <v/>
      </c>
      <c r="I1748" s="27" t="str">
        <f aca="false">IF(G1748="","",G1748-H1748)</f>
        <v/>
      </c>
      <c r="J1748" s="42"/>
    </row>
    <row r="1749" customFormat="false" ht="21" hidden="false" customHeight="true" outlineLevel="0" collapsed="false">
      <c r="B1749" s="41"/>
      <c r="C1749" s="9"/>
      <c r="D1749" s="9"/>
      <c r="E1749" s="42"/>
      <c r="F1749" s="43"/>
      <c r="G1749" s="27" t="str">
        <f aca="false">IF(OR(C1749="",AND(D1749="",F1749="")),"",IF(N(E1749)=0,1,E1749)*IF(F1749="",IFERROR(N(INDEX(Produtos!$L$5:$L$104,MATCH(D1749,Produtos!$B$5:$B$104,0))),0),F1749))</f>
        <v/>
      </c>
      <c r="H1749" s="27" t="str">
        <f aca="false">IF(G1749="","",IF(N(E1749)=0,1,E1749)*IFERROR(N(INDEX(Produtos!$G$5:$G$104,MATCH(D1749,Produtos!$B$5:$B$104,0))),0))</f>
        <v/>
      </c>
      <c r="I1749" s="27" t="str">
        <f aca="false">IF(G1749="","",G1749-H1749)</f>
        <v/>
      </c>
      <c r="J1749" s="42"/>
    </row>
    <row r="1750" customFormat="false" ht="21" hidden="false" customHeight="true" outlineLevel="0" collapsed="false">
      <c r="B1750" s="41"/>
      <c r="C1750" s="9"/>
      <c r="D1750" s="9"/>
      <c r="E1750" s="42"/>
      <c r="F1750" s="43"/>
      <c r="G1750" s="27" t="str">
        <f aca="false">IF(OR(C1750="",AND(D1750="",F1750="")),"",IF(N(E1750)=0,1,E1750)*IF(F1750="",IFERROR(N(INDEX(Produtos!$L$5:$L$104,MATCH(D1750,Produtos!$B$5:$B$104,0))),0),F1750))</f>
        <v/>
      </c>
      <c r="H1750" s="27" t="str">
        <f aca="false">IF(G1750="","",IF(N(E1750)=0,1,E1750)*IFERROR(N(INDEX(Produtos!$G$5:$G$104,MATCH(D1750,Produtos!$B$5:$B$104,0))),0))</f>
        <v/>
      </c>
      <c r="I1750" s="27" t="str">
        <f aca="false">IF(G1750="","",G1750-H1750)</f>
        <v/>
      </c>
      <c r="J1750" s="42"/>
    </row>
    <row r="1751" customFormat="false" ht="21" hidden="false" customHeight="true" outlineLevel="0" collapsed="false">
      <c r="B1751" s="41"/>
      <c r="C1751" s="9"/>
      <c r="D1751" s="9"/>
      <c r="E1751" s="42"/>
      <c r="F1751" s="43"/>
      <c r="G1751" s="27" t="str">
        <f aca="false">IF(OR(C1751="",AND(D1751="",F1751="")),"",IF(N(E1751)=0,1,E1751)*IF(F1751="",IFERROR(N(INDEX(Produtos!$L$5:$L$104,MATCH(D1751,Produtos!$B$5:$B$104,0))),0),F1751))</f>
        <v/>
      </c>
      <c r="H1751" s="27" t="str">
        <f aca="false">IF(G1751="","",IF(N(E1751)=0,1,E1751)*IFERROR(N(INDEX(Produtos!$G$5:$G$104,MATCH(D1751,Produtos!$B$5:$B$104,0))),0))</f>
        <v/>
      </c>
      <c r="I1751" s="27" t="str">
        <f aca="false">IF(G1751="","",G1751-H1751)</f>
        <v/>
      </c>
      <c r="J1751" s="42"/>
    </row>
    <row r="1752" customFormat="false" ht="21" hidden="false" customHeight="true" outlineLevel="0" collapsed="false">
      <c r="B1752" s="41"/>
      <c r="C1752" s="9"/>
      <c r="D1752" s="9"/>
      <c r="E1752" s="42"/>
      <c r="F1752" s="43"/>
      <c r="G1752" s="27" t="str">
        <f aca="false">IF(OR(C1752="",AND(D1752="",F1752="")),"",IF(N(E1752)=0,1,E1752)*IF(F1752="",IFERROR(N(INDEX(Produtos!$L$5:$L$104,MATCH(D1752,Produtos!$B$5:$B$104,0))),0),F1752))</f>
        <v/>
      </c>
      <c r="H1752" s="27" t="str">
        <f aca="false">IF(G1752="","",IF(N(E1752)=0,1,E1752)*IFERROR(N(INDEX(Produtos!$G$5:$G$104,MATCH(D1752,Produtos!$B$5:$B$104,0))),0))</f>
        <v/>
      </c>
      <c r="I1752" s="27" t="str">
        <f aca="false">IF(G1752="","",G1752-H1752)</f>
        <v/>
      </c>
      <c r="J1752" s="42"/>
    </row>
    <row r="1753" customFormat="false" ht="21" hidden="false" customHeight="true" outlineLevel="0" collapsed="false">
      <c r="B1753" s="41"/>
      <c r="C1753" s="9"/>
      <c r="D1753" s="9"/>
      <c r="E1753" s="42"/>
      <c r="F1753" s="43"/>
      <c r="G1753" s="27" t="str">
        <f aca="false">IF(OR(C1753="",AND(D1753="",F1753="")),"",IF(N(E1753)=0,1,E1753)*IF(F1753="",IFERROR(N(INDEX(Produtos!$L$5:$L$104,MATCH(D1753,Produtos!$B$5:$B$104,0))),0),F1753))</f>
        <v/>
      </c>
      <c r="H1753" s="27" t="str">
        <f aca="false">IF(G1753="","",IF(N(E1753)=0,1,E1753)*IFERROR(N(INDEX(Produtos!$G$5:$G$104,MATCH(D1753,Produtos!$B$5:$B$104,0))),0))</f>
        <v/>
      </c>
      <c r="I1753" s="27" t="str">
        <f aca="false">IF(G1753="","",G1753-H1753)</f>
        <v/>
      </c>
      <c r="J1753" s="42"/>
    </row>
    <row r="1754" customFormat="false" ht="21" hidden="false" customHeight="true" outlineLevel="0" collapsed="false">
      <c r="B1754" s="41"/>
      <c r="C1754" s="9"/>
      <c r="D1754" s="9"/>
      <c r="E1754" s="42"/>
      <c r="F1754" s="43"/>
      <c r="G1754" s="27" t="str">
        <f aca="false">IF(OR(C1754="",AND(D1754="",F1754="")),"",IF(N(E1754)=0,1,E1754)*IF(F1754="",IFERROR(N(INDEX(Produtos!$L$5:$L$104,MATCH(D1754,Produtos!$B$5:$B$104,0))),0),F1754))</f>
        <v/>
      </c>
      <c r="H1754" s="27" t="str">
        <f aca="false">IF(G1754="","",IF(N(E1754)=0,1,E1754)*IFERROR(N(INDEX(Produtos!$G$5:$G$104,MATCH(D1754,Produtos!$B$5:$B$104,0))),0))</f>
        <v/>
      </c>
      <c r="I1754" s="27" t="str">
        <f aca="false">IF(G1754="","",G1754-H1754)</f>
        <v/>
      </c>
      <c r="J1754" s="42"/>
    </row>
    <row r="1755" customFormat="false" ht="21" hidden="false" customHeight="true" outlineLevel="0" collapsed="false">
      <c r="B1755" s="41"/>
      <c r="C1755" s="9"/>
      <c r="D1755" s="9"/>
      <c r="E1755" s="42"/>
      <c r="F1755" s="43"/>
      <c r="G1755" s="27" t="str">
        <f aca="false">IF(OR(C1755="",AND(D1755="",F1755="")),"",IF(N(E1755)=0,1,E1755)*IF(F1755="",IFERROR(N(INDEX(Produtos!$L$5:$L$104,MATCH(D1755,Produtos!$B$5:$B$104,0))),0),F1755))</f>
        <v/>
      </c>
      <c r="H1755" s="27" t="str">
        <f aca="false">IF(G1755="","",IF(N(E1755)=0,1,E1755)*IFERROR(N(INDEX(Produtos!$G$5:$G$104,MATCH(D1755,Produtos!$B$5:$B$104,0))),0))</f>
        <v/>
      </c>
      <c r="I1755" s="27" t="str">
        <f aca="false">IF(G1755="","",G1755-H1755)</f>
        <v/>
      </c>
      <c r="J1755" s="42"/>
    </row>
    <row r="1756" customFormat="false" ht="21" hidden="false" customHeight="true" outlineLevel="0" collapsed="false">
      <c r="B1756" s="41"/>
      <c r="C1756" s="9"/>
      <c r="D1756" s="9"/>
      <c r="E1756" s="42"/>
      <c r="F1756" s="43"/>
      <c r="G1756" s="27" t="str">
        <f aca="false">IF(OR(C1756="",AND(D1756="",F1756="")),"",IF(N(E1756)=0,1,E1756)*IF(F1756="",IFERROR(N(INDEX(Produtos!$L$5:$L$104,MATCH(D1756,Produtos!$B$5:$B$104,0))),0),F1756))</f>
        <v/>
      </c>
      <c r="H1756" s="27" t="str">
        <f aca="false">IF(G1756="","",IF(N(E1756)=0,1,E1756)*IFERROR(N(INDEX(Produtos!$G$5:$G$104,MATCH(D1756,Produtos!$B$5:$B$104,0))),0))</f>
        <v/>
      </c>
      <c r="I1756" s="27" t="str">
        <f aca="false">IF(G1756="","",G1756-H1756)</f>
        <v/>
      </c>
      <c r="J1756" s="42"/>
    </row>
    <row r="1757" customFormat="false" ht="21" hidden="false" customHeight="true" outlineLevel="0" collapsed="false">
      <c r="B1757" s="41"/>
      <c r="C1757" s="9"/>
      <c r="D1757" s="9"/>
      <c r="E1757" s="42"/>
      <c r="F1757" s="43"/>
      <c r="G1757" s="27" t="str">
        <f aca="false">IF(OR(C1757="",AND(D1757="",F1757="")),"",IF(N(E1757)=0,1,E1757)*IF(F1757="",IFERROR(N(INDEX(Produtos!$L$5:$L$104,MATCH(D1757,Produtos!$B$5:$B$104,0))),0),F1757))</f>
        <v/>
      </c>
      <c r="H1757" s="27" t="str">
        <f aca="false">IF(G1757="","",IF(N(E1757)=0,1,E1757)*IFERROR(N(INDEX(Produtos!$G$5:$G$104,MATCH(D1757,Produtos!$B$5:$B$104,0))),0))</f>
        <v/>
      </c>
      <c r="I1757" s="27" t="str">
        <f aca="false">IF(G1757="","",G1757-H1757)</f>
        <v/>
      </c>
      <c r="J1757" s="42"/>
    </row>
    <row r="1758" customFormat="false" ht="21" hidden="false" customHeight="true" outlineLevel="0" collapsed="false">
      <c r="B1758" s="41"/>
      <c r="C1758" s="9"/>
      <c r="D1758" s="9"/>
      <c r="E1758" s="42"/>
      <c r="F1758" s="43"/>
      <c r="G1758" s="27" t="str">
        <f aca="false">IF(OR(C1758="",AND(D1758="",F1758="")),"",IF(N(E1758)=0,1,E1758)*IF(F1758="",IFERROR(N(INDEX(Produtos!$L$5:$L$104,MATCH(D1758,Produtos!$B$5:$B$104,0))),0),F1758))</f>
        <v/>
      </c>
      <c r="H1758" s="27" t="str">
        <f aca="false">IF(G1758="","",IF(N(E1758)=0,1,E1758)*IFERROR(N(INDEX(Produtos!$G$5:$G$104,MATCH(D1758,Produtos!$B$5:$B$104,0))),0))</f>
        <v/>
      </c>
      <c r="I1758" s="27" t="str">
        <f aca="false">IF(G1758="","",G1758-H1758)</f>
        <v/>
      </c>
      <c r="J1758" s="42"/>
    </row>
    <row r="1759" customFormat="false" ht="21" hidden="false" customHeight="true" outlineLevel="0" collapsed="false">
      <c r="B1759" s="41"/>
      <c r="C1759" s="9"/>
      <c r="D1759" s="9"/>
      <c r="E1759" s="42"/>
      <c r="F1759" s="43"/>
      <c r="G1759" s="27" t="str">
        <f aca="false">IF(OR(C1759="",AND(D1759="",F1759="")),"",IF(N(E1759)=0,1,E1759)*IF(F1759="",IFERROR(N(INDEX(Produtos!$L$5:$L$104,MATCH(D1759,Produtos!$B$5:$B$104,0))),0),F1759))</f>
        <v/>
      </c>
      <c r="H1759" s="27" t="str">
        <f aca="false">IF(G1759="","",IF(N(E1759)=0,1,E1759)*IFERROR(N(INDEX(Produtos!$G$5:$G$104,MATCH(D1759,Produtos!$B$5:$B$104,0))),0))</f>
        <v/>
      </c>
      <c r="I1759" s="27" t="str">
        <f aca="false">IF(G1759="","",G1759-H1759)</f>
        <v/>
      </c>
      <c r="J1759" s="42"/>
    </row>
    <row r="1760" customFormat="false" ht="21" hidden="false" customHeight="true" outlineLevel="0" collapsed="false">
      <c r="B1760" s="41"/>
      <c r="C1760" s="9"/>
      <c r="D1760" s="9"/>
      <c r="E1760" s="42"/>
      <c r="F1760" s="43"/>
      <c r="G1760" s="27" t="str">
        <f aca="false">IF(OR(C1760="",AND(D1760="",F1760="")),"",IF(N(E1760)=0,1,E1760)*IF(F1760="",IFERROR(N(INDEX(Produtos!$L$5:$L$104,MATCH(D1760,Produtos!$B$5:$B$104,0))),0),F1760))</f>
        <v/>
      </c>
      <c r="H1760" s="27" t="str">
        <f aca="false">IF(G1760="","",IF(N(E1760)=0,1,E1760)*IFERROR(N(INDEX(Produtos!$G$5:$G$104,MATCH(D1760,Produtos!$B$5:$B$104,0))),0))</f>
        <v/>
      </c>
      <c r="I1760" s="27" t="str">
        <f aca="false">IF(G1760="","",G1760-H1760)</f>
        <v/>
      </c>
      <c r="J1760" s="42"/>
    </row>
    <row r="1761" customFormat="false" ht="21" hidden="false" customHeight="true" outlineLevel="0" collapsed="false">
      <c r="B1761" s="41"/>
      <c r="C1761" s="9"/>
      <c r="D1761" s="9"/>
      <c r="E1761" s="42"/>
      <c r="F1761" s="43"/>
      <c r="G1761" s="27" t="str">
        <f aca="false">IF(OR(C1761="",AND(D1761="",F1761="")),"",IF(N(E1761)=0,1,E1761)*IF(F1761="",IFERROR(N(INDEX(Produtos!$L$5:$L$104,MATCH(D1761,Produtos!$B$5:$B$104,0))),0),F1761))</f>
        <v/>
      </c>
      <c r="H1761" s="27" t="str">
        <f aca="false">IF(G1761="","",IF(N(E1761)=0,1,E1761)*IFERROR(N(INDEX(Produtos!$G$5:$G$104,MATCH(D1761,Produtos!$B$5:$B$104,0))),0))</f>
        <v/>
      </c>
      <c r="I1761" s="27" t="str">
        <f aca="false">IF(G1761="","",G1761-H1761)</f>
        <v/>
      </c>
      <c r="J1761" s="42"/>
    </row>
    <row r="1762" customFormat="false" ht="21" hidden="false" customHeight="true" outlineLevel="0" collapsed="false">
      <c r="B1762" s="41"/>
      <c r="C1762" s="9"/>
      <c r="D1762" s="9"/>
      <c r="E1762" s="42"/>
      <c r="F1762" s="43"/>
      <c r="G1762" s="27" t="str">
        <f aca="false">IF(OR(C1762="",AND(D1762="",F1762="")),"",IF(N(E1762)=0,1,E1762)*IF(F1762="",IFERROR(N(INDEX(Produtos!$L$5:$L$104,MATCH(D1762,Produtos!$B$5:$B$104,0))),0),F1762))</f>
        <v/>
      </c>
      <c r="H1762" s="27" t="str">
        <f aca="false">IF(G1762="","",IF(N(E1762)=0,1,E1762)*IFERROR(N(INDEX(Produtos!$G$5:$G$104,MATCH(D1762,Produtos!$B$5:$B$104,0))),0))</f>
        <v/>
      </c>
      <c r="I1762" s="27" t="str">
        <f aca="false">IF(G1762="","",G1762-H1762)</f>
        <v/>
      </c>
      <c r="J1762" s="42"/>
    </row>
    <row r="1763" customFormat="false" ht="21" hidden="false" customHeight="true" outlineLevel="0" collapsed="false">
      <c r="B1763" s="41"/>
      <c r="C1763" s="9"/>
      <c r="D1763" s="9"/>
      <c r="E1763" s="42"/>
      <c r="F1763" s="43"/>
      <c r="G1763" s="27" t="str">
        <f aca="false">IF(OR(C1763="",AND(D1763="",F1763="")),"",IF(N(E1763)=0,1,E1763)*IF(F1763="",IFERROR(N(INDEX(Produtos!$L$5:$L$104,MATCH(D1763,Produtos!$B$5:$B$104,0))),0),F1763))</f>
        <v/>
      </c>
      <c r="H1763" s="27" t="str">
        <f aca="false">IF(G1763="","",IF(N(E1763)=0,1,E1763)*IFERROR(N(INDEX(Produtos!$G$5:$G$104,MATCH(D1763,Produtos!$B$5:$B$104,0))),0))</f>
        <v/>
      </c>
      <c r="I1763" s="27" t="str">
        <f aca="false">IF(G1763="","",G1763-H1763)</f>
        <v/>
      </c>
      <c r="J1763" s="42"/>
    </row>
    <row r="1764" customFormat="false" ht="21" hidden="false" customHeight="true" outlineLevel="0" collapsed="false">
      <c r="B1764" s="41"/>
      <c r="C1764" s="9"/>
      <c r="D1764" s="9"/>
      <c r="E1764" s="42"/>
      <c r="F1764" s="43"/>
      <c r="G1764" s="27" t="str">
        <f aca="false">IF(OR(C1764="",AND(D1764="",F1764="")),"",IF(N(E1764)=0,1,E1764)*IF(F1764="",IFERROR(N(INDEX(Produtos!$L$5:$L$104,MATCH(D1764,Produtos!$B$5:$B$104,0))),0),F1764))</f>
        <v/>
      </c>
      <c r="H1764" s="27" t="str">
        <f aca="false">IF(G1764="","",IF(N(E1764)=0,1,E1764)*IFERROR(N(INDEX(Produtos!$G$5:$G$104,MATCH(D1764,Produtos!$B$5:$B$104,0))),0))</f>
        <v/>
      </c>
      <c r="I1764" s="27" t="str">
        <f aca="false">IF(G1764="","",G1764-H1764)</f>
        <v/>
      </c>
      <c r="J1764" s="42"/>
    </row>
    <row r="1765" customFormat="false" ht="21" hidden="false" customHeight="true" outlineLevel="0" collapsed="false">
      <c r="B1765" s="41"/>
      <c r="C1765" s="9"/>
      <c r="D1765" s="9"/>
      <c r="E1765" s="42"/>
      <c r="F1765" s="43"/>
      <c r="G1765" s="27" t="str">
        <f aca="false">IF(OR(C1765="",AND(D1765="",F1765="")),"",IF(N(E1765)=0,1,E1765)*IF(F1765="",IFERROR(N(INDEX(Produtos!$L$5:$L$104,MATCH(D1765,Produtos!$B$5:$B$104,0))),0),F1765))</f>
        <v/>
      </c>
      <c r="H1765" s="27" t="str">
        <f aca="false">IF(G1765="","",IF(N(E1765)=0,1,E1765)*IFERROR(N(INDEX(Produtos!$G$5:$G$104,MATCH(D1765,Produtos!$B$5:$B$104,0))),0))</f>
        <v/>
      </c>
      <c r="I1765" s="27" t="str">
        <f aca="false">IF(G1765="","",G1765-H1765)</f>
        <v/>
      </c>
      <c r="J1765" s="42"/>
    </row>
    <row r="1766" customFormat="false" ht="21" hidden="false" customHeight="true" outlineLevel="0" collapsed="false">
      <c r="B1766" s="41"/>
      <c r="C1766" s="9"/>
      <c r="D1766" s="9"/>
      <c r="E1766" s="42"/>
      <c r="F1766" s="43"/>
      <c r="G1766" s="27" t="str">
        <f aca="false">IF(OR(C1766="",AND(D1766="",F1766="")),"",IF(N(E1766)=0,1,E1766)*IF(F1766="",IFERROR(N(INDEX(Produtos!$L$5:$L$104,MATCH(D1766,Produtos!$B$5:$B$104,0))),0),F1766))</f>
        <v/>
      </c>
      <c r="H1766" s="27" t="str">
        <f aca="false">IF(G1766="","",IF(N(E1766)=0,1,E1766)*IFERROR(N(INDEX(Produtos!$G$5:$G$104,MATCH(D1766,Produtos!$B$5:$B$104,0))),0))</f>
        <v/>
      </c>
      <c r="I1766" s="27" t="str">
        <f aca="false">IF(G1766="","",G1766-H1766)</f>
        <v/>
      </c>
      <c r="J1766" s="42"/>
    </row>
    <row r="1767" customFormat="false" ht="21" hidden="false" customHeight="true" outlineLevel="0" collapsed="false">
      <c r="B1767" s="41"/>
      <c r="C1767" s="9"/>
      <c r="D1767" s="9"/>
      <c r="E1767" s="42"/>
      <c r="F1767" s="43"/>
      <c r="G1767" s="27" t="str">
        <f aca="false">IF(OR(C1767="",AND(D1767="",F1767="")),"",IF(N(E1767)=0,1,E1767)*IF(F1767="",IFERROR(N(INDEX(Produtos!$L$5:$L$104,MATCH(D1767,Produtos!$B$5:$B$104,0))),0),F1767))</f>
        <v/>
      </c>
      <c r="H1767" s="27" t="str">
        <f aca="false">IF(G1767="","",IF(N(E1767)=0,1,E1767)*IFERROR(N(INDEX(Produtos!$G$5:$G$104,MATCH(D1767,Produtos!$B$5:$B$104,0))),0))</f>
        <v/>
      </c>
      <c r="I1767" s="27" t="str">
        <f aca="false">IF(G1767="","",G1767-H1767)</f>
        <v/>
      </c>
      <c r="J1767" s="42"/>
    </row>
    <row r="1768" customFormat="false" ht="21" hidden="false" customHeight="true" outlineLevel="0" collapsed="false">
      <c r="B1768" s="41"/>
      <c r="C1768" s="9"/>
      <c r="D1768" s="9"/>
      <c r="E1768" s="42"/>
      <c r="F1768" s="43"/>
      <c r="G1768" s="27" t="str">
        <f aca="false">IF(OR(C1768="",AND(D1768="",F1768="")),"",IF(N(E1768)=0,1,E1768)*IF(F1768="",IFERROR(N(INDEX(Produtos!$L$5:$L$104,MATCH(D1768,Produtos!$B$5:$B$104,0))),0),F1768))</f>
        <v/>
      </c>
      <c r="H1768" s="27" t="str">
        <f aca="false">IF(G1768="","",IF(N(E1768)=0,1,E1768)*IFERROR(N(INDEX(Produtos!$G$5:$G$104,MATCH(D1768,Produtos!$B$5:$B$104,0))),0))</f>
        <v/>
      </c>
      <c r="I1768" s="27" t="str">
        <f aca="false">IF(G1768="","",G1768-H1768)</f>
        <v/>
      </c>
      <c r="J1768" s="42"/>
    </row>
    <row r="1769" customFormat="false" ht="21" hidden="false" customHeight="true" outlineLevel="0" collapsed="false">
      <c r="B1769" s="41"/>
      <c r="C1769" s="9"/>
      <c r="D1769" s="9"/>
      <c r="E1769" s="42"/>
      <c r="F1769" s="43"/>
      <c r="G1769" s="27" t="str">
        <f aca="false">IF(OR(C1769="",AND(D1769="",F1769="")),"",IF(N(E1769)=0,1,E1769)*IF(F1769="",IFERROR(N(INDEX(Produtos!$L$5:$L$104,MATCH(D1769,Produtos!$B$5:$B$104,0))),0),F1769))</f>
        <v/>
      </c>
      <c r="H1769" s="27" t="str">
        <f aca="false">IF(G1769="","",IF(N(E1769)=0,1,E1769)*IFERROR(N(INDEX(Produtos!$G$5:$G$104,MATCH(D1769,Produtos!$B$5:$B$104,0))),0))</f>
        <v/>
      </c>
      <c r="I1769" s="27" t="str">
        <f aca="false">IF(G1769="","",G1769-H1769)</f>
        <v/>
      </c>
      <c r="J1769" s="42"/>
    </row>
    <row r="1770" customFormat="false" ht="21" hidden="false" customHeight="true" outlineLevel="0" collapsed="false">
      <c r="B1770" s="41"/>
      <c r="C1770" s="9"/>
      <c r="D1770" s="9"/>
      <c r="E1770" s="42"/>
      <c r="F1770" s="43"/>
      <c r="G1770" s="27" t="str">
        <f aca="false">IF(OR(C1770="",AND(D1770="",F1770="")),"",IF(N(E1770)=0,1,E1770)*IF(F1770="",IFERROR(N(INDEX(Produtos!$L$5:$L$104,MATCH(D1770,Produtos!$B$5:$B$104,0))),0),F1770))</f>
        <v/>
      </c>
      <c r="H1770" s="27" t="str">
        <f aca="false">IF(G1770="","",IF(N(E1770)=0,1,E1770)*IFERROR(N(INDEX(Produtos!$G$5:$G$104,MATCH(D1770,Produtos!$B$5:$B$104,0))),0))</f>
        <v/>
      </c>
      <c r="I1770" s="27" t="str">
        <f aca="false">IF(G1770="","",G1770-H1770)</f>
        <v/>
      </c>
      <c r="J1770" s="42"/>
    </row>
    <row r="1771" customFormat="false" ht="21" hidden="false" customHeight="true" outlineLevel="0" collapsed="false">
      <c r="B1771" s="41"/>
      <c r="C1771" s="9"/>
      <c r="D1771" s="9"/>
      <c r="E1771" s="42"/>
      <c r="F1771" s="43"/>
      <c r="G1771" s="27" t="str">
        <f aca="false">IF(OR(C1771="",AND(D1771="",F1771="")),"",IF(N(E1771)=0,1,E1771)*IF(F1771="",IFERROR(N(INDEX(Produtos!$L$5:$L$104,MATCH(D1771,Produtos!$B$5:$B$104,0))),0),F1771))</f>
        <v/>
      </c>
      <c r="H1771" s="27" t="str">
        <f aca="false">IF(G1771="","",IF(N(E1771)=0,1,E1771)*IFERROR(N(INDEX(Produtos!$G$5:$G$104,MATCH(D1771,Produtos!$B$5:$B$104,0))),0))</f>
        <v/>
      </c>
      <c r="I1771" s="27" t="str">
        <f aca="false">IF(G1771="","",G1771-H1771)</f>
        <v/>
      </c>
      <c r="J1771" s="42"/>
    </row>
    <row r="1772" customFormat="false" ht="21" hidden="false" customHeight="true" outlineLevel="0" collapsed="false">
      <c r="B1772" s="41"/>
      <c r="C1772" s="9"/>
      <c r="D1772" s="9"/>
      <c r="E1772" s="42"/>
      <c r="F1772" s="43"/>
      <c r="G1772" s="27" t="str">
        <f aca="false">IF(OR(C1772="",AND(D1772="",F1772="")),"",IF(N(E1772)=0,1,E1772)*IF(F1772="",IFERROR(N(INDEX(Produtos!$L$5:$L$104,MATCH(D1772,Produtos!$B$5:$B$104,0))),0),F1772))</f>
        <v/>
      </c>
      <c r="H1772" s="27" t="str">
        <f aca="false">IF(G1772="","",IF(N(E1772)=0,1,E1772)*IFERROR(N(INDEX(Produtos!$G$5:$G$104,MATCH(D1772,Produtos!$B$5:$B$104,0))),0))</f>
        <v/>
      </c>
      <c r="I1772" s="27" t="str">
        <f aca="false">IF(G1772="","",G1772-H1772)</f>
        <v/>
      </c>
      <c r="J1772" s="42"/>
    </row>
    <row r="1773" customFormat="false" ht="21" hidden="false" customHeight="true" outlineLevel="0" collapsed="false">
      <c r="B1773" s="41"/>
      <c r="C1773" s="9"/>
      <c r="D1773" s="9"/>
      <c r="E1773" s="42"/>
      <c r="F1773" s="43"/>
      <c r="G1773" s="27" t="str">
        <f aca="false">IF(OR(C1773="",AND(D1773="",F1773="")),"",IF(N(E1773)=0,1,E1773)*IF(F1773="",IFERROR(N(INDEX(Produtos!$L$5:$L$104,MATCH(D1773,Produtos!$B$5:$B$104,0))),0),F1773))</f>
        <v/>
      </c>
      <c r="H1773" s="27" t="str">
        <f aca="false">IF(G1773="","",IF(N(E1773)=0,1,E1773)*IFERROR(N(INDEX(Produtos!$G$5:$G$104,MATCH(D1773,Produtos!$B$5:$B$104,0))),0))</f>
        <v/>
      </c>
      <c r="I1773" s="27" t="str">
        <f aca="false">IF(G1773="","",G1773-H1773)</f>
        <v/>
      </c>
      <c r="J1773" s="42"/>
    </row>
    <row r="1774" customFormat="false" ht="21" hidden="false" customHeight="true" outlineLevel="0" collapsed="false">
      <c r="B1774" s="41"/>
      <c r="C1774" s="9"/>
      <c r="D1774" s="9"/>
      <c r="E1774" s="42"/>
      <c r="F1774" s="43"/>
      <c r="G1774" s="27" t="str">
        <f aca="false">IF(OR(C1774="",AND(D1774="",F1774="")),"",IF(N(E1774)=0,1,E1774)*IF(F1774="",IFERROR(N(INDEX(Produtos!$L$5:$L$104,MATCH(D1774,Produtos!$B$5:$B$104,0))),0),F1774))</f>
        <v/>
      </c>
      <c r="H1774" s="27" t="str">
        <f aca="false">IF(G1774="","",IF(N(E1774)=0,1,E1774)*IFERROR(N(INDEX(Produtos!$G$5:$G$104,MATCH(D1774,Produtos!$B$5:$B$104,0))),0))</f>
        <v/>
      </c>
      <c r="I1774" s="27" t="str">
        <f aca="false">IF(G1774="","",G1774-H1774)</f>
        <v/>
      </c>
      <c r="J1774" s="42"/>
    </row>
    <row r="1775" customFormat="false" ht="21" hidden="false" customHeight="true" outlineLevel="0" collapsed="false">
      <c r="B1775" s="41"/>
      <c r="C1775" s="9"/>
      <c r="D1775" s="9"/>
      <c r="E1775" s="42"/>
      <c r="F1775" s="43"/>
      <c r="G1775" s="27" t="str">
        <f aca="false">IF(OR(C1775="",AND(D1775="",F1775="")),"",IF(N(E1775)=0,1,E1775)*IF(F1775="",IFERROR(N(INDEX(Produtos!$L$5:$L$104,MATCH(D1775,Produtos!$B$5:$B$104,0))),0),F1775))</f>
        <v/>
      </c>
      <c r="H1775" s="27" t="str">
        <f aca="false">IF(G1775="","",IF(N(E1775)=0,1,E1775)*IFERROR(N(INDEX(Produtos!$G$5:$G$104,MATCH(D1775,Produtos!$B$5:$B$104,0))),0))</f>
        <v/>
      </c>
      <c r="I1775" s="27" t="str">
        <f aca="false">IF(G1775="","",G1775-H1775)</f>
        <v/>
      </c>
      <c r="J1775" s="42"/>
    </row>
    <row r="1776" customFormat="false" ht="21" hidden="false" customHeight="true" outlineLevel="0" collapsed="false">
      <c r="B1776" s="41"/>
      <c r="C1776" s="9"/>
      <c r="D1776" s="9"/>
      <c r="E1776" s="42"/>
      <c r="F1776" s="43"/>
      <c r="G1776" s="27" t="str">
        <f aca="false">IF(OR(C1776="",AND(D1776="",F1776="")),"",IF(N(E1776)=0,1,E1776)*IF(F1776="",IFERROR(N(INDEX(Produtos!$L$5:$L$104,MATCH(D1776,Produtos!$B$5:$B$104,0))),0),F1776))</f>
        <v/>
      </c>
      <c r="H1776" s="27" t="str">
        <f aca="false">IF(G1776="","",IF(N(E1776)=0,1,E1776)*IFERROR(N(INDEX(Produtos!$G$5:$G$104,MATCH(D1776,Produtos!$B$5:$B$104,0))),0))</f>
        <v/>
      </c>
      <c r="I1776" s="27" t="str">
        <f aca="false">IF(G1776="","",G1776-H1776)</f>
        <v/>
      </c>
      <c r="J1776" s="42"/>
    </row>
    <row r="1777" customFormat="false" ht="21" hidden="false" customHeight="true" outlineLevel="0" collapsed="false">
      <c r="B1777" s="41"/>
      <c r="C1777" s="9"/>
      <c r="D1777" s="9"/>
      <c r="E1777" s="42"/>
      <c r="F1777" s="43"/>
      <c r="G1777" s="27" t="str">
        <f aca="false">IF(OR(C1777="",AND(D1777="",F1777="")),"",IF(N(E1777)=0,1,E1777)*IF(F1777="",IFERROR(N(INDEX(Produtos!$L$5:$L$104,MATCH(D1777,Produtos!$B$5:$B$104,0))),0),F1777))</f>
        <v/>
      </c>
      <c r="H1777" s="27" t="str">
        <f aca="false">IF(G1777="","",IF(N(E1777)=0,1,E1777)*IFERROR(N(INDEX(Produtos!$G$5:$G$104,MATCH(D1777,Produtos!$B$5:$B$104,0))),0))</f>
        <v/>
      </c>
      <c r="I1777" s="27" t="str">
        <f aca="false">IF(G1777="","",G1777-H1777)</f>
        <v/>
      </c>
      <c r="J1777" s="42"/>
    </row>
    <row r="1778" customFormat="false" ht="21" hidden="false" customHeight="true" outlineLevel="0" collapsed="false">
      <c r="B1778" s="41"/>
      <c r="C1778" s="9"/>
      <c r="D1778" s="9"/>
      <c r="E1778" s="42"/>
      <c r="F1778" s="43"/>
      <c r="G1778" s="27" t="str">
        <f aca="false">IF(OR(C1778="",AND(D1778="",F1778="")),"",IF(N(E1778)=0,1,E1778)*IF(F1778="",IFERROR(N(INDEX(Produtos!$L$5:$L$104,MATCH(D1778,Produtos!$B$5:$B$104,0))),0),F1778))</f>
        <v/>
      </c>
      <c r="H1778" s="27" t="str">
        <f aca="false">IF(G1778="","",IF(N(E1778)=0,1,E1778)*IFERROR(N(INDEX(Produtos!$G$5:$G$104,MATCH(D1778,Produtos!$B$5:$B$104,0))),0))</f>
        <v/>
      </c>
      <c r="I1778" s="27" t="str">
        <f aca="false">IF(G1778="","",G1778-H1778)</f>
        <v/>
      </c>
      <c r="J1778" s="42"/>
    </row>
    <row r="1779" customFormat="false" ht="21" hidden="false" customHeight="true" outlineLevel="0" collapsed="false">
      <c r="B1779" s="41"/>
      <c r="C1779" s="9"/>
      <c r="D1779" s="9"/>
      <c r="E1779" s="42"/>
      <c r="F1779" s="43"/>
      <c r="G1779" s="27" t="str">
        <f aca="false">IF(OR(C1779="",AND(D1779="",F1779="")),"",IF(N(E1779)=0,1,E1779)*IF(F1779="",IFERROR(N(INDEX(Produtos!$L$5:$L$104,MATCH(D1779,Produtos!$B$5:$B$104,0))),0),F1779))</f>
        <v/>
      </c>
      <c r="H1779" s="27" t="str">
        <f aca="false">IF(G1779="","",IF(N(E1779)=0,1,E1779)*IFERROR(N(INDEX(Produtos!$G$5:$G$104,MATCH(D1779,Produtos!$B$5:$B$104,0))),0))</f>
        <v/>
      </c>
      <c r="I1779" s="27" t="str">
        <f aca="false">IF(G1779="","",G1779-H1779)</f>
        <v/>
      </c>
      <c r="J1779" s="42"/>
    </row>
    <row r="1780" customFormat="false" ht="21" hidden="false" customHeight="true" outlineLevel="0" collapsed="false">
      <c r="B1780" s="41"/>
      <c r="C1780" s="9"/>
      <c r="D1780" s="9"/>
      <c r="E1780" s="42"/>
      <c r="F1780" s="43"/>
      <c r="G1780" s="27" t="str">
        <f aca="false">IF(OR(C1780="",AND(D1780="",F1780="")),"",IF(N(E1780)=0,1,E1780)*IF(F1780="",IFERROR(N(INDEX(Produtos!$L$5:$L$104,MATCH(D1780,Produtos!$B$5:$B$104,0))),0),F1780))</f>
        <v/>
      </c>
      <c r="H1780" s="27" t="str">
        <f aca="false">IF(G1780="","",IF(N(E1780)=0,1,E1780)*IFERROR(N(INDEX(Produtos!$G$5:$G$104,MATCH(D1780,Produtos!$B$5:$B$104,0))),0))</f>
        <v/>
      </c>
      <c r="I1780" s="27" t="str">
        <f aca="false">IF(G1780="","",G1780-H1780)</f>
        <v/>
      </c>
      <c r="J1780" s="42"/>
    </row>
    <row r="1781" customFormat="false" ht="21" hidden="false" customHeight="true" outlineLevel="0" collapsed="false">
      <c r="B1781" s="41"/>
      <c r="C1781" s="9"/>
      <c r="D1781" s="9"/>
      <c r="E1781" s="42"/>
      <c r="F1781" s="43"/>
      <c r="G1781" s="27" t="str">
        <f aca="false">IF(OR(C1781="",AND(D1781="",F1781="")),"",IF(N(E1781)=0,1,E1781)*IF(F1781="",IFERROR(N(INDEX(Produtos!$L$5:$L$104,MATCH(D1781,Produtos!$B$5:$B$104,0))),0),F1781))</f>
        <v/>
      </c>
      <c r="H1781" s="27" t="str">
        <f aca="false">IF(G1781="","",IF(N(E1781)=0,1,E1781)*IFERROR(N(INDEX(Produtos!$G$5:$G$104,MATCH(D1781,Produtos!$B$5:$B$104,0))),0))</f>
        <v/>
      </c>
      <c r="I1781" s="27" t="str">
        <f aca="false">IF(G1781="","",G1781-H1781)</f>
        <v/>
      </c>
      <c r="J1781" s="42"/>
    </row>
    <row r="1782" customFormat="false" ht="21" hidden="false" customHeight="true" outlineLevel="0" collapsed="false">
      <c r="B1782" s="41"/>
      <c r="C1782" s="9"/>
      <c r="D1782" s="9"/>
      <c r="E1782" s="42"/>
      <c r="F1782" s="43"/>
      <c r="G1782" s="27" t="str">
        <f aca="false">IF(OR(C1782="",AND(D1782="",F1782="")),"",IF(N(E1782)=0,1,E1782)*IF(F1782="",IFERROR(N(INDEX(Produtos!$L$5:$L$104,MATCH(D1782,Produtos!$B$5:$B$104,0))),0),F1782))</f>
        <v/>
      </c>
      <c r="H1782" s="27" t="str">
        <f aca="false">IF(G1782="","",IF(N(E1782)=0,1,E1782)*IFERROR(N(INDEX(Produtos!$G$5:$G$104,MATCH(D1782,Produtos!$B$5:$B$104,0))),0))</f>
        <v/>
      </c>
      <c r="I1782" s="27" t="str">
        <f aca="false">IF(G1782="","",G1782-H1782)</f>
        <v/>
      </c>
      <c r="J1782" s="42"/>
    </row>
    <row r="1783" customFormat="false" ht="21" hidden="false" customHeight="true" outlineLevel="0" collapsed="false">
      <c r="B1783" s="41"/>
      <c r="C1783" s="9"/>
      <c r="D1783" s="9"/>
      <c r="E1783" s="42"/>
      <c r="F1783" s="43"/>
      <c r="G1783" s="27" t="str">
        <f aca="false">IF(OR(C1783="",AND(D1783="",F1783="")),"",IF(N(E1783)=0,1,E1783)*IF(F1783="",IFERROR(N(INDEX(Produtos!$L$5:$L$104,MATCH(D1783,Produtos!$B$5:$B$104,0))),0),F1783))</f>
        <v/>
      </c>
      <c r="H1783" s="27" t="str">
        <f aca="false">IF(G1783="","",IF(N(E1783)=0,1,E1783)*IFERROR(N(INDEX(Produtos!$G$5:$G$104,MATCH(D1783,Produtos!$B$5:$B$104,0))),0))</f>
        <v/>
      </c>
      <c r="I1783" s="27" t="str">
        <f aca="false">IF(G1783="","",G1783-H1783)</f>
        <v/>
      </c>
      <c r="J1783" s="42"/>
    </row>
    <row r="1784" customFormat="false" ht="21" hidden="false" customHeight="true" outlineLevel="0" collapsed="false">
      <c r="B1784" s="41"/>
      <c r="C1784" s="9"/>
      <c r="D1784" s="9"/>
      <c r="E1784" s="42"/>
      <c r="F1784" s="43"/>
      <c r="G1784" s="27" t="str">
        <f aca="false">IF(OR(C1784="",AND(D1784="",F1784="")),"",IF(N(E1784)=0,1,E1784)*IF(F1784="",IFERROR(N(INDEX(Produtos!$L$5:$L$104,MATCH(D1784,Produtos!$B$5:$B$104,0))),0),F1784))</f>
        <v/>
      </c>
      <c r="H1784" s="27" t="str">
        <f aca="false">IF(G1784="","",IF(N(E1784)=0,1,E1784)*IFERROR(N(INDEX(Produtos!$G$5:$G$104,MATCH(D1784,Produtos!$B$5:$B$104,0))),0))</f>
        <v/>
      </c>
      <c r="I1784" s="27" t="str">
        <f aca="false">IF(G1784="","",G1784-H1784)</f>
        <v/>
      </c>
      <c r="J1784" s="42"/>
    </row>
    <row r="1785" customFormat="false" ht="21" hidden="false" customHeight="true" outlineLevel="0" collapsed="false">
      <c r="B1785" s="41"/>
      <c r="C1785" s="9"/>
      <c r="D1785" s="9"/>
      <c r="E1785" s="42"/>
      <c r="F1785" s="43"/>
      <c r="G1785" s="27" t="str">
        <f aca="false">IF(OR(C1785="",AND(D1785="",F1785="")),"",IF(N(E1785)=0,1,E1785)*IF(F1785="",IFERROR(N(INDEX(Produtos!$L$5:$L$104,MATCH(D1785,Produtos!$B$5:$B$104,0))),0),F1785))</f>
        <v/>
      </c>
      <c r="H1785" s="27" t="str">
        <f aca="false">IF(G1785="","",IF(N(E1785)=0,1,E1785)*IFERROR(N(INDEX(Produtos!$G$5:$G$104,MATCH(D1785,Produtos!$B$5:$B$104,0))),0))</f>
        <v/>
      </c>
      <c r="I1785" s="27" t="str">
        <f aca="false">IF(G1785="","",G1785-H1785)</f>
        <v/>
      </c>
      <c r="J1785" s="42"/>
    </row>
    <row r="1786" customFormat="false" ht="21" hidden="false" customHeight="true" outlineLevel="0" collapsed="false">
      <c r="B1786" s="41"/>
      <c r="C1786" s="9"/>
      <c r="D1786" s="9"/>
      <c r="E1786" s="42"/>
      <c r="F1786" s="43"/>
      <c r="G1786" s="27" t="str">
        <f aca="false">IF(OR(C1786="",AND(D1786="",F1786="")),"",IF(N(E1786)=0,1,E1786)*IF(F1786="",IFERROR(N(INDEX(Produtos!$L$5:$L$104,MATCH(D1786,Produtos!$B$5:$B$104,0))),0),F1786))</f>
        <v/>
      </c>
      <c r="H1786" s="27" t="str">
        <f aca="false">IF(G1786="","",IF(N(E1786)=0,1,E1786)*IFERROR(N(INDEX(Produtos!$G$5:$G$104,MATCH(D1786,Produtos!$B$5:$B$104,0))),0))</f>
        <v/>
      </c>
      <c r="I1786" s="27" t="str">
        <f aca="false">IF(G1786="","",G1786-H1786)</f>
        <v/>
      </c>
      <c r="J1786" s="42"/>
    </row>
    <row r="1787" customFormat="false" ht="21" hidden="false" customHeight="true" outlineLevel="0" collapsed="false">
      <c r="B1787" s="41"/>
      <c r="C1787" s="9"/>
      <c r="D1787" s="9"/>
      <c r="E1787" s="42"/>
      <c r="F1787" s="43"/>
      <c r="G1787" s="27" t="str">
        <f aca="false">IF(OR(C1787="",AND(D1787="",F1787="")),"",IF(N(E1787)=0,1,E1787)*IF(F1787="",IFERROR(N(INDEX(Produtos!$L$5:$L$104,MATCH(D1787,Produtos!$B$5:$B$104,0))),0),F1787))</f>
        <v/>
      </c>
      <c r="H1787" s="27" t="str">
        <f aca="false">IF(G1787="","",IF(N(E1787)=0,1,E1787)*IFERROR(N(INDEX(Produtos!$G$5:$G$104,MATCH(D1787,Produtos!$B$5:$B$104,0))),0))</f>
        <v/>
      </c>
      <c r="I1787" s="27" t="str">
        <f aca="false">IF(G1787="","",G1787-H1787)</f>
        <v/>
      </c>
      <c r="J1787" s="42"/>
    </row>
    <row r="1788" customFormat="false" ht="21" hidden="false" customHeight="true" outlineLevel="0" collapsed="false">
      <c r="B1788" s="41"/>
      <c r="C1788" s="9"/>
      <c r="D1788" s="9"/>
      <c r="E1788" s="42"/>
      <c r="F1788" s="43"/>
      <c r="G1788" s="27" t="str">
        <f aca="false">IF(OR(C1788="",AND(D1788="",F1788="")),"",IF(N(E1788)=0,1,E1788)*IF(F1788="",IFERROR(N(INDEX(Produtos!$L$5:$L$104,MATCH(D1788,Produtos!$B$5:$B$104,0))),0),F1788))</f>
        <v/>
      </c>
      <c r="H1788" s="27" t="str">
        <f aca="false">IF(G1788="","",IF(N(E1788)=0,1,E1788)*IFERROR(N(INDEX(Produtos!$G$5:$G$104,MATCH(D1788,Produtos!$B$5:$B$104,0))),0))</f>
        <v/>
      </c>
      <c r="I1788" s="27" t="str">
        <f aca="false">IF(G1788="","",G1788-H1788)</f>
        <v/>
      </c>
      <c r="J1788" s="42"/>
    </row>
    <row r="1789" customFormat="false" ht="21" hidden="false" customHeight="true" outlineLevel="0" collapsed="false">
      <c r="B1789" s="41"/>
      <c r="C1789" s="9"/>
      <c r="D1789" s="9"/>
      <c r="E1789" s="42"/>
      <c r="F1789" s="43"/>
      <c r="G1789" s="27" t="str">
        <f aca="false">IF(OR(C1789="",AND(D1789="",F1789="")),"",IF(N(E1789)=0,1,E1789)*IF(F1789="",IFERROR(N(INDEX(Produtos!$L$5:$L$104,MATCH(D1789,Produtos!$B$5:$B$104,0))),0),F1789))</f>
        <v/>
      </c>
      <c r="H1789" s="27" t="str">
        <f aca="false">IF(G1789="","",IF(N(E1789)=0,1,E1789)*IFERROR(N(INDEX(Produtos!$G$5:$G$104,MATCH(D1789,Produtos!$B$5:$B$104,0))),0))</f>
        <v/>
      </c>
      <c r="I1789" s="27" t="str">
        <f aca="false">IF(G1789="","",G1789-H1789)</f>
        <v/>
      </c>
      <c r="J1789" s="42"/>
    </row>
    <row r="1790" customFormat="false" ht="21" hidden="false" customHeight="true" outlineLevel="0" collapsed="false">
      <c r="B1790" s="41"/>
      <c r="C1790" s="9"/>
      <c r="D1790" s="9"/>
      <c r="E1790" s="42"/>
      <c r="F1790" s="43"/>
      <c r="G1790" s="27" t="str">
        <f aca="false">IF(OR(C1790="",AND(D1790="",F1790="")),"",IF(N(E1790)=0,1,E1790)*IF(F1790="",IFERROR(N(INDEX(Produtos!$L$5:$L$104,MATCH(D1790,Produtos!$B$5:$B$104,0))),0),F1790))</f>
        <v/>
      </c>
      <c r="H1790" s="27" t="str">
        <f aca="false">IF(G1790="","",IF(N(E1790)=0,1,E1790)*IFERROR(N(INDEX(Produtos!$G$5:$G$104,MATCH(D1790,Produtos!$B$5:$B$104,0))),0))</f>
        <v/>
      </c>
      <c r="I1790" s="27" t="str">
        <f aca="false">IF(G1790="","",G1790-H1790)</f>
        <v/>
      </c>
      <c r="J1790" s="42"/>
    </row>
    <row r="1791" customFormat="false" ht="21" hidden="false" customHeight="true" outlineLevel="0" collapsed="false">
      <c r="B1791" s="41"/>
      <c r="C1791" s="9"/>
      <c r="D1791" s="9"/>
      <c r="E1791" s="42"/>
      <c r="F1791" s="43"/>
      <c r="G1791" s="27" t="str">
        <f aca="false">IF(OR(C1791="",AND(D1791="",F1791="")),"",IF(N(E1791)=0,1,E1791)*IF(F1791="",IFERROR(N(INDEX(Produtos!$L$5:$L$104,MATCH(D1791,Produtos!$B$5:$B$104,0))),0),F1791))</f>
        <v/>
      </c>
      <c r="H1791" s="27" t="str">
        <f aca="false">IF(G1791="","",IF(N(E1791)=0,1,E1791)*IFERROR(N(INDEX(Produtos!$G$5:$G$104,MATCH(D1791,Produtos!$B$5:$B$104,0))),0))</f>
        <v/>
      </c>
      <c r="I1791" s="27" t="str">
        <f aca="false">IF(G1791="","",G1791-H1791)</f>
        <v/>
      </c>
      <c r="J1791" s="42"/>
    </row>
    <row r="1792" customFormat="false" ht="21" hidden="false" customHeight="true" outlineLevel="0" collapsed="false">
      <c r="B1792" s="41"/>
      <c r="C1792" s="9"/>
      <c r="D1792" s="9"/>
      <c r="E1792" s="42"/>
      <c r="F1792" s="43"/>
      <c r="G1792" s="27" t="str">
        <f aca="false">IF(OR(C1792="",AND(D1792="",F1792="")),"",IF(N(E1792)=0,1,E1792)*IF(F1792="",IFERROR(N(INDEX(Produtos!$L$5:$L$104,MATCH(D1792,Produtos!$B$5:$B$104,0))),0),F1792))</f>
        <v/>
      </c>
      <c r="H1792" s="27" t="str">
        <f aca="false">IF(G1792="","",IF(N(E1792)=0,1,E1792)*IFERROR(N(INDEX(Produtos!$G$5:$G$104,MATCH(D1792,Produtos!$B$5:$B$104,0))),0))</f>
        <v/>
      </c>
      <c r="I1792" s="27" t="str">
        <f aca="false">IF(G1792="","",G1792-H1792)</f>
        <v/>
      </c>
      <c r="J1792" s="42"/>
    </row>
    <row r="1793" customFormat="false" ht="21" hidden="false" customHeight="true" outlineLevel="0" collapsed="false">
      <c r="B1793" s="41"/>
      <c r="C1793" s="9"/>
      <c r="D1793" s="9"/>
      <c r="E1793" s="42"/>
      <c r="F1793" s="43"/>
      <c r="G1793" s="27" t="str">
        <f aca="false">IF(OR(C1793="",AND(D1793="",F1793="")),"",IF(N(E1793)=0,1,E1793)*IF(F1793="",IFERROR(N(INDEX(Produtos!$L$5:$L$104,MATCH(D1793,Produtos!$B$5:$B$104,0))),0),F1793))</f>
        <v/>
      </c>
      <c r="H1793" s="27" t="str">
        <f aca="false">IF(G1793="","",IF(N(E1793)=0,1,E1793)*IFERROR(N(INDEX(Produtos!$G$5:$G$104,MATCH(D1793,Produtos!$B$5:$B$104,0))),0))</f>
        <v/>
      </c>
      <c r="I1793" s="27" t="str">
        <f aca="false">IF(G1793="","",G1793-H1793)</f>
        <v/>
      </c>
      <c r="J1793" s="42"/>
    </row>
    <row r="1794" customFormat="false" ht="21" hidden="false" customHeight="true" outlineLevel="0" collapsed="false">
      <c r="B1794" s="41"/>
      <c r="C1794" s="9"/>
      <c r="D1794" s="9"/>
      <c r="E1794" s="42"/>
      <c r="F1794" s="43"/>
      <c r="G1794" s="27" t="str">
        <f aca="false">IF(OR(C1794="",AND(D1794="",F1794="")),"",IF(N(E1794)=0,1,E1794)*IF(F1794="",IFERROR(N(INDEX(Produtos!$L$5:$L$104,MATCH(D1794,Produtos!$B$5:$B$104,0))),0),F1794))</f>
        <v/>
      </c>
      <c r="H1794" s="27" t="str">
        <f aca="false">IF(G1794="","",IF(N(E1794)=0,1,E1794)*IFERROR(N(INDEX(Produtos!$G$5:$G$104,MATCH(D1794,Produtos!$B$5:$B$104,0))),0))</f>
        <v/>
      </c>
      <c r="I1794" s="27" t="str">
        <f aca="false">IF(G1794="","",G1794-H1794)</f>
        <v/>
      </c>
      <c r="J1794" s="42"/>
    </row>
    <row r="1795" customFormat="false" ht="21" hidden="false" customHeight="true" outlineLevel="0" collapsed="false">
      <c r="B1795" s="41"/>
      <c r="C1795" s="9"/>
      <c r="D1795" s="9"/>
      <c r="E1795" s="42"/>
      <c r="F1795" s="43"/>
      <c r="G1795" s="27" t="str">
        <f aca="false">IF(OR(C1795="",AND(D1795="",F1795="")),"",IF(N(E1795)=0,1,E1795)*IF(F1795="",IFERROR(N(INDEX(Produtos!$L$5:$L$104,MATCH(D1795,Produtos!$B$5:$B$104,0))),0),F1795))</f>
        <v/>
      </c>
      <c r="H1795" s="27" t="str">
        <f aca="false">IF(G1795="","",IF(N(E1795)=0,1,E1795)*IFERROR(N(INDEX(Produtos!$G$5:$G$104,MATCH(D1795,Produtos!$B$5:$B$104,0))),0))</f>
        <v/>
      </c>
      <c r="I1795" s="27" t="str">
        <f aca="false">IF(G1795="","",G1795-H1795)</f>
        <v/>
      </c>
      <c r="J1795" s="42"/>
    </row>
    <row r="1796" customFormat="false" ht="21" hidden="false" customHeight="true" outlineLevel="0" collapsed="false">
      <c r="B1796" s="41"/>
      <c r="C1796" s="9"/>
      <c r="D1796" s="9"/>
      <c r="E1796" s="42"/>
      <c r="F1796" s="43"/>
      <c r="G1796" s="27" t="str">
        <f aca="false">IF(OR(C1796="",AND(D1796="",F1796="")),"",IF(N(E1796)=0,1,E1796)*IF(F1796="",IFERROR(N(INDEX(Produtos!$L$5:$L$104,MATCH(D1796,Produtos!$B$5:$B$104,0))),0),F1796))</f>
        <v/>
      </c>
      <c r="H1796" s="27" t="str">
        <f aca="false">IF(G1796="","",IF(N(E1796)=0,1,E1796)*IFERROR(N(INDEX(Produtos!$G$5:$G$104,MATCH(D1796,Produtos!$B$5:$B$104,0))),0))</f>
        <v/>
      </c>
      <c r="I1796" s="27" t="str">
        <f aca="false">IF(G1796="","",G1796-H1796)</f>
        <v/>
      </c>
      <c r="J1796" s="42"/>
    </row>
    <row r="1797" customFormat="false" ht="21" hidden="false" customHeight="true" outlineLevel="0" collapsed="false">
      <c r="B1797" s="41"/>
      <c r="C1797" s="9"/>
      <c r="D1797" s="9"/>
      <c r="E1797" s="42"/>
      <c r="F1797" s="43"/>
      <c r="G1797" s="27" t="str">
        <f aca="false">IF(OR(C1797="",AND(D1797="",F1797="")),"",IF(N(E1797)=0,1,E1797)*IF(F1797="",IFERROR(N(INDEX(Produtos!$L$5:$L$104,MATCH(D1797,Produtos!$B$5:$B$104,0))),0),F1797))</f>
        <v/>
      </c>
      <c r="H1797" s="27" t="str">
        <f aca="false">IF(G1797="","",IF(N(E1797)=0,1,E1797)*IFERROR(N(INDEX(Produtos!$G$5:$G$104,MATCH(D1797,Produtos!$B$5:$B$104,0))),0))</f>
        <v/>
      </c>
      <c r="I1797" s="27" t="str">
        <f aca="false">IF(G1797="","",G1797-H1797)</f>
        <v/>
      </c>
      <c r="J1797" s="42"/>
    </row>
    <row r="1798" customFormat="false" ht="21" hidden="false" customHeight="true" outlineLevel="0" collapsed="false">
      <c r="B1798" s="41"/>
      <c r="C1798" s="9"/>
      <c r="D1798" s="9"/>
      <c r="E1798" s="42"/>
      <c r="F1798" s="43"/>
      <c r="G1798" s="27" t="str">
        <f aca="false">IF(OR(C1798="",AND(D1798="",F1798="")),"",IF(N(E1798)=0,1,E1798)*IF(F1798="",IFERROR(N(INDEX(Produtos!$L$5:$L$104,MATCH(D1798,Produtos!$B$5:$B$104,0))),0),F1798))</f>
        <v/>
      </c>
      <c r="H1798" s="27" t="str">
        <f aca="false">IF(G1798="","",IF(N(E1798)=0,1,E1798)*IFERROR(N(INDEX(Produtos!$G$5:$G$104,MATCH(D1798,Produtos!$B$5:$B$104,0))),0))</f>
        <v/>
      </c>
      <c r="I1798" s="27" t="str">
        <f aca="false">IF(G1798="","",G1798-H1798)</f>
        <v/>
      </c>
      <c r="J1798" s="42"/>
    </row>
    <row r="1799" customFormat="false" ht="21" hidden="false" customHeight="true" outlineLevel="0" collapsed="false">
      <c r="B1799" s="41"/>
      <c r="C1799" s="9"/>
      <c r="D1799" s="9"/>
      <c r="E1799" s="42"/>
      <c r="F1799" s="43"/>
      <c r="G1799" s="27" t="str">
        <f aca="false">IF(OR(C1799="",AND(D1799="",F1799="")),"",IF(N(E1799)=0,1,E1799)*IF(F1799="",IFERROR(N(INDEX(Produtos!$L$5:$L$104,MATCH(D1799,Produtos!$B$5:$B$104,0))),0),F1799))</f>
        <v/>
      </c>
      <c r="H1799" s="27" t="str">
        <f aca="false">IF(G1799="","",IF(N(E1799)=0,1,E1799)*IFERROR(N(INDEX(Produtos!$G$5:$G$104,MATCH(D1799,Produtos!$B$5:$B$104,0))),0))</f>
        <v/>
      </c>
      <c r="I1799" s="27" t="str">
        <f aca="false">IF(G1799="","",G1799-H1799)</f>
        <v/>
      </c>
      <c r="J1799" s="42"/>
    </row>
    <row r="1800" customFormat="false" ht="21" hidden="false" customHeight="true" outlineLevel="0" collapsed="false">
      <c r="B1800" s="41"/>
      <c r="C1800" s="9"/>
      <c r="D1800" s="9"/>
      <c r="E1800" s="42"/>
      <c r="F1800" s="43"/>
      <c r="G1800" s="27" t="str">
        <f aca="false">IF(OR(C1800="",AND(D1800="",F1800="")),"",IF(N(E1800)=0,1,E1800)*IF(F1800="",IFERROR(N(INDEX(Produtos!$L$5:$L$104,MATCH(D1800,Produtos!$B$5:$B$104,0))),0),F1800))</f>
        <v/>
      </c>
      <c r="H1800" s="27" t="str">
        <f aca="false">IF(G1800="","",IF(N(E1800)=0,1,E1800)*IFERROR(N(INDEX(Produtos!$G$5:$G$104,MATCH(D1800,Produtos!$B$5:$B$104,0))),0))</f>
        <v/>
      </c>
      <c r="I1800" s="27" t="str">
        <f aca="false">IF(G1800="","",G1800-H1800)</f>
        <v/>
      </c>
      <c r="J1800" s="42"/>
    </row>
    <row r="1801" customFormat="false" ht="21" hidden="false" customHeight="true" outlineLevel="0" collapsed="false">
      <c r="B1801" s="41"/>
      <c r="C1801" s="9"/>
      <c r="D1801" s="9"/>
      <c r="E1801" s="42"/>
      <c r="F1801" s="43"/>
      <c r="G1801" s="27" t="str">
        <f aca="false">IF(OR(C1801="",AND(D1801="",F1801="")),"",IF(N(E1801)=0,1,E1801)*IF(F1801="",IFERROR(N(INDEX(Produtos!$L$5:$L$104,MATCH(D1801,Produtos!$B$5:$B$104,0))),0),F1801))</f>
        <v/>
      </c>
      <c r="H1801" s="27" t="str">
        <f aca="false">IF(G1801="","",IF(N(E1801)=0,1,E1801)*IFERROR(N(INDEX(Produtos!$G$5:$G$104,MATCH(D1801,Produtos!$B$5:$B$104,0))),0))</f>
        <v/>
      </c>
      <c r="I1801" s="27" t="str">
        <f aca="false">IF(G1801="","",G1801-H1801)</f>
        <v/>
      </c>
      <c r="J1801" s="42"/>
    </row>
    <row r="1802" customFormat="false" ht="21" hidden="false" customHeight="true" outlineLevel="0" collapsed="false">
      <c r="B1802" s="41"/>
      <c r="C1802" s="9"/>
      <c r="D1802" s="9"/>
      <c r="E1802" s="42"/>
      <c r="F1802" s="43"/>
      <c r="G1802" s="27" t="str">
        <f aca="false">IF(OR(C1802="",AND(D1802="",F1802="")),"",IF(N(E1802)=0,1,E1802)*IF(F1802="",IFERROR(N(INDEX(Produtos!$L$5:$L$104,MATCH(D1802,Produtos!$B$5:$B$104,0))),0),F1802))</f>
        <v/>
      </c>
      <c r="H1802" s="27" t="str">
        <f aca="false">IF(G1802="","",IF(N(E1802)=0,1,E1802)*IFERROR(N(INDEX(Produtos!$G$5:$G$104,MATCH(D1802,Produtos!$B$5:$B$104,0))),0))</f>
        <v/>
      </c>
      <c r="I1802" s="27" t="str">
        <f aca="false">IF(G1802="","",G1802-H1802)</f>
        <v/>
      </c>
      <c r="J1802" s="42"/>
    </row>
    <row r="1803" customFormat="false" ht="21" hidden="false" customHeight="true" outlineLevel="0" collapsed="false">
      <c r="B1803" s="41"/>
      <c r="C1803" s="9"/>
      <c r="D1803" s="9"/>
      <c r="E1803" s="42"/>
      <c r="F1803" s="43"/>
      <c r="G1803" s="27" t="str">
        <f aca="false">IF(OR(C1803="",AND(D1803="",F1803="")),"",IF(N(E1803)=0,1,E1803)*IF(F1803="",IFERROR(N(INDEX(Produtos!$L$5:$L$104,MATCH(D1803,Produtos!$B$5:$B$104,0))),0),F1803))</f>
        <v/>
      </c>
      <c r="H1803" s="27" t="str">
        <f aca="false">IF(G1803="","",IF(N(E1803)=0,1,E1803)*IFERROR(N(INDEX(Produtos!$G$5:$G$104,MATCH(D1803,Produtos!$B$5:$B$104,0))),0))</f>
        <v/>
      </c>
      <c r="I1803" s="27" t="str">
        <f aca="false">IF(G1803="","",G1803-H1803)</f>
        <v/>
      </c>
      <c r="J1803" s="42"/>
    </row>
    <row r="1804" customFormat="false" ht="21" hidden="false" customHeight="true" outlineLevel="0" collapsed="false">
      <c r="B1804" s="41"/>
      <c r="C1804" s="9"/>
      <c r="D1804" s="9"/>
      <c r="E1804" s="42"/>
      <c r="F1804" s="43"/>
      <c r="G1804" s="27" t="str">
        <f aca="false">IF(OR(C1804="",AND(D1804="",F1804="")),"",IF(N(E1804)=0,1,E1804)*IF(F1804="",IFERROR(N(INDEX(Produtos!$L$5:$L$104,MATCH(D1804,Produtos!$B$5:$B$104,0))),0),F1804))</f>
        <v/>
      </c>
      <c r="H1804" s="27" t="str">
        <f aca="false">IF(G1804="","",IF(N(E1804)=0,1,E1804)*IFERROR(N(INDEX(Produtos!$G$5:$G$104,MATCH(D1804,Produtos!$B$5:$B$104,0))),0))</f>
        <v/>
      </c>
      <c r="I1804" s="27" t="str">
        <f aca="false">IF(G1804="","",G1804-H1804)</f>
        <v/>
      </c>
      <c r="J1804" s="42"/>
    </row>
    <row r="1805" customFormat="false" ht="21" hidden="false" customHeight="true" outlineLevel="0" collapsed="false">
      <c r="B1805" s="41"/>
      <c r="C1805" s="9"/>
      <c r="D1805" s="9"/>
      <c r="E1805" s="42"/>
      <c r="F1805" s="43"/>
      <c r="G1805" s="27" t="str">
        <f aca="false">IF(OR(C1805="",AND(D1805="",F1805="")),"",IF(N(E1805)=0,1,E1805)*IF(F1805="",IFERROR(N(INDEX(Produtos!$L$5:$L$104,MATCH(D1805,Produtos!$B$5:$B$104,0))),0),F1805))</f>
        <v/>
      </c>
      <c r="H1805" s="27" t="str">
        <f aca="false">IF(G1805="","",IF(N(E1805)=0,1,E1805)*IFERROR(N(INDEX(Produtos!$G$5:$G$104,MATCH(D1805,Produtos!$B$5:$B$104,0))),0))</f>
        <v/>
      </c>
      <c r="I1805" s="27" t="str">
        <f aca="false">IF(G1805="","",G1805-H1805)</f>
        <v/>
      </c>
      <c r="J1805" s="42"/>
    </row>
    <row r="1806" customFormat="false" ht="21" hidden="false" customHeight="true" outlineLevel="0" collapsed="false">
      <c r="B1806" s="41"/>
      <c r="C1806" s="9"/>
      <c r="D1806" s="9"/>
      <c r="E1806" s="42"/>
      <c r="F1806" s="43"/>
      <c r="G1806" s="27" t="str">
        <f aca="false">IF(OR(C1806="",AND(D1806="",F1806="")),"",IF(N(E1806)=0,1,E1806)*IF(F1806="",IFERROR(N(INDEX(Produtos!$L$5:$L$104,MATCH(D1806,Produtos!$B$5:$B$104,0))),0),F1806))</f>
        <v/>
      </c>
      <c r="H1806" s="27" t="str">
        <f aca="false">IF(G1806="","",IF(N(E1806)=0,1,E1806)*IFERROR(N(INDEX(Produtos!$G$5:$G$104,MATCH(D1806,Produtos!$B$5:$B$104,0))),0))</f>
        <v/>
      </c>
      <c r="I1806" s="27" t="str">
        <f aca="false">IF(G1806="","",G1806-H1806)</f>
        <v/>
      </c>
      <c r="J1806" s="42"/>
    </row>
    <row r="1807" customFormat="false" ht="21" hidden="false" customHeight="true" outlineLevel="0" collapsed="false">
      <c r="B1807" s="41"/>
      <c r="C1807" s="9"/>
      <c r="D1807" s="9"/>
      <c r="E1807" s="42"/>
      <c r="F1807" s="43"/>
      <c r="G1807" s="27" t="str">
        <f aca="false">IF(OR(C1807="",AND(D1807="",F1807="")),"",IF(N(E1807)=0,1,E1807)*IF(F1807="",IFERROR(N(INDEX(Produtos!$L$5:$L$104,MATCH(D1807,Produtos!$B$5:$B$104,0))),0),F1807))</f>
        <v/>
      </c>
      <c r="H1807" s="27" t="str">
        <f aca="false">IF(G1807="","",IF(N(E1807)=0,1,E1807)*IFERROR(N(INDEX(Produtos!$G$5:$G$104,MATCH(D1807,Produtos!$B$5:$B$104,0))),0))</f>
        <v/>
      </c>
      <c r="I1807" s="27" t="str">
        <f aca="false">IF(G1807="","",G1807-H1807)</f>
        <v/>
      </c>
      <c r="J1807" s="42"/>
    </row>
    <row r="1808" customFormat="false" ht="21" hidden="false" customHeight="true" outlineLevel="0" collapsed="false">
      <c r="B1808" s="41"/>
      <c r="C1808" s="9"/>
      <c r="D1808" s="9"/>
      <c r="E1808" s="42"/>
      <c r="F1808" s="43"/>
      <c r="G1808" s="27" t="str">
        <f aca="false">IF(OR(C1808="",AND(D1808="",F1808="")),"",IF(N(E1808)=0,1,E1808)*IF(F1808="",IFERROR(N(INDEX(Produtos!$L$5:$L$104,MATCH(D1808,Produtos!$B$5:$B$104,0))),0),F1808))</f>
        <v/>
      </c>
      <c r="H1808" s="27" t="str">
        <f aca="false">IF(G1808="","",IF(N(E1808)=0,1,E1808)*IFERROR(N(INDEX(Produtos!$G$5:$G$104,MATCH(D1808,Produtos!$B$5:$B$104,0))),0))</f>
        <v/>
      </c>
      <c r="I1808" s="27" t="str">
        <f aca="false">IF(G1808="","",G1808-H1808)</f>
        <v/>
      </c>
      <c r="J1808" s="42"/>
    </row>
    <row r="1809" customFormat="false" ht="21" hidden="false" customHeight="true" outlineLevel="0" collapsed="false">
      <c r="B1809" s="41"/>
      <c r="C1809" s="9"/>
      <c r="D1809" s="9"/>
      <c r="E1809" s="42"/>
      <c r="F1809" s="43"/>
      <c r="G1809" s="27" t="str">
        <f aca="false">IF(OR(C1809="",AND(D1809="",F1809="")),"",IF(N(E1809)=0,1,E1809)*IF(F1809="",IFERROR(N(INDEX(Produtos!$L$5:$L$104,MATCH(D1809,Produtos!$B$5:$B$104,0))),0),F1809))</f>
        <v/>
      </c>
      <c r="H1809" s="27" t="str">
        <f aca="false">IF(G1809="","",IF(N(E1809)=0,1,E1809)*IFERROR(N(INDEX(Produtos!$G$5:$G$104,MATCH(D1809,Produtos!$B$5:$B$104,0))),0))</f>
        <v/>
      </c>
      <c r="I1809" s="27" t="str">
        <f aca="false">IF(G1809="","",G1809-H1809)</f>
        <v/>
      </c>
      <c r="J1809" s="42"/>
    </row>
    <row r="1810" customFormat="false" ht="21" hidden="false" customHeight="true" outlineLevel="0" collapsed="false">
      <c r="B1810" s="41"/>
      <c r="C1810" s="9"/>
      <c r="D1810" s="9"/>
      <c r="E1810" s="42"/>
      <c r="F1810" s="43"/>
      <c r="G1810" s="27" t="str">
        <f aca="false">IF(OR(C1810="",AND(D1810="",F1810="")),"",IF(N(E1810)=0,1,E1810)*IF(F1810="",IFERROR(N(INDEX(Produtos!$L$5:$L$104,MATCH(D1810,Produtos!$B$5:$B$104,0))),0),F1810))</f>
        <v/>
      </c>
      <c r="H1810" s="27" t="str">
        <f aca="false">IF(G1810="","",IF(N(E1810)=0,1,E1810)*IFERROR(N(INDEX(Produtos!$G$5:$G$104,MATCH(D1810,Produtos!$B$5:$B$104,0))),0))</f>
        <v/>
      </c>
      <c r="I1810" s="27" t="str">
        <f aca="false">IF(G1810="","",G1810-H1810)</f>
        <v/>
      </c>
      <c r="J1810" s="42"/>
    </row>
    <row r="1811" customFormat="false" ht="21" hidden="false" customHeight="true" outlineLevel="0" collapsed="false">
      <c r="B1811" s="41"/>
      <c r="C1811" s="9"/>
      <c r="D1811" s="9"/>
      <c r="E1811" s="42"/>
      <c r="F1811" s="43"/>
      <c r="G1811" s="27" t="str">
        <f aca="false">IF(OR(C1811="",AND(D1811="",F1811="")),"",IF(N(E1811)=0,1,E1811)*IF(F1811="",IFERROR(N(INDEX(Produtos!$L$5:$L$104,MATCH(D1811,Produtos!$B$5:$B$104,0))),0),F1811))</f>
        <v/>
      </c>
      <c r="H1811" s="27" t="str">
        <f aca="false">IF(G1811="","",IF(N(E1811)=0,1,E1811)*IFERROR(N(INDEX(Produtos!$G$5:$G$104,MATCH(D1811,Produtos!$B$5:$B$104,0))),0))</f>
        <v/>
      </c>
      <c r="I1811" s="27" t="str">
        <f aca="false">IF(G1811="","",G1811-H1811)</f>
        <v/>
      </c>
      <c r="J1811" s="42"/>
    </row>
    <row r="1812" customFormat="false" ht="21" hidden="false" customHeight="true" outlineLevel="0" collapsed="false">
      <c r="B1812" s="41"/>
      <c r="C1812" s="9"/>
      <c r="D1812" s="9"/>
      <c r="E1812" s="42"/>
      <c r="F1812" s="43"/>
      <c r="G1812" s="27" t="str">
        <f aca="false">IF(OR(C1812="",AND(D1812="",F1812="")),"",IF(N(E1812)=0,1,E1812)*IF(F1812="",IFERROR(N(INDEX(Produtos!$L$5:$L$104,MATCH(D1812,Produtos!$B$5:$B$104,0))),0),F1812))</f>
        <v/>
      </c>
      <c r="H1812" s="27" t="str">
        <f aca="false">IF(G1812="","",IF(N(E1812)=0,1,E1812)*IFERROR(N(INDEX(Produtos!$G$5:$G$104,MATCH(D1812,Produtos!$B$5:$B$104,0))),0))</f>
        <v/>
      </c>
      <c r="I1812" s="27" t="str">
        <f aca="false">IF(G1812="","",G1812-H1812)</f>
        <v/>
      </c>
      <c r="J1812" s="42"/>
    </row>
    <row r="1813" customFormat="false" ht="21" hidden="false" customHeight="true" outlineLevel="0" collapsed="false">
      <c r="B1813" s="41"/>
      <c r="C1813" s="9"/>
      <c r="D1813" s="9"/>
      <c r="E1813" s="42"/>
      <c r="F1813" s="43"/>
      <c r="G1813" s="27" t="str">
        <f aca="false">IF(OR(C1813="",AND(D1813="",F1813="")),"",IF(N(E1813)=0,1,E1813)*IF(F1813="",IFERROR(N(INDEX(Produtos!$L$5:$L$104,MATCH(D1813,Produtos!$B$5:$B$104,0))),0),F1813))</f>
        <v/>
      </c>
      <c r="H1813" s="27" t="str">
        <f aca="false">IF(G1813="","",IF(N(E1813)=0,1,E1813)*IFERROR(N(INDEX(Produtos!$G$5:$G$104,MATCH(D1813,Produtos!$B$5:$B$104,0))),0))</f>
        <v/>
      </c>
      <c r="I1813" s="27" t="str">
        <f aca="false">IF(G1813="","",G1813-H1813)</f>
        <v/>
      </c>
      <c r="J1813" s="42"/>
    </row>
    <row r="1814" customFormat="false" ht="21" hidden="false" customHeight="true" outlineLevel="0" collapsed="false">
      <c r="B1814" s="41"/>
      <c r="C1814" s="9"/>
      <c r="D1814" s="9"/>
      <c r="E1814" s="42"/>
      <c r="F1814" s="43"/>
      <c r="G1814" s="27" t="str">
        <f aca="false">IF(OR(C1814="",AND(D1814="",F1814="")),"",IF(N(E1814)=0,1,E1814)*IF(F1814="",IFERROR(N(INDEX(Produtos!$L$5:$L$104,MATCH(D1814,Produtos!$B$5:$B$104,0))),0),F1814))</f>
        <v/>
      </c>
      <c r="H1814" s="27" t="str">
        <f aca="false">IF(G1814="","",IF(N(E1814)=0,1,E1814)*IFERROR(N(INDEX(Produtos!$G$5:$G$104,MATCH(D1814,Produtos!$B$5:$B$104,0))),0))</f>
        <v/>
      </c>
      <c r="I1814" s="27" t="str">
        <f aca="false">IF(G1814="","",G1814-H1814)</f>
        <v/>
      </c>
      <c r="J1814" s="42"/>
    </row>
    <row r="1815" customFormat="false" ht="21" hidden="false" customHeight="true" outlineLevel="0" collapsed="false">
      <c r="B1815" s="41"/>
      <c r="C1815" s="9"/>
      <c r="D1815" s="9"/>
      <c r="E1815" s="42"/>
      <c r="F1815" s="43"/>
      <c r="G1815" s="27" t="str">
        <f aca="false">IF(OR(C1815="",AND(D1815="",F1815="")),"",IF(N(E1815)=0,1,E1815)*IF(F1815="",IFERROR(N(INDEX(Produtos!$L$5:$L$104,MATCH(D1815,Produtos!$B$5:$B$104,0))),0),F1815))</f>
        <v/>
      </c>
      <c r="H1815" s="27" t="str">
        <f aca="false">IF(G1815="","",IF(N(E1815)=0,1,E1815)*IFERROR(N(INDEX(Produtos!$G$5:$G$104,MATCH(D1815,Produtos!$B$5:$B$104,0))),0))</f>
        <v/>
      </c>
      <c r="I1815" s="27" t="str">
        <f aca="false">IF(G1815="","",G1815-H1815)</f>
        <v/>
      </c>
      <c r="J1815" s="42"/>
    </row>
    <row r="1816" customFormat="false" ht="21" hidden="false" customHeight="true" outlineLevel="0" collapsed="false">
      <c r="B1816" s="41"/>
      <c r="C1816" s="9"/>
      <c r="D1816" s="9"/>
      <c r="E1816" s="42"/>
      <c r="F1816" s="43"/>
      <c r="G1816" s="27" t="str">
        <f aca="false">IF(OR(C1816="",AND(D1816="",F1816="")),"",IF(N(E1816)=0,1,E1816)*IF(F1816="",IFERROR(N(INDEX(Produtos!$L$5:$L$104,MATCH(D1816,Produtos!$B$5:$B$104,0))),0),F1816))</f>
        <v/>
      </c>
      <c r="H1816" s="27" t="str">
        <f aca="false">IF(G1816="","",IF(N(E1816)=0,1,E1816)*IFERROR(N(INDEX(Produtos!$G$5:$G$104,MATCH(D1816,Produtos!$B$5:$B$104,0))),0))</f>
        <v/>
      </c>
      <c r="I1816" s="27" t="str">
        <f aca="false">IF(G1816="","",G1816-H1816)</f>
        <v/>
      </c>
      <c r="J1816" s="42"/>
    </row>
    <row r="1817" customFormat="false" ht="21" hidden="false" customHeight="true" outlineLevel="0" collapsed="false">
      <c r="B1817" s="41"/>
      <c r="C1817" s="9"/>
      <c r="D1817" s="9"/>
      <c r="E1817" s="42"/>
      <c r="F1817" s="43"/>
      <c r="G1817" s="27" t="str">
        <f aca="false">IF(OR(C1817="",AND(D1817="",F1817="")),"",IF(N(E1817)=0,1,E1817)*IF(F1817="",IFERROR(N(INDEX(Produtos!$L$5:$L$104,MATCH(D1817,Produtos!$B$5:$B$104,0))),0),F1817))</f>
        <v/>
      </c>
      <c r="H1817" s="27" t="str">
        <f aca="false">IF(G1817="","",IF(N(E1817)=0,1,E1817)*IFERROR(N(INDEX(Produtos!$G$5:$G$104,MATCH(D1817,Produtos!$B$5:$B$104,0))),0))</f>
        <v/>
      </c>
      <c r="I1817" s="27" t="str">
        <f aca="false">IF(G1817="","",G1817-H1817)</f>
        <v/>
      </c>
      <c r="J1817" s="42"/>
    </row>
    <row r="1818" customFormat="false" ht="21" hidden="false" customHeight="true" outlineLevel="0" collapsed="false">
      <c r="B1818" s="41"/>
      <c r="C1818" s="9"/>
      <c r="D1818" s="9"/>
      <c r="E1818" s="42"/>
      <c r="F1818" s="43"/>
      <c r="G1818" s="27" t="str">
        <f aca="false">IF(OR(C1818="",AND(D1818="",F1818="")),"",IF(N(E1818)=0,1,E1818)*IF(F1818="",IFERROR(N(INDEX(Produtos!$L$5:$L$104,MATCH(D1818,Produtos!$B$5:$B$104,0))),0),F1818))</f>
        <v/>
      </c>
      <c r="H1818" s="27" t="str">
        <f aca="false">IF(G1818="","",IF(N(E1818)=0,1,E1818)*IFERROR(N(INDEX(Produtos!$G$5:$G$104,MATCH(D1818,Produtos!$B$5:$B$104,0))),0))</f>
        <v/>
      </c>
      <c r="I1818" s="27" t="str">
        <f aca="false">IF(G1818="","",G1818-H1818)</f>
        <v/>
      </c>
      <c r="J1818" s="42"/>
    </row>
    <row r="1819" customFormat="false" ht="21" hidden="false" customHeight="true" outlineLevel="0" collapsed="false">
      <c r="B1819" s="41"/>
      <c r="C1819" s="9"/>
      <c r="D1819" s="9"/>
      <c r="E1819" s="42"/>
      <c r="F1819" s="43"/>
      <c r="G1819" s="27" t="str">
        <f aca="false">IF(OR(C1819="",AND(D1819="",F1819="")),"",IF(N(E1819)=0,1,E1819)*IF(F1819="",IFERROR(N(INDEX(Produtos!$L$5:$L$104,MATCH(D1819,Produtos!$B$5:$B$104,0))),0),F1819))</f>
        <v/>
      </c>
      <c r="H1819" s="27" t="str">
        <f aca="false">IF(G1819="","",IF(N(E1819)=0,1,E1819)*IFERROR(N(INDEX(Produtos!$G$5:$G$104,MATCH(D1819,Produtos!$B$5:$B$104,0))),0))</f>
        <v/>
      </c>
      <c r="I1819" s="27" t="str">
        <f aca="false">IF(G1819="","",G1819-H1819)</f>
        <v/>
      </c>
      <c r="J1819" s="42"/>
    </row>
    <row r="1820" customFormat="false" ht="21" hidden="false" customHeight="true" outlineLevel="0" collapsed="false">
      <c r="B1820" s="41"/>
      <c r="C1820" s="9"/>
      <c r="D1820" s="9"/>
      <c r="E1820" s="42"/>
      <c r="F1820" s="43"/>
      <c r="G1820" s="27" t="str">
        <f aca="false">IF(OR(C1820="",AND(D1820="",F1820="")),"",IF(N(E1820)=0,1,E1820)*IF(F1820="",IFERROR(N(INDEX(Produtos!$L$5:$L$104,MATCH(D1820,Produtos!$B$5:$B$104,0))),0),F1820))</f>
        <v/>
      </c>
      <c r="H1820" s="27" t="str">
        <f aca="false">IF(G1820="","",IF(N(E1820)=0,1,E1820)*IFERROR(N(INDEX(Produtos!$G$5:$G$104,MATCH(D1820,Produtos!$B$5:$B$104,0))),0))</f>
        <v/>
      </c>
      <c r="I1820" s="27" t="str">
        <f aca="false">IF(G1820="","",G1820-H1820)</f>
        <v/>
      </c>
      <c r="J1820" s="42"/>
    </row>
    <row r="1821" customFormat="false" ht="21" hidden="false" customHeight="true" outlineLevel="0" collapsed="false">
      <c r="B1821" s="41"/>
      <c r="C1821" s="9"/>
      <c r="D1821" s="9"/>
      <c r="E1821" s="42"/>
      <c r="F1821" s="43"/>
      <c r="G1821" s="27" t="str">
        <f aca="false">IF(OR(C1821="",AND(D1821="",F1821="")),"",IF(N(E1821)=0,1,E1821)*IF(F1821="",IFERROR(N(INDEX(Produtos!$L$5:$L$104,MATCH(D1821,Produtos!$B$5:$B$104,0))),0),F1821))</f>
        <v/>
      </c>
      <c r="H1821" s="27" t="str">
        <f aca="false">IF(G1821="","",IF(N(E1821)=0,1,E1821)*IFERROR(N(INDEX(Produtos!$G$5:$G$104,MATCH(D1821,Produtos!$B$5:$B$104,0))),0))</f>
        <v/>
      </c>
      <c r="I1821" s="27" t="str">
        <f aca="false">IF(G1821="","",G1821-H1821)</f>
        <v/>
      </c>
      <c r="J1821" s="42"/>
    </row>
    <row r="1822" customFormat="false" ht="21" hidden="false" customHeight="true" outlineLevel="0" collapsed="false">
      <c r="B1822" s="41"/>
      <c r="C1822" s="9"/>
      <c r="D1822" s="9"/>
      <c r="E1822" s="42"/>
      <c r="F1822" s="43"/>
      <c r="G1822" s="27" t="str">
        <f aca="false">IF(OR(C1822="",AND(D1822="",F1822="")),"",IF(N(E1822)=0,1,E1822)*IF(F1822="",IFERROR(N(INDEX(Produtos!$L$5:$L$104,MATCH(D1822,Produtos!$B$5:$B$104,0))),0),F1822))</f>
        <v/>
      </c>
      <c r="H1822" s="27" t="str">
        <f aca="false">IF(G1822="","",IF(N(E1822)=0,1,E1822)*IFERROR(N(INDEX(Produtos!$G$5:$G$104,MATCH(D1822,Produtos!$B$5:$B$104,0))),0))</f>
        <v/>
      </c>
      <c r="I1822" s="27" t="str">
        <f aca="false">IF(G1822="","",G1822-H1822)</f>
        <v/>
      </c>
      <c r="J1822" s="42"/>
    </row>
    <row r="1823" customFormat="false" ht="21" hidden="false" customHeight="true" outlineLevel="0" collapsed="false">
      <c r="B1823" s="41"/>
      <c r="C1823" s="9"/>
      <c r="D1823" s="9"/>
      <c r="E1823" s="42"/>
      <c r="F1823" s="43"/>
      <c r="G1823" s="27" t="str">
        <f aca="false">IF(OR(C1823="",AND(D1823="",F1823="")),"",IF(N(E1823)=0,1,E1823)*IF(F1823="",IFERROR(N(INDEX(Produtos!$L$5:$L$104,MATCH(D1823,Produtos!$B$5:$B$104,0))),0),F1823))</f>
        <v/>
      </c>
      <c r="H1823" s="27" t="str">
        <f aca="false">IF(G1823="","",IF(N(E1823)=0,1,E1823)*IFERROR(N(INDEX(Produtos!$G$5:$G$104,MATCH(D1823,Produtos!$B$5:$B$104,0))),0))</f>
        <v/>
      </c>
      <c r="I1823" s="27" t="str">
        <f aca="false">IF(G1823="","",G1823-H1823)</f>
        <v/>
      </c>
      <c r="J1823" s="42"/>
    </row>
    <row r="1824" customFormat="false" ht="21" hidden="false" customHeight="true" outlineLevel="0" collapsed="false">
      <c r="B1824" s="41"/>
      <c r="C1824" s="9"/>
      <c r="D1824" s="9"/>
      <c r="E1824" s="42"/>
      <c r="F1824" s="43"/>
      <c r="G1824" s="27" t="str">
        <f aca="false">IF(OR(C1824="",AND(D1824="",F1824="")),"",IF(N(E1824)=0,1,E1824)*IF(F1824="",IFERROR(N(INDEX(Produtos!$L$5:$L$104,MATCH(D1824,Produtos!$B$5:$B$104,0))),0),F1824))</f>
        <v/>
      </c>
      <c r="H1824" s="27" t="str">
        <f aca="false">IF(G1824="","",IF(N(E1824)=0,1,E1824)*IFERROR(N(INDEX(Produtos!$G$5:$G$104,MATCH(D1824,Produtos!$B$5:$B$104,0))),0))</f>
        <v/>
      </c>
      <c r="I1824" s="27" t="str">
        <f aca="false">IF(G1824="","",G1824-H1824)</f>
        <v/>
      </c>
      <c r="J1824" s="42"/>
    </row>
    <row r="1825" customFormat="false" ht="21" hidden="false" customHeight="true" outlineLevel="0" collapsed="false">
      <c r="B1825" s="41"/>
      <c r="C1825" s="9"/>
      <c r="D1825" s="9"/>
      <c r="E1825" s="42"/>
      <c r="F1825" s="43"/>
      <c r="G1825" s="27" t="str">
        <f aca="false">IF(OR(C1825="",AND(D1825="",F1825="")),"",IF(N(E1825)=0,1,E1825)*IF(F1825="",IFERROR(N(INDEX(Produtos!$L$5:$L$104,MATCH(D1825,Produtos!$B$5:$B$104,0))),0),F1825))</f>
        <v/>
      </c>
      <c r="H1825" s="27" t="str">
        <f aca="false">IF(G1825="","",IF(N(E1825)=0,1,E1825)*IFERROR(N(INDEX(Produtos!$G$5:$G$104,MATCH(D1825,Produtos!$B$5:$B$104,0))),0))</f>
        <v/>
      </c>
      <c r="I1825" s="27" t="str">
        <f aca="false">IF(G1825="","",G1825-H1825)</f>
        <v/>
      </c>
      <c r="J1825" s="42"/>
    </row>
    <row r="1826" customFormat="false" ht="21" hidden="false" customHeight="true" outlineLevel="0" collapsed="false">
      <c r="B1826" s="41"/>
      <c r="C1826" s="9"/>
      <c r="D1826" s="9"/>
      <c r="E1826" s="42"/>
      <c r="F1826" s="43"/>
      <c r="G1826" s="27" t="str">
        <f aca="false">IF(OR(C1826="",AND(D1826="",F1826="")),"",IF(N(E1826)=0,1,E1826)*IF(F1826="",IFERROR(N(INDEX(Produtos!$L$5:$L$104,MATCH(D1826,Produtos!$B$5:$B$104,0))),0),F1826))</f>
        <v/>
      </c>
      <c r="H1826" s="27" t="str">
        <f aca="false">IF(G1826="","",IF(N(E1826)=0,1,E1826)*IFERROR(N(INDEX(Produtos!$G$5:$G$104,MATCH(D1826,Produtos!$B$5:$B$104,0))),0))</f>
        <v/>
      </c>
      <c r="I1826" s="27" t="str">
        <f aca="false">IF(G1826="","",G1826-H1826)</f>
        <v/>
      </c>
      <c r="J1826" s="42"/>
    </row>
    <row r="1827" customFormat="false" ht="21" hidden="false" customHeight="true" outlineLevel="0" collapsed="false">
      <c r="B1827" s="41"/>
      <c r="C1827" s="9"/>
      <c r="D1827" s="9"/>
      <c r="E1827" s="42"/>
      <c r="F1827" s="43"/>
      <c r="G1827" s="27" t="str">
        <f aca="false">IF(OR(C1827="",AND(D1827="",F1827="")),"",IF(N(E1827)=0,1,E1827)*IF(F1827="",IFERROR(N(INDEX(Produtos!$L$5:$L$104,MATCH(D1827,Produtos!$B$5:$B$104,0))),0),F1827))</f>
        <v/>
      </c>
      <c r="H1827" s="27" t="str">
        <f aca="false">IF(G1827="","",IF(N(E1827)=0,1,E1827)*IFERROR(N(INDEX(Produtos!$G$5:$G$104,MATCH(D1827,Produtos!$B$5:$B$104,0))),0))</f>
        <v/>
      </c>
      <c r="I1827" s="27" t="str">
        <f aca="false">IF(G1827="","",G1827-H1827)</f>
        <v/>
      </c>
      <c r="J1827" s="42"/>
    </row>
    <row r="1828" customFormat="false" ht="21" hidden="false" customHeight="true" outlineLevel="0" collapsed="false">
      <c r="B1828" s="41"/>
      <c r="C1828" s="9"/>
      <c r="D1828" s="9"/>
      <c r="E1828" s="42"/>
      <c r="F1828" s="43"/>
      <c r="G1828" s="27" t="str">
        <f aca="false">IF(OR(C1828="",AND(D1828="",F1828="")),"",IF(N(E1828)=0,1,E1828)*IF(F1828="",IFERROR(N(INDEX(Produtos!$L$5:$L$104,MATCH(D1828,Produtos!$B$5:$B$104,0))),0),F1828))</f>
        <v/>
      </c>
      <c r="H1828" s="27" t="str">
        <f aca="false">IF(G1828="","",IF(N(E1828)=0,1,E1828)*IFERROR(N(INDEX(Produtos!$G$5:$G$104,MATCH(D1828,Produtos!$B$5:$B$104,0))),0))</f>
        <v/>
      </c>
      <c r="I1828" s="27" t="str">
        <f aca="false">IF(G1828="","",G1828-H1828)</f>
        <v/>
      </c>
      <c r="J1828" s="42"/>
    </row>
    <row r="1829" customFormat="false" ht="21" hidden="false" customHeight="true" outlineLevel="0" collapsed="false">
      <c r="B1829" s="41"/>
      <c r="C1829" s="9"/>
      <c r="D1829" s="9"/>
      <c r="E1829" s="42"/>
      <c r="F1829" s="43"/>
      <c r="G1829" s="27" t="str">
        <f aca="false">IF(OR(C1829="",AND(D1829="",F1829="")),"",IF(N(E1829)=0,1,E1829)*IF(F1829="",IFERROR(N(INDEX(Produtos!$L$5:$L$104,MATCH(D1829,Produtos!$B$5:$B$104,0))),0),F1829))</f>
        <v/>
      </c>
      <c r="H1829" s="27" t="str">
        <f aca="false">IF(G1829="","",IF(N(E1829)=0,1,E1829)*IFERROR(N(INDEX(Produtos!$G$5:$G$104,MATCH(D1829,Produtos!$B$5:$B$104,0))),0))</f>
        <v/>
      </c>
      <c r="I1829" s="27" t="str">
        <f aca="false">IF(G1829="","",G1829-H1829)</f>
        <v/>
      </c>
      <c r="J1829" s="42"/>
    </row>
    <row r="1830" customFormat="false" ht="21" hidden="false" customHeight="true" outlineLevel="0" collapsed="false">
      <c r="B1830" s="41"/>
      <c r="C1830" s="9"/>
      <c r="D1830" s="9"/>
      <c r="E1830" s="42"/>
      <c r="F1830" s="43"/>
      <c r="G1830" s="27" t="str">
        <f aca="false">IF(OR(C1830="",AND(D1830="",F1830="")),"",IF(N(E1830)=0,1,E1830)*IF(F1830="",IFERROR(N(INDEX(Produtos!$L$5:$L$104,MATCH(D1830,Produtos!$B$5:$B$104,0))),0),F1830))</f>
        <v/>
      </c>
      <c r="H1830" s="27" t="str">
        <f aca="false">IF(G1830="","",IF(N(E1830)=0,1,E1830)*IFERROR(N(INDEX(Produtos!$G$5:$G$104,MATCH(D1830,Produtos!$B$5:$B$104,0))),0))</f>
        <v/>
      </c>
      <c r="I1830" s="27" t="str">
        <f aca="false">IF(G1830="","",G1830-H1830)</f>
        <v/>
      </c>
      <c r="J1830" s="42"/>
    </row>
    <row r="1831" customFormat="false" ht="21" hidden="false" customHeight="true" outlineLevel="0" collapsed="false">
      <c r="B1831" s="41"/>
      <c r="C1831" s="9"/>
      <c r="D1831" s="9"/>
      <c r="E1831" s="42"/>
      <c r="F1831" s="43"/>
      <c r="G1831" s="27" t="str">
        <f aca="false">IF(OR(C1831="",AND(D1831="",F1831="")),"",IF(N(E1831)=0,1,E1831)*IF(F1831="",IFERROR(N(INDEX(Produtos!$L$5:$L$104,MATCH(D1831,Produtos!$B$5:$B$104,0))),0),F1831))</f>
        <v/>
      </c>
      <c r="H1831" s="27" t="str">
        <f aca="false">IF(G1831="","",IF(N(E1831)=0,1,E1831)*IFERROR(N(INDEX(Produtos!$G$5:$G$104,MATCH(D1831,Produtos!$B$5:$B$104,0))),0))</f>
        <v/>
      </c>
      <c r="I1831" s="27" t="str">
        <f aca="false">IF(G1831="","",G1831-H1831)</f>
        <v/>
      </c>
      <c r="J1831" s="42"/>
    </row>
    <row r="1832" customFormat="false" ht="21" hidden="false" customHeight="true" outlineLevel="0" collapsed="false">
      <c r="B1832" s="41"/>
      <c r="C1832" s="9"/>
      <c r="D1832" s="9"/>
      <c r="E1832" s="42"/>
      <c r="F1832" s="43"/>
      <c r="G1832" s="27" t="str">
        <f aca="false">IF(OR(C1832="",AND(D1832="",F1832="")),"",IF(N(E1832)=0,1,E1832)*IF(F1832="",IFERROR(N(INDEX(Produtos!$L$5:$L$104,MATCH(D1832,Produtos!$B$5:$B$104,0))),0),F1832))</f>
        <v/>
      </c>
      <c r="H1832" s="27" t="str">
        <f aca="false">IF(G1832="","",IF(N(E1832)=0,1,E1832)*IFERROR(N(INDEX(Produtos!$G$5:$G$104,MATCH(D1832,Produtos!$B$5:$B$104,0))),0))</f>
        <v/>
      </c>
      <c r="I1832" s="27" t="str">
        <f aca="false">IF(G1832="","",G1832-H1832)</f>
        <v/>
      </c>
      <c r="J1832" s="42"/>
    </row>
    <row r="1833" customFormat="false" ht="21" hidden="false" customHeight="true" outlineLevel="0" collapsed="false">
      <c r="B1833" s="41"/>
      <c r="C1833" s="9"/>
      <c r="D1833" s="9"/>
      <c r="E1833" s="42"/>
      <c r="F1833" s="43"/>
      <c r="G1833" s="27" t="str">
        <f aca="false">IF(OR(C1833="",AND(D1833="",F1833="")),"",IF(N(E1833)=0,1,E1833)*IF(F1833="",IFERROR(N(INDEX(Produtos!$L$5:$L$104,MATCH(D1833,Produtos!$B$5:$B$104,0))),0),F1833))</f>
        <v/>
      </c>
      <c r="H1833" s="27" t="str">
        <f aca="false">IF(G1833="","",IF(N(E1833)=0,1,E1833)*IFERROR(N(INDEX(Produtos!$G$5:$G$104,MATCH(D1833,Produtos!$B$5:$B$104,0))),0))</f>
        <v/>
      </c>
      <c r="I1833" s="27" t="str">
        <f aca="false">IF(G1833="","",G1833-H1833)</f>
        <v/>
      </c>
      <c r="J1833" s="42"/>
    </row>
    <row r="1834" customFormat="false" ht="21" hidden="false" customHeight="true" outlineLevel="0" collapsed="false">
      <c r="B1834" s="41"/>
      <c r="C1834" s="9"/>
      <c r="D1834" s="9"/>
      <c r="E1834" s="42"/>
      <c r="F1834" s="43"/>
      <c r="G1834" s="27" t="str">
        <f aca="false">IF(OR(C1834="",AND(D1834="",F1834="")),"",IF(N(E1834)=0,1,E1834)*IF(F1834="",IFERROR(N(INDEX(Produtos!$L$5:$L$104,MATCH(D1834,Produtos!$B$5:$B$104,0))),0),F1834))</f>
        <v/>
      </c>
      <c r="H1834" s="27" t="str">
        <f aca="false">IF(G1834="","",IF(N(E1834)=0,1,E1834)*IFERROR(N(INDEX(Produtos!$G$5:$G$104,MATCH(D1834,Produtos!$B$5:$B$104,0))),0))</f>
        <v/>
      </c>
      <c r="I1834" s="27" t="str">
        <f aca="false">IF(G1834="","",G1834-H1834)</f>
        <v/>
      </c>
      <c r="J1834" s="42"/>
    </row>
    <row r="1835" customFormat="false" ht="21" hidden="false" customHeight="true" outlineLevel="0" collapsed="false">
      <c r="B1835" s="41"/>
      <c r="C1835" s="9"/>
      <c r="D1835" s="9"/>
      <c r="E1835" s="42"/>
      <c r="F1835" s="43"/>
      <c r="G1835" s="27" t="str">
        <f aca="false">IF(OR(C1835="",AND(D1835="",F1835="")),"",IF(N(E1835)=0,1,E1835)*IF(F1835="",IFERROR(N(INDEX(Produtos!$L$5:$L$104,MATCH(D1835,Produtos!$B$5:$B$104,0))),0),F1835))</f>
        <v/>
      </c>
      <c r="H1835" s="27" t="str">
        <f aca="false">IF(G1835="","",IF(N(E1835)=0,1,E1835)*IFERROR(N(INDEX(Produtos!$G$5:$G$104,MATCH(D1835,Produtos!$B$5:$B$104,0))),0))</f>
        <v/>
      </c>
      <c r="I1835" s="27" t="str">
        <f aca="false">IF(G1835="","",G1835-H1835)</f>
        <v/>
      </c>
      <c r="J1835" s="42"/>
    </row>
    <row r="1836" customFormat="false" ht="21" hidden="false" customHeight="true" outlineLevel="0" collapsed="false">
      <c r="B1836" s="41"/>
      <c r="C1836" s="9"/>
      <c r="D1836" s="9"/>
      <c r="E1836" s="42"/>
      <c r="F1836" s="43"/>
      <c r="G1836" s="27" t="str">
        <f aca="false">IF(OR(C1836="",AND(D1836="",F1836="")),"",IF(N(E1836)=0,1,E1836)*IF(F1836="",IFERROR(N(INDEX(Produtos!$L$5:$L$104,MATCH(D1836,Produtos!$B$5:$B$104,0))),0),F1836))</f>
        <v/>
      </c>
      <c r="H1836" s="27" t="str">
        <f aca="false">IF(G1836="","",IF(N(E1836)=0,1,E1836)*IFERROR(N(INDEX(Produtos!$G$5:$G$104,MATCH(D1836,Produtos!$B$5:$B$104,0))),0))</f>
        <v/>
      </c>
      <c r="I1836" s="27" t="str">
        <f aca="false">IF(G1836="","",G1836-H1836)</f>
        <v/>
      </c>
      <c r="J1836" s="42"/>
    </row>
    <row r="1837" customFormat="false" ht="21" hidden="false" customHeight="true" outlineLevel="0" collapsed="false">
      <c r="B1837" s="41"/>
      <c r="C1837" s="9"/>
      <c r="D1837" s="9"/>
      <c r="E1837" s="42"/>
      <c r="F1837" s="43"/>
      <c r="G1837" s="27" t="str">
        <f aca="false">IF(OR(C1837="",AND(D1837="",F1837="")),"",IF(N(E1837)=0,1,E1837)*IF(F1837="",IFERROR(N(INDEX(Produtos!$L$5:$L$104,MATCH(D1837,Produtos!$B$5:$B$104,0))),0),F1837))</f>
        <v/>
      </c>
      <c r="H1837" s="27" t="str">
        <f aca="false">IF(G1837="","",IF(N(E1837)=0,1,E1837)*IFERROR(N(INDEX(Produtos!$G$5:$G$104,MATCH(D1837,Produtos!$B$5:$B$104,0))),0))</f>
        <v/>
      </c>
      <c r="I1837" s="27" t="str">
        <f aca="false">IF(G1837="","",G1837-H1837)</f>
        <v/>
      </c>
      <c r="J1837" s="42"/>
    </row>
    <row r="1838" customFormat="false" ht="21" hidden="false" customHeight="true" outlineLevel="0" collapsed="false">
      <c r="B1838" s="41"/>
      <c r="C1838" s="9"/>
      <c r="D1838" s="9"/>
      <c r="E1838" s="42"/>
      <c r="F1838" s="43"/>
      <c r="G1838" s="27" t="str">
        <f aca="false">IF(OR(C1838="",AND(D1838="",F1838="")),"",IF(N(E1838)=0,1,E1838)*IF(F1838="",IFERROR(N(INDEX(Produtos!$L$5:$L$104,MATCH(D1838,Produtos!$B$5:$B$104,0))),0),F1838))</f>
        <v/>
      </c>
      <c r="H1838" s="27" t="str">
        <f aca="false">IF(G1838="","",IF(N(E1838)=0,1,E1838)*IFERROR(N(INDEX(Produtos!$G$5:$G$104,MATCH(D1838,Produtos!$B$5:$B$104,0))),0))</f>
        <v/>
      </c>
      <c r="I1838" s="27" t="str">
        <f aca="false">IF(G1838="","",G1838-H1838)</f>
        <v/>
      </c>
      <c r="J1838" s="42"/>
    </row>
    <row r="1839" customFormat="false" ht="21" hidden="false" customHeight="true" outlineLevel="0" collapsed="false">
      <c r="B1839" s="41"/>
      <c r="C1839" s="9"/>
      <c r="D1839" s="9"/>
      <c r="E1839" s="42"/>
      <c r="F1839" s="43"/>
      <c r="G1839" s="27" t="str">
        <f aca="false">IF(OR(C1839="",AND(D1839="",F1839="")),"",IF(N(E1839)=0,1,E1839)*IF(F1839="",IFERROR(N(INDEX(Produtos!$L$5:$L$104,MATCH(D1839,Produtos!$B$5:$B$104,0))),0),F1839))</f>
        <v/>
      </c>
      <c r="H1839" s="27" t="str">
        <f aca="false">IF(G1839="","",IF(N(E1839)=0,1,E1839)*IFERROR(N(INDEX(Produtos!$G$5:$G$104,MATCH(D1839,Produtos!$B$5:$B$104,0))),0))</f>
        <v/>
      </c>
      <c r="I1839" s="27" t="str">
        <f aca="false">IF(G1839="","",G1839-H1839)</f>
        <v/>
      </c>
      <c r="J1839" s="42"/>
    </row>
    <row r="1840" customFormat="false" ht="21" hidden="false" customHeight="true" outlineLevel="0" collapsed="false">
      <c r="B1840" s="41"/>
      <c r="C1840" s="9"/>
      <c r="D1840" s="9"/>
      <c r="E1840" s="42"/>
      <c r="F1840" s="43"/>
      <c r="G1840" s="27" t="str">
        <f aca="false">IF(OR(C1840="",AND(D1840="",F1840="")),"",IF(N(E1840)=0,1,E1840)*IF(F1840="",IFERROR(N(INDEX(Produtos!$L$5:$L$104,MATCH(D1840,Produtos!$B$5:$B$104,0))),0),F1840))</f>
        <v/>
      </c>
      <c r="H1840" s="27" t="str">
        <f aca="false">IF(G1840="","",IF(N(E1840)=0,1,E1840)*IFERROR(N(INDEX(Produtos!$G$5:$G$104,MATCH(D1840,Produtos!$B$5:$B$104,0))),0))</f>
        <v/>
      </c>
      <c r="I1840" s="27" t="str">
        <f aca="false">IF(G1840="","",G1840-H1840)</f>
        <v/>
      </c>
      <c r="J1840" s="42"/>
    </row>
    <row r="1841" customFormat="false" ht="21" hidden="false" customHeight="true" outlineLevel="0" collapsed="false">
      <c r="B1841" s="41"/>
      <c r="C1841" s="9"/>
      <c r="D1841" s="9"/>
      <c r="E1841" s="42"/>
      <c r="F1841" s="43"/>
      <c r="G1841" s="27" t="str">
        <f aca="false">IF(OR(C1841="",AND(D1841="",F1841="")),"",IF(N(E1841)=0,1,E1841)*IF(F1841="",IFERROR(N(INDEX(Produtos!$L$5:$L$104,MATCH(D1841,Produtos!$B$5:$B$104,0))),0),F1841))</f>
        <v/>
      </c>
      <c r="H1841" s="27" t="str">
        <f aca="false">IF(G1841="","",IF(N(E1841)=0,1,E1841)*IFERROR(N(INDEX(Produtos!$G$5:$G$104,MATCH(D1841,Produtos!$B$5:$B$104,0))),0))</f>
        <v/>
      </c>
      <c r="I1841" s="27" t="str">
        <f aca="false">IF(G1841="","",G1841-H1841)</f>
        <v/>
      </c>
      <c r="J1841" s="42"/>
    </row>
    <row r="1842" customFormat="false" ht="21" hidden="false" customHeight="true" outlineLevel="0" collapsed="false">
      <c r="B1842" s="41"/>
      <c r="C1842" s="9"/>
      <c r="D1842" s="9"/>
      <c r="E1842" s="42"/>
      <c r="F1842" s="43"/>
      <c r="G1842" s="27" t="str">
        <f aca="false">IF(OR(C1842="",AND(D1842="",F1842="")),"",IF(N(E1842)=0,1,E1842)*IF(F1842="",IFERROR(N(INDEX(Produtos!$L$5:$L$104,MATCH(D1842,Produtos!$B$5:$B$104,0))),0),F1842))</f>
        <v/>
      </c>
      <c r="H1842" s="27" t="str">
        <f aca="false">IF(G1842="","",IF(N(E1842)=0,1,E1842)*IFERROR(N(INDEX(Produtos!$G$5:$G$104,MATCH(D1842,Produtos!$B$5:$B$104,0))),0))</f>
        <v/>
      </c>
      <c r="I1842" s="27" t="str">
        <f aca="false">IF(G1842="","",G1842-H1842)</f>
        <v/>
      </c>
      <c r="J1842" s="42"/>
    </row>
    <row r="1843" customFormat="false" ht="21" hidden="false" customHeight="true" outlineLevel="0" collapsed="false">
      <c r="B1843" s="41"/>
      <c r="C1843" s="9"/>
      <c r="D1843" s="9"/>
      <c r="E1843" s="42"/>
      <c r="F1843" s="43"/>
      <c r="G1843" s="27" t="str">
        <f aca="false">IF(OR(C1843="",AND(D1843="",F1843="")),"",IF(N(E1843)=0,1,E1843)*IF(F1843="",IFERROR(N(INDEX(Produtos!$L$5:$L$104,MATCH(D1843,Produtos!$B$5:$B$104,0))),0),F1843))</f>
        <v/>
      </c>
      <c r="H1843" s="27" t="str">
        <f aca="false">IF(G1843="","",IF(N(E1843)=0,1,E1843)*IFERROR(N(INDEX(Produtos!$G$5:$G$104,MATCH(D1843,Produtos!$B$5:$B$104,0))),0))</f>
        <v/>
      </c>
      <c r="I1843" s="27" t="str">
        <f aca="false">IF(G1843="","",G1843-H1843)</f>
        <v/>
      </c>
      <c r="J1843" s="42"/>
    </row>
    <row r="1844" customFormat="false" ht="21" hidden="false" customHeight="true" outlineLevel="0" collapsed="false">
      <c r="B1844" s="41"/>
      <c r="C1844" s="9"/>
      <c r="D1844" s="9"/>
      <c r="E1844" s="42"/>
      <c r="F1844" s="43"/>
      <c r="G1844" s="27" t="str">
        <f aca="false">IF(OR(C1844="",AND(D1844="",F1844="")),"",IF(N(E1844)=0,1,E1844)*IF(F1844="",IFERROR(N(INDEX(Produtos!$L$5:$L$104,MATCH(D1844,Produtos!$B$5:$B$104,0))),0),F1844))</f>
        <v/>
      </c>
      <c r="H1844" s="27" t="str">
        <f aca="false">IF(G1844="","",IF(N(E1844)=0,1,E1844)*IFERROR(N(INDEX(Produtos!$G$5:$G$104,MATCH(D1844,Produtos!$B$5:$B$104,0))),0))</f>
        <v/>
      </c>
      <c r="I1844" s="27" t="str">
        <f aca="false">IF(G1844="","",G1844-H1844)</f>
        <v/>
      </c>
      <c r="J1844" s="42"/>
    </row>
    <row r="1845" customFormat="false" ht="21" hidden="false" customHeight="true" outlineLevel="0" collapsed="false">
      <c r="B1845" s="41"/>
      <c r="C1845" s="9"/>
      <c r="D1845" s="9"/>
      <c r="E1845" s="42"/>
      <c r="F1845" s="43"/>
      <c r="G1845" s="27" t="str">
        <f aca="false">IF(OR(C1845="",AND(D1845="",F1845="")),"",IF(N(E1845)=0,1,E1845)*IF(F1845="",IFERROR(N(INDEX(Produtos!$L$5:$L$104,MATCH(D1845,Produtos!$B$5:$B$104,0))),0),F1845))</f>
        <v/>
      </c>
      <c r="H1845" s="27" t="str">
        <f aca="false">IF(G1845="","",IF(N(E1845)=0,1,E1845)*IFERROR(N(INDEX(Produtos!$G$5:$G$104,MATCH(D1845,Produtos!$B$5:$B$104,0))),0))</f>
        <v/>
      </c>
      <c r="I1845" s="27" t="str">
        <f aca="false">IF(G1845="","",G1845-H1845)</f>
        <v/>
      </c>
      <c r="J1845" s="42"/>
    </row>
    <row r="1846" customFormat="false" ht="21" hidden="false" customHeight="true" outlineLevel="0" collapsed="false">
      <c r="B1846" s="41"/>
      <c r="C1846" s="9"/>
      <c r="D1846" s="9"/>
      <c r="E1846" s="42"/>
      <c r="F1846" s="43"/>
      <c r="G1846" s="27" t="str">
        <f aca="false">IF(OR(C1846="",AND(D1846="",F1846="")),"",IF(N(E1846)=0,1,E1846)*IF(F1846="",IFERROR(N(INDEX(Produtos!$L$5:$L$104,MATCH(D1846,Produtos!$B$5:$B$104,0))),0),F1846))</f>
        <v/>
      </c>
      <c r="H1846" s="27" t="str">
        <f aca="false">IF(G1846="","",IF(N(E1846)=0,1,E1846)*IFERROR(N(INDEX(Produtos!$G$5:$G$104,MATCH(D1846,Produtos!$B$5:$B$104,0))),0))</f>
        <v/>
      </c>
      <c r="I1846" s="27" t="str">
        <f aca="false">IF(G1846="","",G1846-H1846)</f>
        <v/>
      </c>
      <c r="J1846" s="42"/>
    </row>
    <row r="1847" customFormat="false" ht="21" hidden="false" customHeight="true" outlineLevel="0" collapsed="false">
      <c r="B1847" s="41"/>
      <c r="C1847" s="9"/>
      <c r="D1847" s="9"/>
      <c r="E1847" s="42"/>
      <c r="F1847" s="43"/>
      <c r="G1847" s="27" t="str">
        <f aca="false">IF(OR(C1847="",AND(D1847="",F1847="")),"",IF(N(E1847)=0,1,E1847)*IF(F1847="",IFERROR(N(INDEX(Produtos!$L$5:$L$104,MATCH(D1847,Produtos!$B$5:$B$104,0))),0),F1847))</f>
        <v/>
      </c>
      <c r="H1847" s="27" t="str">
        <f aca="false">IF(G1847="","",IF(N(E1847)=0,1,E1847)*IFERROR(N(INDEX(Produtos!$G$5:$G$104,MATCH(D1847,Produtos!$B$5:$B$104,0))),0))</f>
        <v/>
      </c>
      <c r="I1847" s="27" t="str">
        <f aca="false">IF(G1847="","",G1847-H1847)</f>
        <v/>
      </c>
      <c r="J1847" s="42"/>
    </row>
    <row r="1848" customFormat="false" ht="21" hidden="false" customHeight="true" outlineLevel="0" collapsed="false">
      <c r="B1848" s="41"/>
      <c r="C1848" s="9"/>
      <c r="D1848" s="9"/>
      <c r="E1848" s="42"/>
      <c r="F1848" s="43"/>
      <c r="G1848" s="27" t="str">
        <f aca="false">IF(OR(C1848="",AND(D1848="",F1848="")),"",IF(N(E1848)=0,1,E1848)*IF(F1848="",IFERROR(N(INDEX(Produtos!$L$5:$L$104,MATCH(D1848,Produtos!$B$5:$B$104,0))),0),F1848))</f>
        <v/>
      </c>
      <c r="H1848" s="27" t="str">
        <f aca="false">IF(G1848="","",IF(N(E1848)=0,1,E1848)*IFERROR(N(INDEX(Produtos!$G$5:$G$104,MATCH(D1848,Produtos!$B$5:$B$104,0))),0))</f>
        <v/>
      </c>
      <c r="I1848" s="27" t="str">
        <f aca="false">IF(G1848="","",G1848-H1848)</f>
        <v/>
      </c>
      <c r="J1848" s="42"/>
    </row>
    <row r="1849" customFormat="false" ht="21" hidden="false" customHeight="true" outlineLevel="0" collapsed="false">
      <c r="B1849" s="41"/>
      <c r="C1849" s="9"/>
      <c r="D1849" s="9"/>
      <c r="E1849" s="42"/>
      <c r="F1849" s="43"/>
      <c r="G1849" s="27" t="str">
        <f aca="false">IF(OR(C1849="",AND(D1849="",F1849="")),"",IF(N(E1849)=0,1,E1849)*IF(F1849="",IFERROR(N(INDEX(Produtos!$L$5:$L$104,MATCH(D1849,Produtos!$B$5:$B$104,0))),0),F1849))</f>
        <v/>
      </c>
      <c r="H1849" s="27" t="str">
        <f aca="false">IF(G1849="","",IF(N(E1849)=0,1,E1849)*IFERROR(N(INDEX(Produtos!$G$5:$G$104,MATCH(D1849,Produtos!$B$5:$B$104,0))),0))</f>
        <v/>
      </c>
      <c r="I1849" s="27" t="str">
        <f aca="false">IF(G1849="","",G1849-H1849)</f>
        <v/>
      </c>
      <c r="J1849" s="42"/>
    </row>
    <row r="1850" customFormat="false" ht="21" hidden="false" customHeight="true" outlineLevel="0" collapsed="false">
      <c r="B1850" s="41"/>
      <c r="C1850" s="9"/>
      <c r="D1850" s="9"/>
      <c r="E1850" s="42"/>
      <c r="F1850" s="43"/>
      <c r="G1850" s="27" t="str">
        <f aca="false">IF(OR(C1850="",AND(D1850="",F1850="")),"",IF(N(E1850)=0,1,E1850)*IF(F1850="",IFERROR(N(INDEX(Produtos!$L$5:$L$104,MATCH(D1850,Produtos!$B$5:$B$104,0))),0),F1850))</f>
        <v/>
      </c>
      <c r="H1850" s="27" t="str">
        <f aca="false">IF(G1850="","",IF(N(E1850)=0,1,E1850)*IFERROR(N(INDEX(Produtos!$G$5:$G$104,MATCH(D1850,Produtos!$B$5:$B$104,0))),0))</f>
        <v/>
      </c>
      <c r="I1850" s="27" t="str">
        <f aca="false">IF(G1850="","",G1850-H1850)</f>
        <v/>
      </c>
      <c r="J1850" s="42"/>
    </row>
    <row r="1851" customFormat="false" ht="21" hidden="false" customHeight="true" outlineLevel="0" collapsed="false">
      <c r="B1851" s="41"/>
      <c r="C1851" s="9"/>
      <c r="D1851" s="9"/>
      <c r="E1851" s="42"/>
      <c r="F1851" s="43"/>
      <c r="G1851" s="27" t="str">
        <f aca="false">IF(OR(C1851="",AND(D1851="",F1851="")),"",IF(N(E1851)=0,1,E1851)*IF(F1851="",IFERROR(N(INDEX(Produtos!$L$5:$L$104,MATCH(D1851,Produtos!$B$5:$B$104,0))),0),F1851))</f>
        <v/>
      </c>
      <c r="H1851" s="27" t="str">
        <f aca="false">IF(G1851="","",IF(N(E1851)=0,1,E1851)*IFERROR(N(INDEX(Produtos!$G$5:$G$104,MATCH(D1851,Produtos!$B$5:$B$104,0))),0))</f>
        <v/>
      </c>
      <c r="I1851" s="27" t="str">
        <f aca="false">IF(G1851="","",G1851-H1851)</f>
        <v/>
      </c>
      <c r="J1851" s="42"/>
    </row>
    <row r="1852" customFormat="false" ht="21" hidden="false" customHeight="true" outlineLevel="0" collapsed="false">
      <c r="B1852" s="41"/>
      <c r="C1852" s="9"/>
      <c r="D1852" s="9"/>
      <c r="E1852" s="42"/>
      <c r="F1852" s="43"/>
      <c r="G1852" s="27" t="str">
        <f aca="false">IF(OR(C1852="",AND(D1852="",F1852="")),"",IF(N(E1852)=0,1,E1852)*IF(F1852="",IFERROR(N(INDEX(Produtos!$L$5:$L$104,MATCH(D1852,Produtos!$B$5:$B$104,0))),0),F1852))</f>
        <v/>
      </c>
      <c r="H1852" s="27" t="str">
        <f aca="false">IF(G1852="","",IF(N(E1852)=0,1,E1852)*IFERROR(N(INDEX(Produtos!$G$5:$G$104,MATCH(D1852,Produtos!$B$5:$B$104,0))),0))</f>
        <v/>
      </c>
      <c r="I1852" s="27" t="str">
        <f aca="false">IF(G1852="","",G1852-H1852)</f>
        <v/>
      </c>
      <c r="J1852" s="42"/>
    </row>
    <row r="1853" customFormat="false" ht="21" hidden="false" customHeight="true" outlineLevel="0" collapsed="false">
      <c r="B1853" s="41"/>
      <c r="C1853" s="9"/>
      <c r="D1853" s="9"/>
      <c r="E1853" s="42"/>
      <c r="F1853" s="43"/>
      <c r="G1853" s="27" t="str">
        <f aca="false">IF(OR(C1853="",AND(D1853="",F1853="")),"",IF(N(E1853)=0,1,E1853)*IF(F1853="",IFERROR(N(INDEX(Produtos!$L$5:$L$104,MATCH(D1853,Produtos!$B$5:$B$104,0))),0),F1853))</f>
        <v/>
      </c>
      <c r="H1853" s="27" t="str">
        <f aca="false">IF(G1853="","",IF(N(E1853)=0,1,E1853)*IFERROR(N(INDEX(Produtos!$G$5:$G$104,MATCH(D1853,Produtos!$B$5:$B$104,0))),0))</f>
        <v/>
      </c>
      <c r="I1853" s="27" t="str">
        <f aca="false">IF(G1853="","",G1853-H1853)</f>
        <v/>
      </c>
      <c r="J1853" s="42"/>
    </row>
    <row r="1854" customFormat="false" ht="21" hidden="false" customHeight="true" outlineLevel="0" collapsed="false">
      <c r="B1854" s="41"/>
      <c r="C1854" s="9"/>
      <c r="D1854" s="9"/>
      <c r="E1854" s="42"/>
      <c r="F1854" s="43"/>
      <c r="G1854" s="27" t="str">
        <f aca="false">IF(OR(C1854="",AND(D1854="",F1854="")),"",IF(N(E1854)=0,1,E1854)*IF(F1854="",IFERROR(N(INDEX(Produtos!$L$5:$L$104,MATCH(D1854,Produtos!$B$5:$B$104,0))),0),F1854))</f>
        <v/>
      </c>
      <c r="H1854" s="27" t="str">
        <f aca="false">IF(G1854="","",IF(N(E1854)=0,1,E1854)*IFERROR(N(INDEX(Produtos!$G$5:$G$104,MATCH(D1854,Produtos!$B$5:$B$104,0))),0))</f>
        <v/>
      </c>
      <c r="I1854" s="27" t="str">
        <f aca="false">IF(G1854="","",G1854-H1854)</f>
        <v/>
      </c>
      <c r="J1854" s="42"/>
    </row>
    <row r="1855" customFormat="false" ht="21" hidden="false" customHeight="true" outlineLevel="0" collapsed="false">
      <c r="B1855" s="41"/>
      <c r="C1855" s="9"/>
      <c r="D1855" s="9"/>
      <c r="E1855" s="42"/>
      <c r="F1855" s="43"/>
      <c r="G1855" s="27" t="str">
        <f aca="false">IF(OR(C1855="",AND(D1855="",F1855="")),"",IF(N(E1855)=0,1,E1855)*IF(F1855="",IFERROR(N(INDEX(Produtos!$L$5:$L$104,MATCH(D1855,Produtos!$B$5:$B$104,0))),0),F1855))</f>
        <v/>
      </c>
      <c r="H1855" s="27" t="str">
        <f aca="false">IF(G1855="","",IF(N(E1855)=0,1,E1855)*IFERROR(N(INDEX(Produtos!$G$5:$G$104,MATCH(D1855,Produtos!$B$5:$B$104,0))),0))</f>
        <v/>
      </c>
      <c r="I1855" s="27" t="str">
        <f aca="false">IF(G1855="","",G1855-H1855)</f>
        <v/>
      </c>
      <c r="J1855" s="42"/>
    </row>
    <row r="1856" customFormat="false" ht="21" hidden="false" customHeight="true" outlineLevel="0" collapsed="false">
      <c r="B1856" s="41"/>
      <c r="C1856" s="9"/>
      <c r="D1856" s="9"/>
      <c r="E1856" s="42"/>
      <c r="F1856" s="43"/>
      <c r="G1856" s="27" t="str">
        <f aca="false">IF(OR(C1856="",AND(D1856="",F1856="")),"",IF(N(E1856)=0,1,E1856)*IF(F1856="",IFERROR(N(INDEX(Produtos!$L$5:$L$104,MATCH(D1856,Produtos!$B$5:$B$104,0))),0),F1856))</f>
        <v/>
      </c>
      <c r="H1856" s="27" t="str">
        <f aca="false">IF(G1856="","",IF(N(E1856)=0,1,E1856)*IFERROR(N(INDEX(Produtos!$G$5:$G$104,MATCH(D1856,Produtos!$B$5:$B$104,0))),0))</f>
        <v/>
      </c>
      <c r="I1856" s="27" t="str">
        <f aca="false">IF(G1856="","",G1856-H1856)</f>
        <v/>
      </c>
      <c r="J1856" s="42"/>
    </row>
    <row r="1857" customFormat="false" ht="21" hidden="false" customHeight="true" outlineLevel="0" collapsed="false">
      <c r="B1857" s="41"/>
      <c r="C1857" s="9"/>
      <c r="D1857" s="9"/>
      <c r="E1857" s="42"/>
      <c r="F1857" s="43"/>
      <c r="G1857" s="27" t="str">
        <f aca="false">IF(OR(C1857="",AND(D1857="",F1857="")),"",IF(N(E1857)=0,1,E1857)*IF(F1857="",IFERROR(N(INDEX(Produtos!$L$5:$L$104,MATCH(D1857,Produtos!$B$5:$B$104,0))),0),F1857))</f>
        <v/>
      </c>
      <c r="H1857" s="27" t="str">
        <f aca="false">IF(G1857="","",IF(N(E1857)=0,1,E1857)*IFERROR(N(INDEX(Produtos!$G$5:$G$104,MATCH(D1857,Produtos!$B$5:$B$104,0))),0))</f>
        <v/>
      </c>
      <c r="I1857" s="27" t="str">
        <f aca="false">IF(G1857="","",G1857-H1857)</f>
        <v/>
      </c>
      <c r="J1857" s="42"/>
    </row>
    <row r="1858" customFormat="false" ht="21" hidden="false" customHeight="true" outlineLevel="0" collapsed="false">
      <c r="B1858" s="41"/>
      <c r="C1858" s="9"/>
      <c r="D1858" s="9"/>
      <c r="E1858" s="42"/>
      <c r="F1858" s="43"/>
      <c r="G1858" s="27" t="str">
        <f aca="false">IF(OR(C1858="",AND(D1858="",F1858="")),"",IF(N(E1858)=0,1,E1858)*IF(F1858="",IFERROR(N(INDEX(Produtos!$L$5:$L$104,MATCH(D1858,Produtos!$B$5:$B$104,0))),0),F1858))</f>
        <v/>
      </c>
      <c r="H1858" s="27" t="str">
        <f aca="false">IF(G1858="","",IF(N(E1858)=0,1,E1858)*IFERROR(N(INDEX(Produtos!$G$5:$G$104,MATCH(D1858,Produtos!$B$5:$B$104,0))),0))</f>
        <v/>
      </c>
      <c r="I1858" s="27" t="str">
        <f aca="false">IF(G1858="","",G1858-H1858)</f>
        <v/>
      </c>
      <c r="J1858" s="42"/>
    </row>
    <row r="1859" customFormat="false" ht="21" hidden="false" customHeight="true" outlineLevel="0" collapsed="false">
      <c r="B1859" s="41"/>
      <c r="C1859" s="9"/>
      <c r="D1859" s="9"/>
      <c r="E1859" s="42"/>
      <c r="F1859" s="43"/>
      <c r="G1859" s="27" t="str">
        <f aca="false">IF(OR(C1859="",AND(D1859="",F1859="")),"",IF(N(E1859)=0,1,E1859)*IF(F1859="",IFERROR(N(INDEX(Produtos!$L$5:$L$104,MATCH(D1859,Produtos!$B$5:$B$104,0))),0),F1859))</f>
        <v/>
      </c>
      <c r="H1859" s="27" t="str">
        <f aca="false">IF(G1859="","",IF(N(E1859)=0,1,E1859)*IFERROR(N(INDEX(Produtos!$G$5:$G$104,MATCH(D1859,Produtos!$B$5:$B$104,0))),0))</f>
        <v/>
      </c>
      <c r="I1859" s="27" t="str">
        <f aca="false">IF(G1859="","",G1859-H1859)</f>
        <v/>
      </c>
      <c r="J1859" s="42"/>
    </row>
    <row r="1860" customFormat="false" ht="21" hidden="false" customHeight="true" outlineLevel="0" collapsed="false">
      <c r="B1860" s="41"/>
      <c r="C1860" s="9"/>
      <c r="D1860" s="9"/>
      <c r="E1860" s="42"/>
      <c r="F1860" s="43"/>
      <c r="G1860" s="27" t="str">
        <f aca="false">IF(OR(C1860="",AND(D1860="",F1860="")),"",IF(N(E1860)=0,1,E1860)*IF(F1860="",IFERROR(N(INDEX(Produtos!$L$5:$L$104,MATCH(D1860,Produtos!$B$5:$B$104,0))),0),F1860))</f>
        <v/>
      </c>
      <c r="H1860" s="27" t="str">
        <f aca="false">IF(G1860="","",IF(N(E1860)=0,1,E1860)*IFERROR(N(INDEX(Produtos!$G$5:$G$104,MATCH(D1860,Produtos!$B$5:$B$104,0))),0))</f>
        <v/>
      </c>
      <c r="I1860" s="27" t="str">
        <f aca="false">IF(G1860="","",G1860-H1860)</f>
        <v/>
      </c>
      <c r="J1860" s="42"/>
    </row>
    <row r="1861" customFormat="false" ht="21" hidden="false" customHeight="true" outlineLevel="0" collapsed="false">
      <c r="B1861" s="41"/>
      <c r="C1861" s="9"/>
      <c r="D1861" s="9"/>
      <c r="E1861" s="42"/>
      <c r="F1861" s="43"/>
      <c r="G1861" s="27" t="str">
        <f aca="false">IF(OR(C1861="",AND(D1861="",F1861="")),"",IF(N(E1861)=0,1,E1861)*IF(F1861="",IFERROR(N(INDEX(Produtos!$L$5:$L$104,MATCH(D1861,Produtos!$B$5:$B$104,0))),0),F1861))</f>
        <v/>
      </c>
      <c r="H1861" s="27" t="str">
        <f aca="false">IF(G1861="","",IF(N(E1861)=0,1,E1861)*IFERROR(N(INDEX(Produtos!$G$5:$G$104,MATCH(D1861,Produtos!$B$5:$B$104,0))),0))</f>
        <v/>
      </c>
      <c r="I1861" s="27" t="str">
        <f aca="false">IF(G1861="","",G1861-H1861)</f>
        <v/>
      </c>
      <c r="J1861" s="42"/>
    </row>
    <row r="1862" customFormat="false" ht="21" hidden="false" customHeight="true" outlineLevel="0" collapsed="false">
      <c r="B1862" s="41"/>
      <c r="C1862" s="9"/>
      <c r="D1862" s="9"/>
      <c r="E1862" s="42"/>
      <c r="F1862" s="43"/>
      <c r="G1862" s="27" t="str">
        <f aca="false">IF(OR(C1862="",AND(D1862="",F1862="")),"",IF(N(E1862)=0,1,E1862)*IF(F1862="",IFERROR(N(INDEX(Produtos!$L$5:$L$104,MATCH(D1862,Produtos!$B$5:$B$104,0))),0),F1862))</f>
        <v/>
      </c>
      <c r="H1862" s="27" t="str">
        <f aca="false">IF(G1862="","",IF(N(E1862)=0,1,E1862)*IFERROR(N(INDEX(Produtos!$G$5:$G$104,MATCH(D1862,Produtos!$B$5:$B$104,0))),0))</f>
        <v/>
      </c>
      <c r="I1862" s="27" t="str">
        <f aca="false">IF(G1862="","",G1862-H1862)</f>
        <v/>
      </c>
      <c r="J1862" s="42"/>
    </row>
    <row r="1863" customFormat="false" ht="21" hidden="false" customHeight="true" outlineLevel="0" collapsed="false">
      <c r="B1863" s="41"/>
      <c r="C1863" s="9"/>
      <c r="D1863" s="9"/>
      <c r="E1863" s="42"/>
      <c r="F1863" s="43"/>
      <c r="G1863" s="27" t="str">
        <f aca="false">IF(OR(C1863="",AND(D1863="",F1863="")),"",IF(N(E1863)=0,1,E1863)*IF(F1863="",IFERROR(N(INDEX(Produtos!$L$5:$L$104,MATCH(D1863,Produtos!$B$5:$B$104,0))),0),F1863))</f>
        <v/>
      </c>
      <c r="H1863" s="27" t="str">
        <f aca="false">IF(G1863="","",IF(N(E1863)=0,1,E1863)*IFERROR(N(INDEX(Produtos!$G$5:$G$104,MATCH(D1863,Produtos!$B$5:$B$104,0))),0))</f>
        <v/>
      </c>
      <c r="I1863" s="27" t="str">
        <f aca="false">IF(G1863="","",G1863-H1863)</f>
        <v/>
      </c>
      <c r="J1863" s="42"/>
    </row>
    <row r="1864" customFormat="false" ht="21" hidden="false" customHeight="true" outlineLevel="0" collapsed="false">
      <c r="B1864" s="41"/>
      <c r="C1864" s="9"/>
      <c r="D1864" s="9"/>
      <c r="E1864" s="42"/>
      <c r="F1864" s="43"/>
      <c r="G1864" s="27" t="str">
        <f aca="false">IF(OR(C1864="",AND(D1864="",F1864="")),"",IF(N(E1864)=0,1,E1864)*IF(F1864="",IFERROR(N(INDEX(Produtos!$L$5:$L$104,MATCH(D1864,Produtos!$B$5:$B$104,0))),0),F1864))</f>
        <v/>
      </c>
      <c r="H1864" s="27" t="str">
        <f aca="false">IF(G1864="","",IF(N(E1864)=0,1,E1864)*IFERROR(N(INDEX(Produtos!$G$5:$G$104,MATCH(D1864,Produtos!$B$5:$B$104,0))),0))</f>
        <v/>
      </c>
      <c r="I1864" s="27" t="str">
        <f aca="false">IF(G1864="","",G1864-H1864)</f>
        <v/>
      </c>
      <c r="J1864" s="42"/>
    </row>
    <row r="1865" customFormat="false" ht="21" hidden="false" customHeight="true" outlineLevel="0" collapsed="false">
      <c r="B1865" s="41"/>
      <c r="C1865" s="9"/>
      <c r="D1865" s="9"/>
      <c r="E1865" s="42"/>
      <c r="F1865" s="43"/>
      <c r="G1865" s="27" t="str">
        <f aca="false">IF(OR(C1865="",AND(D1865="",F1865="")),"",IF(N(E1865)=0,1,E1865)*IF(F1865="",IFERROR(N(INDEX(Produtos!$L$5:$L$104,MATCH(D1865,Produtos!$B$5:$B$104,0))),0),F1865))</f>
        <v/>
      </c>
      <c r="H1865" s="27" t="str">
        <f aca="false">IF(G1865="","",IF(N(E1865)=0,1,E1865)*IFERROR(N(INDEX(Produtos!$G$5:$G$104,MATCH(D1865,Produtos!$B$5:$B$104,0))),0))</f>
        <v/>
      </c>
      <c r="I1865" s="27" t="str">
        <f aca="false">IF(G1865="","",G1865-H1865)</f>
        <v/>
      </c>
      <c r="J1865" s="42"/>
    </row>
    <row r="1866" customFormat="false" ht="21" hidden="false" customHeight="true" outlineLevel="0" collapsed="false">
      <c r="B1866" s="41"/>
      <c r="C1866" s="9"/>
      <c r="D1866" s="9"/>
      <c r="E1866" s="42"/>
      <c r="F1866" s="43"/>
      <c r="G1866" s="27" t="str">
        <f aca="false">IF(OR(C1866="",AND(D1866="",F1866="")),"",IF(N(E1866)=0,1,E1866)*IF(F1866="",IFERROR(N(INDEX(Produtos!$L$5:$L$104,MATCH(D1866,Produtos!$B$5:$B$104,0))),0),F1866))</f>
        <v/>
      </c>
      <c r="H1866" s="27" t="str">
        <f aca="false">IF(G1866="","",IF(N(E1866)=0,1,E1866)*IFERROR(N(INDEX(Produtos!$G$5:$G$104,MATCH(D1866,Produtos!$B$5:$B$104,0))),0))</f>
        <v/>
      </c>
      <c r="I1866" s="27" t="str">
        <f aca="false">IF(G1866="","",G1866-H1866)</f>
        <v/>
      </c>
      <c r="J1866" s="42"/>
    </row>
    <row r="1867" customFormat="false" ht="21" hidden="false" customHeight="true" outlineLevel="0" collapsed="false">
      <c r="B1867" s="41"/>
      <c r="C1867" s="9"/>
      <c r="D1867" s="9"/>
      <c r="E1867" s="42"/>
      <c r="F1867" s="43"/>
      <c r="G1867" s="27" t="str">
        <f aca="false">IF(OR(C1867="",AND(D1867="",F1867="")),"",IF(N(E1867)=0,1,E1867)*IF(F1867="",IFERROR(N(INDEX(Produtos!$L$5:$L$104,MATCH(D1867,Produtos!$B$5:$B$104,0))),0),F1867))</f>
        <v/>
      </c>
      <c r="H1867" s="27" t="str">
        <f aca="false">IF(G1867="","",IF(N(E1867)=0,1,E1867)*IFERROR(N(INDEX(Produtos!$G$5:$G$104,MATCH(D1867,Produtos!$B$5:$B$104,0))),0))</f>
        <v/>
      </c>
      <c r="I1867" s="27" t="str">
        <f aca="false">IF(G1867="","",G1867-H1867)</f>
        <v/>
      </c>
      <c r="J1867" s="42"/>
    </row>
    <row r="1868" customFormat="false" ht="21" hidden="false" customHeight="true" outlineLevel="0" collapsed="false">
      <c r="B1868" s="41"/>
      <c r="C1868" s="9"/>
      <c r="D1868" s="9"/>
      <c r="E1868" s="42"/>
      <c r="F1868" s="43"/>
      <c r="G1868" s="27" t="str">
        <f aca="false">IF(OR(C1868="",AND(D1868="",F1868="")),"",IF(N(E1868)=0,1,E1868)*IF(F1868="",IFERROR(N(INDEX(Produtos!$L$5:$L$104,MATCH(D1868,Produtos!$B$5:$B$104,0))),0),F1868))</f>
        <v/>
      </c>
      <c r="H1868" s="27" t="str">
        <f aca="false">IF(G1868="","",IF(N(E1868)=0,1,E1868)*IFERROR(N(INDEX(Produtos!$G$5:$G$104,MATCH(D1868,Produtos!$B$5:$B$104,0))),0))</f>
        <v/>
      </c>
      <c r="I1868" s="27" t="str">
        <f aca="false">IF(G1868="","",G1868-H1868)</f>
        <v/>
      </c>
      <c r="J1868" s="42"/>
    </row>
    <row r="1869" customFormat="false" ht="21" hidden="false" customHeight="true" outlineLevel="0" collapsed="false">
      <c r="B1869" s="41"/>
      <c r="C1869" s="9"/>
      <c r="D1869" s="9"/>
      <c r="E1869" s="42"/>
      <c r="F1869" s="43"/>
      <c r="G1869" s="27" t="str">
        <f aca="false">IF(OR(C1869="",AND(D1869="",F1869="")),"",IF(N(E1869)=0,1,E1869)*IF(F1869="",IFERROR(N(INDEX(Produtos!$L$5:$L$104,MATCH(D1869,Produtos!$B$5:$B$104,0))),0),F1869))</f>
        <v/>
      </c>
      <c r="H1869" s="27" t="str">
        <f aca="false">IF(G1869="","",IF(N(E1869)=0,1,E1869)*IFERROR(N(INDEX(Produtos!$G$5:$G$104,MATCH(D1869,Produtos!$B$5:$B$104,0))),0))</f>
        <v/>
      </c>
      <c r="I1869" s="27" t="str">
        <f aca="false">IF(G1869="","",G1869-H1869)</f>
        <v/>
      </c>
      <c r="J1869" s="42"/>
    </row>
    <row r="1870" customFormat="false" ht="21" hidden="false" customHeight="true" outlineLevel="0" collapsed="false">
      <c r="B1870" s="41"/>
      <c r="C1870" s="9"/>
      <c r="D1870" s="9"/>
      <c r="E1870" s="42"/>
      <c r="F1870" s="43"/>
      <c r="G1870" s="27" t="str">
        <f aca="false">IF(OR(C1870="",AND(D1870="",F1870="")),"",IF(N(E1870)=0,1,E1870)*IF(F1870="",IFERROR(N(INDEX(Produtos!$L$5:$L$104,MATCH(D1870,Produtos!$B$5:$B$104,0))),0),F1870))</f>
        <v/>
      </c>
      <c r="H1870" s="27" t="str">
        <f aca="false">IF(G1870="","",IF(N(E1870)=0,1,E1870)*IFERROR(N(INDEX(Produtos!$G$5:$G$104,MATCH(D1870,Produtos!$B$5:$B$104,0))),0))</f>
        <v/>
      </c>
      <c r="I1870" s="27" t="str">
        <f aca="false">IF(G1870="","",G1870-H1870)</f>
        <v/>
      </c>
      <c r="J1870" s="42"/>
    </row>
    <row r="1871" customFormat="false" ht="21" hidden="false" customHeight="true" outlineLevel="0" collapsed="false">
      <c r="B1871" s="41"/>
      <c r="C1871" s="9"/>
      <c r="D1871" s="9"/>
      <c r="E1871" s="42"/>
      <c r="F1871" s="43"/>
      <c r="G1871" s="27" t="str">
        <f aca="false">IF(OR(C1871="",AND(D1871="",F1871="")),"",IF(N(E1871)=0,1,E1871)*IF(F1871="",IFERROR(N(INDEX(Produtos!$L$5:$L$104,MATCH(D1871,Produtos!$B$5:$B$104,0))),0),F1871))</f>
        <v/>
      </c>
      <c r="H1871" s="27" t="str">
        <f aca="false">IF(G1871="","",IF(N(E1871)=0,1,E1871)*IFERROR(N(INDEX(Produtos!$G$5:$G$104,MATCH(D1871,Produtos!$B$5:$B$104,0))),0))</f>
        <v/>
      </c>
      <c r="I1871" s="27" t="str">
        <f aca="false">IF(G1871="","",G1871-H1871)</f>
        <v/>
      </c>
      <c r="J1871" s="42"/>
    </row>
    <row r="1872" customFormat="false" ht="21" hidden="false" customHeight="true" outlineLevel="0" collapsed="false">
      <c r="B1872" s="41"/>
      <c r="C1872" s="9"/>
      <c r="D1872" s="9"/>
      <c r="E1872" s="42"/>
      <c r="F1872" s="43"/>
      <c r="G1872" s="27" t="str">
        <f aca="false">IF(OR(C1872="",AND(D1872="",F1872="")),"",IF(N(E1872)=0,1,E1872)*IF(F1872="",IFERROR(N(INDEX(Produtos!$L$5:$L$104,MATCH(D1872,Produtos!$B$5:$B$104,0))),0),F1872))</f>
        <v/>
      </c>
      <c r="H1872" s="27" t="str">
        <f aca="false">IF(G1872="","",IF(N(E1872)=0,1,E1872)*IFERROR(N(INDEX(Produtos!$G$5:$G$104,MATCH(D1872,Produtos!$B$5:$B$104,0))),0))</f>
        <v/>
      </c>
      <c r="I1872" s="27" t="str">
        <f aca="false">IF(G1872="","",G1872-H1872)</f>
        <v/>
      </c>
      <c r="J1872" s="42"/>
    </row>
    <row r="1873" customFormat="false" ht="21" hidden="false" customHeight="true" outlineLevel="0" collapsed="false">
      <c r="B1873" s="41"/>
      <c r="C1873" s="9"/>
      <c r="D1873" s="9"/>
      <c r="E1873" s="42"/>
      <c r="F1873" s="43"/>
      <c r="G1873" s="27" t="str">
        <f aca="false">IF(OR(C1873="",AND(D1873="",F1873="")),"",IF(N(E1873)=0,1,E1873)*IF(F1873="",IFERROR(N(INDEX(Produtos!$L$5:$L$104,MATCH(D1873,Produtos!$B$5:$B$104,0))),0),F1873))</f>
        <v/>
      </c>
      <c r="H1873" s="27" t="str">
        <f aca="false">IF(G1873="","",IF(N(E1873)=0,1,E1873)*IFERROR(N(INDEX(Produtos!$G$5:$G$104,MATCH(D1873,Produtos!$B$5:$B$104,0))),0))</f>
        <v/>
      </c>
      <c r="I1873" s="27" t="str">
        <f aca="false">IF(G1873="","",G1873-H1873)</f>
        <v/>
      </c>
      <c r="J1873" s="42"/>
    </row>
    <row r="1874" customFormat="false" ht="21" hidden="false" customHeight="true" outlineLevel="0" collapsed="false">
      <c r="B1874" s="41"/>
      <c r="C1874" s="9"/>
      <c r="D1874" s="9"/>
      <c r="E1874" s="42"/>
      <c r="F1874" s="43"/>
      <c r="G1874" s="27" t="str">
        <f aca="false">IF(OR(C1874="",AND(D1874="",F1874="")),"",IF(N(E1874)=0,1,E1874)*IF(F1874="",IFERROR(N(INDEX(Produtos!$L$5:$L$104,MATCH(D1874,Produtos!$B$5:$B$104,0))),0),F1874))</f>
        <v/>
      </c>
      <c r="H1874" s="27" t="str">
        <f aca="false">IF(G1874="","",IF(N(E1874)=0,1,E1874)*IFERROR(N(INDEX(Produtos!$G$5:$G$104,MATCH(D1874,Produtos!$B$5:$B$104,0))),0))</f>
        <v/>
      </c>
      <c r="I1874" s="27" t="str">
        <f aca="false">IF(G1874="","",G1874-H1874)</f>
        <v/>
      </c>
      <c r="J1874" s="42"/>
    </row>
    <row r="1875" customFormat="false" ht="21" hidden="false" customHeight="true" outlineLevel="0" collapsed="false">
      <c r="B1875" s="41"/>
      <c r="C1875" s="9"/>
      <c r="D1875" s="9"/>
      <c r="E1875" s="42"/>
      <c r="F1875" s="43"/>
      <c r="G1875" s="27" t="str">
        <f aca="false">IF(OR(C1875="",AND(D1875="",F1875="")),"",IF(N(E1875)=0,1,E1875)*IF(F1875="",IFERROR(N(INDEX(Produtos!$L$5:$L$104,MATCH(D1875,Produtos!$B$5:$B$104,0))),0),F1875))</f>
        <v/>
      </c>
      <c r="H1875" s="27" t="str">
        <f aca="false">IF(G1875="","",IF(N(E1875)=0,1,E1875)*IFERROR(N(INDEX(Produtos!$G$5:$G$104,MATCH(D1875,Produtos!$B$5:$B$104,0))),0))</f>
        <v/>
      </c>
      <c r="I1875" s="27" t="str">
        <f aca="false">IF(G1875="","",G1875-H1875)</f>
        <v/>
      </c>
      <c r="J1875" s="42"/>
    </row>
    <row r="1876" customFormat="false" ht="21" hidden="false" customHeight="true" outlineLevel="0" collapsed="false">
      <c r="B1876" s="41"/>
      <c r="C1876" s="9"/>
      <c r="D1876" s="9"/>
      <c r="E1876" s="42"/>
      <c r="F1876" s="43"/>
      <c r="G1876" s="27" t="str">
        <f aca="false">IF(OR(C1876="",AND(D1876="",F1876="")),"",IF(N(E1876)=0,1,E1876)*IF(F1876="",IFERROR(N(INDEX(Produtos!$L$5:$L$104,MATCH(D1876,Produtos!$B$5:$B$104,0))),0),F1876))</f>
        <v/>
      </c>
      <c r="H1876" s="27" t="str">
        <f aca="false">IF(G1876="","",IF(N(E1876)=0,1,E1876)*IFERROR(N(INDEX(Produtos!$G$5:$G$104,MATCH(D1876,Produtos!$B$5:$B$104,0))),0))</f>
        <v/>
      </c>
      <c r="I1876" s="27" t="str">
        <f aca="false">IF(G1876="","",G1876-H1876)</f>
        <v/>
      </c>
      <c r="J1876" s="42"/>
    </row>
    <row r="1877" customFormat="false" ht="21" hidden="false" customHeight="true" outlineLevel="0" collapsed="false">
      <c r="B1877" s="41"/>
      <c r="C1877" s="9"/>
      <c r="D1877" s="9"/>
      <c r="E1877" s="42"/>
      <c r="F1877" s="43"/>
      <c r="G1877" s="27" t="str">
        <f aca="false">IF(OR(C1877="",AND(D1877="",F1877="")),"",IF(N(E1877)=0,1,E1877)*IF(F1877="",IFERROR(N(INDEX(Produtos!$L$5:$L$104,MATCH(D1877,Produtos!$B$5:$B$104,0))),0),F1877))</f>
        <v/>
      </c>
      <c r="H1877" s="27" t="str">
        <f aca="false">IF(G1877="","",IF(N(E1877)=0,1,E1877)*IFERROR(N(INDEX(Produtos!$G$5:$G$104,MATCH(D1877,Produtos!$B$5:$B$104,0))),0))</f>
        <v/>
      </c>
      <c r="I1877" s="27" t="str">
        <f aca="false">IF(G1877="","",G1877-H1877)</f>
        <v/>
      </c>
      <c r="J1877" s="42"/>
    </row>
    <row r="1878" customFormat="false" ht="21" hidden="false" customHeight="true" outlineLevel="0" collapsed="false">
      <c r="B1878" s="41"/>
      <c r="C1878" s="9"/>
      <c r="D1878" s="9"/>
      <c r="E1878" s="42"/>
      <c r="F1878" s="43"/>
      <c r="G1878" s="27" t="str">
        <f aca="false">IF(OR(C1878="",AND(D1878="",F1878="")),"",IF(N(E1878)=0,1,E1878)*IF(F1878="",IFERROR(N(INDEX(Produtos!$L$5:$L$104,MATCH(D1878,Produtos!$B$5:$B$104,0))),0),F1878))</f>
        <v/>
      </c>
      <c r="H1878" s="27" t="str">
        <f aca="false">IF(G1878="","",IF(N(E1878)=0,1,E1878)*IFERROR(N(INDEX(Produtos!$G$5:$G$104,MATCH(D1878,Produtos!$B$5:$B$104,0))),0))</f>
        <v/>
      </c>
      <c r="I1878" s="27" t="str">
        <f aca="false">IF(G1878="","",G1878-H1878)</f>
        <v/>
      </c>
      <c r="J1878" s="42"/>
    </row>
    <row r="1879" customFormat="false" ht="21" hidden="false" customHeight="true" outlineLevel="0" collapsed="false">
      <c r="B1879" s="41"/>
      <c r="C1879" s="9"/>
      <c r="D1879" s="9"/>
      <c r="E1879" s="42"/>
      <c r="F1879" s="43"/>
      <c r="G1879" s="27" t="str">
        <f aca="false">IF(OR(C1879="",AND(D1879="",F1879="")),"",IF(N(E1879)=0,1,E1879)*IF(F1879="",IFERROR(N(INDEX(Produtos!$L$5:$L$104,MATCH(D1879,Produtos!$B$5:$B$104,0))),0),F1879))</f>
        <v/>
      </c>
      <c r="H1879" s="27" t="str">
        <f aca="false">IF(G1879="","",IF(N(E1879)=0,1,E1879)*IFERROR(N(INDEX(Produtos!$G$5:$G$104,MATCH(D1879,Produtos!$B$5:$B$104,0))),0))</f>
        <v/>
      </c>
      <c r="I1879" s="27" t="str">
        <f aca="false">IF(G1879="","",G1879-H1879)</f>
        <v/>
      </c>
      <c r="J1879" s="42"/>
    </row>
    <row r="1880" customFormat="false" ht="21" hidden="false" customHeight="true" outlineLevel="0" collapsed="false">
      <c r="B1880" s="41"/>
      <c r="C1880" s="9"/>
      <c r="D1880" s="9"/>
      <c r="E1880" s="42"/>
      <c r="F1880" s="43"/>
      <c r="G1880" s="27" t="str">
        <f aca="false">IF(OR(C1880="",AND(D1880="",F1880="")),"",IF(N(E1880)=0,1,E1880)*IF(F1880="",IFERROR(N(INDEX(Produtos!$L$5:$L$104,MATCH(D1880,Produtos!$B$5:$B$104,0))),0),F1880))</f>
        <v/>
      </c>
      <c r="H1880" s="27" t="str">
        <f aca="false">IF(G1880="","",IF(N(E1880)=0,1,E1880)*IFERROR(N(INDEX(Produtos!$G$5:$G$104,MATCH(D1880,Produtos!$B$5:$B$104,0))),0))</f>
        <v/>
      </c>
      <c r="I1880" s="27" t="str">
        <f aca="false">IF(G1880="","",G1880-H1880)</f>
        <v/>
      </c>
      <c r="J1880" s="42"/>
    </row>
    <row r="1881" customFormat="false" ht="21" hidden="false" customHeight="true" outlineLevel="0" collapsed="false">
      <c r="B1881" s="41"/>
      <c r="C1881" s="9"/>
      <c r="D1881" s="9"/>
      <c r="E1881" s="42"/>
      <c r="F1881" s="43"/>
      <c r="G1881" s="27" t="str">
        <f aca="false">IF(OR(C1881="",AND(D1881="",F1881="")),"",IF(N(E1881)=0,1,E1881)*IF(F1881="",IFERROR(N(INDEX(Produtos!$L$5:$L$104,MATCH(D1881,Produtos!$B$5:$B$104,0))),0),F1881))</f>
        <v/>
      </c>
      <c r="H1881" s="27" t="str">
        <f aca="false">IF(G1881="","",IF(N(E1881)=0,1,E1881)*IFERROR(N(INDEX(Produtos!$G$5:$G$104,MATCH(D1881,Produtos!$B$5:$B$104,0))),0))</f>
        <v/>
      </c>
      <c r="I1881" s="27" t="str">
        <f aca="false">IF(G1881="","",G1881-H1881)</f>
        <v/>
      </c>
      <c r="J1881" s="42"/>
    </row>
    <row r="1882" customFormat="false" ht="21" hidden="false" customHeight="true" outlineLevel="0" collapsed="false">
      <c r="B1882" s="41"/>
      <c r="C1882" s="9"/>
      <c r="D1882" s="9"/>
      <c r="E1882" s="42"/>
      <c r="F1882" s="43"/>
      <c r="G1882" s="27" t="str">
        <f aca="false">IF(OR(C1882="",AND(D1882="",F1882="")),"",IF(N(E1882)=0,1,E1882)*IF(F1882="",IFERROR(N(INDEX(Produtos!$L$5:$L$104,MATCH(D1882,Produtos!$B$5:$B$104,0))),0),F1882))</f>
        <v/>
      </c>
      <c r="H1882" s="27" t="str">
        <f aca="false">IF(G1882="","",IF(N(E1882)=0,1,E1882)*IFERROR(N(INDEX(Produtos!$G$5:$G$104,MATCH(D1882,Produtos!$B$5:$B$104,0))),0))</f>
        <v/>
      </c>
      <c r="I1882" s="27" t="str">
        <f aca="false">IF(G1882="","",G1882-H1882)</f>
        <v/>
      </c>
      <c r="J1882" s="42"/>
    </row>
    <row r="1883" customFormat="false" ht="21" hidden="false" customHeight="true" outlineLevel="0" collapsed="false">
      <c r="B1883" s="41"/>
      <c r="C1883" s="9"/>
      <c r="D1883" s="9"/>
      <c r="E1883" s="42"/>
      <c r="F1883" s="43"/>
      <c r="G1883" s="27" t="str">
        <f aca="false">IF(OR(C1883="",AND(D1883="",F1883="")),"",IF(N(E1883)=0,1,E1883)*IF(F1883="",IFERROR(N(INDEX(Produtos!$L$5:$L$104,MATCH(D1883,Produtos!$B$5:$B$104,0))),0),F1883))</f>
        <v/>
      </c>
      <c r="H1883" s="27" t="str">
        <f aca="false">IF(G1883="","",IF(N(E1883)=0,1,E1883)*IFERROR(N(INDEX(Produtos!$G$5:$G$104,MATCH(D1883,Produtos!$B$5:$B$104,0))),0))</f>
        <v/>
      </c>
      <c r="I1883" s="27" t="str">
        <f aca="false">IF(G1883="","",G1883-H1883)</f>
        <v/>
      </c>
      <c r="J1883" s="42"/>
    </row>
    <row r="1884" customFormat="false" ht="21" hidden="false" customHeight="true" outlineLevel="0" collapsed="false">
      <c r="B1884" s="41"/>
      <c r="C1884" s="9"/>
      <c r="D1884" s="9"/>
      <c r="E1884" s="42"/>
      <c r="F1884" s="43"/>
      <c r="G1884" s="27" t="str">
        <f aca="false">IF(OR(C1884="",AND(D1884="",F1884="")),"",IF(N(E1884)=0,1,E1884)*IF(F1884="",IFERROR(N(INDEX(Produtos!$L$5:$L$104,MATCH(D1884,Produtos!$B$5:$B$104,0))),0),F1884))</f>
        <v/>
      </c>
      <c r="H1884" s="27" t="str">
        <f aca="false">IF(G1884="","",IF(N(E1884)=0,1,E1884)*IFERROR(N(INDEX(Produtos!$G$5:$G$104,MATCH(D1884,Produtos!$B$5:$B$104,0))),0))</f>
        <v/>
      </c>
      <c r="I1884" s="27" t="str">
        <f aca="false">IF(G1884="","",G1884-H1884)</f>
        <v/>
      </c>
      <c r="J1884" s="42"/>
    </row>
    <row r="1885" customFormat="false" ht="21" hidden="false" customHeight="true" outlineLevel="0" collapsed="false">
      <c r="B1885" s="41"/>
      <c r="C1885" s="9"/>
      <c r="D1885" s="9"/>
      <c r="E1885" s="42"/>
      <c r="F1885" s="43"/>
      <c r="G1885" s="27" t="str">
        <f aca="false">IF(OR(C1885="",AND(D1885="",F1885="")),"",IF(N(E1885)=0,1,E1885)*IF(F1885="",IFERROR(N(INDEX(Produtos!$L$5:$L$104,MATCH(D1885,Produtos!$B$5:$B$104,0))),0),F1885))</f>
        <v/>
      </c>
      <c r="H1885" s="27" t="str">
        <f aca="false">IF(G1885="","",IF(N(E1885)=0,1,E1885)*IFERROR(N(INDEX(Produtos!$G$5:$G$104,MATCH(D1885,Produtos!$B$5:$B$104,0))),0))</f>
        <v/>
      </c>
      <c r="I1885" s="27" t="str">
        <f aca="false">IF(G1885="","",G1885-H1885)</f>
        <v/>
      </c>
      <c r="J1885" s="42"/>
    </row>
    <row r="1886" customFormat="false" ht="21" hidden="false" customHeight="true" outlineLevel="0" collapsed="false">
      <c r="B1886" s="41"/>
      <c r="C1886" s="9"/>
      <c r="D1886" s="9"/>
      <c r="E1886" s="42"/>
      <c r="F1886" s="43"/>
      <c r="G1886" s="27" t="str">
        <f aca="false">IF(OR(C1886="",AND(D1886="",F1886="")),"",IF(N(E1886)=0,1,E1886)*IF(F1886="",IFERROR(N(INDEX(Produtos!$L$5:$L$104,MATCH(D1886,Produtos!$B$5:$B$104,0))),0),F1886))</f>
        <v/>
      </c>
      <c r="H1886" s="27" t="str">
        <f aca="false">IF(G1886="","",IF(N(E1886)=0,1,E1886)*IFERROR(N(INDEX(Produtos!$G$5:$G$104,MATCH(D1886,Produtos!$B$5:$B$104,0))),0))</f>
        <v/>
      </c>
      <c r="I1886" s="27" t="str">
        <f aca="false">IF(G1886="","",G1886-H1886)</f>
        <v/>
      </c>
      <c r="J1886" s="42"/>
    </row>
    <row r="1887" customFormat="false" ht="21" hidden="false" customHeight="true" outlineLevel="0" collapsed="false">
      <c r="B1887" s="41"/>
      <c r="C1887" s="9"/>
      <c r="D1887" s="9"/>
      <c r="E1887" s="42"/>
      <c r="F1887" s="43"/>
      <c r="G1887" s="27" t="str">
        <f aca="false">IF(OR(C1887="",AND(D1887="",F1887="")),"",IF(N(E1887)=0,1,E1887)*IF(F1887="",IFERROR(N(INDEX(Produtos!$L$5:$L$104,MATCH(D1887,Produtos!$B$5:$B$104,0))),0),F1887))</f>
        <v/>
      </c>
      <c r="H1887" s="27" t="str">
        <f aca="false">IF(G1887="","",IF(N(E1887)=0,1,E1887)*IFERROR(N(INDEX(Produtos!$G$5:$G$104,MATCH(D1887,Produtos!$B$5:$B$104,0))),0))</f>
        <v/>
      </c>
      <c r="I1887" s="27" t="str">
        <f aca="false">IF(G1887="","",G1887-H1887)</f>
        <v/>
      </c>
      <c r="J1887" s="42"/>
    </row>
    <row r="1888" customFormat="false" ht="21" hidden="false" customHeight="true" outlineLevel="0" collapsed="false">
      <c r="B1888" s="41"/>
      <c r="C1888" s="9"/>
      <c r="D1888" s="9"/>
      <c r="E1888" s="42"/>
      <c r="F1888" s="43"/>
      <c r="G1888" s="27" t="str">
        <f aca="false">IF(OR(C1888="",AND(D1888="",F1888="")),"",IF(N(E1888)=0,1,E1888)*IF(F1888="",IFERROR(N(INDEX(Produtos!$L$5:$L$104,MATCH(D1888,Produtos!$B$5:$B$104,0))),0),F1888))</f>
        <v/>
      </c>
      <c r="H1888" s="27" t="str">
        <f aca="false">IF(G1888="","",IF(N(E1888)=0,1,E1888)*IFERROR(N(INDEX(Produtos!$G$5:$G$104,MATCH(D1888,Produtos!$B$5:$B$104,0))),0))</f>
        <v/>
      </c>
      <c r="I1888" s="27" t="str">
        <f aca="false">IF(G1888="","",G1888-H1888)</f>
        <v/>
      </c>
      <c r="J1888" s="42"/>
    </row>
    <row r="1889" customFormat="false" ht="21" hidden="false" customHeight="true" outlineLevel="0" collapsed="false">
      <c r="B1889" s="41"/>
      <c r="C1889" s="9"/>
      <c r="D1889" s="9"/>
      <c r="E1889" s="42"/>
      <c r="F1889" s="43"/>
      <c r="G1889" s="27" t="str">
        <f aca="false">IF(OR(C1889="",AND(D1889="",F1889="")),"",IF(N(E1889)=0,1,E1889)*IF(F1889="",IFERROR(N(INDEX(Produtos!$L$5:$L$104,MATCH(D1889,Produtos!$B$5:$B$104,0))),0),F1889))</f>
        <v/>
      </c>
      <c r="H1889" s="27" t="str">
        <f aca="false">IF(G1889="","",IF(N(E1889)=0,1,E1889)*IFERROR(N(INDEX(Produtos!$G$5:$G$104,MATCH(D1889,Produtos!$B$5:$B$104,0))),0))</f>
        <v/>
      </c>
      <c r="I1889" s="27" t="str">
        <f aca="false">IF(G1889="","",G1889-H1889)</f>
        <v/>
      </c>
      <c r="J1889" s="42"/>
    </row>
    <row r="1890" customFormat="false" ht="21" hidden="false" customHeight="true" outlineLevel="0" collapsed="false">
      <c r="B1890" s="41"/>
      <c r="C1890" s="9"/>
      <c r="D1890" s="9"/>
      <c r="E1890" s="42"/>
      <c r="F1890" s="43"/>
      <c r="G1890" s="27" t="str">
        <f aca="false">IF(OR(C1890="",AND(D1890="",F1890="")),"",IF(N(E1890)=0,1,E1890)*IF(F1890="",IFERROR(N(INDEX(Produtos!$L$5:$L$104,MATCH(D1890,Produtos!$B$5:$B$104,0))),0),F1890))</f>
        <v/>
      </c>
      <c r="H1890" s="27" t="str">
        <f aca="false">IF(G1890="","",IF(N(E1890)=0,1,E1890)*IFERROR(N(INDEX(Produtos!$G$5:$G$104,MATCH(D1890,Produtos!$B$5:$B$104,0))),0))</f>
        <v/>
      </c>
      <c r="I1890" s="27" t="str">
        <f aca="false">IF(G1890="","",G1890-H1890)</f>
        <v/>
      </c>
      <c r="J1890" s="42"/>
    </row>
    <row r="1891" customFormat="false" ht="21" hidden="false" customHeight="true" outlineLevel="0" collapsed="false">
      <c r="B1891" s="41"/>
      <c r="C1891" s="9"/>
      <c r="D1891" s="9"/>
      <c r="E1891" s="42"/>
      <c r="F1891" s="43"/>
      <c r="G1891" s="27" t="str">
        <f aca="false">IF(OR(C1891="",AND(D1891="",F1891="")),"",IF(N(E1891)=0,1,E1891)*IF(F1891="",IFERROR(N(INDEX(Produtos!$L$5:$L$104,MATCH(D1891,Produtos!$B$5:$B$104,0))),0),F1891))</f>
        <v/>
      </c>
      <c r="H1891" s="27" t="str">
        <f aca="false">IF(G1891="","",IF(N(E1891)=0,1,E1891)*IFERROR(N(INDEX(Produtos!$G$5:$G$104,MATCH(D1891,Produtos!$B$5:$B$104,0))),0))</f>
        <v/>
      </c>
      <c r="I1891" s="27" t="str">
        <f aca="false">IF(G1891="","",G1891-H1891)</f>
        <v/>
      </c>
      <c r="J1891" s="42"/>
    </row>
    <row r="1892" customFormat="false" ht="21" hidden="false" customHeight="true" outlineLevel="0" collapsed="false">
      <c r="B1892" s="41"/>
      <c r="C1892" s="9"/>
      <c r="D1892" s="9"/>
      <c r="E1892" s="42"/>
      <c r="F1892" s="43"/>
      <c r="G1892" s="27" t="str">
        <f aca="false">IF(OR(C1892="",AND(D1892="",F1892="")),"",IF(N(E1892)=0,1,E1892)*IF(F1892="",IFERROR(N(INDEX(Produtos!$L$5:$L$104,MATCH(D1892,Produtos!$B$5:$B$104,0))),0),F1892))</f>
        <v/>
      </c>
      <c r="H1892" s="27" t="str">
        <f aca="false">IF(G1892="","",IF(N(E1892)=0,1,E1892)*IFERROR(N(INDEX(Produtos!$G$5:$G$104,MATCH(D1892,Produtos!$B$5:$B$104,0))),0))</f>
        <v/>
      </c>
      <c r="I1892" s="27" t="str">
        <f aca="false">IF(G1892="","",G1892-H1892)</f>
        <v/>
      </c>
      <c r="J1892" s="42"/>
    </row>
    <row r="1893" customFormat="false" ht="21" hidden="false" customHeight="true" outlineLevel="0" collapsed="false">
      <c r="B1893" s="41"/>
      <c r="C1893" s="9"/>
      <c r="D1893" s="9"/>
      <c r="E1893" s="42"/>
      <c r="F1893" s="43"/>
      <c r="G1893" s="27" t="str">
        <f aca="false">IF(OR(C1893="",AND(D1893="",F1893="")),"",IF(N(E1893)=0,1,E1893)*IF(F1893="",IFERROR(N(INDEX(Produtos!$L$5:$L$104,MATCH(D1893,Produtos!$B$5:$B$104,0))),0),F1893))</f>
        <v/>
      </c>
      <c r="H1893" s="27" t="str">
        <f aca="false">IF(G1893="","",IF(N(E1893)=0,1,E1893)*IFERROR(N(INDEX(Produtos!$G$5:$G$104,MATCH(D1893,Produtos!$B$5:$B$104,0))),0))</f>
        <v/>
      </c>
      <c r="I1893" s="27" t="str">
        <f aca="false">IF(G1893="","",G1893-H1893)</f>
        <v/>
      </c>
      <c r="J1893" s="42"/>
    </row>
    <row r="1894" customFormat="false" ht="21" hidden="false" customHeight="true" outlineLevel="0" collapsed="false">
      <c r="B1894" s="41"/>
      <c r="C1894" s="9"/>
      <c r="D1894" s="9"/>
      <c r="E1894" s="42"/>
      <c r="F1894" s="43"/>
      <c r="G1894" s="27" t="str">
        <f aca="false">IF(OR(C1894="",AND(D1894="",F1894="")),"",IF(N(E1894)=0,1,E1894)*IF(F1894="",IFERROR(N(INDEX(Produtos!$L$5:$L$104,MATCH(D1894,Produtos!$B$5:$B$104,0))),0),F1894))</f>
        <v/>
      </c>
      <c r="H1894" s="27" t="str">
        <f aca="false">IF(G1894="","",IF(N(E1894)=0,1,E1894)*IFERROR(N(INDEX(Produtos!$G$5:$G$104,MATCH(D1894,Produtos!$B$5:$B$104,0))),0))</f>
        <v/>
      </c>
      <c r="I1894" s="27" t="str">
        <f aca="false">IF(G1894="","",G1894-H1894)</f>
        <v/>
      </c>
      <c r="J1894" s="42"/>
    </row>
    <row r="1895" customFormat="false" ht="21" hidden="false" customHeight="true" outlineLevel="0" collapsed="false">
      <c r="B1895" s="41"/>
      <c r="C1895" s="9"/>
      <c r="D1895" s="9"/>
      <c r="E1895" s="42"/>
      <c r="F1895" s="43"/>
      <c r="G1895" s="27" t="str">
        <f aca="false">IF(OR(C1895="",AND(D1895="",F1895="")),"",IF(N(E1895)=0,1,E1895)*IF(F1895="",IFERROR(N(INDEX(Produtos!$L$5:$L$104,MATCH(D1895,Produtos!$B$5:$B$104,0))),0),F1895))</f>
        <v/>
      </c>
      <c r="H1895" s="27" t="str">
        <f aca="false">IF(G1895="","",IF(N(E1895)=0,1,E1895)*IFERROR(N(INDEX(Produtos!$G$5:$G$104,MATCH(D1895,Produtos!$B$5:$B$104,0))),0))</f>
        <v/>
      </c>
      <c r="I1895" s="27" t="str">
        <f aca="false">IF(G1895="","",G1895-H1895)</f>
        <v/>
      </c>
      <c r="J1895" s="42"/>
    </row>
    <row r="1896" customFormat="false" ht="21" hidden="false" customHeight="true" outlineLevel="0" collapsed="false">
      <c r="B1896" s="41"/>
      <c r="C1896" s="9"/>
      <c r="D1896" s="9"/>
      <c r="E1896" s="42"/>
      <c r="F1896" s="43"/>
      <c r="G1896" s="27" t="str">
        <f aca="false">IF(OR(C1896="",AND(D1896="",F1896="")),"",IF(N(E1896)=0,1,E1896)*IF(F1896="",IFERROR(N(INDEX(Produtos!$L$5:$L$104,MATCH(D1896,Produtos!$B$5:$B$104,0))),0),F1896))</f>
        <v/>
      </c>
      <c r="H1896" s="27" t="str">
        <f aca="false">IF(G1896="","",IF(N(E1896)=0,1,E1896)*IFERROR(N(INDEX(Produtos!$G$5:$G$104,MATCH(D1896,Produtos!$B$5:$B$104,0))),0))</f>
        <v/>
      </c>
      <c r="I1896" s="27" t="str">
        <f aca="false">IF(G1896="","",G1896-H1896)</f>
        <v/>
      </c>
      <c r="J1896" s="42"/>
    </row>
    <row r="1897" customFormat="false" ht="21" hidden="false" customHeight="true" outlineLevel="0" collapsed="false">
      <c r="B1897" s="41"/>
      <c r="C1897" s="9"/>
      <c r="D1897" s="9"/>
      <c r="E1897" s="42"/>
      <c r="F1897" s="43"/>
      <c r="G1897" s="27" t="str">
        <f aca="false">IF(OR(C1897="",AND(D1897="",F1897="")),"",IF(N(E1897)=0,1,E1897)*IF(F1897="",IFERROR(N(INDEX(Produtos!$L$5:$L$104,MATCH(D1897,Produtos!$B$5:$B$104,0))),0),F1897))</f>
        <v/>
      </c>
      <c r="H1897" s="27" t="str">
        <f aca="false">IF(G1897="","",IF(N(E1897)=0,1,E1897)*IFERROR(N(INDEX(Produtos!$G$5:$G$104,MATCH(D1897,Produtos!$B$5:$B$104,0))),0))</f>
        <v/>
      </c>
      <c r="I1897" s="27" t="str">
        <f aca="false">IF(G1897="","",G1897-H1897)</f>
        <v/>
      </c>
      <c r="J1897" s="42"/>
    </row>
    <row r="1898" customFormat="false" ht="21" hidden="false" customHeight="true" outlineLevel="0" collapsed="false">
      <c r="B1898" s="41"/>
      <c r="C1898" s="9"/>
      <c r="D1898" s="9"/>
      <c r="E1898" s="42"/>
      <c r="F1898" s="43"/>
      <c r="G1898" s="27" t="str">
        <f aca="false">IF(OR(C1898="",AND(D1898="",F1898="")),"",IF(N(E1898)=0,1,E1898)*IF(F1898="",IFERROR(N(INDEX(Produtos!$L$5:$L$104,MATCH(D1898,Produtos!$B$5:$B$104,0))),0),F1898))</f>
        <v/>
      </c>
      <c r="H1898" s="27" t="str">
        <f aca="false">IF(G1898="","",IF(N(E1898)=0,1,E1898)*IFERROR(N(INDEX(Produtos!$G$5:$G$104,MATCH(D1898,Produtos!$B$5:$B$104,0))),0))</f>
        <v/>
      </c>
      <c r="I1898" s="27" t="str">
        <f aca="false">IF(G1898="","",G1898-H1898)</f>
        <v/>
      </c>
      <c r="J1898" s="42"/>
    </row>
    <row r="1899" customFormat="false" ht="21" hidden="false" customHeight="true" outlineLevel="0" collapsed="false">
      <c r="B1899" s="41"/>
      <c r="C1899" s="9"/>
      <c r="D1899" s="9"/>
      <c r="E1899" s="42"/>
      <c r="F1899" s="43"/>
      <c r="G1899" s="27" t="str">
        <f aca="false">IF(OR(C1899="",AND(D1899="",F1899="")),"",IF(N(E1899)=0,1,E1899)*IF(F1899="",IFERROR(N(INDEX(Produtos!$L$5:$L$104,MATCH(D1899,Produtos!$B$5:$B$104,0))),0),F1899))</f>
        <v/>
      </c>
      <c r="H1899" s="27" t="str">
        <f aca="false">IF(G1899="","",IF(N(E1899)=0,1,E1899)*IFERROR(N(INDEX(Produtos!$G$5:$G$104,MATCH(D1899,Produtos!$B$5:$B$104,0))),0))</f>
        <v/>
      </c>
      <c r="I1899" s="27" t="str">
        <f aca="false">IF(G1899="","",G1899-H1899)</f>
        <v/>
      </c>
      <c r="J1899" s="42"/>
    </row>
    <row r="1900" customFormat="false" ht="21" hidden="false" customHeight="true" outlineLevel="0" collapsed="false">
      <c r="B1900" s="41"/>
      <c r="C1900" s="9"/>
      <c r="D1900" s="9"/>
      <c r="E1900" s="42"/>
      <c r="F1900" s="43"/>
      <c r="G1900" s="27" t="str">
        <f aca="false">IF(OR(C1900="",AND(D1900="",F1900="")),"",IF(N(E1900)=0,1,E1900)*IF(F1900="",IFERROR(N(INDEX(Produtos!$L$5:$L$104,MATCH(D1900,Produtos!$B$5:$B$104,0))),0),F1900))</f>
        <v/>
      </c>
      <c r="H1900" s="27" t="str">
        <f aca="false">IF(G1900="","",IF(N(E1900)=0,1,E1900)*IFERROR(N(INDEX(Produtos!$G$5:$G$104,MATCH(D1900,Produtos!$B$5:$B$104,0))),0))</f>
        <v/>
      </c>
      <c r="I1900" s="27" t="str">
        <f aca="false">IF(G1900="","",G1900-H1900)</f>
        <v/>
      </c>
      <c r="J1900" s="42"/>
    </row>
    <row r="1901" customFormat="false" ht="21" hidden="false" customHeight="true" outlineLevel="0" collapsed="false">
      <c r="B1901" s="41"/>
      <c r="C1901" s="9"/>
      <c r="D1901" s="9"/>
      <c r="E1901" s="42"/>
      <c r="F1901" s="43"/>
      <c r="G1901" s="27" t="str">
        <f aca="false">IF(OR(C1901="",AND(D1901="",F1901="")),"",IF(N(E1901)=0,1,E1901)*IF(F1901="",IFERROR(N(INDEX(Produtos!$L$5:$L$104,MATCH(D1901,Produtos!$B$5:$B$104,0))),0),F1901))</f>
        <v/>
      </c>
      <c r="H1901" s="27" t="str">
        <f aca="false">IF(G1901="","",IF(N(E1901)=0,1,E1901)*IFERROR(N(INDEX(Produtos!$G$5:$G$104,MATCH(D1901,Produtos!$B$5:$B$104,0))),0))</f>
        <v/>
      </c>
      <c r="I1901" s="27" t="str">
        <f aca="false">IF(G1901="","",G1901-H1901)</f>
        <v/>
      </c>
      <c r="J1901" s="42"/>
    </row>
    <row r="1902" customFormat="false" ht="21" hidden="false" customHeight="true" outlineLevel="0" collapsed="false">
      <c r="B1902" s="41"/>
      <c r="C1902" s="9"/>
      <c r="D1902" s="9"/>
      <c r="E1902" s="42"/>
      <c r="F1902" s="43"/>
      <c r="G1902" s="27" t="str">
        <f aca="false">IF(OR(C1902="",AND(D1902="",F1902="")),"",IF(N(E1902)=0,1,E1902)*IF(F1902="",IFERROR(N(INDEX(Produtos!$L$5:$L$104,MATCH(D1902,Produtos!$B$5:$B$104,0))),0),F1902))</f>
        <v/>
      </c>
      <c r="H1902" s="27" t="str">
        <f aca="false">IF(G1902="","",IF(N(E1902)=0,1,E1902)*IFERROR(N(INDEX(Produtos!$G$5:$G$104,MATCH(D1902,Produtos!$B$5:$B$104,0))),0))</f>
        <v/>
      </c>
      <c r="I1902" s="27" t="str">
        <f aca="false">IF(G1902="","",G1902-H1902)</f>
        <v/>
      </c>
      <c r="J1902" s="42"/>
    </row>
    <row r="1903" customFormat="false" ht="21" hidden="false" customHeight="true" outlineLevel="0" collapsed="false">
      <c r="B1903" s="41"/>
      <c r="C1903" s="9"/>
      <c r="D1903" s="9"/>
      <c r="E1903" s="42"/>
      <c r="F1903" s="43"/>
      <c r="G1903" s="27" t="str">
        <f aca="false">IF(OR(C1903="",AND(D1903="",F1903="")),"",IF(N(E1903)=0,1,E1903)*IF(F1903="",IFERROR(N(INDEX(Produtos!$L$5:$L$104,MATCH(D1903,Produtos!$B$5:$B$104,0))),0),F1903))</f>
        <v/>
      </c>
      <c r="H1903" s="27" t="str">
        <f aca="false">IF(G1903="","",IF(N(E1903)=0,1,E1903)*IFERROR(N(INDEX(Produtos!$G$5:$G$104,MATCH(D1903,Produtos!$B$5:$B$104,0))),0))</f>
        <v/>
      </c>
      <c r="I1903" s="27" t="str">
        <f aca="false">IF(G1903="","",G1903-H1903)</f>
        <v/>
      </c>
      <c r="J1903" s="42"/>
    </row>
    <row r="1904" customFormat="false" ht="21" hidden="false" customHeight="true" outlineLevel="0" collapsed="false">
      <c r="B1904" s="41"/>
      <c r="C1904" s="9"/>
      <c r="D1904" s="9"/>
      <c r="E1904" s="42"/>
      <c r="F1904" s="43"/>
      <c r="G1904" s="27" t="str">
        <f aca="false">IF(OR(C1904="",AND(D1904="",F1904="")),"",IF(N(E1904)=0,1,E1904)*IF(F1904="",IFERROR(N(INDEX(Produtos!$L$5:$L$104,MATCH(D1904,Produtos!$B$5:$B$104,0))),0),F1904))</f>
        <v/>
      </c>
      <c r="H1904" s="27" t="str">
        <f aca="false">IF(G1904="","",IF(N(E1904)=0,1,E1904)*IFERROR(N(INDEX(Produtos!$G$5:$G$104,MATCH(D1904,Produtos!$B$5:$B$104,0))),0))</f>
        <v/>
      </c>
      <c r="I1904" s="27" t="str">
        <f aca="false">IF(G1904="","",G1904-H1904)</f>
        <v/>
      </c>
      <c r="J1904" s="42"/>
    </row>
    <row r="1905" customFormat="false" ht="21" hidden="false" customHeight="true" outlineLevel="0" collapsed="false">
      <c r="B1905" s="41"/>
      <c r="C1905" s="9"/>
      <c r="D1905" s="9"/>
      <c r="E1905" s="42"/>
      <c r="F1905" s="43"/>
      <c r="G1905" s="27" t="str">
        <f aca="false">IF(OR(C1905="",AND(D1905="",F1905="")),"",IF(N(E1905)=0,1,E1905)*IF(F1905="",IFERROR(N(INDEX(Produtos!$L$5:$L$104,MATCH(D1905,Produtos!$B$5:$B$104,0))),0),F1905))</f>
        <v/>
      </c>
      <c r="H1905" s="27" t="str">
        <f aca="false">IF(G1905="","",IF(N(E1905)=0,1,E1905)*IFERROR(N(INDEX(Produtos!$G$5:$G$104,MATCH(D1905,Produtos!$B$5:$B$104,0))),0))</f>
        <v/>
      </c>
      <c r="I1905" s="27" t="str">
        <f aca="false">IF(G1905="","",G1905-H1905)</f>
        <v/>
      </c>
      <c r="J1905" s="42"/>
    </row>
    <row r="1906" customFormat="false" ht="21" hidden="false" customHeight="true" outlineLevel="0" collapsed="false">
      <c r="B1906" s="41"/>
      <c r="C1906" s="9"/>
      <c r="D1906" s="9"/>
      <c r="E1906" s="42"/>
      <c r="F1906" s="43"/>
      <c r="G1906" s="27" t="str">
        <f aca="false">IF(OR(C1906="",AND(D1906="",F1906="")),"",IF(N(E1906)=0,1,E1906)*IF(F1906="",IFERROR(N(INDEX(Produtos!$L$5:$L$104,MATCH(D1906,Produtos!$B$5:$B$104,0))),0),F1906))</f>
        <v/>
      </c>
      <c r="H1906" s="27" t="str">
        <f aca="false">IF(G1906="","",IF(N(E1906)=0,1,E1906)*IFERROR(N(INDEX(Produtos!$G$5:$G$104,MATCH(D1906,Produtos!$B$5:$B$104,0))),0))</f>
        <v/>
      </c>
      <c r="I1906" s="27" t="str">
        <f aca="false">IF(G1906="","",G1906-H1906)</f>
        <v/>
      </c>
      <c r="J1906" s="42"/>
    </row>
    <row r="1907" customFormat="false" ht="21" hidden="false" customHeight="true" outlineLevel="0" collapsed="false">
      <c r="B1907" s="41"/>
      <c r="C1907" s="9"/>
      <c r="D1907" s="9"/>
      <c r="E1907" s="42"/>
      <c r="F1907" s="43"/>
      <c r="G1907" s="27" t="str">
        <f aca="false">IF(OR(C1907="",AND(D1907="",F1907="")),"",IF(N(E1907)=0,1,E1907)*IF(F1907="",IFERROR(N(INDEX(Produtos!$L$5:$L$104,MATCH(D1907,Produtos!$B$5:$B$104,0))),0),F1907))</f>
        <v/>
      </c>
      <c r="H1907" s="27" t="str">
        <f aca="false">IF(G1907="","",IF(N(E1907)=0,1,E1907)*IFERROR(N(INDEX(Produtos!$G$5:$G$104,MATCH(D1907,Produtos!$B$5:$B$104,0))),0))</f>
        <v/>
      </c>
      <c r="I1907" s="27" t="str">
        <f aca="false">IF(G1907="","",G1907-H1907)</f>
        <v/>
      </c>
      <c r="J1907" s="42"/>
    </row>
    <row r="1908" customFormat="false" ht="21" hidden="false" customHeight="true" outlineLevel="0" collapsed="false">
      <c r="B1908" s="41"/>
      <c r="C1908" s="9"/>
      <c r="D1908" s="9"/>
      <c r="E1908" s="42"/>
      <c r="F1908" s="43"/>
      <c r="G1908" s="27" t="str">
        <f aca="false">IF(OR(C1908="",AND(D1908="",F1908="")),"",IF(N(E1908)=0,1,E1908)*IF(F1908="",IFERROR(N(INDEX(Produtos!$L$5:$L$104,MATCH(D1908,Produtos!$B$5:$B$104,0))),0),F1908))</f>
        <v/>
      </c>
      <c r="H1908" s="27" t="str">
        <f aca="false">IF(G1908="","",IF(N(E1908)=0,1,E1908)*IFERROR(N(INDEX(Produtos!$G$5:$G$104,MATCH(D1908,Produtos!$B$5:$B$104,0))),0))</f>
        <v/>
      </c>
      <c r="I1908" s="27" t="str">
        <f aca="false">IF(G1908="","",G1908-H1908)</f>
        <v/>
      </c>
      <c r="J1908" s="42"/>
    </row>
    <row r="1909" customFormat="false" ht="21" hidden="false" customHeight="true" outlineLevel="0" collapsed="false">
      <c r="B1909" s="41"/>
      <c r="C1909" s="9"/>
      <c r="D1909" s="9"/>
      <c r="E1909" s="42"/>
      <c r="F1909" s="43"/>
      <c r="G1909" s="27" t="str">
        <f aca="false">IF(OR(C1909="",AND(D1909="",F1909="")),"",IF(N(E1909)=0,1,E1909)*IF(F1909="",IFERROR(N(INDEX(Produtos!$L$5:$L$104,MATCH(D1909,Produtos!$B$5:$B$104,0))),0),F1909))</f>
        <v/>
      </c>
      <c r="H1909" s="27" t="str">
        <f aca="false">IF(G1909="","",IF(N(E1909)=0,1,E1909)*IFERROR(N(INDEX(Produtos!$G$5:$G$104,MATCH(D1909,Produtos!$B$5:$B$104,0))),0))</f>
        <v/>
      </c>
      <c r="I1909" s="27" t="str">
        <f aca="false">IF(G1909="","",G1909-H1909)</f>
        <v/>
      </c>
      <c r="J1909" s="42"/>
    </row>
    <row r="1910" customFormat="false" ht="21" hidden="false" customHeight="true" outlineLevel="0" collapsed="false">
      <c r="B1910" s="41"/>
      <c r="C1910" s="9"/>
      <c r="D1910" s="9"/>
      <c r="E1910" s="42"/>
      <c r="F1910" s="43"/>
      <c r="G1910" s="27" t="str">
        <f aca="false">IF(OR(C1910="",AND(D1910="",F1910="")),"",IF(N(E1910)=0,1,E1910)*IF(F1910="",IFERROR(N(INDEX(Produtos!$L$5:$L$104,MATCH(D1910,Produtos!$B$5:$B$104,0))),0),F1910))</f>
        <v/>
      </c>
      <c r="H1910" s="27" t="str">
        <f aca="false">IF(G1910="","",IF(N(E1910)=0,1,E1910)*IFERROR(N(INDEX(Produtos!$G$5:$G$104,MATCH(D1910,Produtos!$B$5:$B$104,0))),0))</f>
        <v/>
      </c>
      <c r="I1910" s="27" t="str">
        <f aca="false">IF(G1910="","",G1910-H1910)</f>
        <v/>
      </c>
      <c r="J1910" s="42"/>
    </row>
    <row r="1911" customFormat="false" ht="21" hidden="false" customHeight="true" outlineLevel="0" collapsed="false">
      <c r="B1911" s="41"/>
      <c r="C1911" s="9"/>
      <c r="D1911" s="9"/>
      <c r="E1911" s="42"/>
      <c r="F1911" s="43"/>
      <c r="G1911" s="27" t="str">
        <f aca="false">IF(OR(C1911="",AND(D1911="",F1911="")),"",IF(N(E1911)=0,1,E1911)*IF(F1911="",IFERROR(N(INDEX(Produtos!$L$5:$L$104,MATCH(D1911,Produtos!$B$5:$B$104,0))),0),F1911))</f>
        <v/>
      </c>
      <c r="H1911" s="27" t="str">
        <f aca="false">IF(G1911="","",IF(N(E1911)=0,1,E1911)*IFERROR(N(INDEX(Produtos!$G$5:$G$104,MATCH(D1911,Produtos!$B$5:$B$104,0))),0))</f>
        <v/>
      </c>
      <c r="I1911" s="27" t="str">
        <f aca="false">IF(G1911="","",G1911-H1911)</f>
        <v/>
      </c>
      <c r="J1911" s="42"/>
    </row>
    <row r="1912" customFormat="false" ht="21" hidden="false" customHeight="true" outlineLevel="0" collapsed="false">
      <c r="B1912" s="41"/>
      <c r="C1912" s="9"/>
      <c r="D1912" s="9"/>
      <c r="E1912" s="42"/>
      <c r="F1912" s="43"/>
      <c r="G1912" s="27" t="str">
        <f aca="false">IF(OR(C1912="",AND(D1912="",F1912="")),"",IF(N(E1912)=0,1,E1912)*IF(F1912="",IFERROR(N(INDEX(Produtos!$L$5:$L$104,MATCH(D1912,Produtos!$B$5:$B$104,0))),0),F1912))</f>
        <v/>
      </c>
      <c r="H1912" s="27" t="str">
        <f aca="false">IF(G1912="","",IF(N(E1912)=0,1,E1912)*IFERROR(N(INDEX(Produtos!$G$5:$G$104,MATCH(D1912,Produtos!$B$5:$B$104,0))),0))</f>
        <v/>
      </c>
      <c r="I1912" s="27" t="str">
        <f aca="false">IF(G1912="","",G1912-H1912)</f>
        <v/>
      </c>
      <c r="J1912" s="42"/>
    </row>
    <row r="1913" customFormat="false" ht="21" hidden="false" customHeight="true" outlineLevel="0" collapsed="false">
      <c r="B1913" s="41"/>
      <c r="C1913" s="9"/>
      <c r="D1913" s="9"/>
      <c r="E1913" s="42"/>
      <c r="F1913" s="43"/>
      <c r="G1913" s="27" t="str">
        <f aca="false">IF(OR(C1913="",AND(D1913="",F1913="")),"",IF(N(E1913)=0,1,E1913)*IF(F1913="",IFERROR(N(INDEX(Produtos!$L$5:$L$104,MATCH(D1913,Produtos!$B$5:$B$104,0))),0),F1913))</f>
        <v/>
      </c>
      <c r="H1913" s="27" t="str">
        <f aca="false">IF(G1913="","",IF(N(E1913)=0,1,E1913)*IFERROR(N(INDEX(Produtos!$G$5:$G$104,MATCH(D1913,Produtos!$B$5:$B$104,0))),0))</f>
        <v/>
      </c>
      <c r="I1913" s="27" t="str">
        <f aca="false">IF(G1913="","",G1913-H1913)</f>
        <v/>
      </c>
      <c r="J1913" s="42"/>
    </row>
    <row r="1914" customFormat="false" ht="21" hidden="false" customHeight="true" outlineLevel="0" collapsed="false">
      <c r="B1914" s="41"/>
      <c r="C1914" s="9"/>
      <c r="D1914" s="9"/>
      <c r="E1914" s="42"/>
      <c r="F1914" s="43"/>
      <c r="G1914" s="27" t="str">
        <f aca="false">IF(OR(C1914="",AND(D1914="",F1914="")),"",IF(N(E1914)=0,1,E1914)*IF(F1914="",IFERROR(N(INDEX(Produtos!$L$5:$L$104,MATCH(D1914,Produtos!$B$5:$B$104,0))),0),F1914))</f>
        <v/>
      </c>
      <c r="H1914" s="27" t="str">
        <f aca="false">IF(G1914="","",IF(N(E1914)=0,1,E1914)*IFERROR(N(INDEX(Produtos!$G$5:$G$104,MATCH(D1914,Produtos!$B$5:$B$104,0))),0))</f>
        <v/>
      </c>
      <c r="I1914" s="27" t="str">
        <f aca="false">IF(G1914="","",G1914-H1914)</f>
        <v/>
      </c>
      <c r="J1914" s="42"/>
    </row>
    <row r="1915" customFormat="false" ht="21" hidden="false" customHeight="true" outlineLevel="0" collapsed="false">
      <c r="B1915" s="41"/>
      <c r="C1915" s="9"/>
      <c r="D1915" s="9"/>
      <c r="E1915" s="42"/>
      <c r="F1915" s="43"/>
      <c r="G1915" s="27" t="str">
        <f aca="false">IF(OR(C1915="",AND(D1915="",F1915="")),"",IF(N(E1915)=0,1,E1915)*IF(F1915="",IFERROR(N(INDEX(Produtos!$L$5:$L$104,MATCH(D1915,Produtos!$B$5:$B$104,0))),0),F1915))</f>
        <v/>
      </c>
      <c r="H1915" s="27" t="str">
        <f aca="false">IF(G1915="","",IF(N(E1915)=0,1,E1915)*IFERROR(N(INDEX(Produtos!$G$5:$G$104,MATCH(D1915,Produtos!$B$5:$B$104,0))),0))</f>
        <v/>
      </c>
      <c r="I1915" s="27" t="str">
        <f aca="false">IF(G1915="","",G1915-H1915)</f>
        <v/>
      </c>
      <c r="J1915" s="42"/>
    </row>
    <row r="1916" customFormat="false" ht="21" hidden="false" customHeight="true" outlineLevel="0" collapsed="false">
      <c r="B1916" s="41"/>
      <c r="C1916" s="9"/>
      <c r="D1916" s="9"/>
      <c r="E1916" s="42"/>
      <c r="F1916" s="43"/>
      <c r="G1916" s="27" t="str">
        <f aca="false">IF(OR(C1916="",AND(D1916="",F1916="")),"",IF(N(E1916)=0,1,E1916)*IF(F1916="",IFERROR(N(INDEX(Produtos!$L$5:$L$104,MATCH(D1916,Produtos!$B$5:$B$104,0))),0),F1916))</f>
        <v/>
      </c>
      <c r="H1916" s="27" t="str">
        <f aca="false">IF(G1916="","",IF(N(E1916)=0,1,E1916)*IFERROR(N(INDEX(Produtos!$G$5:$G$104,MATCH(D1916,Produtos!$B$5:$B$104,0))),0))</f>
        <v/>
      </c>
      <c r="I1916" s="27" t="str">
        <f aca="false">IF(G1916="","",G1916-H1916)</f>
        <v/>
      </c>
      <c r="J1916" s="42"/>
    </row>
    <row r="1917" customFormat="false" ht="21" hidden="false" customHeight="true" outlineLevel="0" collapsed="false">
      <c r="B1917" s="41"/>
      <c r="C1917" s="9"/>
      <c r="D1917" s="9"/>
      <c r="E1917" s="42"/>
      <c r="F1917" s="43"/>
      <c r="G1917" s="27" t="str">
        <f aca="false">IF(OR(C1917="",AND(D1917="",F1917="")),"",IF(N(E1917)=0,1,E1917)*IF(F1917="",IFERROR(N(INDEX(Produtos!$L$5:$L$104,MATCH(D1917,Produtos!$B$5:$B$104,0))),0),F1917))</f>
        <v/>
      </c>
      <c r="H1917" s="27" t="str">
        <f aca="false">IF(G1917="","",IF(N(E1917)=0,1,E1917)*IFERROR(N(INDEX(Produtos!$G$5:$G$104,MATCH(D1917,Produtos!$B$5:$B$104,0))),0))</f>
        <v/>
      </c>
      <c r="I1917" s="27" t="str">
        <f aca="false">IF(G1917="","",G1917-H1917)</f>
        <v/>
      </c>
      <c r="J1917" s="42"/>
    </row>
    <row r="1918" customFormat="false" ht="21" hidden="false" customHeight="true" outlineLevel="0" collapsed="false">
      <c r="B1918" s="41"/>
      <c r="C1918" s="9"/>
      <c r="D1918" s="9"/>
      <c r="E1918" s="42"/>
      <c r="F1918" s="43"/>
      <c r="G1918" s="27" t="str">
        <f aca="false">IF(OR(C1918="",AND(D1918="",F1918="")),"",IF(N(E1918)=0,1,E1918)*IF(F1918="",IFERROR(N(INDEX(Produtos!$L$5:$L$104,MATCH(D1918,Produtos!$B$5:$B$104,0))),0),F1918))</f>
        <v/>
      </c>
      <c r="H1918" s="27" t="str">
        <f aca="false">IF(G1918="","",IF(N(E1918)=0,1,E1918)*IFERROR(N(INDEX(Produtos!$G$5:$G$104,MATCH(D1918,Produtos!$B$5:$B$104,0))),0))</f>
        <v/>
      </c>
      <c r="I1918" s="27" t="str">
        <f aca="false">IF(G1918="","",G1918-H1918)</f>
        <v/>
      </c>
      <c r="J1918" s="42"/>
    </row>
    <row r="1919" customFormat="false" ht="21" hidden="false" customHeight="true" outlineLevel="0" collapsed="false">
      <c r="B1919" s="41"/>
      <c r="C1919" s="9"/>
      <c r="D1919" s="9"/>
      <c r="E1919" s="42"/>
      <c r="F1919" s="43"/>
      <c r="G1919" s="27" t="str">
        <f aca="false">IF(OR(C1919="",AND(D1919="",F1919="")),"",IF(N(E1919)=0,1,E1919)*IF(F1919="",IFERROR(N(INDEX(Produtos!$L$5:$L$104,MATCH(D1919,Produtos!$B$5:$B$104,0))),0),F1919))</f>
        <v/>
      </c>
      <c r="H1919" s="27" t="str">
        <f aca="false">IF(G1919="","",IF(N(E1919)=0,1,E1919)*IFERROR(N(INDEX(Produtos!$G$5:$G$104,MATCH(D1919,Produtos!$B$5:$B$104,0))),0))</f>
        <v/>
      </c>
      <c r="I1919" s="27" t="str">
        <f aca="false">IF(G1919="","",G1919-H1919)</f>
        <v/>
      </c>
      <c r="J1919" s="42"/>
    </row>
    <row r="1920" customFormat="false" ht="21" hidden="false" customHeight="true" outlineLevel="0" collapsed="false">
      <c r="B1920" s="41"/>
      <c r="C1920" s="9"/>
      <c r="D1920" s="9"/>
      <c r="E1920" s="42"/>
      <c r="F1920" s="43"/>
      <c r="G1920" s="27" t="str">
        <f aca="false">IF(OR(C1920="",AND(D1920="",F1920="")),"",IF(N(E1920)=0,1,E1920)*IF(F1920="",IFERROR(N(INDEX(Produtos!$L$5:$L$104,MATCH(D1920,Produtos!$B$5:$B$104,0))),0),F1920))</f>
        <v/>
      </c>
      <c r="H1920" s="27" t="str">
        <f aca="false">IF(G1920="","",IF(N(E1920)=0,1,E1920)*IFERROR(N(INDEX(Produtos!$G$5:$G$104,MATCH(D1920,Produtos!$B$5:$B$104,0))),0))</f>
        <v/>
      </c>
      <c r="I1920" s="27" t="str">
        <f aca="false">IF(G1920="","",G1920-H1920)</f>
        <v/>
      </c>
      <c r="J1920" s="42"/>
    </row>
    <row r="1921" customFormat="false" ht="21" hidden="false" customHeight="true" outlineLevel="0" collapsed="false">
      <c r="B1921" s="41"/>
      <c r="C1921" s="9"/>
      <c r="D1921" s="9"/>
      <c r="E1921" s="42"/>
      <c r="F1921" s="43"/>
      <c r="G1921" s="27" t="str">
        <f aca="false">IF(OR(C1921="",AND(D1921="",F1921="")),"",IF(N(E1921)=0,1,E1921)*IF(F1921="",IFERROR(N(INDEX(Produtos!$L$5:$L$104,MATCH(D1921,Produtos!$B$5:$B$104,0))),0),F1921))</f>
        <v/>
      </c>
      <c r="H1921" s="27" t="str">
        <f aca="false">IF(G1921="","",IF(N(E1921)=0,1,E1921)*IFERROR(N(INDEX(Produtos!$G$5:$G$104,MATCH(D1921,Produtos!$B$5:$B$104,0))),0))</f>
        <v/>
      </c>
      <c r="I1921" s="27" t="str">
        <f aca="false">IF(G1921="","",G1921-H1921)</f>
        <v/>
      </c>
      <c r="J1921" s="42"/>
    </row>
    <row r="1922" customFormat="false" ht="21" hidden="false" customHeight="true" outlineLevel="0" collapsed="false">
      <c r="B1922" s="41"/>
      <c r="C1922" s="9"/>
      <c r="D1922" s="9"/>
      <c r="E1922" s="42"/>
      <c r="F1922" s="43"/>
      <c r="G1922" s="27" t="str">
        <f aca="false">IF(OR(C1922="",AND(D1922="",F1922="")),"",IF(N(E1922)=0,1,E1922)*IF(F1922="",IFERROR(N(INDEX(Produtos!$L$5:$L$104,MATCH(D1922,Produtos!$B$5:$B$104,0))),0),F1922))</f>
        <v/>
      </c>
      <c r="H1922" s="27" t="str">
        <f aca="false">IF(G1922="","",IF(N(E1922)=0,1,E1922)*IFERROR(N(INDEX(Produtos!$G$5:$G$104,MATCH(D1922,Produtos!$B$5:$B$104,0))),0))</f>
        <v/>
      </c>
      <c r="I1922" s="27" t="str">
        <f aca="false">IF(G1922="","",G1922-H1922)</f>
        <v/>
      </c>
      <c r="J1922" s="42"/>
    </row>
    <row r="1923" customFormat="false" ht="21" hidden="false" customHeight="true" outlineLevel="0" collapsed="false">
      <c r="B1923" s="41"/>
      <c r="C1923" s="9"/>
      <c r="D1923" s="9"/>
      <c r="E1923" s="42"/>
      <c r="F1923" s="43"/>
      <c r="G1923" s="27" t="str">
        <f aca="false">IF(OR(C1923="",AND(D1923="",F1923="")),"",IF(N(E1923)=0,1,E1923)*IF(F1923="",IFERROR(N(INDEX(Produtos!$L$5:$L$104,MATCH(D1923,Produtos!$B$5:$B$104,0))),0),F1923))</f>
        <v/>
      </c>
      <c r="H1923" s="27" t="str">
        <f aca="false">IF(G1923="","",IF(N(E1923)=0,1,E1923)*IFERROR(N(INDEX(Produtos!$G$5:$G$104,MATCH(D1923,Produtos!$B$5:$B$104,0))),0))</f>
        <v/>
      </c>
      <c r="I1923" s="27" t="str">
        <f aca="false">IF(G1923="","",G1923-H1923)</f>
        <v/>
      </c>
      <c r="J1923" s="42"/>
    </row>
    <row r="1924" customFormat="false" ht="21" hidden="false" customHeight="true" outlineLevel="0" collapsed="false">
      <c r="B1924" s="41"/>
      <c r="C1924" s="9"/>
      <c r="D1924" s="9"/>
      <c r="E1924" s="42"/>
      <c r="F1924" s="43"/>
      <c r="G1924" s="27" t="str">
        <f aca="false">IF(OR(C1924="",AND(D1924="",F1924="")),"",IF(N(E1924)=0,1,E1924)*IF(F1924="",IFERROR(N(INDEX(Produtos!$L$5:$L$104,MATCH(D1924,Produtos!$B$5:$B$104,0))),0),F1924))</f>
        <v/>
      </c>
      <c r="H1924" s="27" t="str">
        <f aca="false">IF(G1924="","",IF(N(E1924)=0,1,E1924)*IFERROR(N(INDEX(Produtos!$G$5:$G$104,MATCH(D1924,Produtos!$B$5:$B$104,0))),0))</f>
        <v/>
      </c>
      <c r="I1924" s="27" t="str">
        <f aca="false">IF(G1924="","",G1924-H1924)</f>
        <v/>
      </c>
      <c r="J1924" s="42"/>
    </row>
    <row r="1925" customFormat="false" ht="21" hidden="false" customHeight="true" outlineLevel="0" collapsed="false">
      <c r="B1925" s="41"/>
      <c r="C1925" s="9"/>
      <c r="D1925" s="9"/>
      <c r="E1925" s="42"/>
      <c r="F1925" s="43"/>
      <c r="G1925" s="27" t="str">
        <f aca="false">IF(OR(C1925="",AND(D1925="",F1925="")),"",IF(N(E1925)=0,1,E1925)*IF(F1925="",IFERROR(N(INDEX(Produtos!$L$5:$L$104,MATCH(D1925,Produtos!$B$5:$B$104,0))),0),F1925))</f>
        <v/>
      </c>
      <c r="H1925" s="27" t="str">
        <f aca="false">IF(G1925="","",IF(N(E1925)=0,1,E1925)*IFERROR(N(INDEX(Produtos!$G$5:$G$104,MATCH(D1925,Produtos!$B$5:$B$104,0))),0))</f>
        <v/>
      </c>
      <c r="I1925" s="27" t="str">
        <f aca="false">IF(G1925="","",G1925-H1925)</f>
        <v/>
      </c>
      <c r="J1925" s="42"/>
    </row>
    <row r="1926" customFormat="false" ht="21" hidden="false" customHeight="true" outlineLevel="0" collapsed="false">
      <c r="B1926" s="41"/>
      <c r="C1926" s="9"/>
      <c r="D1926" s="9"/>
      <c r="E1926" s="42"/>
      <c r="F1926" s="43"/>
      <c r="G1926" s="27" t="str">
        <f aca="false">IF(OR(C1926="",AND(D1926="",F1926="")),"",IF(N(E1926)=0,1,E1926)*IF(F1926="",IFERROR(N(INDEX(Produtos!$L$5:$L$104,MATCH(D1926,Produtos!$B$5:$B$104,0))),0),F1926))</f>
        <v/>
      </c>
      <c r="H1926" s="27" t="str">
        <f aca="false">IF(G1926="","",IF(N(E1926)=0,1,E1926)*IFERROR(N(INDEX(Produtos!$G$5:$G$104,MATCH(D1926,Produtos!$B$5:$B$104,0))),0))</f>
        <v/>
      </c>
      <c r="I1926" s="27" t="str">
        <f aca="false">IF(G1926="","",G1926-H1926)</f>
        <v/>
      </c>
      <c r="J1926" s="42"/>
    </row>
    <row r="1927" customFormat="false" ht="21" hidden="false" customHeight="true" outlineLevel="0" collapsed="false">
      <c r="B1927" s="41"/>
      <c r="C1927" s="9"/>
      <c r="D1927" s="9"/>
      <c r="E1927" s="42"/>
      <c r="F1927" s="43"/>
      <c r="G1927" s="27" t="str">
        <f aca="false">IF(OR(C1927="",AND(D1927="",F1927="")),"",IF(N(E1927)=0,1,E1927)*IF(F1927="",IFERROR(N(INDEX(Produtos!$L$5:$L$104,MATCH(D1927,Produtos!$B$5:$B$104,0))),0),F1927))</f>
        <v/>
      </c>
      <c r="H1927" s="27" t="str">
        <f aca="false">IF(G1927="","",IF(N(E1927)=0,1,E1927)*IFERROR(N(INDEX(Produtos!$G$5:$G$104,MATCH(D1927,Produtos!$B$5:$B$104,0))),0))</f>
        <v/>
      </c>
      <c r="I1927" s="27" t="str">
        <f aca="false">IF(G1927="","",G1927-H1927)</f>
        <v/>
      </c>
      <c r="J1927" s="42"/>
    </row>
    <row r="1928" customFormat="false" ht="21" hidden="false" customHeight="true" outlineLevel="0" collapsed="false">
      <c r="B1928" s="41"/>
      <c r="C1928" s="9"/>
      <c r="D1928" s="9"/>
      <c r="E1928" s="42"/>
      <c r="F1928" s="43"/>
      <c r="G1928" s="27" t="str">
        <f aca="false">IF(OR(C1928="",AND(D1928="",F1928="")),"",IF(N(E1928)=0,1,E1928)*IF(F1928="",IFERROR(N(INDEX(Produtos!$L$5:$L$104,MATCH(D1928,Produtos!$B$5:$B$104,0))),0),F1928))</f>
        <v/>
      </c>
      <c r="H1928" s="27" t="str">
        <f aca="false">IF(G1928="","",IF(N(E1928)=0,1,E1928)*IFERROR(N(INDEX(Produtos!$G$5:$G$104,MATCH(D1928,Produtos!$B$5:$B$104,0))),0))</f>
        <v/>
      </c>
      <c r="I1928" s="27" t="str">
        <f aca="false">IF(G1928="","",G1928-H1928)</f>
        <v/>
      </c>
      <c r="J1928" s="42"/>
    </row>
    <row r="1929" customFormat="false" ht="21" hidden="false" customHeight="true" outlineLevel="0" collapsed="false">
      <c r="B1929" s="41"/>
      <c r="C1929" s="9"/>
      <c r="D1929" s="9"/>
      <c r="E1929" s="42"/>
      <c r="F1929" s="43"/>
      <c r="G1929" s="27" t="str">
        <f aca="false">IF(OR(C1929="",AND(D1929="",F1929="")),"",IF(N(E1929)=0,1,E1929)*IF(F1929="",IFERROR(N(INDEX(Produtos!$L$5:$L$104,MATCH(D1929,Produtos!$B$5:$B$104,0))),0),F1929))</f>
        <v/>
      </c>
      <c r="H1929" s="27" t="str">
        <f aca="false">IF(G1929="","",IF(N(E1929)=0,1,E1929)*IFERROR(N(INDEX(Produtos!$G$5:$G$104,MATCH(D1929,Produtos!$B$5:$B$104,0))),0))</f>
        <v/>
      </c>
      <c r="I1929" s="27" t="str">
        <f aca="false">IF(G1929="","",G1929-H1929)</f>
        <v/>
      </c>
      <c r="J1929" s="42"/>
    </row>
    <row r="1930" customFormat="false" ht="21" hidden="false" customHeight="true" outlineLevel="0" collapsed="false">
      <c r="B1930" s="41"/>
      <c r="C1930" s="9"/>
      <c r="D1930" s="9"/>
      <c r="E1930" s="42"/>
      <c r="F1930" s="43"/>
      <c r="G1930" s="27" t="str">
        <f aca="false">IF(OR(C1930="",AND(D1930="",F1930="")),"",IF(N(E1930)=0,1,E1930)*IF(F1930="",IFERROR(N(INDEX(Produtos!$L$5:$L$104,MATCH(D1930,Produtos!$B$5:$B$104,0))),0),F1930))</f>
        <v/>
      </c>
      <c r="H1930" s="27" t="str">
        <f aca="false">IF(G1930="","",IF(N(E1930)=0,1,E1930)*IFERROR(N(INDEX(Produtos!$G$5:$G$104,MATCH(D1930,Produtos!$B$5:$B$104,0))),0))</f>
        <v/>
      </c>
      <c r="I1930" s="27" t="str">
        <f aca="false">IF(G1930="","",G1930-H1930)</f>
        <v/>
      </c>
      <c r="J1930" s="42"/>
    </row>
    <row r="1931" customFormat="false" ht="21" hidden="false" customHeight="true" outlineLevel="0" collapsed="false">
      <c r="B1931" s="41"/>
      <c r="C1931" s="9"/>
      <c r="D1931" s="9"/>
      <c r="E1931" s="42"/>
      <c r="F1931" s="43"/>
      <c r="G1931" s="27" t="str">
        <f aca="false">IF(OR(C1931="",AND(D1931="",F1931="")),"",IF(N(E1931)=0,1,E1931)*IF(F1931="",IFERROR(N(INDEX(Produtos!$L$5:$L$104,MATCH(D1931,Produtos!$B$5:$B$104,0))),0),F1931))</f>
        <v/>
      </c>
      <c r="H1931" s="27" t="str">
        <f aca="false">IF(G1931="","",IF(N(E1931)=0,1,E1931)*IFERROR(N(INDEX(Produtos!$G$5:$G$104,MATCH(D1931,Produtos!$B$5:$B$104,0))),0))</f>
        <v/>
      </c>
      <c r="I1931" s="27" t="str">
        <f aca="false">IF(G1931="","",G1931-H1931)</f>
        <v/>
      </c>
      <c r="J1931" s="42"/>
    </row>
    <row r="1932" customFormat="false" ht="21" hidden="false" customHeight="true" outlineLevel="0" collapsed="false">
      <c r="B1932" s="41"/>
      <c r="C1932" s="9"/>
      <c r="D1932" s="9"/>
      <c r="E1932" s="42"/>
      <c r="F1932" s="43"/>
      <c r="G1932" s="27" t="str">
        <f aca="false">IF(OR(C1932="",AND(D1932="",F1932="")),"",IF(N(E1932)=0,1,E1932)*IF(F1932="",IFERROR(N(INDEX(Produtos!$L$5:$L$104,MATCH(D1932,Produtos!$B$5:$B$104,0))),0),F1932))</f>
        <v/>
      </c>
      <c r="H1932" s="27" t="str">
        <f aca="false">IF(G1932="","",IF(N(E1932)=0,1,E1932)*IFERROR(N(INDEX(Produtos!$G$5:$G$104,MATCH(D1932,Produtos!$B$5:$B$104,0))),0))</f>
        <v/>
      </c>
      <c r="I1932" s="27" t="str">
        <f aca="false">IF(G1932="","",G1932-H1932)</f>
        <v/>
      </c>
      <c r="J1932" s="42"/>
    </row>
    <row r="1933" customFormat="false" ht="21" hidden="false" customHeight="true" outlineLevel="0" collapsed="false">
      <c r="B1933" s="41"/>
      <c r="C1933" s="9"/>
      <c r="D1933" s="9"/>
      <c r="E1933" s="42"/>
      <c r="F1933" s="43"/>
      <c r="G1933" s="27" t="str">
        <f aca="false">IF(OR(C1933="",AND(D1933="",F1933="")),"",IF(N(E1933)=0,1,E1933)*IF(F1933="",IFERROR(N(INDEX(Produtos!$L$5:$L$104,MATCH(D1933,Produtos!$B$5:$B$104,0))),0),F1933))</f>
        <v/>
      </c>
      <c r="H1933" s="27" t="str">
        <f aca="false">IF(G1933="","",IF(N(E1933)=0,1,E1933)*IFERROR(N(INDEX(Produtos!$G$5:$G$104,MATCH(D1933,Produtos!$B$5:$B$104,0))),0))</f>
        <v/>
      </c>
      <c r="I1933" s="27" t="str">
        <f aca="false">IF(G1933="","",G1933-H1933)</f>
        <v/>
      </c>
      <c r="J1933" s="42"/>
    </row>
    <row r="1934" customFormat="false" ht="21" hidden="false" customHeight="true" outlineLevel="0" collapsed="false">
      <c r="B1934" s="41"/>
      <c r="C1934" s="9"/>
      <c r="D1934" s="9"/>
      <c r="E1934" s="42"/>
      <c r="F1934" s="43"/>
      <c r="G1934" s="27" t="str">
        <f aca="false">IF(OR(C1934="",AND(D1934="",F1934="")),"",IF(N(E1934)=0,1,E1934)*IF(F1934="",IFERROR(N(INDEX(Produtos!$L$5:$L$104,MATCH(D1934,Produtos!$B$5:$B$104,0))),0),F1934))</f>
        <v/>
      </c>
      <c r="H1934" s="27" t="str">
        <f aca="false">IF(G1934="","",IF(N(E1934)=0,1,E1934)*IFERROR(N(INDEX(Produtos!$G$5:$G$104,MATCH(D1934,Produtos!$B$5:$B$104,0))),0))</f>
        <v/>
      </c>
      <c r="I1934" s="27" t="str">
        <f aca="false">IF(G1934="","",G1934-H1934)</f>
        <v/>
      </c>
      <c r="J1934" s="42"/>
    </row>
    <row r="1935" customFormat="false" ht="21" hidden="false" customHeight="true" outlineLevel="0" collapsed="false">
      <c r="B1935" s="41"/>
      <c r="C1935" s="9"/>
      <c r="D1935" s="9"/>
      <c r="E1935" s="42"/>
      <c r="F1935" s="43"/>
      <c r="G1935" s="27" t="str">
        <f aca="false">IF(OR(C1935="",AND(D1935="",F1935="")),"",IF(N(E1935)=0,1,E1935)*IF(F1935="",IFERROR(N(INDEX(Produtos!$L$5:$L$104,MATCH(D1935,Produtos!$B$5:$B$104,0))),0),F1935))</f>
        <v/>
      </c>
      <c r="H1935" s="27" t="str">
        <f aca="false">IF(G1935="","",IF(N(E1935)=0,1,E1935)*IFERROR(N(INDEX(Produtos!$G$5:$G$104,MATCH(D1935,Produtos!$B$5:$B$104,0))),0))</f>
        <v/>
      </c>
      <c r="I1935" s="27" t="str">
        <f aca="false">IF(G1935="","",G1935-H1935)</f>
        <v/>
      </c>
      <c r="J1935" s="42"/>
    </row>
    <row r="1936" customFormat="false" ht="21" hidden="false" customHeight="true" outlineLevel="0" collapsed="false">
      <c r="B1936" s="41"/>
      <c r="C1936" s="9"/>
      <c r="D1936" s="9"/>
      <c r="E1936" s="42"/>
      <c r="F1936" s="43"/>
      <c r="G1936" s="27" t="str">
        <f aca="false">IF(OR(C1936="",AND(D1936="",F1936="")),"",IF(N(E1936)=0,1,E1936)*IF(F1936="",IFERROR(N(INDEX(Produtos!$L$5:$L$104,MATCH(D1936,Produtos!$B$5:$B$104,0))),0),F1936))</f>
        <v/>
      </c>
      <c r="H1936" s="27" t="str">
        <f aca="false">IF(G1936="","",IF(N(E1936)=0,1,E1936)*IFERROR(N(INDEX(Produtos!$G$5:$G$104,MATCH(D1936,Produtos!$B$5:$B$104,0))),0))</f>
        <v/>
      </c>
      <c r="I1936" s="27" t="str">
        <f aca="false">IF(G1936="","",G1936-H1936)</f>
        <v/>
      </c>
      <c r="J1936" s="42"/>
    </row>
    <row r="1937" customFormat="false" ht="21" hidden="false" customHeight="true" outlineLevel="0" collapsed="false">
      <c r="B1937" s="41"/>
      <c r="C1937" s="9"/>
      <c r="D1937" s="9"/>
      <c r="E1937" s="42"/>
      <c r="F1937" s="43"/>
      <c r="G1937" s="27" t="str">
        <f aca="false">IF(OR(C1937="",AND(D1937="",F1937="")),"",IF(N(E1937)=0,1,E1937)*IF(F1937="",IFERROR(N(INDEX(Produtos!$L$5:$L$104,MATCH(D1937,Produtos!$B$5:$B$104,0))),0),F1937))</f>
        <v/>
      </c>
      <c r="H1937" s="27" t="str">
        <f aca="false">IF(G1937="","",IF(N(E1937)=0,1,E1937)*IFERROR(N(INDEX(Produtos!$G$5:$G$104,MATCH(D1937,Produtos!$B$5:$B$104,0))),0))</f>
        <v/>
      </c>
      <c r="I1937" s="27" t="str">
        <f aca="false">IF(G1937="","",G1937-H1937)</f>
        <v/>
      </c>
      <c r="J1937" s="42"/>
    </row>
    <row r="1938" customFormat="false" ht="21" hidden="false" customHeight="true" outlineLevel="0" collapsed="false">
      <c r="B1938" s="41"/>
      <c r="C1938" s="9"/>
      <c r="D1938" s="9"/>
      <c r="E1938" s="42"/>
      <c r="F1938" s="43"/>
      <c r="G1938" s="27" t="str">
        <f aca="false">IF(OR(C1938="",AND(D1938="",F1938="")),"",IF(N(E1938)=0,1,E1938)*IF(F1938="",IFERROR(N(INDEX(Produtos!$L$5:$L$104,MATCH(D1938,Produtos!$B$5:$B$104,0))),0),F1938))</f>
        <v/>
      </c>
      <c r="H1938" s="27" t="str">
        <f aca="false">IF(G1938="","",IF(N(E1938)=0,1,E1938)*IFERROR(N(INDEX(Produtos!$G$5:$G$104,MATCH(D1938,Produtos!$B$5:$B$104,0))),0))</f>
        <v/>
      </c>
      <c r="I1938" s="27" t="str">
        <f aca="false">IF(G1938="","",G1938-H1938)</f>
        <v/>
      </c>
      <c r="J1938" s="42"/>
    </row>
    <row r="1939" customFormat="false" ht="21" hidden="false" customHeight="true" outlineLevel="0" collapsed="false">
      <c r="B1939" s="41"/>
      <c r="C1939" s="9"/>
      <c r="D1939" s="9"/>
      <c r="E1939" s="42"/>
      <c r="F1939" s="43"/>
      <c r="G1939" s="27" t="str">
        <f aca="false">IF(OR(C1939="",AND(D1939="",F1939="")),"",IF(N(E1939)=0,1,E1939)*IF(F1939="",IFERROR(N(INDEX(Produtos!$L$5:$L$104,MATCH(D1939,Produtos!$B$5:$B$104,0))),0),F1939))</f>
        <v/>
      </c>
      <c r="H1939" s="27" t="str">
        <f aca="false">IF(G1939="","",IF(N(E1939)=0,1,E1939)*IFERROR(N(INDEX(Produtos!$G$5:$G$104,MATCH(D1939,Produtos!$B$5:$B$104,0))),0))</f>
        <v/>
      </c>
      <c r="I1939" s="27" t="str">
        <f aca="false">IF(G1939="","",G1939-H1939)</f>
        <v/>
      </c>
      <c r="J1939" s="42"/>
    </row>
    <row r="1940" customFormat="false" ht="21" hidden="false" customHeight="true" outlineLevel="0" collapsed="false">
      <c r="B1940" s="41"/>
      <c r="C1940" s="9"/>
      <c r="D1940" s="9"/>
      <c r="E1940" s="42"/>
      <c r="F1940" s="43"/>
      <c r="G1940" s="27" t="str">
        <f aca="false">IF(OR(C1940="",AND(D1940="",F1940="")),"",IF(N(E1940)=0,1,E1940)*IF(F1940="",IFERROR(N(INDEX(Produtos!$L$5:$L$104,MATCH(D1940,Produtos!$B$5:$B$104,0))),0),F1940))</f>
        <v/>
      </c>
      <c r="H1940" s="27" t="str">
        <f aca="false">IF(G1940="","",IF(N(E1940)=0,1,E1940)*IFERROR(N(INDEX(Produtos!$G$5:$G$104,MATCH(D1940,Produtos!$B$5:$B$104,0))),0))</f>
        <v/>
      </c>
      <c r="I1940" s="27" t="str">
        <f aca="false">IF(G1940="","",G1940-H1940)</f>
        <v/>
      </c>
      <c r="J1940" s="42"/>
    </row>
    <row r="1941" customFormat="false" ht="21" hidden="false" customHeight="true" outlineLevel="0" collapsed="false">
      <c r="B1941" s="41"/>
      <c r="C1941" s="9"/>
      <c r="D1941" s="9"/>
      <c r="E1941" s="42"/>
      <c r="F1941" s="43"/>
      <c r="G1941" s="27" t="str">
        <f aca="false">IF(OR(C1941="",AND(D1941="",F1941="")),"",IF(N(E1941)=0,1,E1941)*IF(F1941="",IFERROR(N(INDEX(Produtos!$L$5:$L$104,MATCH(D1941,Produtos!$B$5:$B$104,0))),0),F1941))</f>
        <v/>
      </c>
      <c r="H1941" s="27" t="str">
        <f aca="false">IF(G1941="","",IF(N(E1941)=0,1,E1941)*IFERROR(N(INDEX(Produtos!$G$5:$G$104,MATCH(D1941,Produtos!$B$5:$B$104,0))),0))</f>
        <v/>
      </c>
      <c r="I1941" s="27" t="str">
        <f aca="false">IF(G1941="","",G1941-H1941)</f>
        <v/>
      </c>
      <c r="J1941" s="42"/>
    </row>
    <row r="1942" customFormat="false" ht="21" hidden="false" customHeight="true" outlineLevel="0" collapsed="false">
      <c r="B1942" s="41"/>
      <c r="C1942" s="9"/>
      <c r="D1942" s="9"/>
      <c r="E1942" s="42"/>
      <c r="F1942" s="43"/>
      <c r="G1942" s="27" t="str">
        <f aca="false">IF(OR(C1942="",AND(D1942="",F1942="")),"",IF(N(E1942)=0,1,E1942)*IF(F1942="",IFERROR(N(INDEX(Produtos!$L$5:$L$104,MATCH(D1942,Produtos!$B$5:$B$104,0))),0),F1942))</f>
        <v/>
      </c>
      <c r="H1942" s="27" t="str">
        <f aca="false">IF(G1942="","",IF(N(E1942)=0,1,E1942)*IFERROR(N(INDEX(Produtos!$G$5:$G$104,MATCH(D1942,Produtos!$B$5:$B$104,0))),0))</f>
        <v/>
      </c>
      <c r="I1942" s="27" t="str">
        <f aca="false">IF(G1942="","",G1942-H1942)</f>
        <v/>
      </c>
      <c r="J1942" s="42"/>
    </row>
    <row r="1943" customFormat="false" ht="21" hidden="false" customHeight="true" outlineLevel="0" collapsed="false">
      <c r="B1943" s="41"/>
      <c r="C1943" s="9"/>
      <c r="D1943" s="9"/>
      <c r="E1943" s="42"/>
      <c r="F1943" s="43"/>
      <c r="G1943" s="27" t="str">
        <f aca="false">IF(OR(C1943="",AND(D1943="",F1943="")),"",IF(N(E1943)=0,1,E1943)*IF(F1943="",IFERROR(N(INDEX(Produtos!$L$5:$L$104,MATCH(D1943,Produtos!$B$5:$B$104,0))),0),F1943))</f>
        <v/>
      </c>
      <c r="H1943" s="27" t="str">
        <f aca="false">IF(G1943="","",IF(N(E1943)=0,1,E1943)*IFERROR(N(INDEX(Produtos!$G$5:$G$104,MATCH(D1943,Produtos!$B$5:$B$104,0))),0))</f>
        <v/>
      </c>
      <c r="I1943" s="27" t="str">
        <f aca="false">IF(G1943="","",G1943-H1943)</f>
        <v/>
      </c>
      <c r="J1943" s="42"/>
    </row>
    <row r="1944" customFormat="false" ht="21" hidden="false" customHeight="true" outlineLevel="0" collapsed="false">
      <c r="B1944" s="41"/>
      <c r="C1944" s="9"/>
      <c r="D1944" s="9"/>
      <c r="E1944" s="42"/>
      <c r="F1944" s="43"/>
      <c r="G1944" s="27" t="str">
        <f aca="false">IF(OR(C1944="",AND(D1944="",F1944="")),"",IF(N(E1944)=0,1,E1944)*IF(F1944="",IFERROR(N(INDEX(Produtos!$L$5:$L$104,MATCH(D1944,Produtos!$B$5:$B$104,0))),0),F1944))</f>
        <v/>
      </c>
      <c r="H1944" s="27" t="str">
        <f aca="false">IF(G1944="","",IF(N(E1944)=0,1,E1944)*IFERROR(N(INDEX(Produtos!$G$5:$G$104,MATCH(D1944,Produtos!$B$5:$B$104,0))),0))</f>
        <v/>
      </c>
      <c r="I1944" s="27" t="str">
        <f aca="false">IF(G1944="","",G1944-H1944)</f>
        <v/>
      </c>
      <c r="J1944" s="42"/>
    </row>
    <row r="1945" customFormat="false" ht="21" hidden="false" customHeight="true" outlineLevel="0" collapsed="false">
      <c r="B1945" s="41"/>
      <c r="C1945" s="9"/>
      <c r="D1945" s="9"/>
      <c r="E1945" s="42"/>
      <c r="F1945" s="43"/>
      <c r="G1945" s="27" t="str">
        <f aca="false">IF(OR(C1945="",AND(D1945="",F1945="")),"",IF(N(E1945)=0,1,E1945)*IF(F1945="",IFERROR(N(INDEX(Produtos!$L$5:$L$104,MATCH(D1945,Produtos!$B$5:$B$104,0))),0),F1945))</f>
        <v/>
      </c>
      <c r="H1945" s="27" t="str">
        <f aca="false">IF(G1945="","",IF(N(E1945)=0,1,E1945)*IFERROR(N(INDEX(Produtos!$G$5:$G$104,MATCH(D1945,Produtos!$B$5:$B$104,0))),0))</f>
        <v/>
      </c>
      <c r="I1945" s="27" t="str">
        <f aca="false">IF(G1945="","",G1945-H1945)</f>
        <v/>
      </c>
      <c r="J1945" s="42"/>
    </row>
    <row r="1946" customFormat="false" ht="21" hidden="false" customHeight="true" outlineLevel="0" collapsed="false">
      <c r="B1946" s="41"/>
      <c r="C1946" s="9"/>
      <c r="D1946" s="9"/>
      <c r="E1946" s="42"/>
      <c r="F1946" s="43"/>
      <c r="G1946" s="27" t="str">
        <f aca="false">IF(OR(C1946="",AND(D1946="",F1946="")),"",IF(N(E1946)=0,1,E1946)*IF(F1946="",IFERROR(N(INDEX(Produtos!$L$5:$L$104,MATCH(D1946,Produtos!$B$5:$B$104,0))),0),F1946))</f>
        <v/>
      </c>
      <c r="H1946" s="27" t="str">
        <f aca="false">IF(G1946="","",IF(N(E1946)=0,1,E1946)*IFERROR(N(INDEX(Produtos!$G$5:$G$104,MATCH(D1946,Produtos!$B$5:$B$104,0))),0))</f>
        <v/>
      </c>
      <c r="I1946" s="27" t="str">
        <f aca="false">IF(G1946="","",G1946-H1946)</f>
        <v/>
      </c>
      <c r="J1946" s="42"/>
    </row>
    <row r="1947" customFormat="false" ht="21" hidden="false" customHeight="true" outlineLevel="0" collapsed="false">
      <c r="B1947" s="41"/>
      <c r="C1947" s="9"/>
      <c r="D1947" s="9"/>
      <c r="E1947" s="42"/>
      <c r="F1947" s="43"/>
      <c r="G1947" s="27" t="str">
        <f aca="false">IF(OR(C1947="",AND(D1947="",F1947="")),"",IF(N(E1947)=0,1,E1947)*IF(F1947="",IFERROR(N(INDEX(Produtos!$L$5:$L$104,MATCH(D1947,Produtos!$B$5:$B$104,0))),0),F1947))</f>
        <v/>
      </c>
      <c r="H1947" s="27" t="str">
        <f aca="false">IF(G1947="","",IF(N(E1947)=0,1,E1947)*IFERROR(N(INDEX(Produtos!$G$5:$G$104,MATCH(D1947,Produtos!$B$5:$B$104,0))),0))</f>
        <v/>
      </c>
      <c r="I1947" s="27" t="str">
        <f aca="false">IF(G1947="","",G1947-H1947)</f>
        <v/>
      </c>
      <c r="J1947" s="42"/>
    </row>
    <row r="1948" customFormat="false" ht="21" hidden="false" customHeight="true" outlineLevel="0" collapsed="false">
      <c r="B1948" s="41"/>
      <c r="C1948" s="9"/>
      <c r="D1948" s="9"/>
      <c r="E1948" s="42"/>
      <c r="F1948" s="43"/>
      <c r="G1948" s="27" t="str">
        <f aca="false">IF(OR(C1948="",AND(D1948="",F1948="")),"",IF(N(E1948)=0,1,E1948)*IF(F1948="",IFERROR(N(INDEX(Produtos!$L$5:$L$104,MATCH(D1948,Produtos!$B$5:$B$104,0))),0),F1948))</f>
        <v/>
      </c>
      <c r="H1948" s="27" t="str">
        <f aca="false">IF(G1948="","",IF(N(E1948)=0,1,E1948)*IFERROR(N(INDEX(Produtos!$G$5:$G$104,MATCH(D1948,Produtos!$B$5:$B$104,0))),0))</f>
        <v/>
      </c>
      <c r="I1948" s="27" t="str">
        <f aca="false">IF(G1948="","",G1948-H1948)</f>
        <v/>
      </c>
      <c r="J1948" s="42"/>
    </row>
    <row r="1949" customFormat="false" ht="21" hidden="false" customHeight="true" outlineLevel="0" collapsed="false">
      <c r="B1949" s="41"/>
      <c r="C1949" s="9"/>
      <c r="D1949" s="9"/>
      <c r="E1949" s="42"/>
      <c r="F1949" s="43"/>
      <c r="G1949" s="27" t="str">
        <f aca="false">IF(OR(C1949="",AND(D1949="",F1949="")),"",IF(N(E1949)=0,1,E1949)*IF(F1949="",IFERROR(N(INDEX(Produtos!$L$5:$L$104,MATCH(D1949,Produtos!$B$5:$B$104,0))),0),F1949))</f>
        <v/>
      </c>
      <c r="H1949" s="27" t="str">
        <f aca="false">IF(G1949="","",IF(N(E1949)=0,1,E1949)*IFERROR(N(INDEX(Produtos!$G$5:$G$104,MATCH(D1949,Produtos!$B$5:$B$104,0))),0))</f>
        <v/>
      </c>
      <c r="I1949" s="27" t="str">
        <f aca="false">IF(G1949="","",G1949-H1949)</f>
        <v/>
      </c>
      <c r="J1949" s="42"/>
    </row>
    <row r="1950" customFormat="false" ht="21" hidden="false" customHeight="true" outlineLevel="0" collapsed="false">
      <c r="B1950" s="41"/>
      <c r="C1950" s="9"/>
      <c r="D1950" s="9"/>
      <c r="E1950" s="42"/>
      <c r="F1950" s="43"/>
      <c r="G1950" s="27" t="str">
        <f aca="false">IF(OR(C1950="",AND(D1950="",F1950="")),"",IF(N(E1950)=0,1,E1950)*IF(F1950="",IFERROR(N(INDEX(Produtos!$L$5:$L$104,MATCH(D1950,Produtos!$B$5:$B$104,0))),0),F1950))</f>
        <v/>
      </c>
      <c r="H1950" s="27" t="str">
        <f aca="false">IF(G1950="","",IF(N(E1950)=0,1,E1950)*IFERROR(N(INDEX(Produtos!$G$5:$G$104,MATCH(D1950,Produtos!$B$5:$B$104,0))),0))</f>
        <v/>
      </c>
      <c r="I1950" s="27" t="str">
        <f aca="false">IF(G1950="","",G1950-H1950)</f>
        <v/>
      </c>
      <c r="J1950" s="42"/>
    </row>
    <row r="1951" customFormat="false" ht="21" hidden="false" customHeight="true" outlineLevel="0" collapsed="false">
      <c r="B1951" s="41"/>
      <c r="C1951" s="9"/>
      <c r="D1951" s="9"/>
      <c r="E1951" s="42"/>
      <c r="F1951" s="43"/>
      <c r="G1951" s="27" t="str">
        <f aca="false">IF(OR(C1951="",AND(D1951="",F1951="")),"",IF(N(E1951)=0,1,E1951)*IF(F1951="",IFERROR(N(INDEX(Produtos!$L$5:$L$104,MATCH(D1951,Produtos!$B$5:$B$104,0))),0),F1951))</f>
        <v/>
      </c>
      <c r="H1951" s="27" t="str">
        <f aca="false">IF(G1951="","",IF(N(E1951)=0,1,E1951)*IFERROR(N(INDEX(Produtos!$G$5:$G$104,MATCH(D1951,Produtos!$B$5:$B$104,0))),0))</f>
        <v/>
      </c>
      <c r="I1951" s="27" t="str">
        <f aca="false">IF(G1951="","",G1951-H1951)</f>
        <v/>
      </c>
      <c r="J1951" s="42"/>
    </row>
    <row r="1952" customFormat="false" ht="21" hidden="false" customHeight="true" outlineLevel="0" collapsed="false">
      <c r="B1952" s="41"/>
      <c r="C1952" s="9"/>
      <c r="D1952" s="9"/>
      <c r="E1952" s="42"/>
      <c r="F1952" s="43"/>
      <c r="G1952" s="27" t="str">
        <f aca="false">IF(OR(C1952="",AND(D1952="",F1952="")),"",IF(N(E1952)=0,1,E1952)*IF(F1952="",IFERROR(N(INDEX(Produtos!$L$5:$L$104,MATCH(D1952,Produtos!$B$5:$B$104,0))),0),F1952))</f>
        <v/>
      </c>
      <c r="H1952" s="27" t="str">
        <f aca="false">IF(G1952="","",IF(N(E1952)=0,1,E1952)*IFERROR(N(INDEX(Produtos!$G$5:$G$104,MATCH(D1952,Produtos!$B$5:$B$104,0))),0))</f>
        <v/>
      </c>
      <c r="I1952" s="27" t="str">
        <f aca="false">IF(G1952="","",G1952-H1952)</f>
        <v/>
      </c>
      <c r="J1952" s="42"/>
    </row>
    <row r="1953" customFormat="false" ht="21" hidden="false" customHeight="true" outlineLevel="0" collapsed="false">
      <c r="B1953" s="41"/>
      <c r="C1953" s="9"/>
      <c r="D1953" s="9"/>
      <c r="E1953" s="42"/>
      <c r="F1953" s="43"/>
      <c r="G1953" s="27" t="str">
        <f aca="false">IF(OR(C1953="",AND(D1953="",F1953="")),"",IF(N(E1953)=0,1,E1953)*IF(F1953="",IFERROR(N(INDEX(Produtos!$L$5:$L$104,MATCH(D1953,Produtos!$B$5:$B$104,0))),0),F1953))</f>
        <v/>
      </c>
      <c r="H1953" s="27" t="str">
        <f aca="false">IF(G1953="","",IF(N(E1953)=0,1,E1953)*IFERROR(N(INDEX(Produtos!$G$5:$G$104,MATCH(D1953,Produtos!$B$5:$B$104,0))),0))</f>
        <v/>
      </c>
      <c r="I1953" s="27" t="str">
        <f aca="false">IF(G1953="","",G1953-H1953)</f>
        <v/>
      </c>
      <c r="J1953" s="42"/>
    </row>
    <row r="1954" customFormat="false" ht="21" hidden="false" customHeight="true" outlineLevel="0" collapsed="false">
      <c r="B1954" s="41"/>
      <c r="C1954" s="9"/>
      <c r="D1954" s="9"/>
      <c r="E1954" s="42"/>
      <c r="F1954" s="43"/>
      <c r="G1954" s="27" t="str">
        <f aca="false">IF(OR(C1954="",AND(D1954="",F1954="")),"",IF(N(E1954)=0,1,E1954)*IF(F1954="",IFERROR(N(INDEX(Produtos!$L$5:$L$104,MATCH(D1954,Produtos!$B$5:$B$104,0))),0),F1954))</f>
        <v/>
      </c>
      <c r="H1954" s="27" t="str">
        <f aca="false">IF(G1954="","",IF(N(E1954)=0,1,E1954)*IFERROR(N(INDEX(Produtos!$G$5:$G$104,MATCH(D1954,Produtos!$B$5:$B$104,0))),0))</f>
        <v/>
      </c>
      <c r="I1954" s="27" t="str">
        <f aca="false">IF(G1954="","",G1954-H1954)</f>
        <v/>
      </c>
      <c r="J1954" s="42"/>
    </row>
    <row r="1955" customFormat="false" ht="21" hidden="false" customHeight="true" outlineLevel="0" collapsed="false">
      <c r="B1955" s="41"/>
      <c r="C1955" s="9"/>
      <c r="D1955" s="9"/>
      <c r="E1955" s="42"/>
      <c r="F1955" s="43"/>
      <c r="G1955" s="27" t="str">
        <f aca="false">IF(OR(C1955="",AND(D1955="",F1955="")),"",IF(N(E1955)=0,1,E1955)*IF(F1955="",IFERROR(N(INDEX(Produtos!$L$5:$L$104,MATCH(D1955,Produtos!$B$5:$B$104,0))),0),F1955))</f>
        <v/>
      </c>
      <c r="H1955" s="27" t="str">
        <f aca="false">IF(G1955="","",IF(N(E1955)=0,1,E1955)*IFERROR(N(INDEX(Produtos!$G$5:$G$104,MATCH(D1955,Produtos!$B$5:$B$104,0))),0))</f>
        <v/>
      </c>
      <c r="I1955" s="27" t="str">
        <f aca="false">IF(G1955="","",G1955-H1955)</f>
        <v/>
      </c>
      <c r="J1955" s="42"/>
    </row>
    <row r="1956" customFormat="false" ht="21" hidden="false" customHeight="true" outlineLevel="0" collapsed="false">
      <c r="B1956" s="41"/>
      <c r="C1956" s="9"/>
      <c r="D1956" s="9"/>
      <c r="E1956" s="42"/>
      <c r="F1956" s="43"/>
      <c r="G1956" s="27" t="str">
        <f aca="false">IF(OR(C1956="",AND(D1956="",F1956="")),"",IF(N(E1956)=0,1,E1956)*IF(F1956="",IFERROR(N(INDEX(Produtos!$L$5:$L$104,MATCH(D1956,Produtos!$B$5:$B$104,0))),0),F1956))</f>
        <v/>
      </c>
      <c r="H1956" s="27" t="str">
        <f aca="false">IF(G1956="","",IF(N(E1956)=0,1,E1956)*IFERROR(N(INDEX(Produtos!$G$5:$G$104,MATCH(D1956,Produtos!$B$5:$B$104,0))),0))</f>
        <v/>
      </c>
      <c r="I1956" s="27" t="str">
        <f aca="false">IF(G1956="","",G1956-H1956)</f>
        <v/>
      </c>
      <c r="J1956" s="42"/>
    </row>
    <row r="1957" customFormat="false" ht="21" hidden="false" customHeight="true" outlineLevel="0" collapsed="false">
      <c r="B1957" s="41"/>
      <c r="C1957" s="9"/>
      <c r="D1957" s="9"/>
      <c r="E1957" s="42"/>
      <c r="F1957" s="43"/>
      <c r="G1957" s="27" t="str">
        <f aca="false">IF(OR(C1957="",AND(D1957="",F1957="")),"",IF(N(E1957)=0,1,E1957)*IF(F1957="",IFERROR(N(INDEX(Produtos!$L$5:$L$104,MATCH(D1957,Produtos!$B$5:$B$104,0))),0),F1957))</f>
        <v/>
      </c>
      <c r="H1957" s="27" t="str">
        <f aca="false">IF(G1957="","",IF(N(E1957)=0,1,E1957)*IFERROR(N(INDEX(Produtos!$G$5:$G$104,MATCH(D1957,Produtos!$B$5:$B$104,0))),0))</f>
        <v/>
      </c>
      <c r="I1957" s="27" t="str">
        <f aca="false">IF(G1957="","",G1957-H1957)</f>
        <v/>
      </c>
      <c r="J1957" s="42"/>
    </row>
    <row r="1958" customFormat="false" ht="21" hidden="false" customHeight="true" outlineLevel="0" collapsed="false">
      <c r="B1958" s="41"/>
      <c r="C1958" s="9"/>
      <c r="D1958" s="9"/>
      <c r="E1958" s="42"/>
      <c r="F1958" s="43"/>
      <c r="G1958" s="27" t="str">
        <f aca="false">IF(OR(C1958="",AND(D1958="",F1958="")),"",IF(N(E1958)=0,1,E1958)*IF(F1958="",IFERROR(N(INDEX(Produtos!$L$5:$L$104,MATCH(D1958,Produtos!$B$5:$B$104,0))),0),F1958))</f>
        <v/>
      </c>
      <c r="H1958" s="27" t="str">
        <f aca="false">IF(G1958="","",IF(N(E1958)=0,1,E1958)*IFERROR(N(INDEX(Produtos!$G$5:$G$104,MATCH(D1958,Produtos!$B$5:$B$104,0))),0))</f>
        <v/>
      </c>
      <c r="I1958" s="27" t="str">
        <f aca="false">IF(G1958="","",G1958-H1958)</f>
        <v/>
      </c>
      <c r="J1958" s="42"/>
    </row>
    <row r="1959" customFormat="false" ht="21" hidden="false" customHeight="true" outlineLevel="0" collapsed="false">
      <c r="B1959" s="41"/>
      <c r="C1959" s="9"/>
      <c r="D1959" s="9"/>
      <c r="E1959" s="42"/>
      <c r="F1959" s="43"/>
      <c r="G1959" s="27" t="str">
        <f aca="false">IF(OR(C1959="",AND(D1959="",F1959="")),"",IF(N(E1959)=0,1,E1959)*IF(F1959="",IFERROR(N(INDEX(Produtos!$L$5:$L$104,MATCH(D1959,Produtos!$B$5:$B$104,0))),0),F1959))</f>
        <v/>
      </c>
      <c r="H1959" s="27" t="str">
        <f aca="false">IF(G1959="","",IF(N(E1959)=0,1,E1959)*IFERROR(N(INDEX(Produtos!$G$5:$G$104,MATCH(D1959,Produtos!$B$5:$B$104,0))),0))</f>
        <v/>
      </c>
      <c r="I1959" s="27" t="str">
        <f aca="false">IF(G1959="","",G1959-H1959)</f>
        <v/>
      </c>
      <c r="J1959" s="42"/>
    </row>
    <row r="1960" customFormat="false" ht="21" hidden="false" customHeight="true" outlineLevel="0" collapsed="false">
      <c r="B1960" s="41"/>
      <c r="C1960" s="9"/>
      <c r="D1960" s="9"/>
      <c r="E1960" s="42"/>
      <c r="F1960" s="43"/>
      <c r="G1960" s="27" t="str">
        <f aca="false">IF(OR(C1960="",AND(D1960="",F1960="")),"",IF(N(E1960)=0,1,E1960)*IF(F1960="",IFERROR(N(INDEX(Produtos!$L$5:$L$104,MATCH(D1960,Produtos!$B$5:$B$104,0))),0),F1960))</f>
        <v/>
      </c>
      <c r="H1960" s="27" t="str">
        <f aca="false">IF(G1960="","",IF(N(E1960)=0,1,E1960)*IFERROR(N(INDEX(Produtos!$G$5:$G$104,MATCH(D1960,Produtos!$B$5:$B$104,0))),0))</f>
        <v/>
      </c>
      <c r="I1960" s="27" t="str">
        <f aca="false">IF(G1960="","",G1960-H1960)</f>
        <v/>
      </c>
      <c r="J1960" s="42"/>
    </row>
    <row r="1961" customFormat="false" ht="21" hidden="false" customHeight="true" outlineLevel="0" collapsed="false">
      <c r="B1961" s="41"/>
      <c r="C1961" s="9"/>
      <c r="D1961" s="9"/>
      <c r="E1961" s="42"/>
      <c r="F1961" s="43"/>
      <c r="G1961" s="27" t="str">
        <f aca="false">IF(OR(C1961="",AND(D1961="",F1961="")),"",IF(N(E1961)=0,1,E1961)*IF(F1961="",IFERROR(N(INDEX(Produtos!$L$5:$L$104,MATCH(D1961,Produtos!$B$5:$B$104,0))),0),F1961))</f>
        <v/>
      </c>
      <c r="H1961" s="27" t="str">
        <f aca="false">IF(G1961="","",IF(N(E1961)=0,1,E1961)*IFERROR(N(INDEX(Produtos!$G$5:$G$104,MATCH(D1961,Produtos!$B$5:$B$104,0))),0))</f>
        <v/>
      </c>
      <c r="I1961" s="27" t="str">
        <f aca="false">IF(G1961="","",G1961-H1961)</f>
        <v/>
      </c>
      <c r="J1961" s="42"/>
    </row>
    <row r="1962" customFormat="false" ht="21" hidden="false" customHeight="true" outlineLevel="0" collapsed="false">
      <c r="B1962" s="41"/>
      <c r="C1962" s="9"/>
      <c r="D1962" s="9"/>
      <c r="E1962" s="42"/>
      <c r="F1962" s="43"/>
      <c r="G1962" s="27" t="str">
        <f aca="false">IF(OR(C1962="",AND(D1962="",F1962="")),"",IF(N(E1962)=0,1,E1962)*IF(F1962="",IFERROR(N(INDEX(Produtos!$L$5:$L$104,MATCH(D1962,Produtos!$B$5:$B$104,0))),0),F1962))</f>
        <v/>
      </c>
      <c r="H1962" s="27" t="str">
        <f aca="false">IF(G1962="","",IF(N(E1962)=0,1,E1962)*IFERROR(N(INDEX(Produtos!$G$5:$G$104,MATCH(D1962,Produtos!$B$5:$B$104,0))),0))</f>
        <v/>
      </c>
      <c r="I1962" s="27" t="str">
        <f aca="false">IF(G1962="","",G1962-H1962)</f>
        <v/>
      </c>
      <c r="J1962" s="42"/>
    </row>
    <row r="1963" customFormat="false" ht="21" hidden="false" customHeight="true" outlineLevel="0" collapsed="false">
      <c r="B1963" s="41"/>
      <c r="C1963" s="9"/>
      <c r="D1963" s="9"/>
      <c r="E1963" s="42"/>
      <c r="F1963" s="43"/>
      <c r="G1963" s="27" t="str">
        <f aca="false">IF(OR(C1963="",AND(D1963="",F1963="")),"",IF(N(E1963)=0,1,E1963)*IF(F1963="",IFERROR(N(INDEX(Produtos!$L$5:$L$104,MATCH(D1963,Produtos!$B$5:$B$104,0))),0),F1963))</f>
        <v/>
      </c>
      <c r="H1963" s="27" t="str">
        <f aca="false">IF(G1963="","",IF(N(E1963)=0,1,E1963)*IFERROR(N(INDEX(Produtos!$G$5:$G$104,MATCH(D1963,Produtos!$B$5:$B$104,0))),0))</f>
        <v/>
      </c>
      <c r="I1963" s="27" t="str">
        <f aca="false">IF(G1963="","",G1963-H1963)</f>
        <v/>
      </c>
      <c r="J1963" s="42"/>
    </row>
    <row r="1964" customFormat="false" ht="21" hidden="false" customHeight="true" outlineLevel="0" collapsed="false">
      <c r="B1964" s="41"/>
      <c r="C1964" s="9"/>
      <c r="D1964" s="9"/>
      <c r="E1964" s="42"/>
      <c r="F1964" s="43"/>
      <c r="G1964" s="27" t="str">
        <f aca="false">IF(OR(C1964="",AND(D1964="",F1964="")),"",IF(N(E1964)=0,1,E1964)*IF(F1964="",IFERROR(N(INDEX(Produtos!$L$5:$L$104,MATCH(D1964,Produtos!$B$5:$B$104,0))),0),F1964))</f>
        <v/>
      </c>
      <c r="H1964" s="27" t="str">
        <f aca="false">IF(G1964="","",IF(N(E1964)=0,1,E1964)*IFERROR(N(INDEX(Produtos!$G$5:$G$104,MATCH(D1964,Produtos!$B$5:$B$104,0))),0))</f>
        <v/>
      </c>
      <c r="I1964" s="27" t="str">
        <f aca="false">IF(G1964="","",G1964-H1964)</f>
        <v/>
      </c>
      <c r="J1964" s="42"/>
    </row>
    <row r="1965" customFormat="false" ht="21" hidden="false" customHeight="true" outlineLevel="0" collapsed="false">
      <c r="B1965" s="41"/>
      <c r="C1965" s="9"/>
      <c r="D1965" s="9"/>
      <c r="E1965" s="42"/>
      <c r="F1965" s="43"/>
      <c r="G1965" s="27" t="str">
        <f aca="false">IF(OR(C1965="",AND(D1965="",F1965="")),"",IF(N(E1965)=0,1,E1965)*IF(F1965="",IFERROR(N(INDEX(Produtos!$L$5:$L$104,MATCH(D1965,Produtos!$B$5:$B$104,0))),0),F1965))</f>
        <v/>
      </c>
      <c r="H1965" s="27" t="str">
        <f aca="false">IF(G1965="","",IF(N(E1965)=0,1,E1965)*IFERROR(N(INDEX(Produtos!$G$5:$G$104,MATCH(D1965,Produtos!$B$5:$B$104,0))),0))</f>
        <v/>
      </c>
      <c r="I1965" s="27" t="str">
        <f aca="false">IF(G1965="","",G1965-H1965)</f>
        <v/>
      </c>
      <c r="J1965" s="42"/>
    </row>
    <row r="1966" customFormat="false" ht="21" hidden="false" customHeight="true" outlineLevel="0" collapsed="false">
      <c r="B1966" s="41"/>
      <c r="C1966" s="9"/>
      <c r="D1966" s="9"/>
      <c r="E1966" s="42"/>
      <c r="F1966" s="43"/>
      <c r="G1966" s="27" t="str">
        <f aca="false">IF(OR(C1966="",AND(D1966="",F1966="")),"",IF(N(E1966)=0,1,E1966)*IF(F1966="",IFERROR(N(INDEX(Produtos!$L$5:$L$104,MATCH(D1966,Produtos!$B$5:$B$104,0))),0),F1966))</f>
        <v/>
      </c>
      <c r="H1966" s="27" t="str">
        <f aca="false">IF(G1966="","",IF(N(E1966)=0,1,E1966)*IFERROR(N(INDEX(Produtos!$G$5:$G$104,MATCH(D1966,Produtos!$B$5:$B$104,0))),0))</f>
        <v/>
      </c>
      <c r="I1966" s="27" t="str">
        <f aca="false">IF(G1966="","",G1966-H1966)</f>
        <v/>
      </c>
      <c r="J1966" s="42"/>
    </row>
    <row r="1967" customFormat="false" ht="21" hidden="false" customHeight="true" outlineLevel="0" collapsed="false">
      <c r="B1967" s="41"/>
      <c r="C1967" s="9"/>
      <c r="D1967" s="9"/>
      <c r="E1967" s="42"/>
      <c r="F1967" s="43"/>
      <c r="G1967" s="27" t="str">
        <f aca="false">IF(OR(C1967="",AND(D1967="",F1967="")),"",IF(N(E1967)=0,1,E1967)*IF(F1967="",IFERROR(N(INDEX(Produtos!$L$5:$L$104,MATCH(D1967,Produtos!$B$5:$B$104,0))),0),F1967))</f>
        <v/>
      </c>
      <c r="H1967" s="27" t="str">
        <f aca="false">IF(G1967="","",IF(N(E1967)=0,1,E1967)*IFERROR(N(INDEX(Produtos!$G$5:$G$104,MATCH(D1967,Produtos!$B$5:$B$104,0))),0))</f>
        <v/>
      </c>
      <c r="I1967" s="27" t="str">
        <f aca="false">IF(G1967="","",G1967-H1967)</f>
        <v/>
      </c>
      <c r="J1967" s="42"/>
    </row>
    <row r="1968" customFormat="false" ht="21" hidden="false" customHeight="true" outlineLevel="0" collapsed="false">
      <c r="B1968" s="41"/>
      <c r="C1968" s="9"/>
      <c r="D1968" s="9"/>
      <c r="E1968" s="42"/>
      <c r="F1968" s="43"/>
      <c r="G1968" s="27" t="str">
        <f aca="false">IF(OR(C1968="",AND(D1968="",F1968="")),"",IF(N(E1968)=0,1,E1968)*IF(F1968="",IFERROR(N(INDEX(Produtos!$L$5:$L$104,MATCH(D1968,Produtos!$B$5:$B$104,0))),0),F1968))</f>
        <v/>
      </c>
      <c r="H1968" s="27" t="str">
        <f aca="false">IF(G1968="","",IF(N(E1968)=0,1,E1968)*IFERROR(N(INDEX(Produtos!$G$5:$G$104,MATCH(D1968,Produtos!$B$5:$B$104,0))),0))</f>
        <v/>
      </c>
      <c r="I1968" s="27" t="str">
        <f aca="false">IF(G1968="","",G1968-H1968)</f>
        <v/>
      </c>
      <c r="J1968" s="42"/>
    </row>
    <row r="1969" customFormat="false" ht="21" hidden="false" customHeight="true" outlineLevel="0" collapsed="false">
      <c r="B1969" s="41"/>
      <c r="C1969" s="9"/>
      <c r="D1969" s="9"/>
      <c r="E1969" s="42"/>
      <c r="F1969" s="43"/>
      <c r="G1969" s="27" t="str">
        <f aca="false">IF(OR(C1969="",AND(D1969="",F1969="")),"",IF(N(E1969)=0,1,E1969)*IF(F1969="",IFERROR(N(INDEX(Produtos!$L$5:$L$104,MATCH(D1969,Produtos!$B$5:$B$104,0))),0),F1969))</f>
        <v/>
      </c>
      <c r="H1969" s="27" t="str">
        <f aca="false">IF(G1969="","",IF(N(E1969)=0,1,E1969)*IFERROR(N(INDEX(Produtos!$G$5:$G$104,MATCH(D1969,Produtos!$B$5:$B$104,0))),0))</f>
        <v/>
      </c>
      <c r="I1969" s="27" t="str">
        <f aca="false">IF(G1969="","",G1969-H1969)</f>
        <v/>
      </c>
      <c r="J1969" s="42"/>
    </row>
    <row r="1970" customFormat="false" ht="21" hidden="false" customHeight="true" outlineLevel="0" collapsed="false">
      <c r="B1970" s="41"/>
      <c r="C1970" s="9"/>
      <c r="D1970" s="9"/>
      <c r="E1970" s="42"/>
      <c r="F1970" s="43"/>
      <c r="G1970" s="27" t="str">
        <f aca="false">IF(OR(C1970="",AND(D1970="",F1970="")),"",IF(N(E1970)=0,1,E1970)*IF(F1970="",IFERROR(N(INDEX(Produtos!$L$5:$L$104,MATCH(D1970,Produtos!$B$5:$B$104,0))),0),F1970))</f>
        <v/>
      </c>
      <c r="H1970" s="27" t="str">
        <f aca="false">IF(G1970="","",IF(N(E1970)=0,1,E1970)*IFERROR(N(INDEX(Produtos!$G$5:$G$104,MATCH(D1970,Produtos!$B$5:$B$104,0))),0))</f>
        <v/>
      </c>
      <c r="I1970" s="27" t="str">
        <f aca="false">IF(G1970="","",G1970-H1970)</f>
        <v/>
      </c>
      <c r="J1970" s="42"/>
    </row>
    <row r="1971" customFormat="false" ht="21" hidden="false" customHeight="true" outlineLevel="0" collapsed="false">
      <c r="B1971" s="41"/>
      <c r="C1971" s="9"/>
      <c r="D1971" s="9"/>
      <c r="E1971" s="42"/>
      <c r="F1971" s="43"/>
      <c r="G1971" s="27" t="str">
        <f aca="false">IF(OR(C1971="",AND(D1971="",F1971="")),"",IF(N(E1971)=0,1,E1971)*IF(F1971="",IFERROR(N(INDEX(Produtos!$L$5:$L$104,MATCH(D1971,Produtos!$B$5:$B$104,0))),0),F1971))</f>
        <v/>
      </c>
      <c r="H1971" s="27" t="str">
        <f aca="false">IF(G1971="","",IF(N(E1971)=0,1,E1971)*IFERROR(N(INDEX(Produtos!$G$5:$G$104,MATCH(D1971,Produtos!$B$5:$B$104,0))),0))</f>
        <v/>
      </c>
      <c r="I1971" s="27" t="str">
        <f aca="false">IF(G1971="","",G1971-H1971)</f>
        <v/>
      </c>
      <c r="J1971" s="42"/>
    </row>
    <row r="1972" customFormat="false" ht="21" hidden="false" customHeight="true" outlineLevel="0" collapsed="false">
      <c r="B1972" s="41"/>
      <c r="C1972" s="9"/>
      <c r="D1972" s="9"/>
      <c r="E1972" s="42"/>
      <c r="F1972" s="43"/>
      <c r="G1972" s="27" t="str">
        <f aca="false">IF(OR(C1972="",AND(D1972="",F1972="")),"",IF(N(E1972)=0,1,E1972)*IF(F1972="",IFERROR(N(INDEX(Produtos!$L$5:$L$104,MATCH(D1972,Produtos!$B$5:$B$104,0))),0),F1972))</f>
        <v/>
      </c>
      <c r="H1972" s="27" t="str">
        <f aca="false">IF(G1972="","",IF(N(E1972)=0,1,E1972)*IFERROR(N(INDEX(Produtos!$G$5:$G$104,MATCH(D1972,Produtos!$B$5:$B$104,0))),0))</f>
        <v/>
      </c>
      <c r="I1972" s="27" t="str">
        <f aca="false">IF(G1972="","",G1972-H1972)</f>
        <v/>
      </c>
      <c r="J1972" s="42"/>
    </row>
    <row r="1973" customFormat="false" ht="21" hidden="false" customHeight="true" outlineLevel="0" collapsed="false">
      <c r="B1973" s="41"/>
      <c r="C1973" s="9"/>
      <c r="D1973" s="9"/>
      <c r="E1973" s="42"/>
      <c r="F1973" s="43"/>
      <c r="G1973" s="27" t="str">
        <f aca="false">IF(OR(C1973="",AND(D1973="",F1973="")),"",IF(N(E1973)=0,1,E1973)*IF(F1973="",IFERROR(N(INDEX(Produtos!$L$5:$L$104,MATCH(D1973,Produtos!$B$5:$B$104,0))),0),F1973))</f>
        <v/>
      </c>
      <c r="H1973" s="27" t="str">
        <f aca="false">IF(G1973="","",IF(N(E1973)=0,1,E1973)*IFERROR(N(INDEX(Produtos!$G$5:$G$104,MATCH(D1973,Produtos!$B$5:$B$104,0))),0))</f>
        <v/>
      </c>
      <c r="I1973" s="27" t="str">
        <f aca="false">IF(G1973="","",G1973-H1973)</f>
        <v/>
      </c>
      <c r="J1973" s="42"/>
    </row>
    <row r="1974" customFormat="false" ht="21" hidden="false" customHeight="true" outlineLevel="0" collapsed="false">
      <c r="B1974" s="41"/>
      <c r="C1974" s="9"/>
      <c r="D1974" s="9"/>
      <c r="E1974" s="42"/>
      <c r="F1974" s="43"/>
      <c r="G1974" s="27" t="str">
        <f aca="false">IF(OR(C1974="",AND(D1974="",F1974="")),"",IF(N(E1974)=0,1,E1974)*IF(F1974="",IFERROR(N(INDEX(Produtos!$L$5:$L$104,MATCH(D1974,Produtos!$B$5:$B$104,0))),0),F1974))</f>
        <v/>
      </c>
      <c r="H1974" s="27" t="str">
        <f aca="false">IF(G1974="","",IF(N(E1974)=0,1,E1974)*IFERROR(N(INDEX(Produtos!$G$5:$G$104,MATCH(D1974,Produtos!$B$5:$B$104,0))),0))</f>
        <v/>
      </c>
      <c r="I1974" s="27" t="str">
        <f aca="false">IF(G1974="","",G1974-H1974)</f>
        <v/>
      </c>
      <c r="J1974" s="42"/>
    </row>
    <row r="1975" customFormat="false" ht="21" hidden="false" customHeight="true" outlineLevel="0" collapsed="false">
      <c r="B1975" s="41"/>
      <c r="C1975" s="9"/>
      <c r="D1975" s="9"/>
      <c r="E1975" s="42"/>
      <c r="F1975" s="43"/>
      <c r="G1975" s="27" t="str">
        <f aca="false">IF(OR(C1975="",AND(D1975="",F1975="")),"",IF(N(E1975)=0,1,E1975)*IF(F1975="",IFERROR(N(INDEX(Produtos!$L$5:$L$104,MATCH(D1975,Produtos!$B$5:$B$104,0))),0),F1975))</f>
        <v/>
      </c>
      <c r="H1975" s="27" t="str">
        <f aca="false">IF(G1975="","",IF(N(E1975)=0,1,E1975)*IFERROR(N(INDEX(Produtos!$G$5:$G$104,MATCH(D1975,Produtos!$B$5:$B$104,0))),0))</f>
        <v/>
      </c>
      <c r="I1975" s="27" t="str">
        <f aca="false">IF(G1975="","",G1975-H1975)</f>
        <v/>
      </c>
      <c r="J1975" s="42"/>
    </row>
    <row r="1976" customFormat="false" ht="21" hidden="false" customHeight="true" outlineLevel="0" collapsed="false">
      <c r="B1976" s="41"/>
      <c r="C1976" s="9"/>
      <c r="D1976" s="9"/>
      <c r="E1976" s="42"/>
      <c r="F1976" s="43"/>
      <c r="G1976" s="27" t="str">
        <f aca="false">IF(OR(C1976="",AND(D1976="",F1976="")),"",IF(N(E1976)=0,1,E1976)*IF(F1976="",IFERROR(N(INDEX(Produtos!$L$5:$L$104,MATCH(D1976,Produtos!$B$5:$B$104,0))),0),F1976))</f>
        <v/>
      </c>
      <c r="H1976" s="27" t="str">
        <f aca="false">IF(G1976="","",IF(N(E1976)=0,1,E1976)*IFERROR(N(INDEX(Produtos!$G$5:$G$104,MATCH(D1976,Produtos!$B$5:$B$104,0))),0))</f>
        <v/>
      </c>
      <c r="I1976" s="27" t="str">
        <f aca="false">IF(G1976="","",G1976-H1976)</f>
        <v/>
      </c>
      <c r="J1976" s="42"/>
    </row>
    <row r="1977" customFormat="false" ht="21" hidden="false" customHeight="true" outlineLevel="0" collapsed="false">
      <c r="B1977" s="41"/>
      <c r="C1977" s="9"/>
      <c r="D1977" s="9"/>
      <c r="E1977" s="42"/>
      <c r="F1977" s="43"/>
      <c r="G1977" s="27" t="str">
        <f aca="false">IF(OR(C1977="",AND(D1977="",F1977="")),"",IF(N(E1977)=0,1,E1977)*IF(F1977="",IFERROR(N(INDEX(Produtos!$L$5:$L$104,MATCH(D1977,Produtos!$B$5:$B$104,0))),0),F1977))</f>
        <v/>
      </c>
      <c r="H1977" s="27" t="str">
        <f aca="false">IF(G1977="","",IF(N(E1977)=0,1,E1977)*IFERROR(N(INDEX(Produtos!$G$5:$G$104,MATCH(D1977,Produtos!$B$5:$B$104,0))),0))</f>
        <v/>
      </c>
      <c r="I1977" s="27" t="str">
        <f aca="false">IF(G1977="","",G1977-H1977)</f>
        <v/>
      </c>
      <c r="J1977" s="42"/>
    </row>
    <row r="1978" customFormat="false" ht="21" hidden="false" customHeight="true" outlineLevel="0" collapsed="false">
      <c r="B1978" s="41"/>
      <c r="C1978" s="9"/>
      <c r="D1978" s="9"/>
      <c r="E1978" s="42"/>
      <c r="F1978" s="43"/>
      <c r="G1978" s="27" t="str">
        <f aca="false">IF(OR(C1978="",AND(D1978="",F1978="")),"",IF(N(E1978)=0,1,E1978)*IF(F1978="",IFERROR(N(INDEX(Produtos!$L$5:$L$104,MATCH(D1978,Produtos!$B$5:$B$104,0))),0),F1978))</f>
        <v/>
      </c>
      <c r="H1978" s="27" t="str">
        <f aca="false">IF(G1978="","",IF(N(E1978)=0,1,E1978)*IFERROR(N(INDEX(Produtos!$G$5:$G$104,MATCH(D1978,Produtos!$B$5:$B$104,0))),0))</f>
        <v/>
      </c>
      <c r="I1978" s="27" t="str">
        <f aca="false">IF(G1978="","",G1978-H1978)</f>
        <v/>
      </c>
      <c r="J1978" s="42"/>
    </row>
    <row r="1979" customFormat="false" ht="21" hidden="false" customHeight="true" outlineLevel="0" collapsed="false">
      <c r="B1979" s="41"/>
      <c r="C1979" s="9"/>
      <c r="D1979" s="9"/>
      <c r="E1979" s="42"/>
      <c r="F1979" s="43"/>
      <c r="G1979" s="27" t="str">
        <f aca="false">IF(OR(C1979="",AND(D1979="",F1979="")),"",IF(N(E1979)=0,1,E1979)*IF(F1979="",IFERROR(N(INDEX(Produtos!$L$5:$L$104,MATCH(D1979,Produtos!$B$5:$B$104,0))),0),F1979))</f>
        <v/>
      </c>
      <c r="H1979" s="27" t="str">
        <f aca="false">IF(G1979="","",IF(N(E1979)=0,1,E1979)*IFERROR(N(INDEX(Produtos!$G$5:$G$104,MATCH(D1979,Produtos!$B$5:$B$104,0))),0))</f>
        <v/>
      </c>
      <c r="I1979" s="27" t="str">
        <f aca="false">IF(G1979="","",G1979-H1979)</f>
        <v/>
      </c>
      <c r="J1979" s="42"/>
    </row>
    <row r="1980" customFormat="false" ht="21" hidden="false" customHeight="true" outlineLevel="0" collapsed="false">
      <c r="B1980" s="41"/>
      <c r="C1980" s="9"/>
      <c r="D1980" s="9"/>
      <c r="E1980" s="42"/>
      <c r="F1980" s="43"/>
      <c r="G1980" s="27" t="str">
        <f aca="false">IF(OR(C1980="",AND(D1980="",F1980="")),"",IF(N(E1980)=0,1,E1980)*IF(F1980="",IFERROR(N(INDEX(Produtos!$L$5:$L$104,MATCH(D1980,Produtos!$B$5:$B$104,0))),0),F1980))</f>
        <v/>
      </c>
      <c r="H1980" s="27" t="str">
        <f aca="false">IF(G1980="","",IF(N(E1980)=0,1,E1980)*IFERROR(N(INDEX(Produtos!$G$5:$G$104,MATCH(D1980,Produtos!$B$5:$B$104,0))),0))</f>
        <v/>
      </c>
      <c r="I1980" s="27" t="str">
        <f aca="false">IF(G1980="","",G1980-H1980)</f>
        <v/>
      </c>
      <c r="J1980" s="42"/>
    </row>
    <row r="1981" customFormat="false" ht="21" hidden="false" customHeight="true" outlineLevel="0" collapsed="false">
      <c r="B1981" s="41"/>
      <c r="C1981" s="9"/>
      <c r="D1981" s="9"/>
      <c r="E1981" s="42"/>
      <c r="F1981" s="43"/>
      <c r="G1981" s="27" t="str">
        <f aca="false">IF(OR(C1981="",AND(D1981="",F1981="")),"",IF(N(E1981)=0,1,E1981)*IF(F1981="",IFERROR(N(INDEX(Produtos!$L$5:$L$104,MATCH(D1981,Produtos!$B$5:$B$104,0))),0),F1981))</f>
        <v/>
      </c>
      <c r="H1981" s="27" t="str">
        <f aca="false">IF(G1981="","",IF(N(E1981)=0,1,E1981)*IFERROR(N(INDEX(Produtos!$G$5:$G$104,MATCH(D1981,Produtos!$B$5:$B$104,0))),0))</f>
        <v/>
      </c>
      <c r="I1981" s="27" t="str">
        <f aca="false">IF(G1981="","",G1981-H1981)</f>
        <v/>
      </c>
      <c r="J1981" s="42"/>
    </row>
    <row r="1982" customFormat="false" ht="21" hidden="false" customHeight="true" outlineLevel="0" collapsed="false">
      <c r="B1982" s="41"/>
      <c r="C1982" s="9"/>
      <c r="D1982" s="9"/>
      <c r="E1982" s="42"/>
      <c r="F1982" s="43"/>
      <c r="G1982" s="27" t="str">
        <f aca="false">IF(OR(C1982="",AND(D1982="",F1982="")),"",IF(N(E1982)=0,1,E1982)*IF(F1982="",IFERROR(N(INDEX(Produtos!$L$5:$L$104,MATCH(D1982,Produtos!$B$5:$B$104,0))),0),F1982))</f>
        <v/>
      </c>
      <c r="H1982" s="27" t="str">
        <f aca="false">IF(G1982="","",IF(N(E1982)=0,1,E1982)*IFERROR(N(INDEX(Produtos!$G$5:$G$104,MATCH(D1982,Produtos!$B$5:$B$104,0))),0))</f>
        <v/>
      </c>
      <c r="I1982" s="27" t="str">
        <f aca="false">IF(G1982="","",G1982-H1982)</f>
        <v/>
      </c>
      <c r="J1982" s="42"/>
    </row>
    <row r="1983" customFormat="false" ht="21" hidden="false" customHeight="true" outlineLevel="0" collapsed="false">
      <c r="B1983" s="41"/>
      <c r="C1983" s="9"/>
      <c r="D1983" s="9"/>
      <c r="E1983" s="42"/>
      <c r="F1983" s="43"/>
      <c r="G1983" s="27" t="str">
        <f aca="false">IF(OR(C1983="",AND(D1983="",F1983="")),"",IF(N(E1983)=0,1,E1983)*IF(F1983="",IFERROR(N(INDEX(Produtos!$L$5:$L$104,MATCH(D1983,Produtos!$B$5:$B$104,0))),0),F1983))</f>
        <v/>
      </c>
      <c r="H1983" s="27" t="str">
        <f aca="false">IF(G1983="","",IF(N(E1983)=0,1,E1983)*IFERROR(N(INDEX(Produtos!$G$5:$G$104,MATCH(D1983,Produtos!$B$5:$B$104,0))),0))</f>
        <v/>
      </c>
      <c r="I1983" s="27" t="str">
        <f aca="false">IF(G1983="","",G1983-H1983)</f>
        <v/>
      </c>
      <c r="J1983" s="42"/>
    </row>
    <row r="1984" customFormat="false" ht="21" hidden="false" customHeight="true" outlineLevel="0" collapsed="false">
      <c r="B1984" s="41"/>
      <c r="C1984" s="9"/>
      <c r="D1984" s="9"/>
      <c r="E1984" s="42"/>
      <c r="F1984" s="43"/>
      <c r="G1984" s="27" t="str">
        <f aca="false">IF(OR(C1984="",AND(D1984="",F1984="")),"",IF(N(E1984)=0,1,E1984)*IF(F1984="",IFERROR(N(INDEX(Produtos!$L$5:$L$104,MATCH(D1984,Produtos!$B$5:$B$104,0))),0),F1984))</f>
        <v/>
      </c>
      <c r="H1984" s="27" t="str">
        <f aca="false">IF(G1984="","",IF(N(E1984)=0,1,E1984)*IFERROR(N(INDEX(Produtos!$G$5:$G$104,MATCH(D1984,Produtos!$B$5:$B$104,0))),0))</f>
        <v/>
      </c>
      <c r="I1984" s="27" t="str">
        <f aca="false">IF(G1984="","",G1984-H1984)</f>
        <v/>
      </c>
      <c r="J1984" s="42"/>
    </row>
    <row r="1985" customFormat="false" ht="21" hidden="false" customHeight="true" outlineLevel="0" collapsed="false">
      <c r="B1985" s="41"/>
      <c r="C1985" s="9"/>
      <c r="D1985" s="9"/>
      <c r="E1985" s="42"/>
      <c r="F1985" s="43"/>
      <c r="G1985" s="27" t="str">
        <f aca="false">IF(OR(C1985="",AND(D1985="",F1985="")),"",IF(N(E1985)=0,1,E1985)*IF(F1985="",IFERROR(N(INDEX(Produtos!$L$5:$L$104,MATCH(D1985,Produtos!$B$5:$B$104,0))),0),F1985))</f>
        <v/>
      </c>
      <c r="H1985" s="27" t="str">
        <f aca="false">IF(G1985="","",IF(N(E1985)=0,1,E1985)*IFERROR(N(INDEX(Produtos!$G$5:$G$104,MATCH(D1985,Produtos!$B$5:$B$104,0))),0))</f>
        <v/>
      </c>
      <c r="I1985" s="27" t="str">
        <f aca="false">IF(G1985="","",G1985-H1985)</f>
        <v/>
      </c>
      <c r="J1985" s="42"/>
    </row>
    <row r="1986" customFormat="false" ht="21" hidden="false" customHeight="true" outlineLevel="0" collapsed="false">
      <c r="B1986" s="41"/>
      <c r="C1986" s="9"/>
      <c r="D1986" s="9"/>
      <c r="E1986" s="42"/>
      <c r="F1986" s="43"/>
      <c r="G1986" s="27" t="str">
        <f aca="false">IF(OR(C1986="",AND(D1986="",F1986="")),"",IF(N(E1986)=0,1,E1986)*IF(F1986="",IFERROR(N(INDEX(Produtos!$L$5:$L$104,MATCH(D1986,Produtos!$B$5:$B$104,0))),0),F1986))</f>
        <v/>
      </c>
      <c r="H1986" s="27" t="str">
        <f aca="false">IF(G1986="","",IF(N(E1986)=0,1,E1986)*IFERROR(N(INDEX(Produtos!$G$5:$G$104,MATCH(D1986,Produtos!$B$5:$B$104,0))),0))</f>
        <v/>
      </c>
      <c r="I1986" s="27" t="str">
        <f aca="false">IF(G1986="","",G1986-H1986)</f>
        <v/>
      </c>
      <c r="J1986" s="42"/>
    </row>
    <row r="1987" customFormat="false" ht="21" hidden="false" customHeight="true" outlineLevel="0" collapsed="false">
      <c r="B1987" s="41"/>
      <c r="C1987" s="9"/>
      <c r="D1987" s="9"/>
      <c r="E1987" s="42"/>
      <c r="F1987" s="43"/>
      <c r="G1987" s="27" t="str">
        <f aca="false">IF(OR(C1987="",AND(D1987="",F1987="")),"",IF(N(E1987)=0,1,E1987)*IF(F1987="",IFERROR(N(INDEX(Produtos!$L$5:$L$104,MATCH(D1987,Produtos!$B$5:$B$104,0))),0),F1987))</f>
        <v/>
      </c>
      <c r="H1987" s="27" t="str">
        <f aca="false">IF(G1987="","",IF(N(E1987)=0,1,E1987)*IFERROR(N(INDEX(Produtos!$G$5:$G$104,MATCH(D1987,Produtos!$B$5:$B$104,0))),0))</f>
        <v/>
      </c>
      <c r="I1987" s="27" t="str">
        <f aca="false">IF(G1987="","",G1987-H1987)</f>
        <v/>
      </c>
      <c r="J1987" s="42"/>
    </row>
    <row r="1988" customFormat="false" ht="21" hidden="false" customHeight="true" outlineLevel="0" collapsed="false">
      <c r="B1988" s="41"/>
      <c r="C1988" s="9"/>
      <c r="D1988" s="9"/>
      <c r="E1988" s="42"/>
      <c r="F1988" s="43"/>
      <c r="G1988" s="27" t="str">
        <f aca="false">IF(OR(C1988="",AND(D1988="",F1988="")),"",IF(N(E1988)=0,1,E1988)*IF(F1988="",IFERROR(N(INDEX(Produtos!$L$5:$L$104,MATCH(D1988,Produtos!$B$5:$B$104,0))),0),F1988))</f>
        <v/>
      </c>
      <c r="H1988" s="27" t="str">
        <f aca="false">IF(G1988="","",IF(N(E1988)=0,1,E1988)*IFERROR(N(INDEX(Produtos!$G$5:$G$104,MATCH(D1988,Produtos!$B$5:$B$104,0))),0))</f>
        <v/>
      </c>
      <c r="I1988" s="27" t="str">
        <f aca="false">IF(G1988="","",G1988-H1988)</f>
        <v/>
      </c>
      <c r="J1988" s="42"/>
    </row>
    <row r="1989" customFormat="false" ht="21" hidden="false" customHeight="true" outlineLevel="0" collapsed="false">
      <c r="B1989" s="41"/>
      <c r="C1989" s="9"/>
      <c r="D1989" s="9"/>
      <c r="E1989" s="42"/>
      <c r="F1989" s="43"/>
      <c r="G1989" s="27" t="str">
        <f aca="false">IF(OR(C1989="",AND(D1989="",F1989="")),"",IF(N(E1989)=0,1,E1989)*IF(F1989="",IFERROR(N(INDEX(Produtos!$L$5:$L$104,MATCH(D1989,Produtos!$B$5:$B$104,0))),0),F1989))</f>
        <v/>
      </c>
      <c r="H1989" s="27" t="str">
        <f aca="false">IF(G1989="","",IF(N(E1989)=0,1,E1989)*IFERROR(N(INDEX(Produtos!$G$5:$G$104,MATCH(D1989,Produtos!$B$5:$B$104,0))),0))</f>
        <v/>
      </c>
      <c r="I1989" s="27" t="str">
        <f aca="false">IF(G1989="","",G1989-H1989)</f>
        <v/>
      </c>
      <c r="J1989" s="42"/>
    </row>
    <row r="1990" customFormat="false" ht="21" hidden="false" customHeight="true" outlineLevel="0" collapsed="false">
      <c r="B1990" s="41"/>
      <c r="C1990" s="9"/>
      <c r="D1990" s="9"/>
      <c r="E1990" s="42"/>
      <c r="F1990" s="43"/>
      <c r="G1990" s="27" t="str">
        <f aca="false">IF(OR(C1990="",AND(D1990="",F1990="")),"",IF(N(E1990)=0,1,E1990)*IF(F1990="",IFERROR(N(INDEX(Produtos!$L$5:$L$104,MATCH(D1990,Produtos!$B$5:$B$104,0))),0),F1990))</f>
        <v/>
      </c>
      <c r="H1990" s="27" t="str">
        <f aca="false">IF(G1990="","",IF(N(E1990)=0,1,E1990)*IFERROR(N(INDEX(Produtos!$G$5:$G$104,MATCH(D1990,Produtos!$B$5:$B$104,0))),0))</f>
        <v/>
      </c>
      <c r="I1990" s="27" t="str">
        <f aca="false">IF(G1990="","",G1990-H1990)</f>
        <v/>
      </c>
      <c r="J1990" s="42"/>
    </row>
    <row r="1991" customFormat="false" ht="21" hidden="false" customHeight="true" outlineLevel="0" collapsed="false">
      <c r="B1991" s="41"/>
      <c r="C1991" s="9"/>
      <c r="D1991" s="9"/>
      <c r="E1991" s="42"/>
      <c r="F1991" s="43"/>
      <c r="G1991" s="27" t="str">
        <f aca="false">IF(OR(C1991="",AND(D1991="",F1991="")),"",IF(N(E1991)=0,1,E1991)*IF(F1991="",IFERROR(N(INDEX(Produtos!$L$5:$L$104,MATCH(D1991,Produtos!$B$5:$B$104,0))),0),F1991))</f>
        <v/>
      </c>
      <c r="H1991" s="27" t="str">
        <f aca="false">IF(G1991="","",IF(N(E1991)=0,1,E1991)*IFERROR(N(INDEX(Produtos!$G$5:$G$104,MATCH(D1991,Produtos!$B$5:$B$104,0))),0))</f>
        <v/>
      </c>
      <c r="I1991" s="27" t="str">
        <f aca="false">IF(G1991="","",G1991-H1991)</f>
        <v/>
      </c>
      <c r="J1991" s="42"/>
    </row>
    <row r="1992" customFormat="false" ht="21" hidden="false" customHeight="true" outlineLevel="0" collapsed="false">
      <c r="B1992" s="41"/>
      <c r="C1992" s="9"/>
      <c r="D1992" s="9"/>
      <c r="E1992" s="42"/>
      <c r="F1992" s="43"/>
      <c r="G1992" s="27" t="str">
        <f aca="false">IF(OR(C1992="",AND(D1992="",F1992="")),"",IF(N(E1992)=0,1,E1992)*IF(F1992="",IFERROR(N(INDEX(Produtos!$L$5:$L$104,MATCH(D1992,Produtos!$B$5:$B$104,0))),0),F1992))</f>
        <v/>
      </c>
      <c r="H1992" s="27" t="str">
        <f aca="false">IF(G1992="","",IF(N(E1992)=0,1,E1992)*IFERROR(N(INDEX(Produtos!$G$5:$G$104,MATCH(D1992,Produtos!$B$5:$B$104,0))),0))</f>
        <v/>
      </c>
      <c r="I1992" s="27" t="str">
        <f aca="false">IF(G1992="","",G1992-H1992)</f>
        <v/>
      </c>
      <c r="J1992" s="42"/>
    </row>
    <row r="1993" customFormat="false" ht="21" hidden="false" customHeight="true" outlineLevel="0" collapsed="false">
      <c r="B1993" s="41"/>
      <c r="C1993" s="9"/>
      <c r="D1993" s="9"/>
      <c r="E1993" s="42"/>
      <c r="F1993" s="43"/>
      <c r="G1993" s="27" t="str">
        <f aca="false">IF(OR(C1993="",AND(D1993="",F1993="")),"",IF(N(E1993)=0,1,E1993)*IF(F1993="",IFERROR(N(INDEX(Produtos!$L$5:$L$104,MATCH(D1993,Produtos!$B$5:$B$104,0))),0),F1993))</f>
        <v/>
      </c>
      <c r="H1993" s="27" t="str">
        <f aca="false">IF(G1993="","",IF(N(E1993)=0,1,E1993)*IFERROR(N(INDEX(Produtos!$G$5:$G$104,MATCH(D1993,Produtos!$B$5:$B$104,0))),0))</f>
        <v/>
      </c>
      <c r="I1993" s="27" t="str">
        <f aca="false">IF(G1993="","",G1993-H1993)</f>
        <v/>
      </c>
      <c r="J1993" s="42"/>
    </row>
    <row r="1994" customFormat="false" ht="21" hidden="false" customHeight="true" outlineLevel="0" collapsed="false">
      <c r="B1994" s="41"/>
      <c r="C1994" s="9"/>
      <c r="D1994" s="9"/>
      <c r="E1994" s="42"/>
      <c r="F1994" s="43"/>
      <c r="G1994" s="27" t="str">
        <f aca="false">IF(OR(C1994="",AND(D1994="",F1994="")),"",IF(N(E1994)=0,1,E1994)*IF(F1994="",IFERROR(N(INDEX(Produtos!$L$5:$L$104,MATCH(D1994,Produtos!$B$5:$B$104,0))),0),F1994))</f>
        <v/>
      </c>
      <c r="H1994" s="27" t="str">
        <f aca="false">IF(G1994="","",IF(N(E1994)=0,1,E1994)*IFERROR(N(INDEX(Produtos!$G$5:$G$104,MATCH(D1994,Produtos!$B$5:$B$104,0))),0))</f>
        <v/>
      </c>
      <c r="I1994" s="27" t="str">
        <f aca="false">IF(G1994="","",G1994-H1994)</f>
        <v/>
      </c>
      <c r="J1994" s="42"/>
    </row>
    <row r="1995" customFormat="false" ht="21" hidden="false" customHeight="true" outlineLevel="0" collapsed="false">
      <c r="B1995" s="41"/>
      <c r="C1995" s="9"/>
      <c r="D1995" s="9"/>
      <c r="E1995" s="42"/>
      <c r="F1995" s="43"/>
      <c r="G1995" s="27" t="str">
        <f aca="false">IF(OR(C1995="",AND(D1995="",F1995="")),"",IF(N(E1995)=0,1,E1995)*IF(F1995="",IFERROR(N(INDEX(Produtos!$L$5:$L$104,MATCH(D1995,Produtos!$B$5:$B$104,0))),0),F1995))</f>
        <v/>
      </c>
      <c r="H1995" s="27" t="str">
        <f aca="false">IF(G1995="","",IF(N(E1995)=0,1,E1995)*IFERROR(N(INDEX(Produtos!$G$5:$G$104,MATCH(D1995,Produtos!$B$5:$B$104,0))),0))</f>
        <v/>
      </c>
      <c r="I1995" s="27" t="str">
        <f aca="false">IF(G1995="","",G1995-H1995)</f>
        <v/>
      </c>
      <c r="J1995" s="42"/>
    </row>
    <row r="1996" customFormat="false" ht="21" hidden="false" customHeight="true" outlineLevel="0" collapsed="false">
      <c r="B1996" s="41"/>
      <c r="C1996" s="9"/>
      <c r="D1996" s="9"/>
      <c r="E1996" s="42"/>
      <c r="F1996" s="43"/>
      <c r="G1996" s="27" t="str">
        <f aca="false">IF(OR(C1996="",AND(D1996="",F1996="")),"",IF(N(E1996)=0,1,E1996)*IF(F1996="",IFERROR(N(INDEX(Produtos!$L$5:$L$104,MATCH(D1996,Produtos!$B$5:$B$104,0))),0),F1996))</f>
        <v/>
      </c>
      <c r="H1996" s="27" t="str">
        <f aca="false">IF(G1996="","",IF(N(E1996)=0,1,E1996)*IFERROR(N(INDEX(Produtos!$G$5:$G$104,MATCH(D1996,Produtos!$B$5:$B$104,0))),0))</f>
        <v/>
      </c>
      <c r="I1996" s="27" t="str">
        <f aca="false">IF(G1996="","",G1996-H1996)</f>
        <v/>
      </c>
      <c r="J1996" s="42"/>
    </row>
    <row r="1997" customFormat="false" ht="21" hidden="false" customHeight="true" outlineLevel="0" collapsed="false">
      <c r="B1997" s="41"/>
      <c r="C1997" s="9"/>
      <c r="D1997" s="9"/>
      <c r="E1997" s="42"/>
      <c r="F1997" s="43"/>
      <c r="G1997" s="27" t="str">
        <f aca="false">IF(OR(C1997="",AND(D1997="",F1997="")),"",IF(N(E1997)=0,1,E1997)*IF(F1997="",IFERROR(N(INDEX(Produtos!$L$5:$L$104,MATCH(D1997,Produtos!$B$5:$B$104,0))),0),F1997))</f>
        <v/>
      </c>
      <c r="H1997" s="27" t="str">
        <f aca="false">IF(G1997="","",IF(N(E1997)=0,1,E1997)*IFERROR(N(INDEX(Produtos!$G$5:$G$104,MATCH(D1997,Produtos!$B$5:$B$104,0))),0))</f>
        <v/>
      </c>
      <c r="I1997" s="27" t="str">
        <f aca="false">IF(G1997="","",G1997-H1997)</f>
        <v/>
      </c>
      <c r="J1997" s="42"/>
    </row>
    <row r="1998" customFormat="false" ht="21" hidden="false" customHeight="true" outlineLevel="0" collapsed="false">
      <c r="B1998" s="41"/>
      <c r="C1998" s="9"/>
      <c r="D1998" s="9"/>
      <c r="E1998" s="42"/>
      <c r="F1998" s="43"/>
      <c r="G1998" s="27" t="str">
        <f aca="false">IF(OR(C1998="",AND(D1998="",F1998="")),"",IF(N(E1998)=0,1,E1998)*IF(F1998="",IFERROR(N(INDEX(Produtos!$L$5:$L$104,MATCH(D1998,Produtos!$B$5:$B$104,0))),0),F1998))</f>
        <v/>
      </c>
      <c r="H1998" s="27" t="str">
        <f aca="false">IF(G1998="","",IF(N(E1998)=0,1,E1998)*IFERROR(N(INDEX(Produtos!$G$5:$G$104,MATCH(D1998,Produtos!$B$5:$B$104,0))),0))</f>
        <v/>
      </c>
      <c r="I1998" s="27" t="str">
        <f aca="false">IF(G1998="","",G1998-H1998)</f>
        <v/>
      </c>
      <c r="J1998" s="42"/>
    </row>
    <row r="1999" customFormat="false" ht="21" hidden="false" customHeight="true" outlineLevel="0" collapsed="false">
      <c r="B1999" s="41"/>
      <c r="C1999" s="9"/>
      <c r="D1999" s="9"/>
      <c r="E1999" s="42"/>
      <c r="F1999" s="43"/>
      <c r="G1999" s="27" t="str">
        <f aca="false">IF(OR(C1999="",AND(D1999="",F1999="")),"",IF(N(E1999)=0,1,E1999)*IF(F1999="",IFERROR(N(INDEX(Produtos!$L$5:$L$104,MATCH(D1999,Produtos!$B$5:$B$104,0))),0),F1999))</f>
        <v/>
      </c>
      <c r="H1999" s="27" t="str">
        <f aca="false">IF(G1999="","",IF(N(E1999)=0,1,E1999)*IFERROR(N(INDEX(Produtos!$G$5:$G$104,MATCH(D1999,Produtos!$B$5:$B$104,0))),0))</f>
        <v/>
      </c>
      <c r="I1999" s="27" t="str">
        <f aca="false">IF(G1999="","",G1999-H1999)</f>
        <v/>
      </c>
      <c r="J1999" s="42"/>
    </row>
    <row r="2000" customFormat="false" ht="21" hidden="false" customHeight="true" outlineLevel="0" collapsed="false">
      <c r="B2000" s="41"/>
      <c r="C2000" s="9"/>
      <c r="D2000" s="9"/>
      <c r="E2000" s="42"/>
      <c r="F2000" s="43"/>
      <c r="G2000" s="27" t="str">
        <f aca="false">IF(OR(C2000="",AND(D2000="",F2000="")),"",IF(N(E2000)=0,1,E2000)*IF(F2000="",IFERROR(N(INDEX(Produtos!$L$5:$L$104,MATCH(D2000,Produtos!$B$5:$B$104,0))),0),F2000))</f>
        <v/>
      </c>
      <c r="H2000" s="27" t="str">
        <f aca="false">IF(G2000="","",IF(N(E2000)=0,1,E2000)*IFERROR(N(INDEX(Produtos!$G$5:$G$104,MATCH(D2000,Produtos!$B$5:$B$104,0))),0))</f>
        <v/>
      </c>
      <c r="I2000" s="27" t="str">
        <f aca="false">IF(G2000="","",G2000-H2000)</f>
        <v/>
      </c>
      <c r="J2000" s="42"/>
    </row>
    <row r="2001" customFormat="false" ht="21" hidden="false" customHeight="true" outlineLevel="0" collapsed="false">
      <c r="B2001" s="41"/>
      <c r="C2001" s="9"/>
      <c r="D2001" s="9"/>
      <c r="E2001" s="42"/>
      <c r="F2001" s="43"/>
      <c r="G2001" s="27" t="str">
        <f aca="false">IF(OR(C2001="",AND(D2001="",F2001="")),"",IF(N(E2001)=0,1,E2001)*IF(F2001="",IFERROR(N(INDEX(Produtos!$L$5:$L$104,MATCH(D2001,Produtos!$B$5:$B$104,0))),0),F2001))</f>
        <v/>
      </c>
      <c r="H2001" s="27" t="str">
        <f aca="false">IF(G2001="","",IF(N(E2001)=0,1,E2001)*IFERROR(N(INDEX(Produtos!$G$5:$G$104,MATCH(D2001,Produtos!$B$5:$B$104,0))),0))</f>
        <v/>
      </c>
      <c r="I2001" s="27" t="str">
        <f aca="false">IF(G2001="","",G2001-H2001)</f>
        <v/>
      </c>
      <c r="J2001" s="42"/>
    </row>
    <row r="2002" customFormat="false" ht="21" hidden="false" customHeight="true" outlineLevel="0" collapsed="false">
      <c r="B2002" s="41"/>
      <c r="C2002" s="9"/>
      <c r="D2002" s="9"/>
      <c r="E2002" s="42"/>
      <c r="F2002" s="43"/>
      <c r="G2002" s="27" t="str">
        <f aca="false">IF(OR(C2002="",AND(D2002="",F2002="")),"",IF(N(E2002)=0,1,E2002)*IF(F2002="",IFERROR(N(INDEX(Produtos!$L$5:$L$104,MATCH(D2002,Produtos!$B$5:$B$104,0))),0),F2002))</f>
        <v/>
      </c>
      <c r="H2002" s="27" t="str">
        <f aca="false">IF(G2002="","",IF(N(E2002)=0,1,E2002)*IFERROR(N(INDEX(Produtos!$G$5:$G$104,MATCH(D2002,Produtos!$B$5:$B$104,0))),0))</f>
        <v/>
      </c>
      <c r="I2002" s="27" t="str">
        <f aca="false">IF(G2002="","",G2002-H2002)</f>
        <v/>
      </c>
      <c r="J2002" s="42"/>
    </row>
    <row r="2003" customFormat="false" ht="21" hidden="false" customHeight="true" outlineLevel="0" collapsed="false">
      <c r="B2003" s="41"/>
      <c r="C2003" s="9"/>
      <c r="D2003" s="9"/>
      <c r="E2003" s="42"/>
      <c r="F2003" s="43"/>
      <c r="G2003" s="27" t="str">
        <f aca="false">IF(OR(C2003="",AND(D2003="",F2003="")),"",IF(N(E2003)=0,1,E2003)*IF(F2003="",IFERROR(N(INDEX(Produtos!$L$5:$L$104,MATCH(D2003,Produtos!$B$5:$B$104,0))),0),F2003))</f>
        <v/>
      </c>
      <c r="H2003" s="27" t="str">
        <f aca="false">IF(G2003="","",IF(N(E2003)=0,1,E2003)*IFERROR(N(INDEX(Produtos!$G$5:$G$104,MATCH(D2003,Produtos!$B$5:$B$104,0))),0))</f>
        <v/>
      </c>
      <c r="I2003" s="27" t="str">
        <f aca="false">IF(G2003="","",G2003-H2003)</f>
        <v/>
      </c>
      <c r="J2003" s="42"/>
    </row>
    <row r="2004" customFormat="false" ht="21" hidden="false" customHeight="true" outlineLevel="0" collapsed="false">
      <c r="B2004" s="41"/>
      <c r="C2004" s="9"/>
      <c r="D2004" s="9"/>
      <c r="E2004" s="42"/>
      <c r="F2004" s="43"/>
      <c r="G2004" s="27" t="str">
        <f aca="false">IF(OR(C2004="",AND(D2004="",F2004="")),"",IF(N(E2004)=0,1,E2004)*IF(F2004="",IFERROR(N(INDEX(Produtos!$L$5:$L$104,MATCH(D2004,Produtos!$B$5:$B$104,0))),0),F2004))</f>
        <v/>
      </c>
      <c r="H2004" s="27" t="str">
        <f aca="false">IF(G2004="","",IF(N(E2004)=0,1,E2004)*IFERROR(N(INDEX(Produtos!$G$5:$G$104,MATCH(D2004,Produtos!$B$5:$B$104,0))),0))</f>
        <v/>
      </c>
      <c r="I2004" s="27" t="str">
        <f aca="false">IF(G2004="","",G2004-H2004)</f>
        <v/>
      </c>
      <c r="J2004" s="42"/>
    </row>
    <row r="2005" customFormat="false" ht="21" hidden="false" customHeight="true" outlineLevel="0" collapsed="false">
      <c r="B2005" s="41"/>
      <c r="C2005" s="9"/>
      <c r="D2005" s="9"/>
      <c r="E2005" s="42"/>
      <c r="F2005" s="43"/>
      <c r="G2005" s="27" t="str">
        <f aca="false">IF(OR(C2005="",AND(D2005="",F2005="")),"",IF(N(E2005)=0,1,E2005)*IF(F2005="",IFERROR(N(INDEX(Produtos!$L$5:$L$104,MATCH(D2005,Produtos!$B$5:$B$104,0))),0),F2005))</f>
        <v/>
      </c>
      <c r="H2005" s="27" t="str">
        <f aca="false">IF(G2005="","",IF(N(E2005)=0,1,E2005)*IFERROR(N(INDEX(Produtos!$G$5:$G$104,MATCH(D2005,Produtos!$B$5:$B$104,0))),0))</f>
        <v/>
      </c>
      <c r="I2005" s="27" t="str">
        <f aca="false">IF(G2005="","",G2005-H2005)</f>
        <v/>
      </c>
      <c r="J2005" s="42"/>
    </row>
    <row r="2006" customFormat="false" ht="21" hidden="false" customHeight="true" outlineLevel="0" collapsed="false">
      <c r="B2006" s="41"/>
      <c r="C2006" s="9"/>
      <c r="D2006" s="9"/>
      <c r="E2006" s="42"/>
      <c r="F2006" s="43"/>
      <c r="G2006" s="27" t="str">
        <f aca="false">IF(OR(C2006="",AND(D2006="",F2006="")),"",IF(N(E2006)=0,1,E2006)*IF(F2006="",IFERROR(N(INDEX(Produtos!$L$5:$L$104,MATCH(D2006,Produtos!$B$5:$B$104,0))),0),F2006))</f>
        <v/>
      </c>
      <c r="H2006" s="27" t="str">
        <f aca="false">IF(G2006="","",IF(N(E2006)=0,1,E2006)*IFERROR(N(INDEX(Produtos!$G$5:$G$104,MATCH(D2006,Produtos!$B$5:$B$104,0))),0))</f>
        <v/>
      </c>
      <c r="I2006" s="27" t="str">
        <f aca="false">IF(G2006="","",G2006-H2006)</f>
        <v/>
      </c>
      <c r="J2006" s="42"/>
    </row>
    <row r="2007" customFormat="false" ht="21" hidden="false" customHeight="true" outlineLevel="0" collapsed="false">
      <c r="B2007" s="41"/>
      <c r="C2007" s="9"/>
      <c r="D2007" s="9"/>
      <c r="E2007" s="42"/>
      <c r="F2007" s="43"/>
      <c r="G2007" s="27" t="str">
        <f aca="false">IF(OR(C2007="",AND(D2007="",F2007="")),"",IF(N(E2007)=0,1,E2007)*IF(F2007="",IFERROR(N(INDEX(Produtos!$L$5:$L$104,MATCH(D2007,Produtos!$B$5:$B$104,0))),0),F2007))</f>
        <v/>
      </c>
      <c r="H2007" s="27" t="str">
        <f aca="false">IF(G2007="","",IF(N(E2007)=0,1,E2007)*IFERROR(N(INDEX(Produtos!$G$5:$G$104,MATCH(D2007,Produtos!$B$5:$B$104,0))),0))</f>
        <v/>
      </c>
      <c r="I2007" s="27" t="str">
        <f aca="false">IF(G2007="","",G2007-H2007)</f>
        <v/>
      </c>
      <c r="J2007" s="42"/>
    </row>
    <row r="2008" customFormat="false" ht="21" hidden="false" customHeight="true" outlineLevel="0" collapsed="false">
      <c r="B2008" s="41"/>
      <c r="C2008" s="9"/>
      <c r="D2008" s="9"/>
      <c r="E2008" s="42"/>
      <c r="F2008" s="43"/>
      <c r="G2008" s="27" t="str">
        <f aca="false">IF(OR(C2008="",AND(D2008="",F2008="")),"",IF(N(E2008)=0,1,E2008)*IF(F2008="",IFERROR(N(INDEX(Produtos!$L$5:$L$104,MATCH(D2008,Produtos!$B$5:$B$104,0))),0),F2008))</f>
        <v/>
      </c>
      <c r="H2008" s="27" t="str">
        <f aca="false">IF(G2008="","",IF(N(E2008)=0,1,E2008)*IFERROR(N(INDEX(Produtos!$G$5:$G$104,MATCH(D2008,Produtos!$B$5:$B$104,0))),0))</f>
        <v/>
      </c>
      <c r="I2008" s="27" t="str">
        <f aca="false">IF(G2008="","",G2008-H2008)</f>
        <v/>
      </c>
      <c r="J2008" s="42"/>
    </row>
    <row r="2009" customFormat="false" ht="21" hidden="false" customHeight="true" outlineLevel="0" collapsed="false">
      <c r="B2009" s="41"/>
      <c r="C2009" s="9"/>
      <c r="D2009" s="9"/>
      <c r="E2009" s="42"/>
      <c r="F2009" s="43"/>
      <c r="G2009" s="27" t="str">
        <f aca="false">IF(OR(C2009="",AND(D2009="",F2009="")),"",IF(N(E2009)=0,1,E2009)*IF(F2009="",IFERROR(N(INDEX(Produtos!$L$5:$L$104,MATCH(D2009,Produtos!$B$5:$B$104,0))),0),F2009))</f>
        <v/>
      </c>
      <c r="H2009" s="27" t="str">
        <f aca="false">IF(G2009="","",IF(N(E2009)=0,1,E2009)*IFERROR(N(INDEX(Produtos!$G$5:$G$104,MATCH(D2009,Produtos!$B$5:$B$104,0))),0))</f>
        <v/>
      </c>
      <c r="I2009" s="27" t="str">
        <f aca="false">IF(G2009="","",G2009-H2009)</f>
        <v/>
      </c>
      <c r="J2009" s="42"/>
    </row>
    <row r="2010" customFormat="false" ht="21" hidden="false" customHeight="true" outlineLevel="0" collapsed="false">
      <c r="B2010" s="41"/>
      <c r="C2010" s="9"/>
      <c r="D2010" s="9"/>
      <c r="E2010" s="42"/>
      <c r="F2010" s="43"/>
      <c r="G2010" s="27" t="str">
        <f aca="false">IF(OR(C2010="",AND(D2010="",F2010="")),"",IF(N(E2010)=0,1,E2010)*IF(F2010="",IFERROR(N(INDEX(Produtos!$L$5:$L$104,MATCH(D2010,Produtos!$B$5:$B$104,0))),0),F2010))</f>
        <v/>
      </c>
      <c r="H2010" s="27" t="str">
        <f aca="false">IF(G2010="","",IF(N(E2010)=0,1,E2010)*IFERROR(N(INDEX(Produtos!$G$5:$G$104,MATCH(D2010,Produtos!$B$5:$B$104,0))),0))</f>
        <v/>
      </c>
      <c r="I2010" s="27" t="str">
        <f aca="false">IF(G2010="","",G2010-H2010)</f>
        <v/>
      </c>
      <c r="J2010" s="42"/>
    </row>
    <row r="2011" customFormat="false" ht="21" hidden="false" customHeight="true" outlineLevel="0" collapsed="false">
      <c r="B2011" s="41"/>
      <c r="C2011" s="9"/>
      <c r="D2011" s="9"/>
      <c r="E2011" s="42"/>
      <c r="F2011" s="43"/>
      <c r="G2011" s="27" t="str">
        <f aca="false">IF(OR(C2011="",AND(D2011="",F2011="")),"",IF(N(E2011)=0,1,E2011)*IF(F2011="",IFERROR(N(INDEX(Produtos!$L$5:$L$104,MATCH(D2011,Produtos!$B$5:$B$104,0))),0),F2011))</f>
        <v/>
      </c>
      <c r="H2011" s="27" t="str">
        <f aca="false">IF(G2011="","",IF(N(E2011)=0,1,E2011)*IFERROR(N(INDEX(Produtos!$G$5:$G$104,MATCH(D2011,Produtos!$B$5:$B$104,0))),0))</f>
        <v/>
      </c>
      <c r="I2011" s="27" t="str">
        <f aca="false">IF(G2011="","",G2011-H2011)</f>
        <v/>
      </c>
      <c r="J2011" s="42"/>
    </row>
    <row r="2012" customFormat="false" ht="21" hidden="false" customHeight="true" outlineLevel="0" collapsed="false">
      <c r="B2012" s="41"/>
      <c r="C2012" s="9"/>
      <c r="D2012" s="9"/>
      <c r="E2012" s="42"/>
      <c r="F2012" s="43"/>
      <c r="G2012" s="27" t="str">
        <f aca="false">IF(OR(C2012="",AND(D2012="",F2012="")),"",IF(N(E2012)=0,1,E2012)*IF(F2012="",IFERROR(N(INDEX(Produtos!$L$5:$L$104,MATCH(D2012,Produtos!$B$5:$B$104,0))),0),F2012))</f>
        <v/>
      </c>
      <c r="H2012" s="27" t="str">
        <f aca="false">IF(G2012="","",IF(N(E2012)=0,1,E2012)*IFERROR(N(INDEX(Produtos!$G$5:$G$104,MATCH(D2012,Produtos!$B$5:$B$104,0))),0))</f>
        <v/>
      </c>
      <c r="I2012" s="27" t="str">
        <f aca="false">IF(G2012="","",G2012-H2012)</f>
        <v/>
      </c>
      <c r="J2012" s="42"/>
    </row>
    <row r="2013" customFormat="false" ht="21" hidden="false" customHeight="true" outlineLevel="0" collapsed="false">
      <c r="B2013" s="41"/>
      <c r="C2013" s="9"/>
      <c r="D2013" s="9"/>
      <c r="E2013" s="42"/>
      <c r="F2013" s="43"/>
      <c r="G2013" s="27" t="str">
        <f aca="false">IF(OR(C2013="",AND(D2013="",F2013="")),"",IF(N(E2013)=0,1,E2013)*IF(F2013="",IFERROR(N(INDEX(Produtos!$L$5:$L$104,MATCH(D2013,Produtos!$B$5:$B$104,0))),0),F2013))</f>
        <v/>
      </c>
      <c r="H2013" s="27" t="str">
        <f aca="false">IF(G2013="","",IF(N(E2013)=0,1,E2013)*IFERROR(N(INDEX(Produtos!$G$5:$G$104,MATCH(D2013,Produtos!$B$5:$B$104,0))),0))</f>
        <v/>
      </c>
      <c r="I2013" s="27" t="str">
        <f aca="false">IF(G2013="","",G2013-H2013)</f>
        <v/>
      </c>
      <c r="J2013" s="42"/>
    </row>
    <row r="2014" customFormat="false" ht="21" hidden="false" customHeight="true" outlineLevel="0" collapsed="false">
      <c r="B2014" s="41"/>
      <c r="C2014" s="9"/>
      <c r="D2014" s="9"/>
      <c r="E2014" s="42"/>
      <c r="F2014" s="43"/>
      <c r="G2014" s="27" t="str">
        <f aca="false">IF(OR(C2014="",AND(D2014="",F2014="")),"",IF(N(E2014)=0,1,E2014)*IF(F2014="",IFERROR(N(INDEX(Produtos!$L$5:$L$104,MATCH(D2014,Produtos!$B$5:$B$104,0))),0),F2014))</f>
        <v/>
      </c>
      <c r="H2014" s="27" t="str">
        <f aca="false">IF(G2014="","",IF(N(E2014)=0,1,E2014)*IFERROR(N(INDEX(Produtos!$G$5:$G$104,MATCH(D2014,Produtos!$B$5:$B$104,0))),0))</f>
        <v/>
      </c>
      <c r="I2014" s="27" t="str">
        <f aca="false">IF(G2014="","",G2014-H2014)</f>
        <v/>
      </c>
      <c r="J2014" s="42"/>
    </row>
    <row r="2015" customFormat="false" ht="21" hidden="false" customHeight="true" outlineLevel="0" collapsed="false">
      <c r="B2015" s="41"/>
      <c r="C2015" s="9"/>
      <c r="D2015" s="9"/>
      <c r="E2015" s="42"/>
      <c r="F2015" s="43"/>
      <c r="G2015" s="27" t="str">
        <f aca="false">IF(OR(C2015="",AND(D2015="",F2015="")),"",IF(N(E2015)=0,1,E2015)*IF(F2015="",IFERROR(N(INDEX(Produtos!$L$5:$L$104,MATCH(D2015,Produtos!$B$5:$B$104,0))),0),F2015))</f>
        <v/>
      </c>
      <c r="H2015" s="27" t="str">
        <f aca="false">IF(G2015="","",IF(N(E2015)=0,1,E2015)*IFERROR(N(INDEX(Produtos!$G$5:$G$104,MATCH(D2015,Produtos!$B$5:$B$104,0))),0))</f>
        <v/>
      </c>
      <c r="I2015" s="27" t="str">
        <f aca="false">IF(G2015="","",G2015-H2015)</f>
        <v/>
      </c>
      <c r="J2015" s="42"/>
    </row>
    <row r="2016" customFormat="false" ht="21" hidden="false" customHeight="true" outlineLevel="0" collapsed="false">
      <c r="B2016" s="41"/>
      <c r="C2016" s="9"/>
      <c r="D2016" s="9"/>
      <c r="E2016" s="42"/>
      <c r="F2016" s="43"/>
      <c r="G2016" s="27" t="str">
        <f aca="false">IF(OR(C2016="",AND(D2016="",F2016="")),"",IF(N(E2016)=0,1,E2016)*IF(F2016="",IFERROR(N(INDEX(Produtos!$L$5:$L$104,MATCH(D2016,Produtos!$B$5:$B$104,0))),0),F2016))</f>
        <v/>
      </c>
      <c r="H2016" s="27" t="str">
        <f aca="false">IF(G2016="","",IF(N(E2016)=0,1,E2016)*IFERROR(N(INDEX(Produtos!$G$5:$G$104,MATCH(D2016,Produtos!$B$5:$B$104,0))),0))</f>
        <v/>
      </c>
      <c r="I2016" s="27" t="str">
        <f aca="false">IF(G2016="","",G2016-H2016)</f>
        <v/>
      </c>
      <c r="J2016" s="42"/>
    </row>
    <row r="2017" customFormat="false" ht="21" hidden="false" customHeight="true" outlineLevel="0" collapsed="false">
      <c r="B2017" s="41"/>
      <c r="C2017" s="9"/>
      <c r="D2017" s="9"/>
      <c r="E2017" s="42"/>
      <c r="F2017" s="43"/>
      <c r="G2017" s="27" t="str">
        <f aca="false">IF(OR(C2017="",AND(D2017="",F2017="")),"",IF(N(E2017)=0,1,E2017)*IF(F2017="",IFERROR(N(INDEX(Produtos!$L$5:$L$104,MATCH(D2017,Produtos!$B$5:$B$104,0))),0),F2017))</f>
        <v/>
      </c>
      <c r="H2017" s="27" t="str">
        <f aca="false">IF(G2017="","",IF(N(E2017)=0,1,E2017)*IFERROR(N(INDEX(Produtos!$G$5:$G$104,MATCH(D2017,Produtos!$B$5:$B$104,0))),0))</f>
        <v/>
      </c>
      <c r="I2017" s="27" t="str">
        <f aca="false">IF(G2017="","",G2017-H2017)</f>
        <v/>
      </c>
      <c r="J2017" s="42"/>
    </row>
    <row r="2018" customFormat="false" ht="21" hidden="false" customHeight="true" outlineLevel="0" collapsed="false">
      <c r="B2018" s="41"/>
      <c r="C2018" s="9"/>
      <c r="D2018" s="9"/>
      <c r="E2018" s="42"/>
      <c r="F2018" s="43"/>
      <c r="G2018" s="27" t="str">
        <f aca="false">IF(OR(C2018="",AND(D2018="",F2018="")),"",IF(N(E2018)=0,1,E2018)*IF(F2018="",IFERROR(N(INDEX(Produtos!$L$5:$L$104,MATCH(D2018,Produtos!$B$5:$B$104,0))),0),F2018))</f>
        <v/>
      </c>
      <c r="H2018" s="27" t="str">
        <f aca="false">IF(G2018="","",IF(N(E2018)=0,1,E2018)*IFERROR(N(INDEX(Produtos!$G$5:$G$104,MATCH(D2018,Produtos!$B$5:$B$104,0))),0))</f>
        <v/>
      </c>
      <c r="I2018" s="27" t="str">
        <f aca="false">IF(G2018="","",G2018-H2018)</f>
        <v/>
      </c>
      <c r="J2018" s="42"/>
    </row>
    <row r="2019" customFormat="false" ht="21" hidden="false" customHeight="true" outlineLevel="0" collapsed="false">
      <c r="B2019" s="41"/>
      <c r="C2019" s="9"/>
      <c r="D2019" s="9"/>
      <c r="E2019" s="42"/>
      <c r="F2019" s="43"/>
      <c r="G2019" s="27" t="str">
        <f aca="false">IF(OR(C2019="",AND(D2019="",F2019="")),"",IF(N(E2019)=0,1,E2019)*IF(F2019="",IFERROR(N(INDEX(Produtos!$L$5:$L$104,MATCH(D2019,Produtos!$B$5:$B$104,0))),0),F2019))</f>
        <v/>
      </c>
      <c r="H2019" s="27" t="str">
        <f aca="false">IF(G2019="","",IF(N(E2019)=0,1,E2019)*IFERROR(N(INDEX(Produtos!$G$5:$G$104,MATCH(D2019,Produtos!$B$5:$B$104,0))),0))</f>
        <v/>
      </c>
      <c r="I2019" s="27" t="str">
        <f aca="false">IF(G2019="","",G2019-H2019)</f>
        <v/>
      </c>
      <c r="J2019" s="42"/>
    </row>
    <row r="2020" customFormat="false" ht="21" hidden="false" customHeight="true" outlineLevel="0" collapsed="false">
      <c r="B2020" s="41"/>
      <c r="C2020" s="9"/>
      <c r="D2020" s="9"/>
      <c r="E2020" s="42"/>
      <c r="F2020" s="43"/>
      <c r="G2020" s="27" t="str">
        <f aca="false">IF(OR(C2020="",AND(D2020="",F2020="")),"",IF(N(E2020)=0,1,E2020)*IF(F2020="",IFERROR(N(INDEX(Produtos!$L$5:$L$104,MATCH(D2020,Produtos!$B$5:$B$104,0))),0),F2020))</f>
        <v/>
      </c>
      <c r="H2020" s="27" t="str">
        <f aca="false">IF(G2020="","",IF(N(E2020)=0,1,E2020)*IFERROR(N(INDEX(Produtos!$G$5:$G$104,MATCH(D2020,Produtos!$B$5:$B$104,0))),0))</f>
        <v/>
      </c>
      <c r="I2020" s="27" t="str">
        <f aca="false">IF(G2020="","",G2020-H2020)</f>
        <v/>
      </c>
      <c r="J2020" s="42"/>
    </row>
    <row r="2021" customFormat="false" ht="21" hidden="false" customHeight="true" outlineLevel="0" collapsed="false">
      <c r="B2021" s="41"/>
      <c r="C2021" s="9"/>
      <c r="D2021" s="9"/>
      <c r="E2021" s="42"/>
      <c r="F2021" s="43"/>
      <c r="G2021" s="27" t="str">
        <f aca="false">IF(OR(C2021="",AND(D2021="",F2021="")),"",IF(N(E2021)=0,1,E2021)*IF(F2021="",IFERROR(N(INDEX(Produtos!$L$5:$L$104,MATCH(D2021,Produtos!$B$5:$B$104,0))),0),F2021))</f>
        <v/>
      </c>
      <c r="H2021" s="27" t="str">
        <f aca="false">IF(G2021="","",IF(N(E2021)=0,1,E2021)*IFERROR(N(INDEX(Produtos!$G$5:$G$104,MATCH(D2021,Produtos!$B$5:$B$104,0))),0))</f>
        <v/>
      </c>
      <c r="I2021" s="27" t="str">
        <f aca="false">IF(G2021="","",G2021-H2021)</f>
        <v/>
      </c>
      <c r="J2021" s="42"/>
    </row>
    <row r="2022" customFormat="false" ht="21" hidden="false" customHeight="true" outlineLevel="0" collapsed="false">
      <c r="B2022" s="41"/>
      <c r="C2022" s="9"/>
      <c r="D2022" s="9"/>
      <c r="E2022" s="42"/>
      <c r="F2022" s="43"/>
      <c r="G2022" s="27" t="str">
        <f aca="false">IF(OR(C2022="",AND(D2022="",F2022="")),"",IF(N(E2022)=0,1,E2022)*IF(F2022="",IFERROR(N(INDEX(Produtos!$L$5:$L$104,MATCH(D2022,Produtos!$B$5:$B$104,0))),0),F2022))</f>
        <v/>
      </c>
      <c r="H2022" s="27" t="str">
        <f aca="false">IF(G2022="","",IF(N(E2022)=0,1,E2022)*IFERROR(N(INDEX(Produtos!$G$5:$G$104,MATCH(D2022,Produtos!$B$5:$B$104,0))),0))</f>
        <v/>
      </c>
      <c r="I2022" s="27" t="str">
        <f aca="false">IF(G2022="","",G2022-H2022)</f>
        <v/>
      </c>
      <c r="J2022" s="42"/>
    </row>
    <row r="2023" customFormat="false" ht="21" hidden="false" customHeight="true" outlineLevel="0" collapsed="false">
      <c r="B2023" s="41"/>
      <c r="C2023" s="9"/>
      <c r="D2023" s="9"/>
      <c r="E2023" s="42"/>
      <c r="F2023" s="43"/>
      <c r="G2023" s="27" t="str">
        <f aca="false">IF(OR(C2023="",AND(D2023="",F2023="")),"",IF(N(E2023)=0,1,E2023)*IF(F2023="",IFERROR(N(INDEX(Produtos!$L$5:$L$104,MATCH(D2023,Produtos!$B$5:$B$104,0))),0),F2023))</f>
        <v/>
      </c>
      <c r="H2023" s="27" t="str">
        <f aca="false">IF(G2023="","",IF(N(E2023)=0,1,E2023)*IFERROR(N(INDEX(Produtos!$G$5:$G$104,MATCH(D2023,Produtos!$B$5:$B$104,0))),0))</f>
        <v/>
      </c>
      <c r="I2023" s="27" t="str">
        <f aca="false">IF(G2023="","",G2023-H2023)</f>
        <v/>
      </c>
      <c r="J2023" s="42"/>
    </row>
    <row r="2024" customFormat="false" ht="21" hidden="false" customHeight="true" outlineLevel="0" collapsed="false">
      <c r="B2024" s="41"/>
      <c r="C2024" s="9"/>
      <c r="D2024" s="9"/>
      <c r="E2024" s="42"/>
      <c r="F2024" s="43"/>
      <c r="G2024" s="27" t="str">
        <f aca="false">IF(OR(C2024="",AND(D2024="",F2024="")),"",IF(N(E2024)=0,1,E2024)*IF(F2024="",IFERROR(N(INDEX(Produtos!$L$5:$L$104,MATCH(D2024,Produtos!$B$5:$B$104,0))),0),F2024))</f>
        <v/>
      </c>
      <c r="H2024" s="27" t="str">
        <f aca="false">IF(G2024="","",IF(N(E2024)=0,1,E2024)*IFERROR(N(INDEX(Produtos!$G$5:$G$104,MATCH(D2024,Produtos!$B$5:$B$104,0))),0))</f>
        <v/>
      </c>
      <c r="I2024" s="27" t="str">
        <f aca="false">IF(G2024="","",G2024-H2024)</f>
        <v/>
      </c>
      <c r="J2024" s="42"/>
    </row>
    <row r="2025" customFormat="false" ht="21" hidden="false" customHeight="true" outlineLevel="0" collapsed="false">
      <c r="B2025" s="41"/>
      <c r="C2025" s="9"/>
      <c r="D2025" s="9"/>
      <c r="E2025" s="42"/>
      <c r="F2025" s="43"/>
      <c r="G2025" s="27" t="str">
        <f aca="false">IF(OR(C2025="",AND(D2025="",F2025="")),"",IF(N(E2025)=0,1,E2025)*IF(F2025="",IFERROR(N(INDEX(Produtos!$L$5:$L$104,MATCH(D2025,Produtos!$B$5:$B$104,0))),0),F2025))</f>
        <v/>
      </c>
      <c r="H2025" s="27" t="str">
        <f aca="false">IF(G2025="","",IF(N(E2025)=0,1,E2025)*IFERROR(N(INDEX(Produtos!$G$5:$G$104,MATCH(D2025,Produtos!$B$5:$B$104,0))),0))</f>
        <v/>
      </c>
      <c r="I2025" s="27" t="str">
        <f aca="false">IF(G2025="","",G2025-H2025)</f>
        <v/>
      </c>
      <c r="J2025" s="42"/>
    </row>
    <row r="2026" customFormat="false" ht="21" hidden="false" customHeight="true" outlineLevel="0" collapsed="false">
      <c r="B2026" s="41"/>
      <c r="C2026" s="9"/>
      <c r="D2026" s="9"/>
      <c r="E2026" s="42"/>
      <c r="F2026" s="43"/>
      <c r="G2026" s="27" t="str">
        <f aca="false">IF(OR(C2026="",AND(D2026="",F2026="")),"",IF(N(E2026)=0,1,E2026)*IF(F2026="",IFERROR(N(INDEX(Produtos!$L$5:$L$104,MATCH(D2026,Produtos!$B$5:$B$104,0))),0),F2026))</f>
        <v/>
      </c>
      <c r="H2026" s="27" t="str">
        <f aca="false">IF(G2026="","",IF(N(E2026)=0,1,E2026)*IFERROR(N(INDEX(Produtos!$G$5:$G$104,MATCH(D2026,Produtos!$B$5:$B$104,0))),0))</f>
        <v/>
      </c>
      <c r="I2026" s="27" t="str">
        <f aca="false">IF(G2026="","",G2026-H2026)</f>
        <v/>
      </c>
      <c r="J2026" s="42"/>
    </row>
    <row r="2027" customFormat="false" ht="21" hidden="false" customHeight="true" outlineLevel="0" collapsed="false">
      <c r="B2027" s="41"/>
      <c r="C2027" s="9"/>
      <c r="D2027" s="9"/>
      <c r="E2027" s="42"/>
      <c r="F2027" s="43"/>
      <c r="G2027" s="27" t="str">
        <f aca="false">IF(OR(C2027="",AND(D2027="",F2027="")),"",IF(N(E2027)=0,1,E2027)*IF(F2027="",IFERROR(N(INDEX(Produtos!$L$5:$L$104,MATCH(D2027,Produtos!$B$5:$B$104,0))),0),F2027))</f>
        <v/>
      </c>
      <c r="H2027" s="27" t="str">
        <f aca="false">IF(G2027="","",IF(N(E2027)=0,1,E2027)*IFERROR(N(INDEX(Produtos!$G$5:$G$104,MATCH(D2027,Produtos!$B$5:$B$104,0))),0))</f>
        <v/>
      </c>
      <c r="I2027" s="27" t="str">
        <f aca="false">IF(G2027="","",G2027-H2027)</f>
        <v/>
      </c>
      <c r="J2027" s="42"/>
    </row>
    <row r="2028" customFormat="false" ht="21" hidden="false" customHeight="true" outlineLevel="0" collapsed="false">
      <c r="B2028" s="41"/>
      <c r="C2028" s="9"/>
      <c r="D2028" s="9"/>
      <c r="E2028" s="42"/>
      <c r="F2028" s="43"/>
      <c r="G2028" s="27" t="str">
        <f aca="false">IF(OR(C2028="",AND(D2028="",F2028="")),"",IF(N(E2028)=0,1,E2028)*IF(F2028="",IFERROR(N(INDEX(Produtos!$L$5:$L$104,MATCH(D2028,Produtos!$B$5:$B$104,0))),0),F2028))</f>
        <v/>
      </c>
      <c r="H2028" s="27" t="str">
        <f aca="false">IF(G2028="","",IF(N(E2028)=0,1,E2028)*IFERROR(N(INDEX(Produtos!$G$5:$G$104,MATCH(D2028,Produtos!$B$5:$B$104,0))),0))</f>
        <v/>
      </c>
      <c r="I2028" s="27" t="str">
        <f aca="false">IF(G2028="","",G2028-H2028)</f>
        <v/>
      </c>
      <c r="J2028" s="42"/>
    </row>
    <row r="2029" customFormat="false" ht="21" hidden="false" customHeight="true" outlineLevel="0" collapsed="false">
      <c r="B2029" s="41"/>
      <c r="C2029" s="9"/>
      <c r="D2029" s="9"/>
      <c r="E2029" s="42"/>
      <c r="F2029" s="43"/>
      <c r="G2029" s="27" t="str">
        <f aca="false">IF(OR(C2029="",AND(D2029="",F2029="")),"",IF(N(E2029)=0,1,E2029)*IF(F2029="",IFERROR(N(INDEX(Produtos!$L$5:$L$104,MATCH(D2029,Produtos!$B$5:$B$104,0))),0),F2029))</f>
        <v/>
      </c>
      <c r="H2029" s="27" t="str">
        <f aca="false">IF(G2029="","",IF(N(E2029)=0,1,E2029)*IFERROR(N(INDEX(Produtos!$G$5:$G$104,MATCH(D2029,Produtos!$B$5:$B$104,0))),0))</f>
        <v/>
      </c>
      <c r="I2029" s="27" t="str">
        <f aca="false">IF(G2029="","",G2029-H2029)</f>
        <v/>
      </c>
      <c r="J2029" s="42"/>
    </row>
    <row r="2030" customFormat="false" ht="21" hidden="false" customHeight="true" outlineLevel="0" collapsed="false">
      <c r="B2030" s="41"/>
      <c r="C2030" s="9"/>
      <c r="D2030" s="9"/>
      <c r="E2030" s="42"/>
      <c r="F2030" s="43"/>
      <c r="G2030" s="27" t="str">
        <f aca="false">IF(OR(C2030="",AND(D2030="",F2030="")),"",IF(N(E2030)=0,1,E2030)*IF(F2030="",IFERROR(N(INDEX(Produtos!$L$5:$L$104,MATCH(D2030,Produtos!$B$5:$B$104,0))),0),F2030))</f>
        <v/>
      </c>
      <c r="H2030" s="27" t="str">
        <f aca="false">IF(G2030="","",IF(N(E2030)=0,1,E2030)*IFERROR(N(INDEX(Produtos!$G$5:$G$104,MATCH(D2030,Produtos!$B$5:$B$104,0))),0))</f>
        <v/>
      </c>
      <c r="I2030" s="27" t="str">
        <f aca="false">IF(G2030="","",G2030-H2030)</f>
        <v/>
      </c>
      <c r="J2030" s="42"/>
    </row>
    <row r="2031" customFormat="false" ht="21" hidden="false" customHeight="true" outlineLevel="0" collapsed="false">
      <c r="B2031" s="41"/>
      <c r="C2031" s="9"/>
      <c r="D2031" s="9"/>
      <c r="E2031" s="42"/>
      <c r="F2031" s="43"/>
      <c r="G2031" s="27" t="str">
        <f aca="false">IF(OR(C2031="",AND(D2031="",F2031="")),"",IF(N(E2031)=0,1,E2031)*IF(F2031="",IFERROR(N(INDEX(Produtos!$L$5:$L$104,MATCH(D2031,Produtos!$B$5:$B$104,0))),0),F2031))</f>
        <v/>
      </c>
      <c r="H2031" s="27" t="str">
        <f aca="false">IF(G2031="","",IF(N(E2031)=0,1,E2031)*IFERROR(N(INDEX(Produtos!$G$5:$G$104,MATCH(D2031,Produtos!$B$5:$B$104,0))),0))</f>
        <v/>
      </c>
      <c r="I2031" s="27" t="str">
        <f aca="false">IF(G2031="","",G2031-H2031)</f>
        <v/>
      </c>
      <c r="J2031" s="42"/>
    </row>
    <row r="2032" customFormat="false" ht="21" hidden="false" customHeight="true" outlineLevel="0" collapsed="false">
      <c r="B2032" s="41"/>
      <c r="C2032" s="9"/>
      <c r="D2032" s="9"/>
      <c r="E2032" s="42"/>
      <c r="F2032" s="43"/>
      <c r="G2032" s="27" t="str">
        <f aca="false">IF(OR(C2032="",AND(D2032="",F2032="")),"",IF(N(E2032)=0,1,E2032)*IF(F2032="",IFERROR(N(INDEX(Produtos!$L$5:$L$104,MATCH(D2032,Produtos!$B$5:$B$104,0))),0),F2032))</f>
        <v/>
      </c>
      <c r="H2032" s="27" t="str">
        <f aca="false">IF(G2032="","",IF(N(E2032)=0,1,E2032)*IFERROR(N(INDEX(Produtos!$G$5:$G$104,MATCH(D2032,Produtos!$B$5:$B$104,0))),0))</f>
        <v/>
      </c>
      <c r="I2032" s="27" t="str">
        <f aca="false">IF(G2032="","",G2032-H2032)</f>
        <v/>
      </c>
      <c r="J2032" s="42"/>
    </row>
    <row r="2033" customFormat="false" ht="21" hidden="false" customHeight="true" outlineLevel="0" collapsed="false">
      <c r="B2033" s="41"/>
      <c r="C2033" s="9"/>
      <c r="D2033" s="9"/>
      <c r="E2033" s="42"/>
      <c r="F2033" s="43"/>
      <c r="G2033" s="27" t="str">
        <f aca="false">IF(OR(C2033="",AND(D2033="",F2033="")),"",IF(N(E2033)=0,1,E2033)*IF(F2033="",IFERROR(N(INDEX(Produtos!$L$5:$L$104,MATCH(D2033,Produtos!$B$5:$B$104,0))),0),F2033))</f>
        <v/>
      </c>
      <c r="H2033" s="27" t="str">
        <f aca="false">IF(G2033="","",IF(N(E2033)=0,1,E2033)*IFERROR(N(INDEX(Produtos!$G$5:$G$104,MATCH(D2033,Produtos!$B$5:$B$104,0))),0))</f>
        <v/>
      </c>
      <c r="I2033" s="27" t="str">
        <f aca="false">IF(G2033="","",G2033-H2033)</f>
        <v/>
      </c>
      <c r="J2033" s="42"/>
    </row>
    <row r="2034" customFormat="false" ht="21" hidden="false" customHeight="true" outlineLevel="0" collapsed="false">
      <c r="B2034" s="41"/>
      <c r="C2034" s="9"/>
      <c r="D2034" s="9"/>
      <c r="E2034" s="42"/>
      <c r="F2034" s="43"/>
      <c r="G2034" s="27" t="str">
        <f aca="false">IF(OR(C2034="",AND(D2034="",F2034="")),"",IF(N(E2034)=0,1,E2034)*IF(F2034="",IFERROR(N(INDEX(Produtos!$L$5:$L$104,MATCH(D2034,Produtos!$B$5:$B$104,0))),0),F2034))</f>
        <v/>
      </c>
      <c r="H2034" s="27" t="str">
        <f aca="false">IF(G2034="","",IF(N(E2034)=0,1,E2034)*IFERROR(N(INDEX(Produtos!$G$5:$G$104,MATCH(D2034,Produtos!$B$5:$B$104,0))),0))</f>
        <v/>
      </c>
      <c r="I2034" s="27" t="str">
        <f aca="false">IF(G2034="","",G2034-H2034)</f>
        <v/>
      </c>
      <c r="J2034" s="42"/>
    </row>
    <row r="2035" customFormat="false" ht="21" hidden="false" customHeight="true" outlineLevel="0" collapsed="false">
      <c r="B2035" s="41"/>
      <c r="C2035" s="9"/>
      <c r="D2035" s="9"/>
      <c r="E2035" s="42"/>
      <c r="F2035" s="43"/>
      <c r="G2035" s="27" t="str">
        <f aca="false">IF(OR(C2035="",AND(D2035="",F2035="")),"",IF(N(E2035)=0,1,E2035)*IF(F2035="",IFERROR(N(INDEX(Produtos!$L$5:$L$104,MATCH(D2035,Produtos!$B$5:$B$104,0))),0),F2035))</f>
        <v/>
      </c>
      <c r="H2035" s="27" t="str">
        <f aca="false">IF(G2035="","",IF(N(E2035)=0,1,E2035)*IFERROR(N(INDEX(Produtos!$G$5:$G$104,MATCH(D2035,Produtos!$B$5:$B$104,0))),0))</f>
        <v/>
      </c>
      <c r="I2035" s="27" t="str">
        <f aca="false">IF(G2035="","",G2035-H2035)</f>
        <v/>
      </c>
      <c r="J2035" s="42"/>
    </row>
    <row r="2036" customFormat="false" ht="21" hidden="false" customHeight="true" outlineLevel="0" collapsed="false">
      <c r="B2036" s="41"/>
      <c r="C2036" s="9"/>
      <c r="D2036" s="9"/>
      <c r="E2036" s="42"/>
      <c r="F2036" s="43"/>
      <c r="G2036" s="27" t="str">
        <f aca="false">IF(OR(C2036="",AND(D2036="",F2036="")),"",IF(N(E2036)=0,1,E2036)*IF(F2036="",IFERROR(N(INDEX(Produtos!$L$5:$L$104,MATCH(D2036,Produtos!$B$5:$B$104,0))),0),F2036))</f>
        <v/>
      </c>
      <c r="H2036" s="27" t="str">
        <f aca="false">IF(G2036="","",IF(N(E2036)=0,1,E2036)*IFERROR(N(INDEX(Produtos!$G$5:$G$104,MATCH(D2036,Produtos!$B$5:$B$104,0))),0))</f>
        <v/>
      </c>
      <c r="I2036" s="27" t="str">
        <f aca="false">IF(G2036="","",G2036-H2036)</f>
        <v/>
      </c>
      <c r="J2036" s="42"/>
    </row>
    <row r="2037" customFormat="false" ht="21" hidden="false" customHeight="true" outlineLevel="0" collapsed="false">
      <c r="B2037" s="41"/>
      <c r="C2037" s="9"/>
      <c r="D2037" s="9"/>
      <c r="E2037" s="42"/>
      <c r="F2037" s="43"/>
      <c r="G2037" s="27" t="str">
        <f aca="false">IF(OR(C2037="",AND(D2037="",F2037="")),"",IF(N(E2037)=0,1,E2037)*IF(F2037="",IFERROR(N(INDEX(Produtos!$L$5:$L$104,MATCH(D2037,Produtos!$B$5:$B$104,0))),0),F2037))</f>
        <v/>
      </c>
      <c r="H2037" s="27" t="str">
        <f aca="false">IF(G2037="","",IF(N(E2037)=0,1,E2037)*IFERROR(N(INDEX(Produtos!$G$5:$G$104,MATCH(D2037,Produtos!$B$5:$B$104,0))),0))</f>
        <v/>
      </c>
      <c r="I2037" s="27" t="str">
        <f aca="false">IF(G2037="","",G2037-H2037)</f>
        <v/>
      </c>
      <c r="J2037" s="42"/>
    </row>
    <row r="2038" customFormat="false" ht="21" hidden="false" customHeight="true" outlineLevel="0" collapsed="false">
      <c r="B2038" s="41"/>
      <c r="C2038" s="9"/>
      <c r="D2038" s="9"/>
      <c r="E2038" s="42"/>
      <c r="F2038" s="43"/>
      <c r="G2038" s="27" t="str">
        <f aca="false">IF(OR(C2038="",AND(D2038="",F2038="")),"",IF(N(E2038)=0,1,E2038)*IF(F2038="",IFERROR(N(INDEX(Produtos!$L$5:$L$104,MATCH(D2038,Produtos!$B$5:$B$104,0))),0),F2038))</f>
        <v/>
      </c>
      <c r="H2038" s="27" t="str">
        <f aca="false">IF(G2038="","",IF(N(E2038)=0,1,E2038)*IFERROR(N(INDEX(Produtos!$G$5:$G$104,MATCH(D2038,Produtos!$B$5:$B$104,0))),0))</f>
        <v/>
      </c>
      <c r="I2038" s="27" t="str">
        <f aca="false">IF(G2038="","",G2038-H2038)</f>
        <v/>
      </c>
      <c r="J2038" s="42"/>
    </row>
    <row r="2039" customFormat="false" ht="21" hidden="false" customHeight="true" outlineLevel="0" collapsed="false">
      <c r="B2039" s="41"/>
      <c r="C2039" s="9"/>
      <c r="D2039" s="9"/>
      <c r="E2039" s="42"/>
      <c r="F2039" s="43"/>
      <c r="G2039" s="27" t="str">
        <f aca="false">IF(OR(C2039="",AND(D2039="",F2039="")),"",IF(N(E2039)=0,1,E2039)*IF(F2039="",IFERROR(N(INDEX(Produtos!$L$5:$L$104,MATCH(D2039,Produtos!$B$5:$B$104,0))),0),F2039))</f>
        <v/>
      </c>
      <c r="H2039" s="27" t="str">
        <f aca="false">IF(G2039="","",IF(N(E2039)=0,1,E2039)*IFERROR(N(INDEX(Produtos!$G$5:$G$104,MATCH(D2039,Produtos!$B$5:$B$104,0))),0))</f>
        <v/>
      </c>
      <c r="I2039" s="27" t="str">
        <f aca="false">IF(G2039="","",G2039-H2039)</f>
        <v/>
      </c>
      <c r="J2039" s="42"/>
    </row>
    <row r="2040" customFormat="false" ht="21" hidden="false" customHeight="true" outlineLevel="0" collapsed="false">
      <c r="B2040" s="41"/>
      <c r="C2040" s="9"/>
      <c r="D2040" s="9"/>
      <c r="E2040" s="42"/>
      <c r="F2040" s="43"/>
      <c r="G2040" s="27" t="str">
        <f aca="false">IF(OR(C2040="",AND(D2040="",F2040="")),"",IF(N(E2040)=0,1,E2040)*IF(F2040="",IFERROR(N(INDEX(Produtos!$L$5:$L$104,MATCH(D2040,Produtos!$B$5:$B$104,0))),0),F2040))</f>
        <v/>
      </c>
      <c r="H2040" s="27" t="str">
        <f aca="false">IF(G2040="","",IF(N(E2040)=0,1,E2040)*IFERROR(N(INDEX(Produtos!$G$5:$G$104,MATCH(D2040,Produtos!$B$5:$B$104,0))),0))</f>
        <v/>
      </c>
      <c r="I2040" s="27" t="str">
        <f aca="false">IF(G2040="","",G2040-H2040)</f>
        <v/>
      </c>
      <c r="J2040" s="42"/>
    </row>
    <row r="2041" customFormat="false" ht="21" hidden="false" customHeight="true" outlineLevel="0" collapsed="false">
      <c r="B2041" s="41"/>
      <c r="C2041" s="9"/>
      <c r="D2041" s="9"/>
      <c r="E2041" s="42"/>
      <c r="F2041" s="43"/>
      <c r="G2041" s="27" t="str">
        <f aca="false">IF(OR(C2041="",AND(D2041="",F2041="")),"",IF(N(E2041)=0,1,E2041)*IF(F2041="",IFERROR(N(INDEX(Produtos!$L$5:$L$104,MATCH(D2041,Produtos!$B$5:$B$104,0))),0),F2041))</f>
        <v/>
      </c>
      <c r="H2041" s="27" t="str">
        <f aca="false">IF(G2041="","",IF(N(E2041)=0,1,E2041)*IFERROR(N(INDEX(Produtos!$G$5:$G$104,MATCH(D2041,Produtos!$B$5:$B$104,0))),0))</f>
        <v/>
      </c>
      <c r="I2041" s="27" t="str">
        <f aca="false">IF(G2041="","",G2041-H2041)</f>
        <v/>
      </c>
      <c r="J2041" s="42"/>
    </row>
    <row r="2042" customFormat="false" ht="21" hidden="false" customHeight="true" outlineLevel="0" collapsed="false">
      <c r="B2042" s="41"/>
      <c r="C2042" s="9"/>
      <c r="D2042" s="9"/>
      <c r="E2042" s="42"/>
      <c r="F2042" s="43"/>
      <c r="G2042" s="27" t="str">
        <f aca="false">IF(OR(C2042="",AND(D2042="",F2042="")),"",IF(N(E2042)=0,1,E2042)*IF(F2042="",IFERROR(N(INDEX(Produtos!$L$5:$L$104,MATCH(D2042,Produtos!$B$5:$B$104,0))),0),F2042))</f>
        <v/>
      </c>
      <c r="H2042" s="27" t="str">
        <f aca="false">IF(G2042="","",IF(N(E2042)=0,1,E2042)*IFERROR(N(INDEX(Produtos!$G$5:$G$104,MATCH(D2042,Produtos!$B$5:$B$104,0))),0))</f>
        <v/>
      </c>
      <c r="I2042" s="27" t="str">
        <f aca="false">IF(G2042="","",G2042-H2042)</f>
        <v/>
      </c>
      <c r="J2042" s="42"/>
    </row>
    <row r="2043" customFormat="false" ht="21" hidden="false" customHeight="true" outlineLevel="0" collapsed="false">
      <c r="B2043" s="41"/>
      <c r="C2043" s="9"/>
      <c r="D2043" s="9"/>
      <c r="E2043" s="42"/>
      <c r="F2043" s="43"/>
      <c r="G2043" s="27" t="str">
        <f aca="false">IF(OR(C2043="",AND(D2043="",F2043="")),"",IF(N(E2043)=0,1,E2043)*IF(F2043="",IFERROR(N(INDEX(Produtos!$L$5:$L$104,MATCH(D2043,Produtos!$B$5:$B$104,0))),0),F2043))</f>
        <v/>
      </c>
      <c r="H2043" s="27" t="str">
        <f aca="false">IF(G2043="","",IF(N(E2043)=0,1,E2043)*IFERROR(N(INDEX(Produtos!$G$5:$G$104,MATCH(D2043,Produtos!$B$5:$B$104,0))),0))</f>
        <v/>
      </c>
      <c r="I2043" s="27" t="str">
        <f aca="false">IF(G2043="","",G2043-H2043)</f>
        <v/>
      </c>
      <c r="J2043" s="42"/>
    </row>
    <row r="2044" customFormat="false" ht="21" hidden="false" customHeight="true" outlineLevel="0" collapsed="false">
      <c r="B2044" s="41"/>
      <c r="C2044" s="9"/>
      <c r="D2044" s="9"/>
      <c r="E2044" s="42"/>
      <c r="F2044" s="43"/>
      <c r="G2044" s="27" t="str">
        <f aca="false">IF(OR(C2044="",AND(D2044="",F2044="")),"",IF(N(E2044)=0,1,E2044)*IF(F2044="",IFERROR(N(INDEX(Produtos!$L$5:$L$104,MATCH(D2044,Produtos!$B$5:$B$104,0))),0),F2044))</f>
        <v/>
      </c>
      <c r="H2044" s="27" t="str">
        <f aca="false">IF(G2044="","",IF(N(E2044)=0,1,E2044)*IFERROR(N(INDEX(Produtos!$G$5:$G$104,MATCH(D2044,Produtos!$B$5:$B$104,0))),0))</f>
        <v/>
      </c>
      <c r="I2044" s="27" t="str">
        <f aca="false">IF(G2044="","",G2044-H2044)</f>
        <v/>
      </c>
      <c r="J2044" s="42"/>
    </row>
    <row r="2045" customFormat="false" ht="21" hidden="false" customHeight="true" outlineLevel="0" collapsed="false">
      <c r="B2045" s="41"/>
      <c r="C2045" s="9"/>
      <c r="D2045" s="9"/>
      <c r="E2045" s="42"/>
      <c r="F2045" s="43"/>
      <c r="G2045" s="27" t="str">
        <f aca="false">IF(OR(C2045="",AND(D2045="",F2045="")),"",IF(N(E2045)=0,1,E2045)*IF(F2045="",IFERROR(N(INDEX(Produtos!$L$5:$L$104,MATCH(D2045,Produtos!$B$5:$B$104,0))),0),F2045))</f>
        <v/>
      </c>
      <c r="H2045" s="27" t="str">
        <f aca="false">IF(G2045="","",IF(N(E2045)=0,1,E2045)*IFERROR(N(INDEX(Produtos!$G$5:$G$104,MATCH(D2045,Produtos!$B$5:$B$104,0))),0))</f>
        <v/>
      </c>
      <c r="I2045" s="27" t="str">
        <f aca="false">IF(G2045="","",G2045-H2045)</f>
        <v/>
      </c>
      <c r="J2045" s="42"/>
    </row>
    <row r="2046" customFormat="false" ht="21" hidden="false" customHeight="true" outlineLevel="0" collapsed="false">
      <c r="B2046" s="41"/>
      <c r="C2046" s="9"/>
      <c r="D2046" s="9"/>
      <c r="E2046" s="42"/>
      <c r="F2046" s="43"/>
      <c r="G2046" s="27" t="str">
        <f aca="false">IF(OR(C2046="",AND(D2046="",F2046="")),"",IF(N(E2046)=0,1,E2046)*IF(F2046="",IFERROR(N(INDEX(Produtos!$L$5:$L$104,MATCH(D2046,Produtos!$B$5:$B$104,0))),0),F2046))</f>
        <v/>
      </c>
      <c r="H2046" s="27" t="str">
        <f aca="false">IF(G2046="","",IF(N(E2046)=0,1,E2046)*IFERROR(N(INDEX(Produtos!$G$5:$G$104,MATCH(D2046,Produtos!$B$5:$B$104,0))),0))</f>
        <v/>
      </c>
      <c r="I2046" s="27" t="str">
        <f aca="false">IF(G2046="","",G2046-H2046)</f>
        <v/>
      </c>
      <c r="J2046" s="42"/>
    </row>
    <row r="2047" customFormat="false" ht="21" hidden="false" customHeight="true" outlineLevel="0" collapsed="false">
      <c r="B2047" s="41"/>
      <c r="C2047" s="9"/>
      <c r="D2047" s="9"/>
      <c r="E2047" s="42"/>
      <c r="F2047" s="43"/>
      <c r="G2047" s="27" t="str">
        <f aca="false">IF(OR(C2047="",AND(D2047="",F2047="")),"",IF(N(E2047)=0,1,E2047)*IF(F2047="",IFERROR(N(INDEX(Produtos!$L$5:$L$104,MATCH(D2047,Produtos!$B$5:$B$104,0))),0),F2047))</f>
        <v/>
      </c>
      <c r="H2047" s="27" t="str">
        <f aca="false">IF(G2047="","",IF(N(E2047)=0,1,E2047)*IFERROR(N(INDEX(Produtos!$G$5:$G$104,MATCH(D2047,Produtos!$B$5:$B$104,0))),0))</f>
        <v/>
      </c>
      <c r="I2047" s="27" t="str">
        <f aca="false">IF(G2047="","",G2047-H2047)</f>
        <v/>
      </c>
      <c r="J2047" s="42"/>
    </row>
    <row r="2048" customFormat="false" ht="21" hidden="false" customHeight="true" outlineLevel="0" collapsed="false">
      <c r="B2048" s="41"/>
      <c r="C2048" s="9"/>
      <c r="D2048" s="9"/>
      <c r="E2048" s="42"/>
      <c r="F2048" s="43"/>
      <c r="G2048" s="27" t="str">
        <f aca="false">IF(OR(C2048="",AND(D2048="",F2048="")),"",IF(N(E2048)=0,1,E2048)*IF(F2048="",IFERROR(N(INDEX(Produtos!$L$5:$L$104,MATCH(D2048,Produtos!$B$5:$B$104,0))),0),F2048))</f>
        <v/>
      </c>
      <c r="H2048" s="27" t="str">
        <f aca="false">IF(G2048="","",IF(N(E2048)=0,1,E2048)*IFERROR(N(INDEX(Produtos!$G$5:$G$104,MATCH(D2048,Produtos!$B$5:$B$104,0))),0))</f>
        <v/>
      </c>
      <c r="I2048" s="27" t="str">
        <f aca="false">IF(G2048="","",G2048-H2048)</f>
        <v/>
      </c>
      <c r="J2048" s="42"/>
    </row>
    <row r="2049" customFormat="false" ht="21" hidden="false" customHeight="true" outlineLevel="0" collapsed="false">
      <c r="B2049" s="41"/>
      <c r="C2049" s="9"/>
      <c r="D2049" s="9"/>
      <c r="E2049" s="42"/>
      <c r="F2049" s="43"/>
      <c r="G2049" s="27" t="str">
        <f aca="false">IF(OR(C2049="",AND(D2049="",F2049="")),"",IF(N(E2049)=0,1,E2049)*IF(F2049="",IFERROR(N(INDEX(Produtos!$L$5:$L$104,MATCH(D2049,Produtos!$B$5:$B$104,0))),0),F2049))</f>
        <v/>
      </c>
      <c r="H2049" s="27" t="str">
        <f aca="false">IF(G2049="","",IF(N(E2049)=0,1,E2049)*IFERROR(N(INDEX(Produtos!$G$5:$G$104,MATCH(D2049,Produtos!$B$5:$B$104,0))),0))</f>
        <v/>
      </c>
      <c r="I2049" s="27" t="str">
        <f aca="false">IF(G2049="","",G2049-H2049)</f>
        <v/>
      </c>
      <c r="J2049" s="42"/>
    </row>
    <row r="2050" customFormat="false" ht="21" hidden="false" customHeight="true" outlineLevel="0" collapsed="false">
      <c r="B2050" s="41"/>
      <c r="C2050" s="9"/>
      <c r="D2050" s="9"/>
      <c r="E2050" s="42"/>
      <c r="F2050" s="43"/>
      <c r="G2050" s="27" t="str">
        <f aca="false">IF(OR(C2050="",AND(D2050="",F2050="")),"",IF(N(E2050)=0,1,E2050)*IF(F2050="",IFERROR(N(INDEX(Produtos!$L$5:$L$104,MATCH(D2050,Produtos!$B$5:$B$104,0))),0),F2050))</f>
        <v/>
      </c>
      <c r="H2050" s="27" t="str">
        <f aca="false">IF(G2050="","",IF(N(E2050)=0,1,E2050)*IFERROR(N(INDEX(Produtos!$G$5:$G$104,MATCH(D2050,Produtos!$B$5:$B$104,0))),0))</f>
        <v/>
      </c>
      <c r="I2050" s="27" t="str">
        <f aca="false">IF(G2050="","",G2050-H2050)</f>
        <v/>
      </c>
      <c r="J2050" s="42"/>
    </row>
    <row r="2051" customFormat="false" ht="21" hidden="false" customHeight="true" outlineLevel="0" collapsed="false">
      <c r="B2051" s="41"/>
      <c r="C2051" s="9"/>
      <c r="D2051" s="9"/>
      <c r="E2051" s="42"/>
      <c r="F2051" s="43"/>
      <c r="G2051" s="27" t="str">
        <f aca="false">IF(OR(C2051="",AND(D2051="",F2051="")),"",IF(N(E2051)=0,1,E2051)*IF(F2051="",IFERROR(N(INDEX(Produtos!$L$5:$L$104,MATCH(D2051,Produtos!$B$5:$B$104,0))),0),F2051))</f>
        <v/>
      </c>
      <c r="H2051" s="27" t="str">
        <f aca="false">IF(G2051="","",IF(N(E2051)=0,1,E2051)*IFERROR(N(INDEX(Produtos!$G$5:$G$104,MATCH(D2051,Produtos!$B$5:$B$104,0))),0))</f>
        <v/>
      </c>
      <c r="I2051" s="27" t="str">
        <f aca="false">IF(G2051="","",G2051-H2051)</f>
        <v/>
      </c>
      <c r="J2051" s="42"/>
    </row>
    <row r="2052" customFormat="false" ht="21" hidden="false" customHeight="true" outlineLevel="0" collapsed="false">
      <c r="B2052" s="41"/>
      <c r="C2052" s="9"/>
      <c r="D2052" s="9"/>
      <c r="E2052" s="42"/>
      <c r="F2052" s="43"/>
      <c r="G2052" s="27" t="str">
        <f aca="false">IF(OR(C2052="",AND(D2052="",F2052="")),"",IF(N(E2052)=0,1,E2052)*IF(F2052="",IFERROR(N(INDEX(Produtos!$L$5:$L$104,MATCH(D2052,Produtos!$B$5:$B$104,0))),0),F2052))</f>
        <v/>
      </c>
      <c r="H2052" s="27" t="str">
        <f aca="false">IF(G2052="","",IF(N(E2052)=0,1,E2052)*IFERROR(N(INDEX(Produtos!$G$5:$G$104,MATCH(D2052,Produtos!$B$5:$B$104,0))),0))</f>
        <v/>
      </c>
      <c r="I2052" s="27" t="str">
        <f aca="false">IF(G2052="","",G2052-H2052)</f>
        <v/>
      </c>
      <c r="J2052" s="42"/>
    </row>
    <row r="2053" customFormat="false" ht="21" hidden="false" customHeight="true" outlineLevel="0" collapsed="false">
      <c r="B2053" s="41"/>
      <c r="C2053" s="9"/>
      <c r="D2053" s="9"/>
      <c r="E2053" s="42"/>
      <c r="F2053" s="43"/>
      <c r="G2053" s="27" t="str">
        <f aca="false">IF(OR(C2053="",AND(D2053="",F2053="")),"",IF(N(E2053)=0,1,E2053)*IF(F2053="",IFERROR(N(INDEX(Produtos!$L$5:$L$104,MATCH(D2053,Produtos!$B$5:$B$104,0))),0),F2053))</f>
        <v/>
      </c>
      <c r="H2053" s="27" t="str">
        <f aca="false">IF(G2053="","",IF(N(E2053)=0,1,E2053)*IFERROR(N(INDEX(Produtos!$G$5:$G$104,MATCH(D2053,Produtos!$B$5:$B$104,0))),0))</f>
        <v/>
      </c>
      <c r="I2053" s="27" t="str">
        <f aca="false">IF(G2053="","",G2053-H2053)</f>
        <v/>
      </c>
      <c r="J2053" s="42"/>
    </row>
    <row r="2054" customFormat="false" ht="21" hidden="false" customHeight="true" outlineLevel="0" collapsed="false">
      <c r="B2054" s="41"/>
      <c r="C2054" s="9"/>
      <c r="D2054" s="9"/>
      <c r="E2054" s="42"/>
      <c r="F2054" s="43"/>
      <c r="G2054" s="27" t="str">
        <f aca="false">IF(OR(C2054="",AND(D2054="",F2054="")),"",IF(N(E2054)=0,1,E2054)*IF(F2054="",IFERROR(N(INDEX(Produtos!$L$5:$L$104,MATCH(D2054,Produtos!$B$5:$B$104,0))),0),F2054))</f>
        <v/>
      </c>
      <c r="H2054" s="27" t="str">
        <f aca="false">IF(G2054="","",IF(N(E2054)=0,1,E2054)*IFERROR(N(INDEX(Produtos!$G$5:$G$104,MATCH(D2054,Produtos!$B$5:$B$104,0))),0))</f>
        <v/>
      </c>
      <c r="I2054" s="27" t="str">
        <f aca="false">IF(G2054="","",G2054-H2054)</f>
        <v/>
      </c>
      <c r="J2054" s="42"/>
    </row>
    <row r="2055" customFormat="false" ht="21" hidden="false" customHeight="true" outlineLevel="0" collapsed="false">
      <c r="B2055" s="41"/>
      <c r="C2055" s="9"/>
      <c r="D2055" s="9"/>
      <c r="E2055" s="42"/>
      <c r="F2055" s="43"/>
      <c r="G2055" s="27" t="str">
        <f aca="false">IF(OR(C2055="",AND(D2055="",F2055="")),"",IF(N(E2055)=0,1,E2055)*IF(F2055="",IFERROR(N(INDEX(Produtos!$L$5:$L$104,MATCH(D2055,Produtos!$B$5:$B$104,0))),0),F2055))</f>
        <v/>
      </c>
      <c r="H2055" s="27" t="str">
        <f aca="false">IF(G2055="","",IF(N(E2055)=0,1,E2055)*IFERROR(N(INDEX(Produtos!$G$5:$G$104,MATCH(D2055,Produtos!$B$5:$B$104,0))),0))</f>
        <v/>
      </c>
      <c r="I2055" s="27" t="str">
        <f aca="false">IF(G2055="","",G2055-H2055)</f>
        <v/>
      </c>
      <c r="J2055" s="42"/>
    </row>
    <row r="2056" customFormat="false" ht="21" hidden="false" customHeight="true" outlineLevel="0" collapsed="false">
      <c r="B2056" s="41"/>
      <c r="C2056" s="9"/>
      <c r="D2056" s="9"/>
      <c r="E2056" s="42"/>
      <c r="F2056" s="43"/>
      <c r="G2056" s="27" t="str">
        <f aca="false">IF(OR(C2056="",AND(D2056="",F2056="")),"",IF(N(E2056)=0,1,E2056)*IF(F2056="",IFERROR(N(INDEX(Produtos!$L$5:$L$104,MATCH(D2056,Produtos!$B$5:$B$104,0))),0),F2056))</f>
        <v/>
      </c>
      <c r="H2056" s="27" t="str">
        <f aca="false">IF(G2056="","",IF(N(E2056)=0,1,E2056)*IFERROR(N(INDEX(Produtos!$G$5:$G$104,MATCH(D2056,Produtos!$B$5:$B$104,0))),0))</f>
        <v/>
      </c>
      <c r="I2056" s="27" t="str">
        <f aca="false">IF(G2056="","",G2056-H2056)</f>
        <v/>
      </c>
      <c r="J2056" s="42"/>
    </row>
    <row r="2057" customFormat="false" ht="21" hidden="false" customHeight="true" outlineLevel="0" collapsed="false">
      <c r="B2057" s="41"/>
      <c r="C2057" s="9"/>
      <c r="D2057" s="9"/>
      <c r="E2057" s="42"/>
      <c r="F2057" s="43"/>
      <c r="G2057" s="27" t="str">
        <f aca="false">IF(OR(C2057="",AND(D2057="",F2057="")),"",IF(N(E2057)=0,1,E2057)*IF(F2057="",IFERROR(N(INDEX(Produtos!$L$5:$L$104,MATCH(D2057,Produtos!$B$5:$B$104,0))),0),F2057))</f>
        <v/>
      </c>
      <c r="H2057" s="27" t="str">
        <f aca="false">IF(G2057="","",IF(N(E2057)=0,1,E2057)*IFERROR(N(INDEX(Produtos!$G$5:$G$104,MATCH(D2057,Produtos!$B$5:$B$104,0))),0))</f>
        <v/>
      </c>
      <c r="I2057" s="27" t="str">
        <f aca="false">IF(G2057="","",G2057-H2057)</f>
        <v/>
      </c>
      <c r="J2057" s="42"/>
    </row>
    <row r="2058" customFormat="false" ht="21" hidden="false" customHeight="true" outlineLevel="0" collapsed="false">
      <c r="B2058" s="41"/>
      <c r="C2058" s="9"/>
      <c r="D2058" s="9"/>
      <c r="E2058" s="42"/>
      <c r="F2058" s="43"/>
      <c r="G2058" s="27" t="str">
        <f aca="false">IF(OR(C2058="",AND(D2058="",F2058="")),"",IF(N(E2058)=0,1,E2058)*IF(F2058="",IFERROR(N(INDEX(Produtos!$L$5:$L$104,MATCH(D2058,Produtos!$B$5:$B$104,0))),0),F2058))</f>
        <v/>
      </c>
      <c r="H2058" s="27" t="str">
        <f aca="false">IF(G2058="","",IF(N(E2058)=0,1,E2058)*IFERROR(N(INDEX(Produtos!$G$5:$G$104,MATCH(D2058,Produtos!$B$5:$B$104,0))),0))</f>
        <v/>
      </c>
      <c r="I2058" s="27" t="str">
        <f aca="false">IF(G2058="","",G2058-H2058)</f>
        <v/>
      </c>
      <c r="J2058" s="42"/>
    </row>
    <row r="2059" customFormat="false" ht="21" hidden="false" customHeight="true" outlineLevel="0" collapsed="false">
      <c r="B2059" s="41"/>
      <c r="C2059" s="9"/>
      <c r="D2059" s="9"/>
      <c r="E2059" s="42"/>
      <c r="F2059" s="43"/>
      <c r="G2059" s="27" t="str">
        <f aca="false">IF(OR(C2059="",AND(D2059="",F2059="")),"",IF(N(E2059)=0,1,E2059)*IF(F2059="",IFERROR(N(INDEX(Produtos!$L$5:$L$104,MATCH(D2059,Produtos!$B$5:$B$104,0))),0),F2059))</f>
        <v/>
      </c>
      <c r="H2059" s="27" t="str">
        <f aca="false">IF(G2059="","",IF(N(E2059)=0,1,E2059)*IFERROR(N(INDEX(Produtos!$G$5:$G$104,MATCH(D2059,Produtos!$B$5:$B$104,0))),0))</f>
        <v/>
      </c>
      <c r="I2059" s="27" t="str">
        <f aca="false">IF(G2059="","",G2059-H2059)</f>
        <v/>
      </c>
      <c r="J2059" s="42"/>
    </row>
    <row r="2060" customFormat="false" ht="21" hidden="false" customHeight="true" outlineLevel="0" collapsed="false">
      <c r="B2060" s="41"/>
      <c r="C2060" s="9"/>
      <c r="D2060" s="9"/>
      <c r="E2060" s="42"/>
      <c r="F2060" s="43"/>
      <c r="G2060" s="27" t="str">
        <f aca="false">IF(OR(C2060="",AND(D2060="",F2060="")),"",IF(N(E2060)=0,1,E2060)*IF(F2060="",IFERROR(N(INDEX(Produtos!$L$5:$L$104,MATCH(D2060,Produtos!$B$5:$B$104,0))),0),F2060))</f>
        <v/>
      </c>
      <c r="H2060" s="27" t="str">
        <f aca="false">IF(G2060="","",IF(N(E2060)=0,1,E2060)*IFERROR(N(INDEX(Produtos!$G$5:$G$104,MATCH(D2060,Produtos!$B$5:$B$104,0))),0))</f>
        <v/>
      </c>
      <c r="I2060" s="27" t="str">
        <f aca="false">IF(G2060="","",G2060-H2060)</f>
        <v/>
      </c>
      <c r="J2060" s="42"/>
    </row>
    <row r="2061" customFormat="false" ht="21" hidden="false" customHeight="true" outlineLevel="0" collapsed="false">
      <c r="B2061" s="41"/>
      <c r="C2061" s="9"/>
      <c r="D2061" s="9"/>
      <c r="E2061" s="42"/>
      <c r="F2061" s="43"/>
      <c r="G2061" s="27" t="str">
        <f aca="false">IF(OR(C2061="",AND(D2061="",F2061="")),"",IF(N(E2061)=0,1,E2061)*IF(F2061="",IFERROR(N(INDEX(Produtos!$L$5:$L$104,MATCH(D2061,Produtos!$B$5:$B$104,0))),0),F2061))</f>
        <v/>
      </c>
      <c r="H2061" s="27" t="str">
        <f aca="false">IF(G2061="","",IF(N(E2061)=0,1,E2061)*IFERROR(N(INDEX(Produtos!$G$5:$G$104,MATCH(D2061,Produtos!$B$5:$B$104,0))),0))</f>
        <v/>
      </c>
      <c r="I2061" s="27" t="str">
        <f aca="false">IF(G2061="","",G2061-H2061)</f>
        <v/>
      </c>
      <c r="J2061" s="42"/>
    </row>
    <row r="2062" customFormat="false" ht="21" hidden="false" customHeight="true" outlineLevel="0" collapsed="false">
      <c r="B2062" s="41"/>
      <c r="C2062" s="9"/>
      <c r="D2062" s="9"/>
      <c r="E2062" s="42"/>
      <c r="F2062" s="43"/>
      <c r="G2062" s="27" t="str">
        <f aca="false">IF(OR(C2062="",AND(D2062="",F2062="")),"",IF(N(E2062)=0,1,E2062)*IF(F2062="",IFERROR(N(INDEX(Produtos!$L$5:$L$104,MATCH(D2062,Produtos!$B$5:$B$104,0))),0),F2062))</f>
        <v/>
      </c>
      <c r="H2062" s="27" t="str">
        <f aca="false">IF(G2062="","",IF(N(E2062)=0,1,E2062)*IFERROR(N(INDEX(Produtos!$G$5:$G$104,MATCH(D2062,Produtos!$B$5:$B$104,0))),0))</f>
        <v/>
      </c>
      <c r="I2062" s="27" t="str">
        <f aca="false">IF(G2062="","",G2062-H2062)</f>
        <v/>
      </c>
      <c r="J2062" s="42"/>
    </row>
    <row r="2063" customFormat="false" ht="21" hidden="false" customHeight="true" outlineLevel="0" collapsed="false">
      <c r="B2063" s="41"/>
      <c r="C2063" s="9"/>
      <c r="D2063" s="9"/>
      <c r="E2063" s="42"/>
      <c r="F2063" s="43"/>
      <c r="G2063" s="27" t="str">
        <f aca="false">IF(OR(C2063="",AND(D2063="",F2063="")),"",IF(N(E2063)=0,1,E2063)*IF(F2063="",IFERROR(N(INDEX(Produtos!$L$5:$L$104,MATCH(D2063,Produtos!$B$5:$B$104,0))),0),F2063))</f>
        <v/>
      </c>
      <c r="H2063" s="27" t="str">
        <f aca="false">IF(G2063="","",IF(N(E2063)=0,1,E2063)*IFERROR(N(INDEX(Produtos!$G$5:$G$104,MATCH(D2063,Produtos!$B$5:$B$104,0))),0))</f>
        <v/>
      </c>
      <c r="I2063" s="27" t="str">
        <f aca="false">IF(G2063="","",G2063-H2063)</f>
        <v/>
      </c>
      <c r="J2063" s="42"/>
    </row>
    <row r="2064" customFormat="false" ht="21" hidden="false" customHeight="true" outlineLevel="0" collapsed="false">
      <c r="B2064" s="41"/>
      <c r="C2064" s="9"/>
      <c r="D2064" s="9"/>
      <c r="E2064" s="42"/>
      <c r="F2064" s="43"/>
      <c r="G2064" s="27" t="str">
        <f aca="false">IF(OR(C2064="",AND(D2064="",F2064="")),"",IF(N(E2064)=0,1,E2064)*IF(F2064="",IFERROR(N(INDEX(Produtos!$L$5:$L$104,MATCH(D2064,Produtos!$B$5:$B$104,0))),0),F2064))</f>
        <v/>
      </c>
      <c r="H2064" s="27" t="str">
        <f aca="false">IF(G2064="","",IF(N(E2064)=0,1,E2064)*IFERROR(N(INDEX(Produtos!$G$5:$G$104,MATCH(D2064,Produtos!$B$5:$B$104,0))),0))</f>
        <v/>
      </c>
      <c r="I2064" s="27" t="str">
        <f aca="false">IF(G2064="","",G2064-H2064)</f>
        <v/>
      </c>
      <c r="J2064" s="42"/>
    </row>
    <row r="2065" customFormat="false" ht="21" hidden="false" customHeight="true" outlineLevel="0" collapsed="false">
      <c r="B2065" s="41"/>
      <c r="C2065" s="9"/>
      <c r="D2065" s="9"/>
      <c r="E2065" s="42"/>
      <c r="F2065" s="43"/>
      <c r="G2065" s="27" t="str">
        <f aca="false">IF(OR(C2065="",AND(D2065="",F2065="")),"",IF(N(E2065)=0,1,E2065)*IF(F2065="",IFERROR(N(INDEX(Produtos!$L$5:$L$104,MATCH(D2065,Produtos!$B$5:$B$104,0))),0),F2065))</f>
        <v/>
      </c>
      <c r="H2065" s="27" t="str">
        <f aca="false">IF(G2065="","",IF(N(E2065)=0,1,E2065)*IFERROR(N(INDEX(Produtos!$G$5:$G$104,MATCH(D2065,Produtos!$B$5:$B$104,0))),0))</f>
        <v/>
      </c>
      <c r="I2065" s="27" t="str">
        <f aca="false">IF(G2065="","",G2065-H2065)</f>
        <v/>
      </c>
      <c r="J2065" s="42"/>
    </row>
    <row r="2066" customFormat="false" ht="21" hidden="false" customHeight="true" outlineLevel="0" collapsed="false">
      <c r="B2066" s="41"/>
      <c r="C2066" s="9"/>
      <c r="D2066" s="9"/>
      <c r="E2066" s="42"/>
      <c r="F2066" s="43"/>
      <c r="G2066" s="27" t="str">
        <f aca="false">IF(OR(C2066="",AND(D2066="",F2066="")),"",IF(N(E2066)=0,1,E2066)*IF(F2066="",IFERROR(N(INDEX(Produtos!$L$5:$L$104,MATCH(D2066,Produtos!$B$5:$B$104,0))),0),F2066))</f>
        <v/>
      </c>
      <c r="H2066" s="27" t="str">
        <f aca="false">IF(G2066="","",IF(N(E2066)=0,1,E2066)*IFERROR(N(INDEX(Produtos!$G$5:$G$104,MATCH(D2066,Produtos!$B$5:$B$104,0))),0))</f>
        <v/>
      </c>
      <c r="I2066" s="27" t="str">
        <f aca="false">IF(G2066="","",G2066-H2066)</f>
        <v/>
      </c>
      <c r="J2066" s="42"/>
    </row>
    <row r="2067" customFormat="false" ht="21" hidden="false" customHeight="true" outlineLevel="0" collapsed="false">
      <c r="B2067" s="41"/>
      <c r="C2067" s="9"/>
      <c r="D2067" s="9"/>
      <c r="E2067" s="42"/>
      <c r="F2067" s="43"/>
      <c r="G2067" s="27" t="str">
        <f aca="false">IF(OR(C2067="",AND(D2067="",F2067="")),"",IF(N(E2067)=0,1,E2067)*IF(F2067="",IFERROR(N(INDEX(Produtos!$L$5:$L$104,MATCH(D2067,Produtos!$B$5:$B$104,0))),0),F2067))</f>
        <v/>
      </c>
      <c r="H2067" s="27" t="str">
        <f aca="false">IF(G2067="","",IF(N(E2067)=0,1,E2067)*IFERROR(N(INDEX(Produtos!$G$5:$G$104,MATCH(D2067,Produtos!$B$5:$B$104,0))),0))</f>
        <v/>
      </c>
      <c r="I2067" s="27" t="str">
        <f aca="false">IF(G2067="","",G2067-H2067)</f>
        <v/>
      </c>
      <c r="J2067" s="42"/>
    </row>
    <row r="2068" customFormat="false" ht="21" hidden="false" customHeight="true" outlineLevel="0" collapsed="false">
      <c r="B2068" s="41"/>
      <c r="C2068" s="9"/>
      <c r="D2068" s="9"/>
      <c r="E2068" s="42"/>
      <c r="F2068" s="43"/>
      <c r="G2068" s="27" t="str">
        <f aca="false">IF(OR(C2068="",AND(D2068="",F2068="")),"",IF(N(E2068)=0,1,E2068)*IF(F2068="",IFERROR(N(INDEX(Produtos!$L$5:$L$104,MATCH(D2068,Produtos!$B$5:$B$104,0))),0),F2068))</f>
        <v/>
      </c>
      <c r="H2068" s="27" t="str">
        <f aca="false">IF(G2068="","",IF(N(E2068)=0,1,E2068)*IFERROR(N(INDEX(Produtos!$G$5:$G$104,MATCH(D2068,Produtos!$B$5:$B$104,0))),0))</f>
        <v/>
      </c>
      <c r="I2068" s="27" t="str">
        <f aca="false">IF(G2068="","",G2068-H2068)</f>
        <v/>
      </c>
      <c r="J2068" s="42"/>
    </row>
    <row r="2069" customFormat="false" ht="21" hidden="false" customHeight="true" outlineLevel="0" collapsed="false">
      <c r="B2069" s="41"/>
      <c r="C2069" s="9"/>
      <c r="D2069" s="9"/>
      <c r="E2069" s="42"/>
      <c r="F2069" s="43"/>
      <c r="G2069" s="27" t="str">
        <f aca="false">IF(OR(C2069="",AND(D2069="",F2069="")),"",IF(N(E2069)=0,1,E2069)*IF(F2069="",IFERROR(N(INDEX(Produtos!$L$5:$L$104,MATCH(D2069,Produtos!$B$5:$B$104,0))),0),F2069))</f>
        <v/>
      </c>
      <c r="H2069" s="27" t="str">
        <f aca="false">IF(G2069="","",IF(N(E2069)=0,1,E2069)*IFERROR(N(INDEX(Produtos!$G$5:$G$104,MATCH(D2069,Produtos!$B$5:$B$104,0))),0))</f>
        <v/>
      </c>
      <c r="I2069" s="27" t="str">
        <f aca="false">IF(G2069="","",G2069-H2069)</f>
        <v/>
      </c>
      <c r="J2069" s="42"/>
    </row>
    <row r="2070" customFormat="false" ht="21" hidden="false" customHeight="true" outlineLevel="0" collapsed="false">
      <c r="B2070" s="41"/>
      <c r="C2070" s="9"/>
      <c r="D2070" s="9"/>
      <c r="E2070" s="42"/>
      <c r="F2070" s="43"/>
      <c r="G2070" s="27" t="str">
        <f aca="false">IF(OR(C2070="",AND(D2070="",F2070="")),"",IF(N(E2070)=0,1,E2070)*IF(F2070="",IFERROR(N(INDEX(Produtos!$L$5:$L$104,MATCH(D2070,Produtos!$B$5:$B$104,0))),0),F2070))</f>
        <v/>
      </c>
      <c r="H2070" s="27" t="str">
        <f aca="false">IF(G2070="","",IF(N(E2070)=0,1,E2070)*IFERROR(N(INDEX(Produtos!$G$5:$G$104,MATCH(D2070,Produtos!$B$5:$B$104,0))),0))</f>
        <v/>
      </c>
      <c r="I2070" s="27" t="str">
        <f aca="false">IF(G2070="","",G2070-H2070)</f>
        <v/>
      </c>
      <c r="J2070" s="42"/>
    </row>
    <row r="2071" customFormat="false" ht="21" hidden="false" customHeight="true" outlineLevel="0" collapsed="false">
      <c r="B2071" s="41"/>
      <c r="C2071" s="9"/>
      <c r="D2071" s="9"/>
      <c r="E2071" s="42"/>
      <c r="F2071" s="43"/>
      <c r="G2071" s="27" t="str">
        <f aca="false">IF(OR(C2071="",AND(D2071="",F2071="")),"",IF(N(E2071)=0,1,E2071)*IF(F2071="",IFERROR(N(INDEX(Produtos!$L$5:$L$104,MATCH(D2071,Produtos!$B$5:$B$104,0))),0),F2071))</f>
        <v/>
      </c>
      <c r="H2071" s="27" t="str">
        <f aca="false">IF(G2071="","",IF(N(E2071)=0,1,E2071)*IFERROR(N(INDEX(Produtos!$G$5:$G$104,MATCH(D2071,Produtos!$B$5:$B$104,0))),0))</f>
        <v/>
      </c>
      <c r="I2071" s="27" t="str">
        <f aca="false">IF(G2071="","",G2071-H2071)</f>
        <v/>
      </c>
      <c r="J2071" s="42"/>
    </row>
    <row r="2072" customFormat="false" ht="21" hidden="false" customHeight="true" outlineLevel="0" collapsed="false">
      <c r="B2072" s="41"/>
      <c r="C2072" s="9"/>
      <c r="D2072" s="9"/>
      <c r="E2072" s="42"/>
      <c r="F2072" s="43"/>
      <c r="G2072" s="27" t="str">
        <f aca="false">IF(OR(C2072="",AND(D2072="",F2072="")),"",IF(N(E2072)=0,1,E2072)*IF(F2072="",IFERROR(N(INDEX(Produtos!$L$5:$L$104,MATCH(D2072,Produtos!$B$5:$B$104,0))),0),F2072))</f>
        <v/>
      </c>
      <c r="H2072" s="27" t="str">
        <f aca="false">IF(G2072="","",IF(N(E2072)=0,1,E2072)*IFERROR(N(INDEX(Produtos!$G$5:$G$104,MATCH(D2072,Produtos!$B$5:$B$104,0))),0))</f>
        <v/>
      </c>
      <c r="I2072" s="27" t="str">
        <f aca="false">IF(G2072="","",G2072-H2072)</f>
        <v/>
      </c>
      <c r="J2072" s="42"/>
    </row>
    <row r="2073" customFormat="false" ht="21" hidden="false" customHeight="true" outlineLevel="0" collapsed="false">
      <c r="B2073" s="41"/>
      <c r="C2073" s="9"/>
      <c r="D2073" s="9"/>
      <c r="E2073" s="42"/>
      <c r="F2073" s="43"/>
      <c r="G2073" s="27" t="str">
        <f aca="false">IF(OR(C2073="",AND(D2073="",F2073="")),"",IF(N(E2073)=0,1,E2073)*IF(F2073="",IFERROR(N(INDEX(Produtos!$L$5:$L$104,MATCH(D2073,Produtos!$B$5:$B$104,0))),0),F2073))</f>
        <v/>
      </c>
      <c r="H2073" s="27" t="str">
        <f aca="false">IF(G2073="","",IF(N(E2073)=0,1,E2073)*IFERROR(N(INDEX(Produtos!$G$5:$G$104,MATCH(D2073,Produtos!$B$5:$B$104,0))),0))</f>
        <v/>
      </c>
      <c r="I2073" s="27" t="str">
        <f aca="false">IF(G2073="","",G2073-H2073)</f>
        <v/>
      </c>
      <c r="J2073" s="42"/>
    </row>
    <row r="2074" customFormat="false" ht="21" hidden="false" customHeight="true" outlineLevel="0" collapsed="false">
      <c r="B2074" s="41"/>
      <c r="C2074" s="9"/>
      <c r="D2074" s="9"/>
      <c r="E2074" s="42"/>
      <c r="F2074" s="43"/>
      <c r="G2074" s="27" t="str">
        <f aca="false">IF(OR(C2074="",AND(D2074="",F2074="")),"",IF(N(E2074)=0,1,E2074)*IF(F2074="",IFERROR(N(INDEX(Produtos!$L$5:$L$104,MATCH(D2074,Produtos!$B$5:$B$104,0))),0),F2074))</f>
        <v/>
      </c>
      <c r="H2074" s="27" t="str">
        <f aca="false">IF(G2074="","",IF(N(E2074)=0,1,E2074)*IFERROR(N(INDEX(Produtos!$G$5:$G$104,MATCH(D2074,Produtos!$B$5:$B$104,0))),0))</f>
        <v/>
      </c>
      <c r="I2074" s="27" t="str">
        <f aca="false">IF(G2074="","",G2074-H2074)</f>
        <v/>
      </c>
      <c r="J2074" s="42"/>
    </row>
    <row r="2075" customFormat="false" ht="21" hidden="false" customHeight="true" outlineLevel="0" collapsed="false">
      <c r="B2075" s="41"/>
      <c r="C2075" s="9"/>
      <c r="D2075" s="9"/>
      <c r="E2075" s="42"/>
      <c r="F2075" s="43"/>
      <c r="G2075" s="27" t="str">
        <f aca="false">IF(OR(C2075="",AND(D2075="",F2075="")),"",IF(N(E2075)=0,1,E2075)*IF(F2075="",IFERROR(N(INDEX(Produtos!$L$5:$L$104,MATCH(D2075,Produtos!$B$5:$B$104,0))),0),F2075))</f>
        <v/>
      </c>
      <c r="H2075" s="27" t="str">
        <f aca="false">IF(G2075="","",IF(N(E2075)=0,1,E2075)*IFERROR(N(INDEX(Produtos!$G$5:$G$104,MATCH(D2075,Produtos!$B$5:$B$104,0))),0))</f>
        <v/>
      </c>
      <c r="I2075" s="27" t="str">
        <f aca="false">IF(G2075="","",G2075-H2075)</f>
        <v/>
      </c>
      <c r="J2075" s="42"/>
    </row>
    <row r="2076" customFormat="false" ht="21" hidden="false" customHeight="true" outlineLevel="0" collapsed="false">
      <c r="B2076" s="41"/>
      <c r="C2076" s="9"/>
      <c r="D2076" s="9"/>
      <c r="E2076" s="42"/>
      <c r="F2076" s="43"/>
      <c r="G2076" s="27" t="str">
        <f aca="false">IF(OR(C2076="",AND(D2076="",F2076="")),"",IF(N(E2076)=0,1,E2076)*IF(F2076="",IFERROR(N(INDEX(Produtos!$L$5:$L$104,MATCH(D2076,Produtos!$B$5:$B$104,0))),0),F2076))</f>
        <v/>
      </c>
      <c r="H2076" s="27" t="str">
        <f aca="false">IF(G2076="","",IF(N(E2076)=0,1,E2076)*IFERROR(N(INDEX(Produtos!$G$5:$G$104,MATCH(D2076,Produtos!$B$5:$B$104,0))),0))</f>
        <v/>
      </c>
      <c r="I2076" s="27" t="str">
        <f aca="false">IF(G2076="","",G2076-H2076)</f>
        <v/>
      </c>
      <c r="J2076" s="42"/>
    </row>
    <row r="2077" customFormat="false" ht="21" hidden="false" customHeight="true" outlineLevel="0" collapsed="false">
      <c r="B2077" s="41"/>
      <c r="C2077" s="9"/>
      <c r="D2077" s="9"/>
      <c r="E2077" s="42"/>
      <c r="F2077" s="43"/>
      <c r="G2077" s="27" t="str">
        <f aca="false">IF(OR(C2077="",AND(D2077="",F2077="")),"",IF(N(E2077)=0,1,E2077)*IF(F2077="",IFERROR(N(INDEX(Produtos!$L$5:$L$104,MATCH(D2077,Produtos!$B$5:$B$104,0))),0),F2077))</f>
        <v/>
      </c>
      <c r="H2077" s="27" t="str">
        <f aca="false">IF(G2077="","",IF(N(E2077)=0,1,E2077)*IFERROR(N(INDEX(Produtos!$G$5:$G$104,MATCH(D2077,Produtos!$B$5:$B$104,0))),0))</f>
        <v/>
      </c>
      <c r="I2077" s="27" t="str">
        <f aca="false">IF(G2077="","",G2077-H2077)</f>
        <v/>
      </c>
      <c r="J2077" s="42"/>
    </row>
    <row r="2078" customFormat="false" ht="21" hidden="false" customHeight="true" outlineLevel="0" collapsed="false">
      <c r="B2078" s="41"/>
      <c r="C2078" s="9"/>
      <c r="D2078" s="9"/>
      <c r="E2078" s="42"/>
      <c r="F2078" s="43"/>
      <c r="G2078" s="27" t="str">
        <f aca="false">IF(OR(C2078="",AND(D2078="",F2078="")),"",IF(N(E2078)=0,1,E2078)*IF(F2078="",IFERROR(N(INDEX(Produtos!$L$5:$L$104,MATCH(D2078,Produtos!$B$5:$B$104,0))),0),F2078))</f>
        <v/>
      </c>
      <c r="H2078" s="27" t="str">
        <f aca="false">IF(G2078="","",IF(N(E2078)=0,1,E2078)*IFERROR(N(INDEX(Produtos!$G$5:$G$104,MATCH(D2078,Produtos!$B$5:$B$104,0))),0))</f>
        <v/>
      </c>
      <c r="I2078" s="27" t="str">
        <f aca="false">IF(G2078="","",G2078-H2078)</f>
        <v/>
      </c>
      <c r="J2078" s="42"/>
    </row>
    <row r="2079" customFormat="false" ht="21" hidden="false" customHeight="true" outlineLevel="0" collapsed="false">
      <c r="B2079" s="41"/>
      <c r="C2079" s="9"/>
      <c r="D2079" s="9"/>
      <c r="E2079" s="42"/>
      <c r="F2079" s="43"/>
      <c r="G2079" s="27" t="str">
        <f aca="false">IF(OR(C2079="",AND(D2079="",F2079="")),"",IF(N(E2079)=0,1,E2079)*IF(F2079="",IFERROR(N(INDEX(Produtos!$L$5:$L$104,MATCH(D2079,Produtos!$B$5:$B$104,0))),0),F2079))</f>
        <v/>
      </c>
      <c r="H2079" s="27" t="str">
        <f aca="false">IF(G2079="","",IF(N(E2079)=0,1,E2079)*IFERROR(N(INDEX(Produtos!$G$5:$G$104,MATCH(D2079,Produtos!$B$5:$B$104,0))),0))</f>
        <v/>
      </c>
      <c r="I2079" s="27" t="str">
        <f aca="false">IF(G2079="","",G2079-H2079)</f>
        <v/>
      </c>
      <c r="J2079" s="42"/>
    </row>
    <row r="2080" customFormat="false" ht="21" hidden="false" customHeight="true" outlineLevel="0" collapsed="false">
      <c r="B2080" s="41"/>
      <c r="C2080" s="9"/>
      <c r="D2080" s="9"/>
      <c r="E2080" s="42"/>
      <c r="F2080" s="43"/>
      <c r="G2080" s="27" t="str">
        <f aca="false">IF(OR(C2080="",AND(D2080="",F2080="")),"",IF(N(E2080)=0,1,E2080)*IF(F2080="",IFERROR(N(INDEX(Produtos!$L$5:$L$104,MATCH(D2080,Produtos!$B$5:$B$104,0))),0),F2080))</f>
        <v/>
      </c>
      <c r="H2080" s="27" t="str">
        <f aca="false">IF(G2080="","",IF(N(E2080)=0,1,E2080)*IFERROR(N(INDEX(Produtos!$G$5:$G$104,MATCH(D2080,Produtos!$B$5:$B$104,0))),0))</f>
        <v/>
      </c>
      <c r="I2080" s="27" t="str">
        <f aca="false">IF(G2080="","",G2080-H2080)</f>
        <v/>
      </c>
      <c r="J2080" s="42"/>
    </row>
    <row r="2081" customFormat="false" ht="21" hidden="false" customHeight="true" outlineLevel="0" collapsed="false">
      <c r="B2081" s="41"/>
      <c r="C2081" s="9"/>
      <c r="D2081" s="9"/>
      <c r="E2081" s="42"/>
      <c r="F2081" s="43"/>
      <c r="G2081" s="27" t="str">
        <f aca="false">IF(OR(C2081="",AND(D2081="",F2081="")),"",IF(N(E2081)=0,1,E2081)*IF(F2081="",IFERROR(N(INDEX(Produtos!$L$5:$L$104,MATCH(D2081,Produtos!$B$5:$B$104,0))),0),F2081))</f>
        <v/>
      </c>
      <c r="H2081" s="27" t="str">
        <f aca="false">IF(G2081="","",IF(N(E2081)=0,1,E2081)*IFERROR(N(INDEX(Produtos!$G$5:$G$104,MATCH(D2081,Produtos!$B$5:$B$104,0))),0))</f>
        <v/>
      </c>
      <c r="I2081" s="27" t="str">
        <f aca="false">IF(G2081="","",G2081-H2081)</f>
        <v/>
      </c>
      <c r="J2081" s="42"/>
    </row>
    <row r="2082" customFormat="false" ht="21" hidden="false" customHeight="true" outlineLevel="0" collapsed="false">
      <c r="B2082" s="41"/>
      <c r="C2082" s="9"/>
      <c r="D2082" s="9"/>
      <c r="E2082" s="42"/>
      <c r="F2082" s="43"/>
      <c r="G2082" s="27" t="str">
        <f aca="false">IF(OR(C2082="",AND(D2082="",F2082="")),"",IF(N(E2082)=0,1,E2082)*IF(F2082="",IFERROR(N(INDEX(Produtos!$L$5:$L$104,MATCH(D2082,Produtos!$B$5:$B$104,0))),0),F2082))</f>
        <v/>
      </c>
      <c r="H2082" s="27" t="str">
        <f aca="false">IF(G2082="","",IF(N(E2082)=0,1,E2082)*IFERROR(N(INDEX(Produtos!$G$5:$G$104,MATCH(D2082,Produtos!$B$5:$B$104,0))),0))</f>
        <v/>
      </c>
      <c r="I2082" s="27" t="str">
        <f aca="false">IF(G2082="","",G2082-H2082)</f>
        <v/>
      </c>
      <c r="J2082" s="42"/>
    </row>
    <row r="2083" customFormat="false" ht="21" hidden="false" customHeight="true" outlineLevel="0" collapsed="false">
      <c r="B2083" s="41"/>
      <c r="C2083" s="9"/>
      <c r="D2083" s="9"/>
      <c r="E2083" s="42"/>
      <c r="F2083" s="43"/>
      <c r="G2083" s="27" t="str">
        <f aca="false">IF(OR(C2083="",AND(D2083="",F2083="")),"",IF(N(E2083)=0,1,E2083)*IF(F2083="",IFERROR(N(INDEX(Produtos!$L$5:$L$104,MATCH(D2083,Produtos!$B$5:$B$104,0))),0),F2083))</f>
        <v/>
      </c>
      <c r="H2083" s="27" t="str">
        <f aca="false">IF(G2083="","",IF(N(E2083)=0,1,E2083)*IFERROR(N(INDEX(Produtos!$G$5:$G$104,MATCH(D2083,Produtos!$B$5:$B$104,0))),0))</f>
        <v/>
      </c>
      <c r="I2083" s="27" t="str">
        <f aca="false">IF(G2083="","",G2083-H2083)</f>
        <v/>
      </c>
      <c r="J2083" s="42"/>
    </row>
    <row r="2084" customFormat="false" ht="21" hidden="false" customHeight="true" outlineLevel="0" collapsed="false">
      <c r="B2084" s="41"/>
      <c r="C2084" s="9"/>
      <c r="D2084" s="9"/>
      <c r="E2084" s="42"/>
      <c r="F2084" s="43"/>
      <c r="G2084" s="27" t="str">
        <f aca="false">IF(OR(C2084="",AND(D2084="",F2084="")),"",IF(N(E2084)=0,1,E2084)*IF(F2084="",IFERROR(N(INDEX(Produtos!$L$5:$L$104,MATCH(D2084,Produtos!$B$5:$B$104,0))),0),F2084))</f>
        <v/>
      </c>
      <c r="H2084" s="27" t="str">
        <f aca="false">IF(G2084="","",IF(N(E2084)=0,1,E2084)*IFERROR(N(INDEX(Produtos!$G$5:$G$104,MATCH(D2084,Produtos!$B$5:$B$104,0))),0))</f>
        <v/>
      </c>
      <c r="I2084" s="27" t="str">
        <f aca="false">IF(G2084="","",G2084-H2084)</f>
        <v/>
      </c>
      <c r="J2084" s="42"/>
    </row>
    <row r="2085" customFormat="false" ht="21" hidden="false" customHeight="true" outlineLevel="0" collapsed="false">
      <c r="B2085" s="41"/>
      <c r="C2085" s="9"/>
      <c r="D2085" s="9"/>
      <c r="E2085" s="42"/>
      <c r="F2085" s="43"/>
      <c r="G2085" s="27" t="str">
        <f aca="false">IF(OR(C2085="",AND(D2085="",F2085="")),"",IF(N(E2085)=0,1,E2085)*IF(F2085="",IFERROR(N(INDEX(Produtos!$L$5:$L$104,MATCH(D2085,Produtos!$B$5:$B$104,0))),0),F2085))</f>
        <v/>
      </c>
      <c r="H2085" s="27" t="str">
        <f aca="false">IF(G2085="","",IF(N(E2085)=0,1,E2085)*IFERROR(N(INDEX(Produtos!$G$5:$G$104,MATCH(D2085,Produtos!$B$5:$B$104,0))),0))</f>
        <v/>
      </c>
      <c r="I2085" s="27" t="str">
        <f aca="false">IF(G2085="","",G2085-H2085)</f>
        <v/>
      </c>
      <c r="J2085" s="42"/>
    </row>
    <row r="2086" customFormat="false" ht="21" hidden="false" customHeight="true" outlineLevel="0" collapsed="false">
      <c r="B2086" s="41"/>
      <c r="C2086" s="9"/>
      <c r="D2086" s="9"/>
      <c r="E2086" s="42"/>
      <c r="F2086" s="43"/>
      <c r="G2086" s="27" t="str">
        <f aca="false">IF(OR(C2086="",AND(D2086="",F2086="")),"",IF(N(E2086)=0,1,E2086)*IF(F2086="",IFERROR(N(INDEX(Produtos!$L$5:$L$104,MATCH(D2086,Produtos!$B$5:$B$104,0))),0),F2086))</f>
        <v/>
      </c>
      <c r="H2086" s="27" t="str">
        <f aca="false">IF(G2086="","",IF(N(E2086)=0,1,E2086)*IFERROR(N(INDEX(Produtos!$G$5:$G$104,MATCH(D2086,Produtos!$B$5:$B$104,0))),0))</f>
        <v/>
      </c>
      <c r="I2086" s="27" t="str">
        <f aca="false">IF(G2086="","",G2086-H2086)</f>
        <v/>
      </c>
      <c r="J2086" s="42"/>
    </row>
    <row r="2087" customFormat="false" ht="21" hidden="false" customHeight="true" outlineLevel="0" collapsed="false">
      <c r="B2087" s="41"/>
      <c r="C2087" s="9"/>
      <c r="D2087" s="9"/>
      <c r="E2087" s="42"/>
      <c r="F2087" s="43"/>
      <c r="G2087" s="27" t="str">
        <f aca="false">IF(OR(C2087="",AND(D2087="",F2087="")),"",IF(N(E2087)=0,1,E2087)*IF(F2087="",IFERROR(N(INDEX(Produtos!$L$5:$L$104,MATCH(D2087,Produtos!$B$5:$B$104,0))),0),F2087))</f>
        <v/>
      </c>
      <c r="H2087" s="27" t="str">
        <f aca="false">IF(G2087="","",IF(N(E2087)=0,1,E2087)*IFERROR(N(INDEX(Produtos!$G$5:$G$104,MATCH(D2087,Produtos!$B$5:$B$104,0))),0))</f>
        <v/>
      </c>
      <c r="I2087" s="27" t="str">
        <f aca="false">IF(G2087="","",G2087-H2087)</f>
        <v/>
      </c>
      <c r="J2087" s="42"/>
    </row>
    <row r="2088" customFormat="false" ht="21" hidden="false" customHeight="true" outlineLevel="0" collapsed="false">
      <c r="B2088" s="41"/>
      <c r="C2088" s="9"/>
      <c r="D2088" s="9"/>
      <c r="E2088" s="42"/>
      <c r="F2088" s="43"/>
      <c r="G2088" s="27" t="str">
        <f aca="false">IF(OR(C2088="",AND(D2088="",F2088="")),"",IF(N(E2088)=0,1,E2088)*IF(F2088="",IFERROR(N(INDEX(Produtos!$L$5:$L$104,MATCH(D2088,Produtos!$B$5:$B$104,0))),0),F2088))</f>
        <v/>
      </c>
      <c r="H2088" s="27" t="str">
        <f aca="false">IF(G2088="","",IF(N(E2088)=0,1,E2088)*IFERROR(N(INDEX(Produtos!$G$5:$G$104,MATCH(D2088,Produtos!$B$5:$B$104,0))),0))</f>
        <v/>
      </c>
      <c r="I2088" s="27" t="str">
        <f aca="false">IF(G2088="","",G2088-H2088)</f>
        <v/>
      </c>
      <c r="J2088" s="42"/>
    </row>
    <row r="2089" customFormat="false" ht="21" hidden="false" customHeight="true" outlineLevel="0" collapsed="false">
      <c r="B2089" s="41"/>
      <c r="C2089" s="9"/>
      <c r="D2089" s="9"/>
      <c r="E2089" s="42"/>
      <c r="F2089" s="43"/>
      <c r="G2089" s="27" t="str">
        <f aca="false">IF(OR(C2089="",AND(D2089="",F2089="")),"",IF(N(E2089)=0,1,E2089)*IF(F2089="",IFERROR(N(INDEX(Produtos!$L$5:$L$104,MATCH(D2089,Produtos!$B$5:$B$104,0))),0),F2089))</f>
        <v/>
      </c>
      <c r="H2089" s="27" t="str">
        <f aca="false">IF(G2089="","",IF(N(E2089)=0,1,E2089)*IFERROR(N(INDEX(Produtos!$G$5:$G$104,MATCH(D2089,Produtos!$B$5:$B$104,0))),0))</f>
        <v/>
      </c>
      <c r="I2089" s="27" t="str">
        <f aca="false">IF(G2089="","",G2089-H2089)</f>
        <v/>
      </c>
      <c r="J2089" s="42"/>
    </row>
    <row r="2090" customFormat="false" ht="21" hidden="false" customHeight="true" outlineLevel="0" collapsed="false">
      <c r="B2090" s="41"/>
      <c r="C2090" s="9"/>
      <c r="D2090" s="9"/>
      <c r="E2090" s="42"/>
      <c r="F2090" s="43"/>
      <c r="G2090" s="27" t="str">
        <f aca="false">IF(OR(C2090="",AND(D2090="",F2090="")),"",IF(N(E2090)=0,1,E2090)*IF(F2090="",IFERROR(N(INDEX(Produtos!$L$5:$L$104,MATCH(D2090,Produtos!$B$5:$B$104,0))),0),F2090))</f>
        <v/>
      </c>
      <c r="H2090" s="27" t="str">
        <f aca="false">IF(G2090="","",IF(N(E2090)=0,1,E2090)*IFERROR(N(INDEX(Produtos!$G$5:$G$104,MATCH(D2090,Produtos!$B$5:$B$104,0))),0))</f>
        <v/>
      </c>
      <c r="I2090" s="27" t="str">
        <f aca="false">IF(G2090="","",G2090-H2090)</f>
        <v/>
      </c>
      <c r="J2090" s="42"/>
    </row>
    <row r="2091" customFormat="false" ht="21" hidden="false" customHeight="true" outlineLevel="0" collapsed="false">
      <c r="B2091" s="41"/>
      <c r="C2091" s="9"/>
      <c r="D2091" s="9"/>
      <c r="E2091" s="42"/>
      <c r="F2091" s="43"/>
      <c r="G2091" s="27" t="str">
        <f aca="false">IF(OR(C2091="",AND(D2091="",F2091="")),"",IF(N(E2091)=0,1,E2091)*IF(F2091="",IFERROR(N(INDEX(Produtos!$L$5:$L$104,MATCH(D2091,Produtos!$B$5:$B$104,0))),0),F2091))</f>
        <v/>
      </c>
      <c r="H2091" s="27" t="str">
        <f aca="false">IF(G2091="","",IF(N(E2091)=0,1,E2091)*IFERROR(N(INDEX(Produtos!$G$5:$G$104,MATCH(D2091,Produtos!$B$5:$B$104,0))),0))</f>
        <v/>
      </c>
      <c r="I2091" s="27" t="str">
        <f aca="false">IF(G2091="","",G2091-H2091)</f>
        <v/>
      </c>
      <c r="J2091" s="42"/>
    </row>
    <row r="2092" customFormat="false" ht="21" hidden="false" customHeight="true" outlineLevel="0" collapsed="false">
      <c r="B2092" s="41"/>
      <c r="C2092" s="9"/>
      <c r="D2092" s="9"/>
      <c r="E2092" s="42"/>
      <c r="F2092" s="43"/>
      <c r="G2092" s="27" t="str">
        <f aca="false">IF(OR(C2092="",AND(D2092="",F2092="")),"",IF(N(E2092)=0,1,E2092)*IF(F2092="",IFERROR(N(INDEX(Produtos!$L$5:$L$104,MATCH(D2092,Produtos!$B$5:$B$104,0))),0),F2092))</f>
        <v/>
      </c>
      <c r="H2092" s="27" t="str">
        <f aca="false">IF(G2092="","",IF(N(E2092)=0,1,E2092)*IFERROR(N(INDEX(Produtos!$G$5:$G$104,MATCH(D2092,Produtos!$B$5:$B$104,0))),0))</f>
        <v/>
      </c>
      <c r="I2092" s="27" t="str">
        <f aca="false">IF(G2092="","",G2092-H2092)</f>
        <v/>
      </c>
      <c r="J2092" s="42"/>
    </row>
    <row r="2093" customFormat="false" ht="21" hidden="false" customHeight="true" outlineLevel="0" collapsed="false">
      <c r="B2093" s="41"/>
      <c r="C2093" s="9"/>
      <c r="D2093" s="9"/>
      <c r="E2093" s="42"/>
      <c r="F2093" s="43"/>
      <c r="G2093" s="27" t="str">
        <f aca="false">IF(OR(C2093="",AND(D2093="",F2093="")),"",IF(N(E2093)=0,1,E2093)*IF(F2093="",IFERROR(N(INDEX(Produtos!$L$5:$L$104,MATCH(D2093,Produtos!$B$5:$B$104,0))),0),F2093))</f>
        <v/>
      </c>
      <c r="H2093" s="27" t="str">
        <f aca="false">IF(G2093="","",IF(N(E2093)=0,1,E2093)*IFERROR(N(INDEX(Produtos!$G$5:$G$104,MATCH(D2093,Produtos!$B$5:$B$104,0))),0))</f>
        <v/>
      </c>
      <c r="I2093" s="27" t="str">
        <f aca="false">IF(G2093="","",G2093-H2093)</f>
        <v/>
      </c>
      <c r="J2093" s="42"/>
    </row>
    <row r="2094" customFormat="false" ht="21" hidden="false" customHeight="true" outlineLevel="0" collapsed="false">
      <c r="B2094" s="41"/>
      <c r="C2094" s="9"/>
      <c r="D2094" s="9"/>
      <c r="E2094" s="42"/>
      <c r="F2094" s="43"/>
      <c r="G2094" s="27" t="str">
        <f aca="false">IF(OR(C2094="",AND(D2094="",F2094="")),"",IF(N(E2094)=0,1,E2094)*IF(F2094="",IFERROR(N(INDEX(Produtos!$L$5:$L$104,MATCH(D2094,Produtos!$B$5:$B$104,0))),0),F2094))</f>
        <v/>
      </c>
      <c r="H2094" s="27" t="str">
        <f aca="false">IF(G2094="","",IF(N(E2094)=0,1,E2094)*IFERROR(N(INDEX(Produtos!$G$5:$G$104,MATCH(D2094,Produtos!$B$5:$B$104,0))),0))</f>
        <v/>
      </c>
      <c r="I2094" s="27" t="str">
        <f aca="false">IF(G2094="","",G2094-H2094)</f>
        <v/>
      </c>
      <c r="J2094" s="42"/>
    </row>
    <row r="2095" customFormat="false" ht="21" hidden="false" customHeight="true" outlineLevel="0" collapsed="false">
      <c r="B2095" s="41"/>
      <c r="C2095" s="9"/>
      <c r="D2095" s="9"/>
      <c r="E2095" s="42"/>
      <c r="F2095" s="43"/>
      <c r="G2095" s="27" t="str">
        <f aca="false">IF(OR(C2095="",AND(D2095="",F2095="")),"",IF(N(E2095)=0,1,E2095)*IF(F2095="",IFERROR(N(INDEX(Produtos!$L$5:$L$104,MATCH(D2095,Produtos!$B$5:$B$104,0))),0),F2095))</f>
        <v/>
      </c>
      <c r="H2095" s="27" t="str">
        <f aca="false">IF(G2095="","",IF(N(E2095)=0,1,E2095)*IFERROR(N(INDEX(Produtos!$G$5:$G$104,MATCH(D2095,Produtos!$B$5:$B$104,0))),0))</f>
        <v/>
      </c>
      <c r="I2095" s="27" t="str">
        <f aca="false">IF(G2095="","",G2095-H2095)</f>
        <v/>
      </c>
      <c r="J2095" s="42"/>
    </row>
    <row r="2096" customFormat="false" ht="21" hidden="false" customHeight="true" outlineLevel="0" collapsed="false">
      <c r="B2096" s="41"/>
      <c r="C2096" s="9"/>
      <c r="D2096" s="9"/>
      <c r="E2096" s="42"/>
      <c r="F2096" s="43"/>
      <c r="G2096" s="27" t="str">
        <f aca="false">IF(OR(C2096="",AND(D2096="",F2096="")),"",IF(N(E2096)=0,1,E2096)*IF(F2096="",IFERROR(N(INDEX(Produtos!$L$5:$L$104,MATCH(D2096,Produtos!$B$5:$B$104,0))),0),F2096))</f>
        <v/>
      </c>
      <c r="H2096" s="27" t="str">
        <f aca="false">IF(G2096="","",IF(N(E2096)=0,1,E2096)*IFERROR(N(INDEX(Produtos!$G$5:$G$104,MATCH(D2096,Produtos!$B$5:$B$104,0))),0))</f>
        <v/>
      </c>
      <c r="I2096" s="27" t="str">
        <f aca="false">IF(G2096="","",G2096-H2096)</f>
        <v/>
      </c>
      <c r="J2096" s="42"/>
    </row>
    <row r="2097" customFormat="false" ht="21" hidden="false" customHeight="true" outlineLevel="0" collapsed="false">
      <c r="B2097" s="41"/>
      <c r="C2097" s="9"/>
      <c r="D2097" s="9"/>
      <c r="E2097" s="42"/>
      <c r="F2097" s="43"/>
      <c r="G2097" s="27" t="str">
        <f aca="false">IF(OR(C2097="",AND(D2097="",F2097="")),"",IF(N(E2097)=0,1,E2097)*IF(F2097="",IFERROR(N(INDEX(Produtos!$L$5:$L$104,MATCH(D2097,Produtos!$B$5:$B$104,0))),0),F2097))</f>
        <v/>
      </c>
      <c r="H2097" s="27" t="str">
        <f aca="false">IF(G2097="","",IF(N(E2097)=0,1,E2097)*IFERROR(N(INDEX(Produtos!$G$5:$G$104,MATCH(D2097,Produtos!$B$5:$B$104,0))),0))</f>
        <v/>
      </c>
      <c r="I2097" s="27" t="str">
        <f aca="false">IF(G2097="","",G2097-H2097)</f>
        <v/>
      </c>
      <c r="J2097" s="42"/>
    </row>
    <row r="2098" customFormat="false" ht="21" hidden="false" customHeight="true" outlineLevel="0" collapsed="false">
      <c r="B2098" s="41"/>
      <c r="C2098" s="9"/>
      <c r="D2098" s="9"/>
      <c r="E2098" s="42"/>
      <c r="F2098" s="43"/>
      <c r="G2098" s="27" t="str">
        <f aca="false">IF(OR(C2098="",AND(D2098="",F2098="")),"",IF(N(E2098)=0,1,E2098)*IF(F2098="",IFERROR(N(INDEX(Produtos!$L$5:$L$104,MATCH(D2098,Produtos!$B$5:$B$104,0))),0),F2098))</f>
        <v/>
      </c>
      <c r="H2098" s="27" t="str">
        <f aca="false">IF(G2098="","",IF(N(E2098)=0,1,E2098)*IFERROR(N(INDEX(Produtos!$G$5:$G$104,MATCH(D2098,Produtos!$B$5:$B$104,0))),0))</f>
        <v/>
      </c>
      <c r="I2098" s="27" t="str">
        <f aca="false">IF(G2098="","",G2098-H2098)</f>
        <v/>
      </c>
      <c r="J2098" s="42"/>
    </row>
    <row r="2099" customFormat="false" ht="21" hidden="false" customHeight="true" outlineLevel="0" collapsed="false">
      <c r="B2099" s="41"/>
      <c r="C2099" s="9"/>
      <c r="D2099" s="9"/>
      <c r="E2099" s="42"/>
      <c r="F2099" s="43"/>
      <c r="G2099" s="27" t="str">
        <f aca="false">IF(OR(C2099="",AND(D2099="",F2099="")),"",IF(N(E2099)=0,1,E2099)*IF(F2099="",IFERROR(N(INDEX(Produtos!$L$5:$L$104,MATCH(D2099,Produtos!$B$5:$B$104,0))),0),F2099))</f>
        <v/>
      </c>
      <c r="H2099" s="27" t="str">
        <f aca="false">IF(G2099="","",IF(N(E2099)=0,1,E2099)*IFERROR(N(INDEX(Produtos!$G$5:$G$104,MATCH(D2099,Produtos!$B$5:$B$104,0))),0))</f>
        <v/>
      </c>
      <c r="I2099" s="27" t="str">
        <f aca="false">IF(G2099="","",G2099-H2099)</f>
        <v/>
      </c>
      <c r="J2099" s="42"/>
    </row>
    <row r="2100" customFormat="false" ht="21" hidden="false" customHeight="true" outlineLevel="0" collapsed="false">
      <c r="B2100" s="41"/>
      <c r="C2100" s="9"/>
      <c r="D2100" s="9"/>
      <c r="E2100" s="42"/>
      <c r="F2100" s="43"/>
      <c r="G2100" s="27" t="str">
        <f aca="false">IF(OR(C2100="",AND(D2100="",F2100="")),"",IF(N(E2100)=0,1,E2100)*IF(F2100="",IFERROR(N(INDEX(Produtos!$L$5:$L$104,MATCH(D2100,Produtos!$B$5:$B$104,0))),0),F2100))</f>
        <v/>
      </c>
      <c r="H2100" s="27" t="str">
        <f aca="false">IF(G2100="","",IF(N(E2100)=0,1,E2100)*IFERROR(N(INDEX(Produtos!$G$5:$G$104,MATCH(D2100,Produtos!$B$5:$B$104,0))),0))</f>
        <v/>
      </c>
      <c r="I2100" s="27" t="str">
        <f aca="false">IF(G2100="","",G2100-H2100)</f>
        <v/>
      </c>
      <c r="J2100" s="42"/>
    </row>
    <row r="2101" customFormat="false" ht="21" hidden="false" customHeight="true" outlineLevel="0" collapsed="false">
      <c r="B2101" s="41"/>
      <c r="C2101" s="9"/>
      <c r="D2101" s="9"/>
      <c r="E2101" s="42"/>
      <c r="F2101" s="43"/>
      <c r="G2101" s="27" t="str">
        <f aca="false">IF(OR(C2101="",AND(D2101="",F2101="")),"",IF(N(E2101)=0,1,E2101)*IF(F2101="",IFERROR(N(INDEX(Produtos!$L$5:$L$104,MATCH(D2101,Produtos!$B$5:$B$104,0))),0),F2101))</f>
        <v/>
      </c>
      <c r="H2101" s="27" t="str">
        <f aca="false">IF(G2101="","",IF(N(E2101)=0,1,E2101)*IFERROR(N(INDEX(Produtos!$G$5:$G$104,MATCH(D2101,Produtos!$B$5:$B$104,0))),0))</f>
        <v/>
      </c>
      <c r="I2101" s="27" t="str">
        <f aca="false">IF(G2101="","",G2101-H2101)</f>
        <v/>
      </c>
      <c r="J2101" s="42"/>
    </row>
    <row r="2102" customFormat="false" ht="21" hidden="false" customHeight="true" outlineLevel="0" collapsed="false">
      <c r="B2102" s="41"/>
      <c r="C2102" s="9"/>
      <c r="D2102" s="9"/>
      <c r="E2102" s="42"/>
      <c r="F2102" s="43"/>
      <c r="G2102" s="27" t="str">
        <f aca="false">IF(OR(C2102="",AND(D2102="",F2102="")),"",IF(N(E2102)=0,1,E2102)*IF(F2102="",IFERROR(N(INDEX(Produtos!$L$5:$L$104,MATCH(D2102,Produtos!$B$5:$B$104,0))),0),F2102))</f>
        <v/>
      </c>
      <c r="H2102" s="27" t="str">
        <f aca="false">IF(G2102="","",IF(N(E2102)=0,1,E2102)*IFERROR(N(INDEX(Produtos!$G$5:$G$104,MATCH(D2102,Produtos!$B$5:$B$104,0))),0))</f>
        <v/>
      </c>
      <c r="I2102" s="27" t="str">
        <f aca="false">IF(G2102="","",G2102-H2102)</f>
        <v/>
      </c>
      <c r="J2102" s="42"/>
    </row>
    <row r="2103" customFormat="false" ht="21" hidden="false" customHeight="true" outlineLevel="0" collapsed="false">
      <c r="B2103" s="41"/>
      <c r="C2103" s="9"/>
      <c r="D2103" s="9"/>
      <c r="E2103" s="42"/>
      <c r="F2103" s="43"/>
      <c r="G2103" s="27" t="str">
        <f aca="false">IF(OR(C2103="",AND(D2103="",F2103="")),"",IF(N(E2103)=0,1,E2103)*IF(F2103="",IFERROR(N(INDEX(Produtos!$L$5:$L$104,MATCH(D2103,Produtos!$B$5:$B$104,0))),0),F2103))</f>
        <v/>
      </c>
      <c r="H2103" s="27" t="str">
        <f aca="false">IF(G2103="","",IF(N(E2103)=0,1,E2103)*IFERROR(N(INDEX(Produtos!$G$5:$G$104,MATCH(D2103,Produtos!$B$5:$B$104,0))),0))</f>
        <v/>
      </c>
      <c r="I2103" s="27" t="str">
        <f aca="false">IF(G2103="","",G2103-H2103)</f>
        <v/>
      </c>
      <c r="J2103" s="42"/>
    </row>
    <row r="2104" customFormat="false" ht="21" hidden="false" customHeight="true" outlineLevel="0" collapsed="false">
      <c r="B2104" s="41"/>
      <c r="C2104" s="9"/>
      <c r="D2104" s="9"/>
      <c r="E2104" s="42"/>
      <c r="F2104" s="43"/>
      <c r="G2104" s="27" t="str">
        <f aca="false">IF(OR(C2104="",AND(D2104="",F2104="")),"",IF(N(E2104)=0,1,E2104)*IF(F2104="",IFERROR(N(INDEX(Produtos!$L$5:$L$104,MATCH(D2104,Produtos!$B$5:$B$104,0))),0),F2104))</f>
        <v/>
      </c>
      <c r="H2104" s="27" t="str">
        <f aca="false">IF(G2104="","",IF(N(E2104)=0,1,E2104)*IFERROR(N(INDEX(Produtos!$G$5:$G$104,MATCH(D2104,Produtos!$B$5:$B$104,0))),0))</f>
        <v/>
      </c>
      <c r="I2104" s="27" t="str">
        <f aca="false">IF(G2104="","",G2104-H2104)</f>
        <v/>
      </c>
      <c r="J2104" s="42"/>
    </row>
    <row r="2105" customFormat="false" ht="21" hidden="false" customHeight="true" outlineLevel="0" collapsed="false">
      <c r="B2105" s="41"/>
      <c r="C2105" s="9"/>
      <c r="D2105" s="9"/>
      <c r="E2105" s="42"/>
      <c r="F2105" s="43"/>
      <c r="G2105" s="27" t="str">
        <f aca="false">IF(OR(C2105="",AND(D2105="",F2105="")),"",IF(N(E2105)=0,1,E2105)*IF(F2105="",IFERROR(N(INDEX(Produtos!$L$5:$L$104,MATCH(D2105,Produtos!$B$5:$B$104,0))),0),F2105))</f>
        <v/>
      </c>
      <c r="H2105" s="27" t="str">
        <f aca="false">IF(G2105="","",IF(N(E2105)=0,1,E2105)*IFERROR(N(INDEX(Produtos!$G$5:$G$104,MATCH(D2105,Produtos!$B$5:$B$104,0))),0))</f>
        <v/>
      </c>
      <c r="I2105" s="27" t="str">
        <f aca="false">IF(G2105="","",G2105-H2105)</f>
        <v/>
      </c>
      <c r="J2105" s="42"/>
    </row>
    <row r="2106" customFormat="false" ht="21" hidden="false" customHeight="true" outlineLevel="0" collapsed="false">
      <c r="B2106" s="41"/>
      <c r="C2106" s="9"/>
      <c r="D2106" s="9"/>
      <c r="E2106" s="42"/>
      <c r="F2106" s="43"/>
      <c r="G2106" s="27" t="str">
        <f aca="false">IF(OR(C2106="",AND(D2106="",F2106="")),"",IF(N(E2106)=0,1,E2106)*IF(F2106="",IFERROR(N(INDEX(Produtos!$L$5:$L$104,MATCH(D2106,Produtos!$B$5:$B$104,0))),0),F2106))</f>
        <v/>
      </c>
      <c r="H2106" s="27" t="str">
        <f aca="false">IF(G2106="","",IF(N(E2106)=0,1,E2106)*IFERROR(N(INDEX(Produtos!$G$5:$G$104,MATCH(D2106,Produtos!$B$5:$B$104,0))),0))</f>
        <v/>
      </c>
      <c r="I2106" s="27" t="str">
        <f aca="false">IF(G2106="","",G2106-H2106)</f>
        <v/>
      </c>
      <c r="J2106" s="42"/>
    </row>
    <row r="2107" customFormat="false" ht="21" hidden="false" customHeight="true" outlineLevel="0" collapsed="false">
      <c r="B2107" s="41"/>
      <c r="C2107" s="9"/>
      <c r="D2107" s="9"/>
      <c r="E2107" s="42"/>
      <c r="F2107" s="43"/>
      <c r="G2107" s="27" t="str">
        <f aca="false">IF(OR(C2107="",AND(D2107="",F2107="")),"",IF(N(E2107)=0,1,E2107)*IF(F2107="",IFERROR(N(INDEX(Produtos!$L$5:$L$104,MATCH(D2107,Produtos!$B$5:$B$104,0))),0),F2107))</f>
        <v/>
      </c>
      <c r="H2107" s="27" t="str">
        <f aca="false">IF(G2107="","",IF(N(E2107)=0,1,E2107)*IFERROR(N(INDEX(Produtos!$G$5:$G$104,MATCH(D2107,Produtos!$B$5:$B$104,0))),0))</f>
        <v/>
      </c>
      <c r="I2107" s="27" t="str">
        <f aca="false">IF(G2107="","",G2107-H2107)</f>
        <v/>
      </c>
      <c r="J2107" s="42"/>
    </row>
    <row r="2108" customFormat="false" ht="21" hidden="false" customHeight="true" outlineLevel="0" collapsed="false">
      <c r="B2108" s="41"/>
      <c r="C2108" s="9"/>
      <c r="D2108" s="9"/>
      <c r="E2108" s="42"/>
      <c r="F2108" s="43"/>
      <c r="G2108" s="27" t="str">
        <f aca="false">IF(OR(C2108="",AND(D2108="",F2108="")),"",IF(N(E2108)=0,1,E2108)*IF(F2108="",IFERROR(N(INDEX(Produtos!$L$5:$L$104,MATCH(D2108,Produtos!$B$5:$B$104,0))),0),F2108))</f>
        <v/>
      </c>
      <c r="H2108" s="27" t="str">
        <f aca="false">IF(G2108="","",IF(N(E2108)=0,1,E2108)*IFERROR(N(INDEX(Produtos!$G$5:$G$104,MATCH(D2108,Produtos!$B$5:$B$104,0))),0))</f>
        <v/>
      </c>
      <c r="I2108" s="27" t="str">
        <f aca="false">IF(G2108="","",G2108-H2108)</f>
        <v/>
      </c>
      <c r="J2108" s="42"/>
    </row>
    <row r="2109" customFormat="false" ht="21" hidden="false" customHeight="true" outlineLevel="0" collapsed="false">
      <c r="B2109" s="41"/>
      <c r="C2109" s="9"/>
      <c r="D2109" s="9"/>
      <c r="E2109" s="42"/>
      <c r="F2109" s="43"/>
      <c r="G2109" s="27" t="str">
        <f aca="false">IF(OR(C2109="",AND(D2109="",F2109="")),"",IF(N(E2109)=0,1,E2109)*IF(F2109="",IFERROR(N(INDEX(Produtos!$L$5:$L$104,MATCH(D2109,Produtos!$B$5:$B$104,0))),0),F2109))</f>
        <v/>
      </c>
      <c r="H2109" s="27" t="str">
        <f aca="false">IF(G2109="","",IF(N(E2109)=0,1,E2109)*IFERROR(N(INDEX(Produtos!$G$5:$G$104,MATCH(D2109,Produtos!$B$5:$B$104,0))),0))</f>
        <v/>
      </c>
      <c r="I2109" s="27" t="str">
        <f aca="false">IF(G2109="","",G2109-H2109)</f>
        <v/>
      </c>
      <c r="J2109" s="42"/>
    </row>
    <row r="2110" customFormat="false" ht="21" hidden="false" customHeight="true" outlineLevel="0" collapsed="false">
      <c r="B2110" s="41"/>
      <c r="C2110" s="9"/>
      <c r="D2110" s="9"/>
      <c r="E2110" s="42"/>
      <c r="F2110" s="43"/>
      <c r="G2110" s="27" t="str">
        <f aca="false">IF(OR(C2110="",AND(D2110="",F2110="")),"",IF(N(E2110)=0,1,E2110)*IF(F2110="",IFERROR(N(INDEX(Produtos!$L$5:$L$104,MATCH(D2110,Produtos!$B$5:$B$104,0))),0),F2110))</f>
        <v/>
      </c>
      <c r="H2110" s="27" t="str">
        <f aca="false">IF(G2110="","",IF(N(E2110)=0,1,E2110)*IFERROR(N(INDEX(Produtos!$G$5:$G$104,MATCH(D2110,Produtos!$B$5:$B$104,0))),0))</f>
        <v/>
      </c>
      <c r="I2110" s="27" t="str">
        <f aca="false">IF(G2110="","",G2110-H2110)</f>
        <v/>
      </c>
      <c r="J2110" s="42"/>
    </row>
    <row r="2111" customFormat="false" ht="21" hidden="false" customHeight="true" outlineLevel="0" collapsed="false">
      <c r="B2111" s="41"/>
      <c r="C2111" s="9"/>
      <c r="D2111" s="9"/>
      <c r="E2111" s="42"/>
      <c r="F2111" s="43"/>
      <c r="G2111" s="27" t="str">
        <f aca="false">IF(OR(C2111="",AND(D2111="",F2111="")),"",IF(N(E2111)=0,1,E2111)*IF(F2111="",IFERROR(N(INDEX(Produtos!$L$5:$L$104,MATCH(D2111,Produtos!$B$5:$B$104,0))),0),F2111))</f>
        <v/>
      </c>
      <c r="H2111" s="27" t="str">
        <f aca="false">IF(G2111="","",IF(N(E2111)=0,1,E2111)*IFERROR(N(INDEX(Produtos!$G$5:$G$104,MATCH(D2111,Produtos!$B$5:$B$104,0))),0))</f>
        <v/>
      </c>
      <c r="I2111" s="27" t="str">
        <f aca="false">IF(G2111="","",G2111-H2111)</f>
        <v/>
      </c>
      <c r="J2111" s="42"/>
    </row>
    <row r="2112" customFormat="false" ht="21" hidden="false" customHeight="true" outlineLevel="0" collapsed="false">
      <c r="B2112" s="41"/>
      <c r="C2112" s="9"/>
      <c r="D2112" s="9"/>
      <c r="E2112" s="42"/>
      <c r="F2112" s="43"/>
      <c r="G2112" s="27" t="str">
        <f aca="false">IF(OR(C2112="",AND(D2112="",F2112="")),"",IF(N(E2112)=0,1,E2112)*IF(F2112="",IFERROR(N(INDEX(Produtos!$L$5:$L$104,MATCH(D2112,Produtos!$B$5:$B$104,0))),0),F2112))</f>
        <v/>
      </c>
      <c r="H2112" s="27" t="str">
        <f aca="false">IF(G2112="","",IF(N(E2112)=0,1,E2112)*IFERROR(N(INDEX(Produtos!$G$5:$G$104,MATCH(D2112,Produtos!$B$5:$B$104,0))),0))</f>
        <v/>
      </c>
      <c r="I2112" s="27" t="str">
        <f aca="false">IF(G2112="","",G2112-H2112)</f>
        <v/>
      </c>
      <c r="J2112" s="42"/>
    </row>
    <row r="2113" customFormat="false" ht="21" hidden="false" customHeight="true" outlineLevel="0" collapsed="false">
      <c r="B2113" s="41"/>
      <c r="C2113" s="9"/>
      <c r="D2113" s="9"/>
      <c r="E2113" s="42"/>
      <c r="F2113" s="43"/>
      <c r="G2113" s="27" t="str">
        <f aca="false">IF(OR(C2113="",AND(D2113="",F2113="")),"",IF(N(E2113)=0,1,E2113)*IF(F2113="",IFERROR(N(INDEX(Produtos!$L$5:$L$104,MATCH(D2113,Produtos!$B$5:$B$104,0))),0),F2113))</f>
        <v/>
      </c>
      <c r="H2113" s="27" t="str">
        <f aca="false">IF(G2113="","",IF(N(E2113)=0,1,E2113)*IFERROR(N(INDEX(Produtos!$G$5:$G$104,MATCH(D2113,Produtos!$B$5:$B$104,0))),0))</f>
        <v/>
      </c>
      <c r="I2113" s="27" t="str">
        <f aca="false">IF(G2113="","",G2113-H2113)</f>
        <v/>
      </c>
      <c r="J2113" s="42"/>
    </row>
    <row r="2114" customFormat="false" ht="21" hidden="false" customHeight="true" outlineLevel="0" collapsed="false">
      <c r="B2114" s="41"/>
      <c r="C2114" s="9"/>
      <c r="D2114" s="9"/>
      <c r="E2114" s="42"/>
      <c r="F2114" s="43"/>
      <c r="G2114" s="27" t="str">
        <f aca="false">IF(OR(C2114="",AND(D2114="",F2114="")),"",IF(N(E2114)=0,1,E2114)*IF(F2114="",IFERROR(N(INDEX(Produtos!$L$5:$L$104,MATCH(D2114,Produtos!$B$5:$B$104,0))),0),F2114))</f>
        <v/>
      </c>
      <c r="H2114" s="27" t="str">
        <f aca="false">IF(G2114="","",IF(N(E2114)=0,1,E2114)*IFERROR(N(INDEX(Produtos!$G$5:$G$104,MATCH(D2114,Produtos!$B$5:$B$104,0))),0))</f>
        <v/>
      </c>
      <c r="I2114" s="27" t="str">
        <f aca="false">IF(G2114="","",G2114-H2114)</f>
        <v/>
      </c>
      <c r="J2114" s="42"/>
    </row>
    <row r="2115" customFormat="false" ht="21" hidden="false" customHeight="true" outlineLevel="0" collapsed="false">
      <c r="B2115" s="41"/>
      <c r="C2115" s="9"/>
      <c r="D2115" s="9"/>
      <c r="E2115" s="42"/>
      <c r="F2115" s="43"/>
      <c r="G2115" s="27" t="str">
        <f aca="false">IF(OR(C2115="",AND(D2115="",F2115="")),"",IF(N(E2115)=0,1,E2115)*IF(F2115="",IFERROR(N(INDEX(Produtos!$L$5:$L$104,MATCH(D2115,Produtos!$B$5:$B$104,0))),0),F2115))</f>
        <v/>
      </c>
      <c r="H2115" s="27" t="str">
        <f aca="false">IF(G2115="","",IF(N(E2115)=0,1,E2115)*IFERROR(N(INDEX(Produtos!$G$5:$G$104,MATCH(D2115,Produtos!$B$5:$B$104,0))),0))</f>
        <v/>
      </c>
      <c r="I2115" s="27" t="str">
        <f aca="false">IF(G2115="","",G2115-H2115)</f>
        <v/>
      </c>
      <c r="J2115" s="42"/>
    </row>
    <row r="2116" customFormat="false" ht="21" hidden="false" customHeight="true" outlineLevel="0" collapsed="false">
      <c r="B2116" s="41"/>
      <c r="C2116" s="9"/>
      <c r="D2116" s="9"/>
      <c r="E2116" s="42"/>
      <c r="F2116" s="43"/>
      <c r="G2116" s="27" t="str">
        <f aca="false">IF(OR(C2116="",AND(D2116="",F2116="")),"",IF(N(E2116)=0,1,E2116)*IF(F2116="",IFERROR(N(INDEX(Produtos!$L$5:$L$104,MATCH(D2116,Produtos!$B$5:$B$104,0))),0),F2116))</f>
        <v/>
      </c>
      <c r="H2116" s="27" t="str">
        <f aca="false">IF(G2116="","",IF(N(E2116)=0,1,E2116)*IFERROR(N(INDEX(Produtos!$G$5:$G$104,MATCH(D2116,Produtos!$B$5:$B$104,0))),0))</f>
        <v/>
      </c>
      <c r="I2116" s="27" t="str">
        <f aca="false">IF(G2116="","",G2116-H2116)</f>
        <v/>
      </c>
      <c r="J2116" s="42"/>
    </row>
    <row r="2117" customFormat="false" ht="21" hidden="false" customHeight="true" outlineLevel="0" collapsed="false">
      <c r="B2117" s="41"/>
      <c r="C2117" s="9"/>
      <c r="D2117" s="9"/>
      <c r="E2117" s="42"/>
      <c r="F2117" s="43"/>
      <c r="G2117" s="27" t="str">
        <f aca="false">IF(OR(C2117="",AND(D2117="",F2117="")),"",IF(N(E2117)=0,1,E2117)*IF(F2117="",IFERROR(N(INDEX(Produtos!$L$5:$L$104,MATCH(D2117,Produtos!$B$5:$B$104,0))),0),F2117))</f>
        <v/>
      </c>
      <c r="H2117" s="27" t="str">
        <f aca="false">IF(G2117="","",IF(N(E2117)=0,1,E2117)*IFERROR(N(INDEX(Produtos!$G$5:$G$104,MATCH(D2117,Produtos!$B$5:$B$104,0))),0))</f>
        <v/>
      </c>
      <c r="I2117" s="27" t="str">
        <f aca="false">IF(G2117="","",G2117-H2117)</f>
        <v/>
      </c>
      <c r="J2117" s="42"/>
    </row>
    <row r="2118" customFormat="false" ht="21" hidden="false" customHeight="true" outlineLevel="0" collapsed="false">
      <c r="B2118" s="41"/>
      <c r="C2118" s="9"/>
      <c r="D2118" s="9"/>
      <c r="E2118" s="42"/>
      <c r="F2118" s="43"/>
      <c r="G2118" s="27" t="str">
        <f aca="false">IF(OR(C2118="",AND(D2118="",F2118="")),"",IF(N(E2118)=0,1,E2118)*IF(F2118="",IFERROR(N(INDEX(Produtos!$L$5:$L$104,MATCH(D2118,Produtos!$B$5:$B$104,0))),0),F2118))</f>
        <v/>
      </c>
      <c r="H2118" s="27" t="str">
        <f aca="false">IF(G2118="","",IF(N(E2118)=0,1,E2118)*IFERROR(N(INDEX(Produtos!$G$5:$G$104,MATCH(D2118,Produtos!$B$5:$B$104,0))),0))</f>
        <v/>
      </c>
      <c r="I2118" s="27" t="str">
        <f aca="false">IF(G2118="","",G2118-H2118)</f>
        <v/>
      </c>
      <c r="J2118" s="42"/>
    </row>
    <row r="2119" customFormat="false" ht="21" hidden="false" customHeight="true" outlineLevel="0" collapsed="false">
      <c r="B2119" s="41"/>
      <c r="C2119" s="9"/>
      <c r="D2119" s="9"/>
      <c r="E2119" s="42"/>
      <c r="F2119" s="43"/>
      <c r="G2119" s="27" t="str">
        <f aca="false">IF(OR(C2119="",AND(D2119="",F2119="")),"",IF(N(E2119)=0,1,E2119)*IF(F2119="",IFERROR(N(INDEX(Produtos!$L$5:$L$104,MATCH(D2119,Produtos!$B$5:$B$104,0))),0),F2119))</f>
        <v/>
      </c>
      <c r="H2119" s="27" t="str">
        <f aca="false">IF(G2119="","",IF(N(E2119)=0,1,E2119)*IFERROR(N(INDEX(Produtos!$G$5:$G$104,MATCH(D2119,Produtos!$B$5:$B$104,0))),0))</f>
        <v/>
      </c>
      <c r="I2119" s="27" t="str">
        <f aca="false">IF(G2119="","",G2119-H2119)</f>
        <v/>
      </c>
      <c r="J2119" s="42"/>
    </row>
    <row r="2120" customFormat="false" ht="21" hidden="false" customHeight="true" outlineLevel="0" collapsed="false">
      <c r="B2120" s="41"/>
      <c r="C2120" s="9"/>
      <c r="D2120" s="9"/>
      <c r="E2120" s="42"/>
      <c r="F2120" s="43"/>
      <c r="G2120" s="27" t="str">
        <f aca="false">IF(OR(C2120="",AND(D2120="",F2120="")),"",IF(N(E2120)=0,1,E2120)*IF(F2120="",IFERROR(N(INDEX(Produtos!$L$5:$L$104,MATCH(D2120,Produtos!$B$5:$B$104,0))),0),F2120))</f>
        <v/>
      </c>
      <c r="H2120" s="27" t="str">
        <f aca="false">IF(G2120="","",IF(N(E2120)=0,1,E2120)*IFERROR(N(INDEX(Produtos!$G$5:$G$104,MATCH(D2120,Produtos!$B$5:$B$104,0))),0))</f>
        <v/>
      </c>
      <c r="I2120" s="27" t="str">
        <f aca="false">IF(G2120="","",G2120-H2120)</f>
        <v/>
      </c>
      <c r="J2120" s="42"/>
    </row>
    <row r="2121" customFormat="false" ht="21" hidden="false" customHeight="true" outlineLevel="0" collapsed="false">
      <c r="B2121" s="41"/>
      <c r="C2121" s="9"/>
      <c r="D2121" s="9"/>
      <c r="E2121" s="42"/>
      <c r="F2121" s="43"/>
      <c r="G2121" s="27" t="str">
        <f aca="false">IF(OR(C2121="",AND(D2121="",F2121="")),"",IF(N(E2121)=0,1,E2121)*IF(F2121="",IFERROR(N(INDEX(Produtos!$L$5:$L$104,MATCH(D2121,Produtos!$B$5:$B$104,0))),0),F2121))</f>
        <v/>
      </c>
      <c r="H2121" s="27" t="str">
        <f aca="false">IF(G2121="","",IF(N(E2121)=0,1,E2121)*IFERROR(N(INDEX(Produtos!$G$5:$G$104,MATCH(D2121,Produtos!$B$5:$B$104,0))),0))</f>
        <v/>
      </c>
      <c r="I2121" s="27" t="str">
        <f aca="false">IF(G2121="","",G2121-H2121)</f>
        <v/>
      </c>
      <c r="J2121" s="42"/>
    </row>
    <row r="2122" customFormat="false" ht="21" hidden="false" customHeight="true" outlineLevel="0" collapsed="false">
      <c r="B2122" s="41"/>
      <c r="C2122" s="9"/>
      <c r="D2122" s="9"/>
      <c r="E2122" s="42"/>
      <c r="F2122" s="43"/>
      <c r="G2122" s="27" t="str">
        <f aca="false">IF(OR(C2122="",AND(D2122="",F2122="")),"",IF(N(E2122)=0,1,E2122)*IF(F2122="",IFERROR(N(INDEX(Produtos!$L$5:$L$104,MATCH(D2122,Produtos!$B$5:$B$104,0))),0),F2122))</f>
        <v/>
      </c>
      <c r="H2122" s="27" t="str">
        <f aca="false">IF(G2122="","",IF(N(E2122)=0,1,E2122)*IFERROR(N(INDEX(Produtos!$G$5:$G$104,MATCH(D2122,Produtos!$B$5:$B$104,0))),0))</f>
        <v/>
      </c>
      <c r="I2122" s="27" t="str">
        <f aca="false">IF(G2122="","",G2122-H2122)</f>
        <v/>
      </c>
      <c r="J2122" s="42"/>
    </row>
    <row r="2123" customFormat="false" ht="21" hidden="false" customHeight="true" outlineLevel="0" collapsed="false">
      <c r="B2123" s="41"/>
      <c r="C2123" s="9"/>
      <c r="D2123" s="9"/>
      <c r="E2123" s="42"/>
      <c r="F2123" s="43"/>
      <c r="G2123" s="27" t="str">
        <f aca="false">IF(OR(C2123="",AND(D2123="",F2123="")),"",IF(N(E2123)=0,1,E2123)*IF(F2123="",IFERROR(N(INDEX(Produtos!$L$5:$L$104,MATCH(D2123,Produtos!$B$5:$B$104,0))),0),F2123))</f>
        <v/>
      </c>
      <c r="H2123" s="27" t="str">
        <f aca="false">IF(G2123="","",IF(N(E2123)=0,1,E2123)*IFERROR(N(INDEX(Produtos!$G$5:$G$104,MATCH(D2123,Produtos!$B$5:$B$104,0))),0))</f>
        <v/>
      </c>
      <c r="I2123" s="27" t="str">
        <f aca="false">IF(G2123="","",G2123-H2123)</f>
        <v/>
      </c>
      <c r="J2123" s="42"/>
    </row>
    <row r="2124" customFormat="false" ht="21" hidden="false" customHeight="true" outlineLevel="0" collapsed="false">
      <c r="B2124" s="41"/>
      <c r="C2124" s="9"/>
      <c r="D2124" s="9"/>
      <c r="E2124" s="42"/>
      <c r="F2124" s="43"/>
      <c r="G2124" s="27" t="str">
        <f aca="false">IF(OR(C2124="",AND(D2124="",F2124="")),"",IF(N(E2124)=0,1,E2124)*IF(F2124="",IFERROR(N(INDEX(Produtos!$L$5:$L$104,MATCH(D2124,Produtos!$B$5:$B$104,0))),0),F2124))</f>
        <v/>
      </c>
      <c r="H2124" s="27" t="str">
        <f aca="false">IF(G2124="","",IF(N(E2124)=0,1,E2124)*IFERROR(N(INDEX(Produtos!$G$5:$G$104,MATCH(D2124,Produtos!$B$5:$B$104,0))),0))</f>
        <v/>
      </c>
      <c r="I2124" s="27" t="str">
        <f aca="false">IF(G2124="","",G2124-H2124)</f>
        <v/>
      </c>
      <c r="J2124" s="42"/>
    </row>
    <row r="2125" customFormat="false" ht="21" hidden="false" customHeight="true" outlineLevel="0" collapsed="false">
      <c r="B2125" s="41"/>
      <c r="C2125" s="9"/>
      <c r="D2125" s="9"/>
      <c r="E2125" s="42"/>
      <c r="F2125" s="43"/>
      <c r="G2125" s="27" t="str">
        <f aca="false">IF(OR(C2125="",AND(D2125="",F2125="")),"",IF(N(E2125)=0,1,E2125)*IF(F2125="",IFERROR(N(INDEX(Produtos!$L$5:$L$104,MATCH(D2125,Produtos!$B$5:$B$104,0))),0),F2125))</f>
        <v/>
      </c>
      <c r="H2125" s="27" t="str">
        <f aca="false">IF(G2125="","",IF(N(E2125)=0,1,E2125)*IFERROR(N(INDEX(Produtos!$G$5:$G$104,MATCH(D2125,Produtos!$B$5:$B$104,0))),0))</f>
        <v/>
      </c>
      <c r="I2125" s="27" t="str">
        <f aca="false">IF(G2125="","",G2125-H2125)</f>
        <v/>
      </c>
      <c r="J2125" s="42"/>
    </row>
    <row r="2126" customFormat="false" ht="21" hidden="false" customHeight="true" outlineLevel="0" collapsed="false">
      <c r="B2126" s="41"/>
      <c r="C2126" s="9"/>
      <c r="D2126" s="9"/>
      <c r="E2126" s="42"/>
      <c r="F2126" s="43"/>
      <c r="G2126" s="27" t="str">
        <f aca="false">IF(OR(C2126="",AND(D2126="",F2126="")),"",IF(N(E2126)=0,1,E2126)*IF(F2126="",IFERROR(N(INDEX(Produtos!$L$5:$L$104,MATCH(D2126,Produtos!$B$5:$B$104,0))),0),F2126))</f>
        <v/>
      </c>
      <c r="H2126" s="27" t="str">
        <f aca="false">IF(G2126="","",IF(N(E2126)=0,1,E2126)*IFERROR(N(INDEX(Produtos!$G$5:$G$104,MATCH(D2126,Produtos!$B$5:$B$104,0))),0))</f>
        <v/>
      </c>
      <c r="I2126" s="27" t="str">
        <f aca="false">IF(G2126="","",G2126-H2126)</f>
        <v/>
      </c>
      <c r="J2126" s="42"/>
    </row>
    <row r="2127" customFormat="false" ht="21" hidden="false" customHeight="true" outlineLevel="0" collapsed="false">
      <c r="B2127" s="41"/>
      <c r="C2127" s="9"/>
      <c r="D2127" s="9"/>
      <c r="E2127" s="42"/>
      <c r="F2127" s="43"/>
      <c r="G2127" s="27" t="str">
        <f aca="false">IF(OR(C2127="",AND(D2127="",F2127="")),"",IF(N(E2127)=0,1,E2127)*IF(F2127="",IFERROR(N(INDEX(Produtos!$L$5:$L$104,MATCH(D2127,Produtos!$B$5:$B$104,0))),0),F2127))</f>
        <v/>
      </c>
      <c r="H2127" s="27" t="str">
        <f aca="false">IF(G2127="","",IF(N(E2127)=0,1,E2127)*IFERROR(N(INDEX(Produtos!$G$5:$G$104,MATCH(D2127,Produtos!$B$5:$B$104,0))),0))</f>
        <v/>
      </c>
      <c r="I2127" s="27" t="str">
        <f aca="false">IF(G2127="","",G2127-H2127)</f>
        <v/>
      </c>
      <c r="J2127" s="42"/>
    </row>
    <row r="2128" customFormat="false" ht="21" hidden="false" customHeight="true" outlineLevel="0" collapsed="false">
      <c r="B2128" s="41"/>
      <c r="C2128" s="9"/>
      <c r="D2128" s="9"/>
      <c r="E2128" s="42"/>
      <c r="F2128" s="43"/>
      <c r="G2128" s="27" t="str">
        <f aca="false">IF(OR(C2128="",AND(D2128="",F2128="")),"",IF(N(E2128)=0,1,E2128)*IF(F2128="",IFERROR(N(INDEX(Produtos!$L$5:$L$104,MATCH(D2128,Produtos!$B$5:$B$104,0))),0),F2128))</f>
        <v/>
      </c>
      <c r="H2128" s="27" t="str">
        <f aca="false">IF(G2128="","",IF(N(E2128)=0,1,E2128)*IFERROR(N(INDEX(Produtos!$G$5:$G$104,MATCH(D2128,Produtos!$B$5:$B$104,0))),0))</f>
        <v/>
      </c>
      <c r="I2128" s="27" t="str">
        <f aca="false">IF(G2128="","",G2128-H2128)</f>
        <v/>
      </c>
      <c r="J2128" s="42"/>
    </row>
    <row r="2129" customFormat="false" ht="21" hidden="false" customHeight="true" outlineLevel="0" collapsed="false">
      <c r="B2129" s="41"/>
      <c r="C2129" s="9"/>
      <c r="D2129" s="9"/>
      <c r="E2129" s="42"/>
      <c r="F2129" s="43"/>
      <c r="G2129" s="27" t="str">
        <f aca="false">IF(OR(C2129="",AND(D2129="",F2129="")),"",IF(N(E2129)=0,1,E2129)*IF(F2129="",IFERROR(N(INDEX(Produtos!$L$5:$L$104,MATCH(D2129,Produtos!$B$5:$B$104,0))),0),F2129))</f>
        <v/>
      </c>
      <c r="H2129" s="27" t="str">
        <f aca="false">IF(G2129="","",IF(N(E2129)=0,1,E2129)*IFERROR(N(INDEX(Produtos!$G$5:$G$104,MATCH(D2129,Produtos!$B$5:$B$104,0))),0))</f>
        <v/>
      </c>
      <c r="I2129" s="27" t="str">
        <f aca="false">IF(G2129="","",G2129-H2129)</f>
        <v/>
      </c>
      <c r="J2129" s="42"/>
    </row>
    <row r="2130" customFormat="false" ht="21" hidden="false" customHeight="true" outlineLevel="0" collapsed="false">
      <c r="B2130" s="41"/>
      <c r="C2130" s="9"/>
      <c r="D2130" s="9"/>
      <c r="E2130" s="42"/>
      <c r="F2130" s="43"/>
      <c r="G2130" s="27" t="str">
        <f aca="false">IF(OR(C2130="",AND(D2130="",F2130="")),"",IF(N(E2130)=0,1,E2130)*IF(F2130="",IFERROR(N(INDEX(Produtos!$L$5:$L$104,MATCH(D2130,Produtos!$B$5:$B$104,0))),0),F2130))</f>
        <v/>
      </c>
      <c r="H2130" s="27" t="str">
        <f aca="false">IF(G2130="","",IF(N(E2130)=0,1,E2130)*IFERROR(N(INDEX(Produtos!$G$5:$G$104,MATCH(D2130,Produtos!$B$5:$B$104,0))),0))</f>
        <v/>
      </c>
      <c r="I2130" s="27" t="str">
        <f aca="false">IF(G2130="","",G2130-H2130)</f>
        <v/>
      </c>
      <c r="J2130" s="42"/>
    </row>
    <row r="2131" customFormat="false" ht="21" hidden="false" customHeight="true" outlineLevel="0" collapsed="false">
      <c r="B2131" s="41"/>
      <c r="C2131" s="9"/>
      <c r="D2131" s="9"/>
      <c r="E2131" s="42"/>
      <c r="F2131" s="43"/>
      <c r="G2131" s="27" t="str">
        <f aca="false">IF(OR(C2131="",AND(D2131="",F2131="")),"",IF(N(E2131)=0,1,E2131)*IF(F2131="",IFERROR(N(INDEX(Produtos!$L$5:$L$104,MATCH(D2131,Produtos!$B$5:$B$104,0))),0),F2131))</f>
        <v/>
      </c>
      <c r="H2131" s="27" t="str">
        <f aca="false">IF(G2131="","",IF(N(E2131)=0,1,E2131)*IFERROR(N(INDEX(Produtos!$G$5:$G$104,MATCH(D2131,Produtos!$B$5:$B$104,0))),0))</f>
        <v/>
      </c>
      <c r="I2131" s="27" t="str">
        <f aca="false">IF(G2131="","",G2131-H2131)</f>
        <v/>
      </c>
      <c r="J2131" s="42"/>
    </row>
    <row r="2132" customFormat="false" ht="21" hidden="false" customHeight="true" outlineLevel="0" collapsed="false">
      <c r="B2132" s="41"/>
      <c r="C2132" s="9"/>
      <c r="D2132" s="9"/>
      <c r="E2132" s="42"/>
      <c r="F2132" s="43"/>
      <c r="G2132" s="27" t="str">
        <f aca="false">IF(OR(C2132="",AND(D2132="",F2132="")),"",IF(N(E2132)=0,1,E2132)*IF(F2132="",IFERROR(N(INDEX(Produtos!$L$5:$L$104,MATCH(D2132,Produtos!$B$5:$B$104,0))),0),F2132))</f>
        <v/>
      </c>
      <c r="H2132" s="27" t="str">
        <f aca="false">IF(G2132="","",IF(N(E2132)=0,1,E2132)*IFERROR(N(INDEX(Produtos!$G$5:$G$104,MATCH(D2132,Produtos!$B$5:$B$104,0))),0))</f>
        <v/>
      </c>
      <c r="I2132" s="27" t="str">
        <f aca="false">IF(G2132="","",G2132-H2132)</f>
        <v/>
      </c>
      <c r="J2132" s="42"/>
    </row>
    <row r="2133" customFormat="false" ht="21" hidden="false" customHeight="true" outlineLevel="0" collapsed="false">
      <c r="B2133" s="41"/>
      <c r="C2133" s="9"/>
      <c r="D2133" s="9"/>
      <c r="E2133" s="42"/>
      <c r="F2133" s="43"/>
      <c r="G2133" s="27" t="str">
        <f aca="false">IF(OR(C2133="",AND(D2133="",F2133="")),"",IF(N(E2133)=0,1,E2133)*IF(F2133="",IFERROR(N(INDEX(Produtos!$L$5:$L$104,MATCH(D2133,Produtos!$B$5:$B$104,0))),0),F2133))</f>
        <v/>
      </c>
      <c r="H2133" s="27" t="str">
        <f aca="false">IF(G2133="","",IF(N(E2133)=0,1,E2133)*IFERROR(N(INDEX(Produtos!$G$5:$G$104,MATCH(D2133,Produtos!$B$5:$B$104,0))),0))</f>
        <v/>
      </c>
      <c r="I2133" s="27" t="str">
        <f aca="false">IF(G2133="","",G2133-H2133)</f>
        <v/>
      </c>
      <c r="J2133" s="42"/>
    </row>
    <row r="2134" customFormat="false" ht="21" hidden="false" customHeight="true" outlineLevel="0" collapsed="false">
      <c r="B2134" s="41"/>
      <c r="C2134" s="9"/>
      <c r="D2134" s="9"/>
      <c r="E2134" s="42"/>
      <c r="F2134" s="43"/>
      <c r="G2134" s="27" t="str">
        <f aca="false">IF(OR(C2134="",AND(D2134="",F2134="")),"",IF(N(E2134)=0,1,E2134)*IF(F2134="",IFERROR(N(INDEX(Produtos!$L$5:$L$104,MATCH(D2134,Produtos!$B$5:$B$104,0))),0),F2134))</f>
        <v/>
      </c>
      <c r="H2134" s="27" t="str">
        <f aca="false">IF(G2134="","",IF(N(E2134)=0,1,E2134)*IFERROR(N(INDEX(Produtos!$G$5:$G$104,MATCH(D2134,Produtos!$B$5:$B$104,0))),0))</f>
        <v/>
      </c>
      <c r="I2134" s="27" t="str">
        <f aca="false">IF(G2134="","",G2134-H2134)</f>
        <v/>
      </c>
      <c r="J2134" s="42"/>
    </row>
    <row r="2135" customFormat="false" ht="21" hidden="false" customHeight="true" outlineLevel="0" collapsed="false">
      <c r="B2135" s="41"/>
      <c r="C2135" s="9"/>
      <c r="D2135" s="9"/>
      <c r="E2135" s="42"/>
      <c r="F2135" s="43"/>
      <c r="G2135" s="27" t="str">
        <f aca="false">IF(OR(C2135="",AND(D2135="",F2135="")),"",IF(N(E2135)=0,1,E2135)*IF(F2135="",IFERROR(N(INDEX(Produtos!$L$5:$L$104,MATCH(D2135,Produtos!$B$5:$B$104,0))),0),F2135))</f>
        <v/>
      </c>
      <c r="H2135" s="27" t="str">
        <f aca="false">IF(G2135="","",IF(N(E2135)=0,1,E2135)*IFERROR(N(INDEX(Produtos!$G$5:$G$104,MATCH(D2135,Produtos!$B$5:$B$104,0))),0))</f>
        <v/>
      </c>
      <c r="I2135" s="27" t="str">
        <f aca="false">IF(G2135="","",G2135-H2135)</f>
        <v/>
      </c>
      <c r="J2135" s="42"/>
    </row>
    <row r="2136" customFormat="false" ht="21" hidden="false" customHeight="true" outlineLevel="0" collapsed="false">
      <c r="B2136" s="41"/>
      <c r="C2136" s="9"/>
      <c r="D2136" s="9"/>
      <c r="E2136" s="42"/>
      <c r="F2136" s="43"/>
      <c r="G2136" s="27" t="str">
        <f aca="false">IF(OR(C2136="",AND(D2136="",F2136="")),"",IF(N(E2136)=0,1,E2136)*IF(F2136="",IFERROR(N(INDEX(Produtos!$L$5:$L$104,MATCH(D2136,Produtos!$B$5:$B$104,0))),0),F2136))</f>
        <v/>
      </c>
      <c r="H2136" s="27" t="str">
        <f aca="false">IF(G2136="","",IF(N(E2136)=0,1,E2136)*IFERROR(N(INDEX(Produtos!$G$5:$G$104,MATCH(D2136,Produtos!$B$5:$B$104,0))),0))</f>
        <v/>
      </c>
      <c r="I2136" s="27" t="str">
        <f aca="false">IF(G2136="","",G2136-H2136)</f>
        <v/>
      </c>
      <c r="J2136" s="42"/>
    </row>
    <row r="2137" customFormat="false" ht="21" hidden="false" customHeight="true" outlineLevel="0" collapsed="false">
      <c r="B2137" s="41"/>
      <c r="C2137" s="9"/>
      <c r="D2137" s="9"/>
      <c r="E2137" s="42"/>
      <c r="F2137" s="43"/>
      <c r="G2137" s="27" t="str">
        <f aca="false">IF(OR(C2137="",AND(D2137="",F2137="")),"",IF(N(E2137)=0,1,E2137)*IF(F2137="",IFERROR(N(INDEX(Produtos!$L$5:$L$104,MATCH(D2137,Produtos!$B$5:$B$104,0))),0),F2137))</f>
        <v/>
      </c>
      <c r="H2137" s="27" t="str">
        <f aca="false">IF(G2137="","",IF(N(E2137)=0,1,E2137)*IFERROR(N(INDEX(Produtos!$G$5:$G$104,MATCH(D2137,Produtos!$B$5:$B$104,0))),0))</f>
        <v/>
      </c>
      <c r="I2137" s="27" t="str">
        <f aca="false">IF(G2137="","",G2137-H2137)</f>
        <v/>
      </c>
      <c r="J2137" s="42"/>
    </row>
    <row r="2138" customFormat="false" ht="21" hidden="false" customHeight="true" outlineLevel="0" collapsed="false">
      <c r="B2138" s="41"/>
      <c r="C2138" s="9"/>
      <c r="D2138" s="9"/>
      <c r="E2138" s="42"/>
      <c r="F2138" s="43"/>
      <c r="G2138" s="27" t="str">
        <f aca="false">IF(OR(C2138="",AND(D2138="",F2138="")),"",IF(N(E2138)=0,1,E2138)*IF(F2138="",IFERROR(N(INDEX(Produtos!$L$5:$L$104,MATCH(D2138,Produtos!$B$5:$B$104,0))),0),F2138))</f>
        <v/>
      </c>
      <c r="H2138" s="27" t="str">
        <f aca="false">IF(G2138="","",IF(N(E2138)=0,1,E2138)*IFERROR(N(INDEX(Produtos!$G$5:$G$104,MATCH(D2138,Produtos!$B$5:$B$104,0))),0))</f>
        <v/>
      </c>
      <c r="I2138" s="27" t="str">
        <f aca="false">IF(G2138="","",G2138-H2138)</f>
        <v/>
      </c>
      <c r="J2138" s="42"/>
    </row>
    <row r="2139" customFormat="false" ht="21" hidden="false" customHeight="true" outlineLevel="0" collapsed="false">
      <c r="B2139" s="41"/>
      <c r="C2139" s="9"/>
      <c r="D2139" s="9"/>
      <c r="E2139" s="42"/>
      <c r="F2139" s="43"/>
      <c r="G2139" s="27" t="str">
        <f aca="false">IF(OR(C2139="",AND(D2139="",F2139="")),"",IF(N(E2139)=0,1,E2139)*IF(F2139="",IFERROR(N(INDEX(Produtos!$L$5:$L$104,MATCH(D2139,Produtos!$B$5:$B$104,0))),0),F2139))</f>
        <v/>
      </c>
      <c r="H2139" s="27" t="str">
        <f aca="false">IF(G2139="","",IF(N(E2139)=0,1,E2139)*IFERROR(N(INDEX(Produtos!$G$5:$G$104,MATCH(D2139,Produtos!$B$5:$B$104,0))),0))</f>
        <v/>
      </c>
      <c r="I2139" s="27" t="str">
        <f aca="false">IF(G2139="","",G2139-H2139)</f>
        <v/>
      </c>
      <c r="J2139" s="42"/>
    </row>
    <row r="2140" customFormat="false" ht="21" hidden="false" customHeight="true" outlineLevel="0" collapsed="false">
      <c r="B2140" s="41"/>
      <c r="C2140" s="9"/>
      <c r="D2140" s="9"/>
      <c r="E2140" s="42"/>
      <c r="F2140" s="43"/>
      <c r="G2140" s="27" t="str">
        <f aca="false">IF(OR(C2140="",AND(D2140="",F2140="")),"",IF(N(E2140)=0,1,E2140)*IF(F2140="",IFERROR(N(INDEX(Produtos!$L$5:$L$104,MATCH(D2140,Produtos!$B$5:$B$104,0))),0),F2140))</f>
        <v/>
      </c>
      <c r="H2140" s="27" t="str">
        <f aca="false">IF(G2140="","",IF(N(E2140)=0,1,E2140)*IFERROR(N(INDEX(Produtos!$G$5:$G$104,MATCH(D2140,Produtos!$B$5:$B$104,0))),0))</f>
        <v/>
      </c>
      <c r="I2140" s="27" t="str">
        <f aca="false">IF(G2140="","",G2140-H2140)</f>
        <v/>
      </c>
      <c r="J2140" s="42"/>
    </row>
    <row r="2141" customFormat="false" ht="21" hidden="false" customHeight="true" outlineLevel="0" collapsed="false">
      <c r="B2141" s="41"/>
      <c r="C2141" s="9"/>
      <c r="D2141" s="9"/>
      <c r="E2141" s="42"/>
      <c r="F2141" s="43"/>
      <c r="G2141" s="27" t="str">
        <f aca="false">IF(OR(C2141="",AND(D2141="",F2141="")),"",IF(N(E2141)=0,1,E2141)*IF(F2141="",IFERROR(N(INDEX(Produtos!$L$5:$L$104,MATCH(D2141,Produtos!$B$5:$B$104,0))),0),F2141))</f>
        <v/>
      </c>
      <c r="H2141" s="27" t="str">
        <f aca="false">IF(G2141="","",IF(N(E2141)=0,1,E2141)*IFERROR(N(INDEX(Produtos!$G$5:$G$104,MATCH(D2141,Produtos!$B$5:$B$104,0))),0))</f>
        <v/>
      </c>
      <c r="I2141" s="27" t="str">
        <f aca="false">IF(G2141="","",G2141-H2141)</f>
        <v/>
      </c>
      <c r="J2141" s="42"/>
    </row>
    <row r="2142" customFormat="false" ht="21" hidden="false" customHeight="true" outlineLevel="0" collapsed="false">
      <c r="B2142" s="41"/>
      <c r="C2142" s="9"/>
      <c r="D2142" s="9"/>
      <c r="E2142" s="42"/>
      <c r="F2142" s="43"/>
      <c r="G2142" s="27" t="str">
        <f aca="false">IF(OR(C2142="",AND(D2142="",F2142="")),"",IF(N(E2142)=0,1,E2142)*IF(F2142="",IFERROR(N(INDEX(Produtos!$L$5:$L$104,MATCH(D2142,Produtos!$B$5:$B$104,0))),0),F2142))</f>
        <v/>
      </c>
      <c r="H2142" s="27" t="str">
        <f aca="false">IF(G2142="","",IF(N(E2142)=0,1,E2142)*IFERROR(N(INDEX(Produtos!$G$5:$G$104,MATCH(D2142,Produtos!$B$5:$B$104,0))),0))</f>
        <v/>
      </c>
      <c r="I2142" s="27" t="str">
        <f aca="false">IF(G2142="","",G2142-H2142)</f>
        <v/>
      </c>
      <c r="J2142" s="42"/>
    </row>
    <row r="2143" customFormat="false" ht="21" hidden="false" customHeight="true" outlineLevel="0" collapsed="false">
      <c r="B2143" s="41"/>
      <c r="C2143" s="9"/>
      <c r="D2143" s="9"/>
      <c r="E2143" s="42"/>
      <c r="F2143" s="43"/>
      <c r="G2143" s="27" t="str">
        <f aca="false">IF(OR(C2143="",AND(D2143="",F2143="")),"",IF(N(E2143)=0,1,E2143)*IF(F2143="",IFERROR(N(INDEX(Produtos!$L$5:$L$104,MATCH(D2143,Produtos!$B$5:$B$104,0))),0),F2143))</f>
        <v/>
      </c>
      <c r="H2143" s="27" t="str">
        <f aca="false">IF(G2143="","",IF(N(E2143)=0,1,E2143)*IFERROR(N(INDEX(Produtos!$G$5:$G$104,MATCH(D2143,Produtos!$B$5:$B$104,0))),0))</f>
        <v/>
      </c>
      <c r="I2143" s="27" t="str">
        <f aca="false">IF(G2143="","",G2143-H2143)</f>
        <v/>
      </c>
      <c r="J2143" s="42"/>
    </row>
    <row r="2144" customFormat="false" ht="21" hidden="false" customHeight="true" outlineLevel="0" collapsed="false">
      <c r="B2144" s="41"/>
      <c r="C2144" s="9"/>
      <c r="D2144" s="9"/>
      <c r="E2144" s="42"/>
      <c r="F2144" s="43"/>
      <c r="G2144" s="27" t="str">
        <f aca="false">IF(OR(C2144="",AND(D2144="",F2144="")),"",IF(N(E2144)=0,1,E2144)*IF(F2144="",IFERROR(N(INDEX(Produtos!$L$5:$L$104,MATCH(D2144,Produtos!$B$5:$B$104,0))),0),F2144))</f>
        <v/>
      </c>
      <c r="H2144" s="27" t="str">
        <f aca="false">IF(G2144="","",IF(N(E2144)=0,1,E2144)*IFERROR(N(INDEX(Produtos!$G$5:$G$104,MATCH(D2144,Produtos!$B$5:$B$104,0))),0))</f>
        <v/>
      </c>
      <c r="I2144" s="27" t="str">
        <f aca="false">IF(G2144="","",G2144-H2144)</f>
        <v/>
      </c>
      <c r="J2144" s="42"/>
    </row>
    <row r="2145" customFormat="false" ht="21" hidden="false" customHeight="true" outlineLevel="0" collapsed="false">
      <c r="B2145" s="41"/>
      <c r="C2145" s="9"/>
      <c r="D2145" s="9"/>
      <c r="E2145" s="42"/>
      <c r="F2145" s="43"/>
      <c r="G2145" s="27" t="str">
        <f aca="false">IF(OR(C2145="",AND(D2145="",F2145="")),"",IF(N(E2145)=0,1,E2145)*IF(F2145="",IFERROR(N(INDEX(Produtos!$L$5:$L$104,MATCH(D2145,Produtos!$B$5:$B$104,0))),0),F2145))</f>
        <v/>
      </c>
      <c r="H2145" s="27" t="str">
        <f aca="false">IF(G2145="","",IF(N(E2145)=0,1,E2145)*IFERROR(N(INDEX(Produtos!$G$5:$G$104,MATCH(D2145,Produtos!$B$5:$B$104,0))),0))</f>
        <v/>
      </c>
      <c r="I2145" s="27" t="str">
        <f aca="false">IF(G2145="","",G2145-H2145)</f>
        <v/>
      </c>
      <c r="J2145" s="42"/>
    </row>
    <row r="2146" customFormat="false" ht="21" hidden="false" customHeight="true" outlineLevel="0" collapsed="false">
      <c r="B2146" s="41"/>
      <c r="C2146" s="9"/>
      <c r="D2146" s="9"/>
      <c r="E2146" s="42"/>
      <c r="F2146" s="43"/>
      <c r="G2146" s="27" t="str">
        <f aca="false">IF(OR(C2146="",AND(D2146="",F2146="")),"",IF(N(E2146)=0,1,E2146)*IF(F2146="",IFERROR(N(INDEX(Produtos!$L$5:$L$104,MATCH(D2146,Produtos!$B$5:$B$104,0))),0),F2146))</f>
        <v/>
      </c>
      <c r="H2146" s="27" t="str">
        <f aca="false">IF(G2146="","",IF(N(E2146)=0,1,E2146)*IFERROR(N(INDEX(Produtos!$G$5:$G$104,MATCH(D2146,Produtos!$B$5:$B$104,0))),0))</f>
        <v/>
      </c>
      <c r="I2146" s="27" t="str">
        <f aca="false">IF(G2146="","",G2146-H2146)</f>
        <v/>
      </c>
      <c r="J2146" s="42"/>
    </row>
    <row r="2147" customFormat="false" ht="21" hidden="false" customHeight="true" outlineLevel="0" collapsed="false">
      <c r="B2147" s="41"/>
      <c r="C2147" s="9"/>
      <c r="D2147" s="9"/>
      <c r="E2147" s="42"/>
      <c r="F2147" s="43"/>
      <c r="G2147" s="27" t="str">
        <f aca="false">IF(OR(C2147="",AND(D2147="",F2147="")),"",IF(N(E2147)=0,1,E2147)*IF(F2147="",IFERROR(N(INDEX(Produtos!$L$5:$L$104,MATCH(D2147,Produtos!$B$5:$B$104,0))),0),F2147))</f>
        <v/>
      </c>
      <c r="H2147" s="27" t="str">
        <f aca="false">IF(G2147="","",IF(N(E2147)=0,1,E2147)*IFERROR(N(INDEX(Produtos!$G$5:$G$104,MATCH(D2147,Produtos!$B$5:$B$104,0))),0))</f>
        <v/>
      </c>
      <c r="I2147" s="27" t="str">
        <f aca="false">IF(G2147="","",G2147-H2147)</f>
        <v/>
      </c>
      <c r="J2147" s="42"/>
    </row>
    <row r="2148" customFormat="false" ht="21" hidden="false" customHeight="true" outlineLevel="0" collapsed="false">
      <c r="B2148" s="41"/>
      <c r="C2148" s="9"/>
      <c r="D2148" s="9"/>
      <c r="E2148" s="42"/>
      <c r="F2148" s="43"/>
      <c r="G2148" s="27" t="str">
        <f aca="false">IF(OR(C2148="",AND(D2148="",F2148="")),"",IF(N(E2148)=0,1,E2148)*IF(F2148="",IFERROR(N(INDEX(Produtos!$L$5:$L$104,MATCH(D2148,Produtos!$B$5:$B$104,0))),0),F2148))</f>
        <v/>
      </c>
      <c r="H2148" s="27" t="str">
        <f aca="false">IF(G2148="","",IF(N(E2148)=0,1,E2148)*IFERROR(N(INDEX(Produtos!$G$5:$G$104,MATCH(D2148,Produtos!$B$5:$B$104,0))),0))</f>
        <v/>
      </c>
      <c r="I2148" s="27" t="str">
        <f aca="false">IF(G2148="","",G2148-H2148)</f>
        <v/>
      </c>
      <c r="J2148" s="42"/>
    </row>
    <row r="2149" customFormat="false" ht="21" hidden="false" customHeight="true" outlineLevel="0" collapsed="false">
      <c r="B2149" s="41"/>
      <c r="C2149" s="9"/>
      <c r="D2149" s="9"/>
      <c r="E2149" s="42"/>
      <c r="F2149" s="43"/>
      <c r="G2149" s="27" t="str">
        <f aca="false">IF(OR(C2149="",AND(D2149="",F2149="")),"",IF(N(E2149)=0,1,E2149)*IF(F2149="",IFERROR(N(INDEX(Produtos!$L$5:$L$104,MATCH(D2149,Produtos!$B$5:$B$104,0))),0),F2149))</f>
        <v/>
      </c>
      <c r="H2149" s="27" t="str">
        <f aca="false">IF(G2149="","",IF(N(E2149)=0,1,E2149)*IFERROR(N(INDEX(Produtos!$G$5:$G$104,MATCH(D2149,Produtos!$B$5:$B$104,0))),0))</f>
        <v/>
      </c>
      <c r="I2149" s="27" t="str">
        <f aca="false">IF(G2149="","",G2149-H2149)</f>
        <v/>
      </c>
      <c r="J2149" s="42"/>
    </row>
    <row r="2150" customFormat="false" ht="21" hidden="false" customHeight="true" outlineLevel="0" collapsed="false">
      <c r="B2150" s="41"/>
      <c r="C2150" s="9"/>
      <c r="D2150" s="9"/>
      <c r="E2150" s="42"/>
      <c r="F2150" s="43"/>
      <c r="G2150" s="27" t="str">
        <f aca="false">IF(OR(C2150="",AND(D2150="",F2150="")),"",IF(N(E2150)=0,1,E2150)*IF(F2150="",IFERROR(N(INDEX(Produtos!$L$5:$L$104,MATCH(D2150,Produtos!$B$5:$B$104,0))),0),F2150))</f>
        <v/>
      </c>
      <c r="H2150" s="27" t="str">
        <f aca="false">IF(G2150="","",IF(N(E2150)=0,1,E2150)*IFERROR(N(INDEX(Produtos!$G$5:$G$104,MATCH(D2150,Produtos!$B$5:$B$104,0))),0))</f>
        <v/>
      </c>
      <c r="I2150" s="27" t="str">
        <f aca="false">IF(G2150="","",G2150-H2150)</f>
        <v/>
      </c>
      <c r="J2150" s="42"/>
    </row>
    <row r="2151" customFormat="false" ht="21" hidden="false" customHeight="true" outlineLevel="0" collapsed="false">
      <c r="B2151" s="41"/>
      <c r="C2151" s="9"/>
      <c r="D2151" s="9"/>
      <c r="E2151" s="42"/>
      <c r="F2151" s="43"/>
      <c r="G2151" s="27" t="str">
        <f aca="false">IF(OR(C2151="",AND(D2151="",F2151="")),"",IF(N(E2151)=0,1,E2151)*IF(F2151="",IFERROR(N(INDEX(Produtos!$L$5:$L$104,MATCH(D2151,Produtos!$B$5:$B$104,0))),0),F2151))</f>
        <v/>
      </c>
      <c r="H2151" s="27" t="str">
        <f aca="false">IF(G2151="","",IF(N(E2151)=0,1,E2151)*IFERROR(N(INDEX(Produtos!$G$5:$G$104,MATCH(D2151,Produtos!$B$5:$B$104,0))),0))</f>
        <v/>
      </c>
      <c r="I2151" s="27" t="str">
        <f aca="false">IF(G2151="","",G2151-H2151)</f>
        <v/>
      </c>
      <c r="J2151" s="42"/>
    </row>
    <row r="2152" customFormat="false" ht="21" hidden="false" customHeight="true" outlineLevel="0" collapsed="false">
      <c r="B2152" s="41"/>
      <c r="C2152" s="9"/>
      <c r="D2152" s="9"/>
      <c r="E2152" s="42"/>
      <c r="F2152" s="43"/>
      <c r="G2152" s="27" t="str">
        <f aca="false">IF(OR(C2152="",AND(D2152="",F2152="")),"",IF(N(E2152)=0,1,E2152)*IF(F2152="",IFERROR(N(INDEX(Produtos!$L$5:$L$104,MATCH(D2152,Produtos!$B$5:$B$104,0))),0),F2152))</f>
        <v/>
      </c>
      <c r="H2152" s="27" t="str">
        <f aca="false">IF(G2152="","",IF(N(E2152)=0,1,E2152)*IFERROR(N(INDEX(Produtos!$G$5:$G$104,MATCH(D2152,Produtos!$B$5:$B$104,0))),0))</f>
        <v/>
      </c>
      <c r="I2152" s="27" t="str">
        <f aca="false">IF(G2152="","",G2152-H2152)</f>
        <v/>
      </c>
      <c r="J2152" s="42"/>
    </row>
    <row r="2153" customFormat="false" ht="21" hidden="false" customHeight="true" outlineLevel="0" collapsed="false">
      <c r="B2153" s="41"/>
      <c r="C2153" s="9"/>
      <c r="D2153" s="9"/>
      <c r="E2153" s="42"/>
      <c r="F2153" s="43"/>
      <c r="G2153" s="27" t="str">
        <f aca="false">IF(OR(C2153="",AND(D2153="",F2153="")),"",IF(N(E2153)=0,1,E2153)*IF(F2153="",IFERROR(N(INDEX(Produtos!$L$5:$L$104,MATCH(D2153,Produtos!$B$5:$B$104,0))),0),F2153))</f>
        <v/>
      </c>
      <c r="H2153" s="27" t="str">
        <f aca="false">IF(G2153="","",IF(N(E2153)=0,1,E2153)*IFERROR(N(INDEX(Produtos!$G$5:$G$104,MATCH(D2153,Produtos!$B$5:$B$104,0))),0))</f>
        <v/>
      </c>
      <c r="I2153" s="27" t="str">
        <f aca="false">IF(G2153="","",G2153-H2153)</f>
        <v/>
      </c>
      <c r="J2153" s="42"/>
    </row>
    <row r="2154" customFormat="false" ht="21" hidden="false" customHeight="true" outlineLevel="0" collapsed="false">
      <c r="B2154" s="41"/>
      <c r="C2154" s="9"/>
      <c r="D2154" s="9"/>
      <c r="E2154" s="42"/>
      <c r="F2154" s="43"/>
      <c r="G2154" s="27" t="str">
        <f aca="false">IF(OR(C2154="",AND(D2154="",F2154="")),"",IF(N(E2154)=0,1,E2154)*IF(F2154="",IFERROR(N(INDEX(Produtos!$L$5:$L$104,MATCH(D2154,Produtos!$B$5:$B$104,0))),0),F2154))</f>
        <v/>
      </c>
      <c r="H2154" s="27" t="str">
        <f aca="false">IF(G2154="","",IF(N(E2154)=0,1,E2154)*IFERROR(N(INDEX(Produtos!$G$5:$G$104,MATCH(D2154,Produtos!$B$5:$B$104,0))),0))</f>
        <v/>
      </c>
      <c r="I2154" s="27" t="str">
        <f aca="false">IF(G2154="","",G2154-H2154)</f>
        <v/>
      </c>
      <c r="J2154" s="42"/>
    </row>
    <row r="2155" customFormat="false" ht="21" hidden="false" customHeight="true" outlineLevel="0" collapsed="false">
      <c r="B2155" s="41"/>
      <c r="C2155" s="9"/>
      <c r="D2155" s="9"/>
      <c r="E2155" s="42"/>
      <c r="F2155" s="43"/>
      <c r="G2155" s="27" t="str">
        <f aca="false">IF(OR(C2155="",AND(D2155="",F2155="")),"",IF(N(E2155)=0,1,E2155)*IF(F2155="",IFERROR(N(INDEX(Produtos!$L$5:$L$104,MATCH(D2155,Produtos!$B$5:$B$104,0))),0),F2155))</f>
        <v/>
      </c>
      <c r="H2155" s="27" t="str">
        <f aca="false">IF(G2155="","",IF(N(E2155)=0,1,E2155)*IFERROR(N(INDEX(Produtos!$G$5:$G$104,MATCH(D2155,Produtos!$B$5:$B$104,0))),0))</f>
        <v/>
      </c>
      <c r="I2155" s="27" t="str">
        <f aca="false">IF(G2155="","",G2155-H2155)</f>
        <v/>
      </c>
      <c r="J2155" s="42"/>
    </row>
    <row r="2156" customFormat="false" ht="21" hidden="false" customHeight="true" outlineLevel="0" collapsed="false">
      <c r="B2156" s="41"/>
      <c r="C2156" s="9"/>
      <c r="D2156" s="9"/>
      <c r="E2156" s="42"/>
      <c r="F2156" s="43"/>
      <c r="G2156" s="27" t="str">
        <f aca="false">IF(OR(C2156="",AND(D2156="",F2156="")),"",IF(N(E2156)=0,1,E2156)*IF(F2156="",IFERROR(N(INDEX(Produtos!$L$5:$L$104,MATCH(D2156,Produtos!$B$5:$B$104,0))),0),F2156))</f>
        <v/>
      </c>
      <c r="H2156" s="27" t="str">
        <f aca="false">IF(G2156="","",IF(N(E2156)=0,1,E2156)*IFERROR(N(INDEX(Produtos!$G$5:$G$104,MATCH(D2156,Produtos!$B$5:$B$104,0))),0))</f>
        <v/>
      </c>
      <c r="I2156" s="27" t="str">
        <f aca="false">IF(G2156="","",G2156-H2156)</f>
        <v/>
      </c>
      <c r="J2156" s="42"/>
    </row>
    <row r="2157" customFormat="false" ht="21" hidden="false" customHeight="true" outlineLevel="0" collapsed="false">
      <c r="B2157" s="41"/>
      <c r="C2157" s="9"/>
      <c r="D2157" s="9"/>
      <c r="E2157" s="42"/>
      <c r="F2157" s="43"/>
      <c r="G2157" s="27" t="str">
        <f aca="false">IF(OR(C2157="",AND(D2157="",F2157="")),"",IF(N(E2157)=0,1,E2157)*IF(F2157="",IFERROR(N(INDEX(Produtos!$L$5:$L$104,MATCH(D2157,Produtos!$B$5:$B$104,0))),0),F2157))</f>
        <v/>
      </c>
      <c r="H2157" s="27" t="str">
        <f aca="false">IF(G2157="","",IF(N(E2157)=0,1,E2157)*IFERROR(N(INDEX(Produtos!$G$5:$G$104,MATCH(D2157,Produtos!$B$5:$B$104,0))),0))</f>
        <v/>
      </c>
      <c r="I2157" s="27" t="str">
        <f aca="false">IF(G2157="","",G2157-H2157)</f>
        <v/>
      </c>
      <c r="J2157" s="42"/>
    </row>
    <row r="2158" customFormat="false" ht="21" hidden="false" customHeight="true" outlineLevel="0" collapsed="false">
      <c r="B2158" s="41"/>
      <c r="C2158" s="9"/>
      <c r="D2158" s="9"/>
      <c r="E2158" s="42"/>
      <c r="F2158" s="43"/>
      <c r="G2158" s="27" t="str">
        <f aca="false">IF(OR(C2158="",AND(D2158="",F2158="")),"",IF(N(E2158)=0,1,E2158)*IF(F2158="",IFERROR(N(INDEX(Produtos!$L$5:$L$104,MATCH(D2158,Produtos!$B$5:$B$104,0))),0),F2158))</f>
        <v/>
      </c>
      <c r="H2158" s="27" t="str">
        <f aca="false">IF(G2158="","",IF(N(E2158)=0,1,E2158)*IFERROR(N(INDEX(Produtos!$G$5:$G$104,MATCH(D2158,Produtos!$B$5:$B$104,0))),0))</f>
        <v/>
      </c>
      <c r="I2158" s="27" t="str">
        <f aca="false">IF(G2158="","",G2158-H2158)</f>
        <v/>
      </c>
      <c r="J2158" s="42"/>
    </row>
    <row r="2159" customFormat="false" ht="21" hidden="false" customHeight="true" outlineLevel="0" collapsed="false">
      <c r="B2159" s="41"/>
      <c r="C2159" s="9"/>
      <c r="D2159" s="9"/>
      <c r="E2159" s="42"/>
      <c r="F2159" s="43"/>
      <c r="G2159" s="27" t="str">
        <f aca="false">IF(OR(C2159="",AND(D2159="",F2159="")),"",IF(N(E2159)=0,1,E2159)*IF(F2159="",IFERROR(N(INDEX(Produtos!$L$5:$L$104,MATCH(D2159,Produtos!$B$5:$B$104,0))),0),F2159))</f>
        <v/>
      </c>
      <c r="H2159" s="27" t="str">
        <f aca="false">IF(G2159="","",IF(N(E2159)=0,1,E2159)*IFERROR(N(INDEX(Produtos!$G$5:$G$104,MATCH(D2159,Produtos!$B$5:$B$104,0))),0))</f>
        <v/>
      </c>
      <c r="I2159" s="27" t="str">
        <f aca="false">IF(G2159="","",G2159-H2159)</f>
        <v/>
      </c>
      <c r="J2159" s="42"/>
    </row>
    <row r="2160" customFormat="false" ht="21" hidden="false" customHeight="true" outlineLevel="0" collapsed="false">
      <c r="B2160" s="41"/>
      <c r="C2160" s="9"/>
      <c r="D2160" s="9"/>
      <c r="E2160" s="42"/>
      <c r="F2160" s="43"/>
      <c r="G2160" s="27" t="str">
        <f aca="false">IF(OR(C2160="",AND(D2160="",F2160="")),"",IF(N(E2160)=0,1,E2160)*IF(F2160="",IFERROR(N(INDEX(Produtos!$L$5:$L$104,MATCH(D2160,Produtos!$B$5:$B$104,0))),0),F2160))</f>
        <v/>
      </c>
      <c r="H2160" s="27" t="str">
        <f aca="false">IF(G2160="","",IF(N(E2160)=0,1,E2160)*IFERROR(N(INDEX(Produtos!$G$5:$G$104,MATCH(D2160,Produtos!$B$5:$B$104,0))),0))</f>
        <v/>
      </c>
      <c r="I2160" s="27" t="str">
        <f aca="false">IF(G2160="","",G2160-H2160)</f>
        <v/>
      </c>
      <c r="J2160" s="42"/>
    </row>
    <row r="2161" customFormat="false" ht="21" hidden="false" customHeight="true" outlineLevel="0" collapsed="false">
      <c r="B2161" s="41"/>
      <c r="C2161" s="9"/>
      <c r="D2161" s="9"/>
      <c r="E2161" s="42"/>
      <c r="F2161" s="43"/>
      <c r="G2161" s="27" t="str">
        <f aca="false">IF(OR(C2161="",AND(D2161="",F2161="")),"",IF(N(E2161)=0,1,E2161)*IF(F2161="",IFERROR(N(INDEX(Produtos!$L$5:$L$104,MATCH(D2161,Produtos!$B$5:$B$104,0))),0),F2161))</f>
        <v/>
      </c>
      <c r="H2161" s="27" t="str">
        <f aca="false">IF(G2161="","",IF(N(E2161)=0,1,E2161)*IFERROR(N(INDEX(Produtos!$G$5:$G$104,MATCH(D2161,Produtos!$B$5:$B$104,0))),0))</f>
        <v/>
      </c>
      <c r="I2161" s="27" t="str">
        <f aca="false">IF(G2161="","",G2161-H2161)</f>
        <v/>
      </c>
      <c r="J2161" s="42"/>
    </row>
    <row r="2162" customFormat="false" ht="21" hidden="false" customHeight="true" outlineLevel="0" collapsed="false">
      <c r="B2162" s="41"/>
      <c r="C2162" s="9"/>
      <c r="D2162" s="9"/>
      <c r="E2162" s="42"/>
      <c r="F2162" s="43"/>
      <c r="G2162" s="27" t="str">
        <f aca="false">IF(OR(C2162="",AND(D2162="",F2162="")),"",IF(N(E2162)=0,1,E2162)*IF(F2162="",IFERROR(N(INDEX(Produtos!$L$5:$L$104,MATCH(D2162,Produtos!$B$5:$B$104,0))),0),F2162))</f>
        <v/>
      </c>
      <c r="H2162" s="27" t="str">
        <f aca="false">IF(G2162="","",IF(N(E2162)=0,1,E2162)*IFERROR(N(INDEX(Produtos!$G$5:$G$104,MATCH(D2162,Produtos!$B$5:$B$104,0))),0))</f>
        <v/>
      </c>
      <c r="I2162" s="27" t="str">
        <f aca="false">IF(G2162="","",G2162-H2162)</f>
        <v/>
      </c>
      <c r="J2162" s="42"/>
    </row>
    <row r="2163" customFormat="false" ht="21" hidden="false" customHeight="true" outlineLevel="0" collapsed="false">
      <c r="B2163" s="41"/>
      <c r="C2163" s="9"/>
      <c r="D2163" s="9"/>
      <c r="E2163" s="42"/>
      <c r="F2163" s="43"/>
      <c r="G2163" s="27" t="str">
        <f aca="false">IF(OR(C2163="",AND(D2163="",F2163="")),"",IF(N(E2163)=0,1,E2163)*IF(F2163="",IFERROR(N(INDEX(Produtos!$L$5:$L$104,MATCH(D2163,Produtos!$B$5:$B$104,0))),0),F2163))</f>
        <v/>
      </c>
      <c r="H2163" s="27" t="str">
        <f aca="false">IF(G2163="","",IF(N(E2163)=0,1,E2163)*IFERROR(N(INDEX(Produtos!$G$5:$G$104,MATCH(D2163,Produtos!$B$5:$B$104,0))),0))</f>
        <v/>
      </c>
      <c r="I2163" s="27" t="str">
        <f aca="false">IF(G2163="","",G2163-H2163)</f>
        <v/>
      </c>
      <c r="J2163" s="42"/>
    </row>
    <row r="2164" customFormat="false" ht="21" hidden="false" customHeight="true" outlineLevel="0" collapsed="false">
      <c r="B2164" s="41"/>
      <c r="C2164" s="9"/>
      <c r="D2164" s="9"/>
      <c r="E2164" s="42"/>
      <c r="F2164" s="43"/>
      <c r="G2164" s="27" t="str">
        <f aca="false">IF(OR(C2164="",AND(D2164="",F2164="")),"",IF(N(E2164)=0,1,E2164)*IF(F2164="",IFERROR(N(INDEX(Produtos!$L$5:$L$104,MATCH(D2164,Produtos!$B$5:$B$104,0))),0),F2164))</f>
        <v/>
      </c>
      <c r="H2164" s="27" t="str">
        <f aca="false">IF(G2164="","",IF(N(E2164)=0,1,E2164)*IFERROR(N(INDEX(Produtos!$G$5:$G$104,MATCH(D2164,Produtos!$B$5:$B$104,0))),0))</f>
        <v/>
      </c>
      <c r="I2164" s="27" t="str">
        <f aca="false">IF(G2164="","",G2164-H2164)</f>
        <v/>
      </c>
      <c r="J2164" s="42"/>
    </row>
    <row r="2165" customFormat="false" ht="21" hidden="false" customHeight="true" outlineLevel="0" collapsed="false">
      <c r="B2165" s="41"/>
      <c r="C2165" s="9"/>
      <c r="D2165" s="9"/>
      <c r="E2165" s="42"/>
      <c r="F2165" s="43"/>
      <c r="G2165" s="27" t="str">
        <f aca="false">IF(OR(C2165="",AND(D2165="",F2165="")),"",IF(N(E2165)=0,1,E2165)*IF(F2165="",IFERROR(N(INDEX(Produtos!$L$5:$L$104,MATCH(D2165,Produtos!$B$5:$B$104,0))),0),F2165))</f>
        <v/>
      </c>
      <c r="H2165" s="27" t="str">
        <f aca="false">IF(G2165="","",IF(N(E2165)=0,1,E2165)*IFERROR(N(INDEX(Produtos!$G$5:$G$104,MATCH(D2165,Produtos!$B$5:$B$104,0))),0))</f>
        <v/>
      </c>
      <c r="I2165" s="27" t="str">
        <f aca="false">IF(G2165="","",G2165-H2165)</f>
        <v/>
      </c>
      <c r="J2165" s="42"/>
    </row>
    <row r="2166" customFormat="false" ht="21" hidden="false" customHeight="true" outlineLevel="0" collapsed="false">
      <c r="B2166" s="41"/>
      <c r="C2166" s="9"/>
      <c r="D2166" s="9"/>
      <c r="E2166" s="42"/>
      <c r="F2166" s="43"/>
      <c r="G2166" s="27" t="str">
        <f aca="false">IF(OR(C2166="",AND(D2166="",F2166="")),"",IF(N(E2166)=0,1,E2166)*IF(F2166="",IFERROR(N(INDEX(Produtos!$L$5:$L$104,MATCH(D2166,Produtos!$B$5:$B$104,0))),0),F2166))</f>
        <v/>
      </c>
      <c r="H2166" s="27" t="str">
        <f aca="false">IF(G2166="","",IF(N(E2166)=0,1,E2166)*IFERROR(N(INDEX(Produtos!$G$5:$G$104,MATCH(D2166,Produtos!$B$5:$B$104,0))),0))</f>
        <v/>
      </c>
      <c r="I2166" s="27" t="str">
        <f aca="false">IF(G2166="","",G2166-H2166)</f>
        <v/>
      </c>
      <c r="J2166" s="42"/>
    </row>
    <row r="2167" customFormat="false" ht="21" hidden="false" customHeight="true" outlineLevel="0" collapsed="false">
      <c r="B2167" s="41"/>
      <c r="C2167" s="9"/>
      <c r="D2167" s="9"/>
      <c r="E2167" s="42"/>
      <c r="F2167" s="43"/>
      <c r="G2167" s="27" t="str">
        <f aca="false">IF(OR(C2167="",AND(D2167="",F2167="")),"",IF(N(E2167)=0,1,E2167)*IF(F2167="",IFERROR(N(INDEX(Produtos!$L$5:$L$104,MATCH(D2167,Produtos!$B$5:$B$104,0))),0),F2167))</f>
        <v/>
      </c>
      <c r="H2167" s="27" t="str">
        <f aca="false">IF(G2167="","",IF(N(E2167)=0,1,E2167)*IFERROR(N(INDEX(Produtos!$G$5:$G$104,MATCH(D2167,Produtos!$B$5:$B$104,0))),0))</f>
        <v/>
      </c>
      <c r="I2167" s="27" t="str">
        <f aca="false">IF(G2167="","",G2167-H2167)</f>
        <v/>
      </c>
      <c r="J2167" s="42"/>
    </row>
    <row r="2168" customFormat="false" ht="21" hidden="false" customHeight="true" outlineLevel="0" collapsed="false">
      <c r="B2168" s="41"/>
      <c r="C2168" s="9"/>
      <c r="D2168" s="9"/>
      <c r="E2168" s="42"/>
      <c r="F2168" s="43"/>
      <c r="G2168" s="27" t="str">
        <f aca="false">IF(OR(C2168="",AND(D2168="",F2168="")),"",IF(N(E2168)=0,1,E2168)*IF(F2168="",IFERROR(N(INDEX(Produtos!$L$5:$L$104,MATCH(D2168,Produtos!$B$5:$B$104,0))),0),F2168))</f>
        <v/>
      </c>
      <c r="H2168" s="27" t="str">
        <f aca="false">IF(G2168="","",IF(N(E2168)=0,1,E2168)*IFERROR(N(INDEX(Produtos!$G$5:$G$104,MATCH(D2168,Produtos!$B$5:$B$104,0))),0))</f>
        <v/>
      </c>
      <c r="I2168" s="27" t="str">
        <f aca="false">IF(G2168="","",G2168-H2168)</f>
        <v/>
      </c>
      <c r="J2168" s="42"/>
    </row>
    <row r="2169" customFormat="false" ht="21" hidden="false" customHeight="true" outlineLevel="0" collapsed="false">
      <c r="B2169" s="41"/>
      <c r="C2169" s="9"/>
      <c r="D2169" s="9"/>
      <c r="E2169" s="42"/>
      <c r="F2169" s="43"/>
      <c r="G2169" s="27" t="str">
        <f aca="false">IF(OR(C2169="",AND(D2169="",F2169="")),"",IF(N(E2169)=0,1,E2169)*IF(F2169="",IFERROR(N(INDEX(Produtos!$L$5:$L$104,MATCH(D2169,Produtos!$B$5:$B$104,0))),0),F2169))</f>
        <v/>
      </c>
      <c r="H2169" s="27" t="str">
        <f aca="false">IF(G2169="","",IF(N(E2169)=0,1,E2169)*IFERROR(N(INDEX(Produtos!$G$5:$G$104,MATCH(D2169,Produtos!$B$5:$B$104,0))),0))</f>
        <v/>
      </c>
      <c r="I2169" s="27" t="str">
        <f aca="false">IF(G2169="","",G2169-H2169)</f>
        <v/>
      </c>
      <c r="J2169" s="42"/>
    </row>
    <row r="2170" customFormat="false" ht="21" hidden="false" customHeight="true" outlineLevel="0" collapsed="false">
      <c r="B2170" s="41"/>
      <c r="C2170" s="9"/>
      <c r="D2170" s="9"/>
      <c r="E2170" s="42"/>
      <c r="F2170" s="43"/>
      <c r="G2170" s="27" t="str">
        <f aca="false">IF(OR(C2170="",AND(D2170="",F2170="")),"",IF(N(E2170)=0,1,E2170)*IF(F2170="",IFERROR(N(INDEX(Produtos!$L$5:$L$104,MATCH(D2170,Produtos!$B$5:$B$104,0))),0),F2170))</f>
        <v/>
      </c>
      <c r="H2170" s="27" t="str">
        <f aca="false">IF(G2170="","",IF(N(E2170)=0,1,E2170)*IFERROR(N(INDEX(Produtos!$G$5:$G$104,MATCH(D2170,Produtos!$B$5:$B$104,0))),0))</f>
        <v/>
      </c>
      <c r="I2170" s="27" t="str">
        <f aca="false">IF(G2170="","",G2170-H2170)</f>
        <v/>
      </c>
      <c r="J2170" s="42"/>
    </row>
    <row r="2171" customFormat="false" ht="21" hidden="false" customHeight="true" outlineLevel="0" collapsed="false">
      <c r="B2171" s="41"/>
      <c r="C2171" s="9"/>
      <c r="D2171" s="9"/>
      <c r="E2171" s="42"/>
      <c r="F2171" s="43"/>
      <c r="G2171" s="27" t="str">
        <f aca="false">IF(OR(C2171="",AND(D2171="",F2171="")),"",IF(N(E2171)=0,1,E2171)*IF(F2171="",IFERROR(N(INDEX(Produtos!$L$5:$L$104,MATCH(D2171,Produtos!$B$5:$B$104,0))),0),F2171))</f>
        <v/>
      </c>
      <c r="H2171" s="27" t="str">
        <f aca="false">IF(G2171="","",IF(N(E2171)=0,1,E2171)*IFERROR(N(INDEX(Produtos!$G$5:$G$104,MATCH(D2171,Produtos!$B$5:$B$104,0))),0))</f>
        <v/>
      </c>
      <c r="I2171" s="27" t="str">
        <f aca="false">IF(G2171="","",G2171-H2171)</f>
        <v/>
      </c>
      <c r="J2171" s="42"/>
    </row>
    <row r="2172" customFormat="false" ht="21" hidden="false" customHeight="true" outlineLevel="0" collapsed="false">
      <c r="B2172" s="41"/>
      <c r="C2172" s="9"/>
      <c r="D2172" s="9"/>
      <c r="E2172" s="42"/>
      <c r="F2172" s="43"/>
      <c r="G2172" s="27" t="str">
        <f aca="false">IF(OR(C2172="",AND(D2172="",F2172="")),"",IF(N(E2172)=0,1,E2172)*IF(F2172="",IFERROR(N(INDEX(Produtos!$L$5:$L$104,MATCH(D2172,Produtos!$B$5:$B$104,0))),0),F2172))</f>
        <v/>
      </c>
      <c r="H2172" s="27" t="str">
        <f aca="false">IF(G2172="","",IF(N(E2172)=0,1,E2172)*IFERROR(N(INDEX(Produtos!$G$5:$G$104,MATCH(D2172,Produtos!$B$5:$B$104,0))),0))</f>
        <v/>
      </c>
      <c r="I2172" s="27" t="str">
        <f aca="false">IF(G2172="","",G2172-H2172)</f>
        <v/>
      </c>
      <c r="J2172" s="42"/>
    </row>
    <row r="2173" customFormat="false" ht="21" hidden="false" customHeight="true" outlineLevel="0" collapsed="false">
      <c r="B2173" s="41"/>
      <c r="C2173" s="9"/>
      <c r="D2173" s="9"/>
      <c r="E2173" s="42"/>
      <c r="F2173" s="43"/>
      <c r="G2173" s="27" t="str">
        <f aca="false">IF(OR(C2173="",AND(D2173="",F2173="")),"",IF(N(E2173)=0,1,E2173)*IF(F2173="",IFERROR(N(INDEX(Produtos!$L$5:$L$104,MATCH(D2173,Produtos!$B$5:$B$104,0))),0),F2173))</f>
        <v/>
      </c>
      <c r="H2173" s="27" t="str">
        <f aca="false">IF(G2173="","",IF(N(E2173)=0,1,E2173)*IFERROR(N(INDEX(Produtos!$G$5:$G$104,MATCH(D2173,Produtos!$B$5:$B$104,0))),0))</f>
        <v/>
      </c>
      <c r="I2173" s="27" t="str">
        <f aca="false">IF(G2173="","",G2173-H2173)</f>
        <v/>
      </c>
      <c r="J2173" s="42"/>
    </row>
    <row r="2174" customFormat="false" ht="21" hidden="false" customHeight="true" outlineLevel="0" collapsed="false">
      <c r="B2174" s="41"/>
      <c r="C2174" s="9"/>
      <c r="D2174" s="9"/>
      <c r="E2174" s="42"/>
      <c r="F2174" s="43"/>
      <c r="G2174" s="27" t="str">
        <f aca="false">IF(OR(C2174="",AND(D2174="",F2174="")),"",IF(N(E2174)=0,1,E2174)*IF(F2174="",IFERROR(N(INDEX(Produtos!$L$5:$L$104,MATCH(D2174,Produtos!$B$5:$B$104,0))),0),F2174))</f>
        <v/>
      </c>
      <c r="H2174" s="27" t="str">
        <f aca="false">IF(G2174="","",IF(N(E2174)=0,1,E2174)*IFERROR(N(INDEX(Produtos!$G$5:$G$104,MATCH(D2174,Produtos!$B$5:$B$104,0))),0))</f>
        <v/>
      </c>
      <c r="I2174" s="27" t="str">
        <f aca="false">IF(G2174="","",G2174-H2174)</f>
        <v/>
      </c>
      <c r="J2174" s="42"/>
    </row>
    <row r="2175" customFormat="false" ht="21" hidden="false" customHeight="true" outlineLevel="0" collapsed="false">
      <c r="B2175" s="41"/>
      <c r="C2175" s="9"/>
      <c r="D2175" s="9"/>
      <c r="E2175" s="42"/>
      <c r="F2175" s="43"/>
      <c r="G2175" s="27" t="str">
        <f aca="false">IF(OR(C2175="",AND(D2175="",F2175="")),"",IF(N(E2175)=0,1,E2175)*IF(F2175="",IFERROR(N(INDEX(Produtos!$L$5:$L$104,MATCH(D2175,Produtos!$B$5:$B$104,0))),0),F2175))</f>
        <v/>
      </c>
      <c r="H2175" s="27" t="str">
        <f aca="false">IF(G2175="","",IF(N(E2175)=0,1,E2175)*IFERROR(N(INDEX(Produtos!$G$5:$G$104,MATCH(D2175,Produtos!$B$5:$B$104,0))),0))</f>
        <v/>
      </c>
      <c r="I2175" s="27" t="str">
        <f aca="false">IF(G2175="","",G2175-H2175)</f>
        <v/>
      </c>
      <c r="J2175" s="42"/>
    </row>
    <row r="2176" customFormat="false" ht="21" hidden="false" customHeight="true" outlineLevel="0" collapsed="false">
      <c r="B2176" s="41"/>
      <c r="C2176" s="9"/>
      <c r="D2176" s="9"/>
      <c r="E2176" s="42"/>
      <c r="F2176" s="43"/>
      <c r="G2176" s="27" t="str">
        <f aca="false">IF(OR(C2176="",AND(D2176="",F2176="")),"",IF(N(E2176)=0,1,E2176)*IF(F2176="",IFERROR(N(INDEX(Produtos!$L$5:$L$104,MATCH(D2176,Produtos!$B$5:$B$104,0))),0),F2176))</f>
        <v/>
      </c>
      <c r="H2176" s="27" t="str">
        <f aca="false">IF(G2176="","",IF(N(E2176)=0,1,E2176)*IFERROR(N(INDEX(Produtos!$G$5:$G$104,MATCH(D2176,Produtos!$B$5:$B$104,0))),0))</f>
        <v/>
      </c>
      <c r="I2176" s="27" t="str">
        <f aca="false">IF(G2176="","",G2176-H2176)</f>
        <v/>
      </c>
      <c r="J2176" s="42"/>
    </row>
    <row r="2177" customFormat="false" ht="21" hidden="false" customHeight="true" outlineLevel="0" collapsed="false">
      <c r="B2177" s="41"/>
      <c r="C2177" s="9"/>
      <c r="D2177" s="9"/>
      <c r="E2177" s="42"/>
      <c r="F2177" s="43"/>
      <c r="G2177" s="27" t="str">
        <f aca="false">IF(OR(C2177="",AND(D2177="",F2177="")),"",IF(N(E2177)=0,1,E2177)*IF(F2177="",IFERROR(N(INDEX(Produtos!$L$5:$L$104,MATCH(D2177,Produtos!$B$5:$B$104,0))),0),F2177))</f>
        <v/>
      </c>
      <c r="H2177" s="27" t="str">
        <f aca="false">IF(G2177="","",IF(N(E2177)=0,1,E2177)*IFERROR(N(INDEX(Produtos!$G$5:$G$104,MATCH(D2177,Produtos!$B$5:$B$104,0))),0))</f>
        <v/>
      </c>
      <c r="I2177" s="27" t="str">
        <f aca="false">IF(G2177="","",G2177-H2177)</f>
        <v/>
      </c>
      <c r="J2177" s="42"/>
    </row>
    <row r="2178" customFormat="false" ht="21" hidden="false" customHeight="true" outlineLevel="0" collapsed="false">
      <c r="B2178" s="41"/>
      <c r="C2178" s="9"/>
      <c r="D2178" s="9"/>
      <c r="E2178" s="42"/>
      <c r="F2178" s="43"/>
      <c r="G2178" s="27" t="str">
        <f aca="false">IF(OR(C2178="",AND(D2178="",F2178="")),"",IF(N(E2178)=0,1,E2178)*IF(F2178="",IFERROR(N(INDEX(Produtos!$L$5:$L$104,MATCH(D2178,Produtos!$B$5:$B$104,0))),0),F2178))</f>
        <v/>
      </c>
      <c r="H2178" s="27" t="str">
        <f aca="false">IF(G2178="","",IF(N(E2178)=0,1,E2178)*IFERROR(N(INDEX(Produtos!$G$5:$G$104,MATCH(D2178,Produtos!$B$5:$B$104,0))),0))</f>
        <v/>
      </c>
      <c r="I2178" s="27" t="str">
        <f aca="false">IF(G2178="","",G2178-H2178)</f>
        <v/>
      </c>
      <c r="J2178" s="42"/>
    </row>
    <row r="2179" customFormat="false" ht="21" hidden="false" customHeight="true" outlineLevel="0" collapsed="false">
      <c r="B2179" s="41"/>
      <c r="C2179" s="9"/>
      <c r="D2179" s="9"/>
      <c r="E2179" s="42"/>
      <c r="F2179" s="43"/>
      <c r="G2179" s="27" t="str">
        <f aca="false">IF(OR(C2179="",AND(D2179="",F2179="")),"",IF(N(E2179)=0,1,E2179)*IF(F2179="",IFERROR(N(INDEX(Produtos!$L$5:$L$104,MATCH(D2179,Produtos!$B$5:$B$104,0))),0),F2179))</f>
        <v/>
      </c>
      <c r="H2179" s="27" t="str">
        <f aca="false">IF(G2179="","",IF(N(E2179)=0,1,E2179)*IFERROR(N(INDEX(Produtos!$G$5:$G$104,MATCH(D2179,Produtos!$B$5:$B$104,0))),0))</f>
        <v/>
      </c>
      <c r="I2179" s="27" t="str">
        <f aca="false">IF(G2179="","",G2179-H2179)</f>
        <v/>
      </c>
      <c r="J2179" s="42"/>
    </row>
    <row r="2180" customFormat="false" ht="21" hidden="false" customHeight="true" outlineLevel="0" collapsed="false">
      <c r="B2180" s="41"/>
      <c r="C2180" s="9"/>
      <c r="D2180" s="9"/>
      <c r="E2180" s="42"/>
      <c r="F2180" s="43"/>
      <c r="G2180" s="27" t="str">
        <f aca="false">IF(OR(C2180="",AND(D2180="",F2180="")),"",IF(N(E2180)=0,1,E2180)*IF(F2180="",IFERROR(N(INDEX(Produtos!$L$5:$L$104,MATCH(D2180,Produtos!$B$5:$B$104,0))),0),F2180))</f>
        <v/>
      </c>
      <c r="H2180" s="27" t="str">
        <f aca="false">IF(G2180="","",IF(N(E2180)=0,1,E2180)*IFERROR(N(INDEX(Produtos!$G$5:$G$104,MATCH(D2180,Produtos!$B$5:$B$104,0))),0))</f>
        <v/>
      </c>
      <c r="I2180" s="27" t="str">
        <f aca="false">IF(G2180="","",G2180-H2180)</f>
        <v/>
      </c>
      <c r="J2180" s="42"/>
    </row>
    <row r="2181" customFormat="false" ht="21" hidden="false" customHeight="true" outlineLevel="0" collapsed="false">
      <c r="B2181" s="41"/>
      <c r="C2181" s="9"/>
      <c r="D2181" s="9"/>
      <c r="E2181" s="42"/>
      <c r="F2181" s="43"/>
      <c r="G2181" s="27" t="str">
        <f aca="false">IF(OR(C2181="",AND(D2181="",F2181="")),"",IF(N(E2181)=0,1,E2181)*IF(F2181="",IFERROR(N(INDEX(Produtos!$L$5:$L$104,MATCH(D2181,Produtos!$B$5:$B$104,0))),0),F2181))</f>
        <v/>
      </c>
      <c r="H2181" s="27" t="str">
        <f aca="false">IF(G2181="","",IF(N(E2181)=0,1,E2181)*IFERROR(N(INDEX(Produtos!$G$5:$G$104,MATCH(D2181,Produtos!$B$5:$B$104,0))),0))</f>
        <v/>
      </c>
      <c r="I2181" s="27" t="str">
        <f aca="false">IF(G2181="","",G2181-H2181)</f>
        <v/>
      </c>
      <c r="J2181" s="42"/>
    </row>
    <row r="2182" customFormat="false" ht="21" hidden="false" customHeight="true" outlineLevel="0" collapsed="false">
      <c r="B2182" s="41"/>
      <c r="C2182" s="9"/>
      <c r="D2182" s="9"/>
      <c r="E2182" s="42"/>
      <c r="F2182" s="43"/>
      <c r="G2182" s="27" t="str">
        <f aca="false">IF(OR(C2182="",AND(D2182="",F2182="")),"",IF(N(E2182)=0,1,E2182)*IF(F2182="",IFERROR(N(INDEX(Produtos!$L$5:$L$104,MATCH(D2182,Produtos!$B$5:$B$104,0))),0),F2182))</f>
        <v/>
      </c>
      <c r="H2182" s="27" t="str">
        <f aca="false">IF(G2182="","",IF(N(E2182)=0,1,E2182)*IFERROR(N(INDEX(Produtos!$G$5:$G$104,MATCH(D2182,Produtos!$B$5:$B$104,0))),0))</f>
        <v/>
      </c>
      <c r="I2182" s="27" t="str">
        <f aca="false">IF(G2182="","",G2182-H2182)</f>
        <v/>
      </c>
      <c r="J2182" s="42"/>
    </row>
    <row r="2183" customFormat="false" ht="21" hidden="false" customHeight="true" outlineLevel="0" collapsed="false">
      <c r="B2183" s="41"/>
      <c r="C2183" s="9"/>
      <c r="D2183" s="9"/>
      <c r="E2183" s="42"/>
      <c r="F2183" s="43"/>
      <c r="G2183" s="27" t="str">
        <f aca="false">IF(OR(C2183="",AND(D2183="",F2183="")),"",IF(N(E2183)=0,1,E2183)*IF(F2183="",IFERROR(N(INDEX(Produtos!$L$5:$L$104,MATCH(D2183,Produtos!$B$5:$B$104,0))),0),F2183))</f>
        <v/>
      </c>
      <c r="H2183" s="27" t="str">
        <f aca="false">IF(G2183="","",IF(N(E2183)=0,1,E2183)*IFERROR(N(INDEX(Produtos!$G$5:$G$104,MATCH(D2183,Produtos!$B$5:$B$104,0))),0))</f>
        <v/>
      </c>
      <c r="I2183" s="27" t="str">
        <f aca="false">IF(G2183="","",G2183-H2183)</f>
        <v/>
      </c>
      <c r="J2183" s="42"/>
    </row>
    <row r="2184" customFormat="false" ht="21" hidden="false" customHeight="true" outlineLevel="0" collapsed="false">
      <c r="B2184" s="41"/>
      <c r="C2184" s="9"/>
      <c r="D2184" s="9"/>
      <c r="E2184" s="42"/>
      <c r="F2184" s="43"/>
      <c r="G2184" s="27" t="str">
        <f aca="false">IF(OR(C2184="",AND(D2184="",F2184="")),"",IF(N(E2184)=0,1,E2184)*IF(F2184="",IFERROR(N(INDEX(Produtos!$L$5:$L$104,MATCH(D2184,Produtos!$B$5:$B$104,0))),0),F2184))</f>
        <v/>
      </c>
      <c r="H2184" s="27" t="str">
        <f aca="false">IF(G2184="","",IF(N(E2184)=0,1,E2184)*IFERROR(N(INDEX(Produtos!$G$5:$G$104,MATCH(D2184,Produtos!$B$5:$B$104,0))),0))</f>
        <v/>
      </c>
      <c r="I2184" s="27" t="str">
        <f aca="false">IF(G2184="","",G2184-H2184)</f>
        <v/>
      </c>
      <c r="J2184" s="42"/>
    </row>
    <row r="2185" customFormat="false" ht="21" hidden="false" customHeight="true" outlineLevel="0" collapsed="false">
      <c r="B2185" s="41"/>
      <c r="C2185" s="9"/>
      <c r="D2185" s="9"/>
      <c r="E2185" s="42"/>
      <c r="F2185" s="43"/>
      <c r="G2185" s="27" t="str">
        <f aca="false">IF(OR(C2185="",AND(D2185="",F2185="")),"",IF(N(E2185)=0,1,E2185)*IF(F2185="",IFERROR(N(INDEX(Produtos!$L$5:$L$104,MATCH(D2185,Produtos!$B$5:$B$104,0))),0),F2185))</f>
        <v/>
      </c>
      <c r="H2185" s="27" t="str">
        <f aca="false">IF(G2185="","",IF(N(E2185)=0,1,E2185)*IFERROR(N(INDEX(Produtos!$G$5:$G$104,MATCH(D2185,Produtos!$B$5:$B$104,0))),0))</f>
        <v/>
      </c>
      <c r="I2185" s="27" t="str">
        <f aca="false">IF(G2185="","",G2185-H2185)</f>
        <v/>
      </c>
      <c r="J2185" s="42"/>
    </row>
    <row r="2186" customFormat="false" ht="21" hidden="false" customHeight="true" outlineLevel="0" collapsed="false">
      <c r="B2186" s="41"/>
      <c r="C2186" s="9"/>
      <c r="D2186" s="9"/>
      <c r="E2186" s="42"/>
      <c r="F2186" s="43"/>
      <c r="G2186" s="27" t="str">
        <f aca="false">IF(OR(C2186="",AND(D2186="",F2186="")),"",IF(N(E2186)=0,1,E2186)*IF(F2186="",IFERROR(N(INDEX(Produtos!$L$5:$L$104,MATCH(D2186,Produtos!$B$5:$B$104,0))),0),F2186))</f>
        <v/>
      </c>
      <c r="H2186" s="27" t="str">
        <f aca="false">IF(G2186="","",IF(N(E2186)=0,1,E2186)*IFERROR(N(INDEX(Produtos!$G$5:$G$104,MATCH(D2186,Produtos!$B$5:$B$104,0))),0))</f>
        <v/>
      </c>
      <c r="I2186" s="27" t="str">
        <f aca="false">IF(G2186="","",G2186-H2186)</f>
        <v/>
      </c>
      <c r="J2186" s="42"/>
    </row>
    <row r="2187" customFormat="false" ht="21" hidden="false" customHeight="true" outlineLevel="0" collapsed="false">
      <c r="B2187" s="41"/>
      <c r="C2187" s="9"/>
      <c r="D2187" s="9"/>
      <c r="E2187" s="42"/>
      <c r="F2187" s="43"/>
      <c r="G2187" s="27" t="str">
        <f aca="false">IF(OR(C2187="",AND(D2187="",F2187="")),"",IF(N(E2187)=0,1,E2187)*IF(F2187="",IFERROR(N(INDEX(Produtos!$L$5:$L$104,MATCH(D2187,Produtos!$B$5:$B$104,0))),0),F2187))</f>
        <v/>
      </c>
      <c r="H2187" s="27" t="str">
        <f aca="false">IF(G2187="","",IF(N(E2187)=0,1,E2187)*IFERROR(N(INDEX(Produtos!$G$5:$G$104,MATCH(D2187,Produtos!$B$5:$B$104,0))),0))</f>
        <v/>
      </c>
      <c r="I2187" s="27" t="str">
        <f aca="false">IF(G2187="","",G2187-H2187)</f>
        <v/>
      </c>
      <c r="J2187" s="42"/>
    </row>
    <row r="2188" customFormat="false" ht="21" hidden="false" customHeight="true" outlineLevel="0" collapsed="false">
      <c r="B2188" s="41"/>
      <c r="C2188" s="9"/>
      <c r="D2188" s="9"/>
      <c r="E2188" s="42"/>
      <c r="F2188" s="43"/>
      <c r="G2188" s="27" t="str">
        <f aca="false">IF(OR(C2188="",AND(D2188="",F2188="")),"",IF(N(E2188)=0,1,E2188)*IF(F2188="",IFERROR(N(INDEX(Produtos!$L$5:$L$104,MATCH(D2188,Produtos!$B$5:$B$104,0))),0),F2188))</f>
        <v/>
      </c>
      <c r="H2188" s="27" t="str">
        <f aca="false">IF(G2188="","",IF(N(E2188)=0,1,E2188)*IFERROR(N(INDEX(Produtos!$G$5:$G$104,MATCH(D2188,Produtos!$B$5:$B$104,0))),0))</f>
        <v/>
      </c>
      <c r="I2188" s="27" t="str">
        <f aca="false">IF(G2188="","",G2188-H2188)</f>
        <v/>
      </c>
      <c r="J2188" s="42"/>
    </row>
    <row r="2189" customFormat="false" ht="21" hidden="false" customHeight="true" outlineLevel="0" collapsed="false">
      <c r="B2189" s="41"/>
      <c r="C2189" s="9"/>
      <c r="D2189" s="9"/>
      <c r="E2189" s="42"/>
      <c r="F2189" s="43"/>
      <c r="G2189" s="27" t="str">
        <f aca="false">IF(OR(C2189="",AND(D2189="",F2189="")),"",IF(N(E2189)=0,1,E2189)*IF(F2189="",IFERROR(N(INDEX(Produtos!$L$5:$L$104,MATCH(D2189,Produtos!$B$5:$B$104,0))),0),F2189))</f>
        <v/>
      </c>
      <c r="H2189" s="27" t="str">
        <f aca="false">IF(G2189="","",IF(N(E2189)=0,1,E2189)*IFERROR(N(INDEX(Produtos!$G$5:$G$104,MATCH(D2189,Produtos!$B$5:$B$104,0))),0))</f>
        <v/>
      </c>
      <c r="I2189" s="27" t="str">
        <f aca="false">IF(G2189="","",G2189-H2189)</f>
        <v/>
      </c>
      <c r="J2189" s="42"/>
    </row>
    <row r="2190" customFormat="false" ht="21" hidden="false" customHeight="true" outlineLevel="0" collapsed="false">
      <c r="B2190" s="41"/>
      <c r="C2190" s="9"/>
      <c r="D2190" s="9"/>
      <c r="E2190" s="42"/>
      <c r="F2190" s="43"/>
      <c r="G2190" s="27" t="str">
        <f aca="false">IF(OR(C2190="",AND(D2190="",F2190="")),"",IF(N(E2190)=0,1,E2190)*IF(F2190="",IFERROR(N(INDEX(Produtos!$L$5:$L$104,MATCH(D2190,Produtos!$B$5:$B$104,0))),0),F2190))</f>
        <v/>
      </c>
      <c r="H2190" s="27" t="str">
        <f aca="false">IF(G2190="","",IF(N(E2190)=0,1,E2190)*IFERROR(N(INDEX(Produtos!$G$5:$G$104,MATCH(D2190,Produtos!$B$5:$B$104,0))),0))</f>
        <v/>
      </c>
      <c r="I2190" s="27" t="str">
        <f aca="false">IF(G2190="","",G2190-H2190)</f>
        <v/>
      </c>
      <c r="J2190" s="42"/>
    </row>
    <row r="2191" customFormat="false" ht="21" hidden="false" customHeight="true" outlineLevel="0" collapsed="false">
      <c r="B2191" s="41"/>
      <c r="C2191" s="9"/>
      <c r="D2191" s="9"/>
      <c r="E2191" s="42"/>
      <c r="F2191" s="43"/>
      <c r="G2191" s="27" t="str">
        <f aca="false">IF(OR(C2191="",AND(D2191="",F2191="")),"",IF(N(E2191)=0,1,E2191)*IF(F2191="",IFERROR(N(INDEX(Produtos!$L$5:$L$104,MATCH(D2191,Produtos!$B$5:$B$104,0))),0),F2191))</f>
        <v/>
      </c>
      <c r="H2191" s="27" t="str">
        <f aca="false">IF(G2191="","",IF(N(E2191)=0,1,E2191)*IFERROR(N(INDEX(Produtos!$G$5:$G$104,MATCH(D2191,Produtos!$B$5:$B$104,0))),0))</f>
        <v/>
      </c>
      <c r="I2191" s="27" t="str">
        <f aca="false">IF(G2191="","",G2191-H2191)</f>
        <v/>
      </c>
      <c r="J2191" s="42"/>
    </row>
    <row r="2192" customFormat="false" ht="21" hidden="false" customHeight="true" outlineLevel="0" collapsed="false">
      <c r="B2192" s="41"/>
      <c r="C2192" s="9"/>
      <c r="D2192" s="9"/>
      <c r="E2192" s="42"/>
      <c r="F2192" s="43"/>
      <c r="G2192" s="27" t="str">
        <f aca="false">IF(OR(C2192="",AND(D2192="",F2192="")),"",IF(N(E2192)=0,1,E2192)*IF(F2192="",IFERROR(N(INDEX(Produtos!$L$5:$L$104,MATCH(D2192,Produtos!$B$5:$B$104,0))),0),F2192))</f>
        <v/>
      </c>
      <c r="H2192" s="27" t="str">
        <f aca="false">IF(G2192="","",IF(N(E2192)=0,1,E2192)*IFERROR(N(INDEX(Produtos!$G$5:$G$104,MATCH(D2192,Produtos!$B$5:$B$104,0))),0))</f>
        <v/>
      </c>
      <c r="I2192" s="27" t="str">
        <f aca="false">IF(G2192="","",G2192-H2192)</f>
        <v/>
      </c>
      <c r="J2192" s="42"/>
    </row>
    <row r="2193" customFormat="false" ht="21" hidden="false" customHeight="true" outlineLevel="0" collapsed="false">
      <c r="B2193" s="41"/>
      <c r="C2193" s="9"/>
      <c r="D2193" s="9"/>
      <c r="E2193" s="42"/>
      <c r="F2193" s="43"/>
      <c r="G2193" s="27" t="str">
        <f aca="false">IF(OR(C2193="",AND(D2193="",F2193="")),"",IF(N(E2193)=0,1,E2193)*IF(F2193="",IFERROR(N(INDEX(Produtos!$L$5:$L$104,MATCH(D2193,Produtos!$B$5:$B$104,0))),0),F2193))</f>
        <v/>
      </c>
      <c r="H2193" s="27" t="str">
        <f aca="false">IF(G2193="","",IF(N(E2193)=0,1,E2193)*IFERROR(N(INDEX(Produtos!$G$5:$G$104,MATCH(D2193,Produtos!$B$5:$B$104,0))),0))</f>
        <v/>
      </c>
      <c r="I2193" s="27" t="str">
        <f aca="false">IF(G2193="","",G2193-H2193)</f>
        <v/>
      </c>
      <c r="J2193" s="42"/>
    </row>
    <row r="2194" customFormat="false" ht="21" hidden="false" customHeight="true" outlineLevel="0" collapsed="false">
      <c r="B2194" s="41"/>
      <c r="C2194" s="9"/>
      <c r="D2194" s="9"/>
      <c r="E2194" s="42"/>
      <c r="F2194" s="43"/>
      <c r="G2194" s="27" t="str">
        <f aca="false">IF(OR(C2194="",AND(D2194="",F2194="")),"",IF(N(E2194)=0,1,E2194)*IF(F2194="",IFERROR(N(INDEX(Produtos!$L$5:$L$104,MATCH(D2194,Produtos!$B$5:$B$104,0))),0),F2194))</f>
        <v/>
      </c>
      <c r="H2194" s="27" t="str">
        <f aca="false">IF(G2194="","",IF(N(E2194)=0,1,E2194)*IFERROR(N(INDEX(Produtos!$G$5:$G$104,MATCH(D2194,Produtos!$B$5:$B$104,0))),0))</f>
        <v/>
      </c>
      <c r="I2194" s="27" t="str">
        <f aca="false">IF(G2194="","",G2194-H2194)</f>
        <v/>
      </c>
      <c r="J2194" s="42"/>
    </row>
    <row r="2195" customFormat="false" ht="21" hidden="false" customHeight="true" outlineLevel="0" collapsed="false">
      <c r="B2195" s="41"/>
      <c r="C2195" s="9"/>
      <c r="D2195" s="9"/>
      <c r="E2195" s="42"/>
      <c r="F2195" s="43"/>
      <c r="G2195" s="27" t="str">
        <f aca="false">IF(OR(C2195="",AND(D2195="",F2195="")),"",IF(N(E2195)=0,1,E2195)*IF(F2195="",IFERROR(N(INDEX(Produtos!$L$5:$L$104,MATCH(D2195,Produtos!$B$5:$B$104,0))),0),F2195))</f>
        <v/>
      </c>
      <c r="H2195" s="27" t="str">
        <f aca="false">IF(G2195="","",IF(N(E2195)=0,1,E2195)*IFERROR(N(INDEX(Produtos!$G$5:$G$104,MATCH(D2195,Produtos!$B$5:$B$104,0))),0))</f>
        <v/>
      </c>
      <c r="I2195" s="27" t="str">
        <f aca="false">IF(G2195="","",G2195-H2195)</f>
        <v/>
      </c>
      <c r="J2195" s="42"/>
    </row>
    <row r="2196" customFormat="false" ht="21" hidden="false" customHeight="true" outlineLevel="0" collapsed="false">
      <c r="B2196" s="41"/>
      <c r="C2196" s="9"/>
      <c r="D2196" s="9"/>
      <c r="E2196" s="42"/>
      <c r="F2196" s="43"/>
      <c r="G2196" s="27" t="str">
        <f aca="false">IF(OR(C2196="",AND(D2196="",F2196="")),"",IF(N(E2196)=0,1,E2196)*IF(F2196="",IFERROR(N(INDEX(Produtos!$L$5:$L$104,MATCH(D2196,Produtos!$B$5:$B$104,0))),0),F2196))</f>
        <v/>
      </c>
      <c r="H2196" s="27" t="str">
        <f aca="false">IF(G2196="","",IF(N(E2196)=0,1,E2196)*IFERROR(N(INDEX(Produtos!$G$5:$G$104,MATCH(D2196,Produtos!$B$5:$B$104,0))),0))</f>
        <v/>
      </c>
      <c r="I2196" s="27" t="str">
        <f aca="false">IF(G2196="","",G2196-H2196)</f>
        <v/>
      </c>
      <c r="J2196" s="42"/>
    </row>
    <row r="2197" customFormat="false" ht="21" hidden="false" customHeight="true" outlineLevel="0" collapsed="false">
      <c r="B2197" s="41"/>
      <c r="C2197" s="9"/>
      <c r="D2197" s="9"/>
      <c r="E2197" s="42"/>
      <c r="F2197" s="43"/>
      <c r="G2197" s="27" t="str">
        <f aca="false">IF(OR(C2197="",AND(D2197="",F2197="")),"",IF(N(E2197)=0,1,E2197)*IF(F2197="",IFERROR(N(INDEX(Produtos!$L$5:$L$104,MATCH(D2197,Produtos!$B$5:$B$104,0))),0),F2197))</f>
        <v/>
      </c>
      <c r="H2197" s="27" t="str">
        <f aca="false">IF(G2197="","",IF(N(E2197)=0,1,E2197)*IFERROR(N(INDEX(Produtos!$G$5:$G$104,MATCH(D2197,Produtos!$B$5:$B$104,0))),0))</f>
        <v/>
      </c>
      <c r="I2197" s="27" t="str">
        <f aca="false">IF(G2197="","",G2197-H2197)</f>
        <v/>
      </c>
      <c r="J2197" s="42"/>
    </row>
    <row r="2198" customFormat="false" ht="21" hidden="false" customHeight="true" outlineLevel="0" collapsed="false">
      <c r="B2198" s="41"/>
      <c r="C2198" s="9"/>
      <c r="D2198" s="9"/>
      <c r="E2198" s="42"/>
      <c r="F2198" s="43"/>
      <c r="G2198" s="27" t="str">
        <f aca="false">IF(OR(C2198="",AND(D2198="",F2198="")),"",IF(N(E2198)=0,1,E2198)*IF(F2198="",IFERROR(N(INDEX(Produtos!$L$5:$L$104,MATCH(D2198,Produtos!$B$5:$B$104,0))),0),F2198))</f>
        <v/>
      </c>
      <c r="H2198" s="27" t="str">
        <f aca="false">IF(G2198="","",IF(N(E2198)=0,1,E2198)*IFERROR(N(INDEX(Produtos!$G$5:$G$104,MATCH(D2198,Produtos!$B$5:$B$104,0))),0))</f>
        <v/>
      </c>
      <c r="I2198" s="27" t="str">
        <f aca="false">IF(G2198="","",G2198-H2198)</f>
        <v/>
      </c>
      <c r="J2198" s="42"/>
    </row>
    <row r="2199" customFormat="false" ht="21" hidden="false" customHeight="true" outlineLevel="0" collapsed="false">
      <c r="B2199" s="41"/>
      <c r="C2199" s="9"/>
      <c r="D2199" s="9"/>
      <c r="E2199" s="42"/>
      <c r="F2199" s="43"/>
      <c r="G2199" s="27" t="str">
        <f aca="false">IF(OR(C2199="",AND(D2199="",F2199="")),"",IF(N(E2199)=0,1,E2199)*IF(F2199="",IFERROR(N(INDEX(Produtos!$L$5:$L$104,MATCH(D2199,Produtos!$B$5:$B$104,0))),0),F2199))</f>
        <v/>
      </c>
      <c r="H2199" s="27" t="str">
        <f aca="false">IF(G2199="","",IF(N(E2199)=0,1,E2199)*IFERROR(N(INDEX(Produtos!$G$5:$G$104,MATCH(D2199,Produtos!$B$5:$B$104,0))),0))</f>
        <v/>
      </c>
      <c r="I2199" s="27" t="str">
        <f aca="false">IF(G2199="","",G2199-H2199)</f>
        <v/>
      </c>
      <c r="J2199" s="42"/>
    </row>
    <row r="2200" customFormat="false" ht="21" hidden="false" customHeight="true" outlineLevel="0" collapsed="false">
      <c r="B2200" s="41"/>
      <c r="C2200" s="9"/>
      <c r="D2200" s="9"/>
      <c r="E2200" s="42"/>
      <c r="F2200" s="43"/>
      <c r="G2200" s="27" t="str">
        <f aca="false">IF(OR(C2200="",AND(D2200="",F2200="")),"",IF(N(E2200)=0,1,E2200)*IF(F2200="",IFERROR(N(INDEX(Produtos!$L$5:$L$104,MATCH(D2200,Produtos!$B$5:$B$104,0))),0),F2200))</f>
        <v/>
      </c>
      <c r="H2200" s="27" t="str">
        <f aca="false">IF(G2200="","",IF(N(E2200)=0,1,E2200)*IFERROR(N(INDEX(Produtos!$G$5:$G$104,MATCH(D2200,Produtos!$B$5:$B$104,0))),0))</f>
        <v/>
      </c>
      <c r="I2200" s="27" t="str">
        <f aca="false">IF(G2200="","",G2200-H2200)</f>
        <v/>
      </c>
      <c r="J2200" s="42"/>
    </row>
    <row r="2201" customFormat="false" ht="21" hidden="false" customHeight="true" outlineLevel="0" collapsed="false">
      <c r="B2201" s="41"/>
      <c r="C2201" s="9"/>
      <c r="D2201" s="9"/>
      <c r="E2201" s="42"/>
      <c r="F2201" s="43"/>
      <c r="G2201" s="27" t="str">
        <f aca="false">IF(OR(C2201="",AND(D2201="",F2201="")),"",IF(N(E2201)=0,1,E2201)*IF(F2201="",IFERROR(N(INDEX(Produtos!$L$5:$L$104,MATCH(D2201,Produtos!$B$5:$B$104,0))),0),F2201))</f>
        <v/>
      </c>
      <c r="H2201" s="27" t="str">
        <f aca="false">IF(G2201="","",IF(N(E2201)=0,1,E2201)*IFERROR(N(INDEX(Produtos!$G$5:$G$104,MATCH(D2201,Produtos!$B$5:$B$104,0))),0))</f>
        <v/>
      </c>
      <c r="I2201" s="27" t="str">
        <f aca="false">IF(G2201="","",G2201-H2201)</f>
        <v/>
      </c>
      <c r="J2201" s="42"/>
    </row>
    <row r="2202" customFormat="false" ht="21" hidden="false" customHeight="true" outlineLevel="0" collapsed="false">
      <c r="B2202" s="41"/>
      <c r="C2202" s="9"/>
      <c r="D2202" s="9"/>
      <c r="E2202" s="42"/>
      <c r="F2202" s="43"/>
      <c r="G2202" s="27" t="str">
        <f aca="false">IF(OR(C2202="",AND(D2202="",F2202="")),"",IF(N(E2202)=0,1,E2202)*IF(F2202="",IFERROR(N(INDEX(Produtos!$L$5:$L$104,MATCH(D2202,Produtos!$B$5:$B$104,0))),0),F2202))</f>
        <v/>
      </c>
      <c r="H2202" s="27" t="str">
        <f aca="false">IF(G2202="","",IF(N(E2202)=0,1,E2202)*IFERROR(N(INDEX(Produtos!$G$5:$G$104,MATCH(D2202,Produtos!$B$5:$B$104,0))),0))</f>
        <v/>
      </c>
      <c r="I2202" s="27" t="str">
        <f aca="false">IF(G2202="","",G2202-H2202)</f>
        <v/>
      </c>
      <c r="J2202" s="42"/>
    </row>
    <row r="2203" customFormat="false" ht="21" hidden="false" customHeight="true" outlineLevel="0" collapsed="false">
      <c r="B2203" s="41"/>
      <c r="C2203" s="9"/>
      <c r="D2203" s="9"/>
      <c r="E2203" s="42"/>
      <c r="F2203" s="43"/>
      <c r="G2203" s="27" t="str">
        <f aca="false">IF(OR(C2203="",AND(D2203="",F2203="")),"",IF(N(E2203)=0,1,E2203)*IF(F2203="",IFERROR(N(INDEX(Produtos!$L$5:$L$104,MATCH(D2203,Produtos!$B$5:$B$104,0))),0),F2203))</f>
        <v/>
      </c>
      <c r="H2203" s="27" t="str">
        <f aca="false">IF(G2203="","",IF(N(E2203)=0,1,E2203)*IFERROR(N(INDEX(Produtos!$G$5:$G$104,MATCH(D2203,Produtos!$B$5:$B$104,0))),0))</f>
        <v/>
      </c>
      <c r="I2203" s="27" t="str">
        <f aca="false">IF(G2203="","",G2203-H2203)</f>
        <v/>
      </c>
      <c r="J2203" s="42"/>
    </row>
    <row r="2204" customFormat="false" ht="21" hidden="false" customHeight="true" outlineLevel="0" collapsed="false">
      <c r="B2204" s="41"/>
      <c r="C2204" s="9"/>
      <c r="D2204" s="9"/>
      <c r="E2204" s="42"/>
      <c r="F2204" s="43"/>
      <c r="G2204" s="27" t="str">
        <f aca="false">IF(OR(C2204="",AND(D2204="",F2204="")),"",IF(N(E2204)=0,1,E2204)*IF(F2204="",IFERROR(N(INDEX(Produtos!$L$5:$L$104,MATCH(D2204,Produtos!$B$5:$B$104,0))),0),F2204))</f>
        <v/>
      </c>
      <c r="H2204" s="27" t="str">
        <f aca="false">IF(G2204="","",IF(N(E2204)=0,1,E2204)*IFERROR(N(INDEX(Produtos!$G$5:$G$104,MATCH(D2204,Produtos!$B$5:$B$104,0))),0))</f>
        <v/>
      </c>
      <c r="I2204" s="27" t="str">
        <f aca="false">IF(G2204="","",G2204-H2204)</f>
        <v/>
      </c>
      <c r="J2204" s="42"/>
    </row>
    <row r="2205" customFormat="false" ht="21" hidden="false" customHeight="true" outlineLevel="0" collapsed="false">
      <c r="B2205" s="41"/>
      <c r="C2205" s="9"/>
      <c r="D2205" s="9"/>
      <c r="E2205" s="42"/>
      <c r="F2205" s="43"/>
      <c r="G2205" s="27" t="str">
        <f aca="false">IF(OR(C2205="",AND(D2205="",F2205="")),"",IF(N(E2205)=0,1,E2205)*IF(F2205="",IFERROR(N(INDEX(Produtos!$L$5:$L$104,MATCH(D2205,Produtos!$B$5:$B$104,0))),0),F2205))</f>
        <v/>
      </c>
      <c r="H2205" s="27" t="str">
        <f aca="false">IF(G2205="","",IF(N(E2205)=0,1,E2205)*IFERROR(N(INDEX(Produtos!$G$5:$G$104,MATCH(D2205,Produtos!$B$5:$B$104,0))),0))</f>
        <v/>
      </c>
      <c r="I2205" s="27" t="str">
        <f aca="false">IF(G2205="","",G2205-H2205)</f>
        <v/>
      </c>
      <c r="J2205" s="42"/>
    </row>
    <row r="2206" customFormat="false" ht="21" hidden="false" customHeight="true" outlineLevel="0" collapsed="false">
      <c r="B2206" s="41"/>
      <c r="C2206" s="9"/>
      <c r="D2206" s="9"/>
      <c r="E2206" s="42"/>
      <c r="F2206" s="43"/>
      <c r="G2206" s="27" t="str">
        <f aca="false">IF(OR(C2206="",AND(D2206="",F2206="")),"",IF(N(E2206)=0,1,E2206)*IF(F2206="",IFERROR(N(INDEX(Produtos!$L$5:$L$104,MATCH(D2206,Produtos!$B$5:$B$104,0))),0),F2206))</f>
        <v/>
      </c>
      <c r="H2206" s="27" t="str">
        <f aca="false">IF(G2206="","",IF(N(E2206)=0,1,E2206)*IFERROR(N(INDEX(Produtos!$G$5:$G$104,MATCH(D2206,Produtos!$B$5:$B$104,0))),0))</f>
        <v/>
      </c>
      <c r="I2206" s="27" t="str">
        <f aca="false">IF(G2206="","",G2206-H2206)</f>
        <v/>
      </c>
      <c r="J2206" s="42"/>
    </row>
    <row r="2207" customFormat="false" ht="21" hidden="false" customHeight="true" outlineLevel="0" collapsed="false">
      <c r="B2207" s="41"/>
      <c r="C2207" s="9"/>
      <c r="D2207" s="9"/>
      <c r="E2207" s="42"/>
      <c r="F2207" s="43"/>
      <c r="G2207" s="27" t="str">
        <f aca="false">IF(OR(C2207="",AND(D2207="",F2207="")),"",IF(N(E2207)=0,1,E2207)*IF(F2207="",IFERROR(N(INDEX(Produtos!$L$5:$L$104,MATCH(D2207,Produtos!$B$5:$B$104,0))),0),F2207))</f>
        <v/>
      </c>
      <c r="H2207" s="27" t="str">
        <f aca="false">IF(G2207="","",IF(N(E2207)=0,1,E2207)*IFERROR(N(INDEX(Produtos!$G$5:$G$104,MATCH(D2207,Produtos!$B$5:$B$104,0))),0))</f>
        <v/>
      </c>
      <c r="I2207" s="27" t="str">
        <f aca="false">IF(G2207="","",G2207-H2207)</f>
        <v/>
      </c>
      <c r="J2207" s="42"/>
    </row>
    <row r="2208" customFormat="false" ht="21" hidden="false" customHeight="true" outlineLevel="0" collapsed="false">
      <c r="B2208" s="41"/>
      <c r="C2208" s="9"/>
      <c r="D2208" s="9"/>
      <c r="E2208" s="42"/>
      <c r="F2208" s="43"/>
      <c r="G2208" s="27" t="str">
        <f aca="false">IF(OR(C2208="",AND(D2208="",F2208="")),"",IF(N(E2208)=0,1,E2208)*IF(F2208="",IFERROR(N(INDEX(Produtos!$L$5:$L$104,MATCH(D2208,Produtos!$B$5:$B$104,0))),0),F2208))</f>
        <v/>
      </c>
      <c r="H2208" s="27" t="str">
        <f aca="false">IF(G2208="","",IF(N(E2208)=0,1,E2208)*IFERROR(N(INDEX(Produtos!$G$5:$G$104,MATCH(D2208,Produtos!$B$5:$B$104,0))),0))</f>
        <v/>
      </c>
      <c r="I2208" s="27" t="str">
        <f aca="false">IF(G2208="","",G2208-H2208)</f>
        <v/>
      </c>
      <c r="J2208" s="42"/>
    </row>
    <row r="2209" customFormat="false" ht="21" hidden="false" customHeight="true" outlineLevel="0" collapsed="false">
      <c r="B2209" s="41"/>
      <c r="C2209" s="9"/>
      <c r="D2209" s="9"/>
      <c r="E2209" s="42"/>
      <c r="F2209" s="43"/>
      <c r="G2209" s="27" t="str">
        <f aca="false">IF(OR(C2209="",AND(D2209="",F2209="")),"",IF(N(E2209)=0,1,E2209)*IF(F2209="",IFERROR(N(INDEX(Produtos!$L$5:$L$104,MATCH(D2209,Produtos!$B$5:$B$104,0))),0),F2209))</f>
        <v/>
      </c>
      <c r="H2209" s="27" t="str">
        <f aca="false">IF(G2209="","",IF(N(E2209)=0,1,E2209)*IFERROR(N(INDEX(Produtos!$G$5:$G$104,MATCH(D2209,Produtos!$B$5:$B$104,0))),0))</f>
        <v/>
      </c>
      <c r="I2209" s="27" t="str">
        <f aca="false">IF(G2209="","",G2209-H2209)</f>
        <v/>
      </c>
      <c r="J2209" s="42"/>
    </row>
    <row r="2210" customFormat="false" ht="21" hidden="false" customHeight="true" outlineLevel="0" collapsed="false">
      <c r="B2210" s="41"/>
      <c r="C2210" s="9"/>
      <c r="D2210" s="9"/>
      <c r="E2210" s="42"/>
      <c r="F2210" s="43"/>
      <c r="G2210" s="27" t="str">
        <f aca="false">IF(OR(C2210="",AND(D2210="",F2210="")),"",IF(N(E2210)=0,1,E2210)*IF(F2210="",IFERROR(N(INDEX(Produtos!$L$5:$L$104,MATCH(D2210,Produtos!$B$5:$B$104,0))),0),F2210))</f>
        <v/>
      </c>
      <c r="H2210" s="27" t="str">
        <f aca="false">IF(G2210="","",IF(N(E2210)=0,1,E2210)*IFERROR(N(INDEX(Produtos!$G$5:$G$104,MATCH(D2210,Produtos!$B$5:$B$104,0))),0))</f>
        <v/>
      </c>
      <c r="I2210" s="27" t="str">
        <f aca="false">IF(G2210="","",G2210-H2210)</f>
        <v/>
      </c>
      <c r="J2210" s="42"/>
    </row>
    <row r="2211" customFormat="false" ht="21" hidden="false" customHeight="true" outlineLevel="0" collapsed="false">
      <c r="B2211" s="41"/>
      <c r="C2211" s="9"/>
      <c r="D2211" s="9"/>
      <c r="E2211" s="42"/>
      <c r="F2211" s="43"/>
      <c r="G2211" s="27" t="str">
        <f aca="false">IF(OR(C2211="",AND(D2211="",F2211="")),"",IF(N(E2211)=0,1,E2211)*IF(F2211="",IFERROR(N(INDEX(Produtos!$L$5:$L$104,MATCH(D2211,Produtos!$B$5:$B$104,0))),0),F2211))</f>
        <v/>
      </c>
      <c r="H2211" s="27" t="str">
        <f aca="false">IF(G2211="","",IF(N(E2211)=0,1,E2211)*IFERROR(N(INDEX(Produtos!$G$5:$G$104,MATCH(D2211,Produtos!$B$5:$B$104,0))),0))</f>
        <v/>
      </c>
      <c r="I2211" s="27" t="str">
        <f aca="false">IF(G2211="","",G2211-H2211)</f>
        <v/>
      </c>
      <c r="J2211" s="42"/>
    </row>
    <row r="2212" customFormat="false" ht="21" hidden="false" customHeight="true" outlineLevel="0" collapsed="false">
      <c r="B2212" s="41"/>
      <c r="C2212" s="9"/>
      <c r="D2212" s="9"/>
      <c r="E2212" s="42"/>
      <c r="F2212" s="43"/>
      <c r="G2212" s="27" t="str">
        <f aca="false">IF(OR(C2212="",AND(D2212="",F2212="")),"",IF(N(E2212)=0,1,E2212)*IF(F2212="",IFERROR(N(INDEX(Produtos!$L$5:$L$104,MATCH(D2212,Produtos!$B$5:$B$104,0))),0),F2212))</f>
        <v/>
      </c>
      <c r="H2212" s="27" t="str">
        <f aca="false">IF(G2212="","",IF(N(E2212)=0,1,E2212)*IFERROR(N(INDEX(Produtos!$G$5:$G$104,MATCH(D2212,Produtos!$B$5:$B$104,0))),0))</f>
        <v/>
      </c>
      <c r="I2212" s="27" t="str">
        <f aca="false">IF(G2212="","",G2212-H2212)</f>
        <v/>
      </c>
      <c r="J2212" s="42"/>
    </row>
    <row r="2213" customFormat="false" ht="21" hidden="false" customHeight="true" outlineLevel="0" collapsed="false">
      <c r="B2213" s="41"/>
      <c r="C2213" s="9"/>
      <c r="D2213" s="9"/>
      <c r="E2213" s="42"/>
      <c r="F2213" s="43"/>
      <c r="G2213" s="27" t="str">
        <f aca="false">IF(OR(C2213="",AND(D2213="",F2213="")),"",IF(N(E2213)=0,1,E2213)*IF(F2213="",IFERROR(N(INDEX(Produtos!$L$5:$L$104,MATCH(D2213,Produtos!$B$5:$B$104,0))),0),F2213))</f>
        <v/>
      </c>
      <c r="H2213" s="27" t="str">
        <f aca="false">IF(G2213="","",IF(N(E2213)=0,1,E2213)*IFERROR(N(INDEX(Produtos!$G$5:$G$104,MATCH(D2213,Produtos!$B$5:$B$104,0))),0))</f>
        <v/>
      </c>
      <c r="I2213" s="27" t="str">
        <f aca="false">IF(G2213="","",G2213-H2213)</f>
        <v/>
      </c>
      <c r="J2213" s="42"/>
    </row>
    <row r="2214" customFormat="false" ht="21" hidden="false" customHeight="true" outlineLevel="0" collapsed="false">
      <c r="B2214" s="41"/>
      <c r="C2214" s="9"/>
      <c r="D2214" s="9"/>
      <c r="E2214" s="42"/>
      <c r="F2214" s="43"/>
      <c r="G2214" s="27" t="str">
        <f aca="false">IF(OR(C2214="",AND(D2214="",F2214="")),"",IF(N(E2214)=0,1,E2214)*IF(F2214="",IFERROR(N(INDEX(Produtos!$L$5:$L$104,MATCH(D2214,Produtos!$B$5:$B$104,0))),0),F2214))</f>
        <v/>
      </c>
      <c r="H2214" s="27" t="str">
        <f aca="false">IF(G2214="","",IF(N(E2214)=0,1,E2214)*IFERROR(N(INDEX(Produtos!$G$5:$G$104,MATCH(D2214,Produtos!$B$5:$B$104,0))),0))</f>
        <v/>
      </c>
      <c r="I2214" s="27" t="str">
        <f aca="false">IF(G2214="","",G2214-H2214)</f>
        <v/>
      </c>
      <c r="J2214" s="42"/>
    </row>
    <row r="2215" customFormat="false" ht="21" hidden="false" customHeight="true" outlineLevel="0" collapsed="false">
      <c r="B2215" s="41"/>
      <c r="C2215" s="9"/>
      <c r="D2215" s="9"/>
      <c r="E2215" s="42"/>
      <c r="F2215" s="43"/>
      <c r="G2215" s="27" t="str">
        <f aca="false">IF(OR(C2215="",AND(D2215="",F2215="")),"",IF(N(E2215)=0,1,E2215)*IF(F2215="",IFERROR(N(INDEX(Produtos!$L$5:$L$104,MATCH(D2215,Produtos!$B$5:$B$104,0))),0),F2215))</f>
        <v/>
      </c>
      <c r="H2215" s="27" t="str">
        <f aca="false">IF(G2215="","",IF(N(E2215)=0,1,E2215)*IFERROR(N(INDEX(Produtos!$G$5:$G$104,MATCH(D2215,Produtos!$B$5:$B$104,0))),0))</f>
        <v/>
      </c>
      <c r="I2215" s="27" t="str">
        <f aca="false">IF(G2215="","",G2215-H2215)</f>
        <v/>
      </c>
      <c r="J2215" s="42"/>
    </row>
    <row r="2216" customFormat="false" ht="21" hidden="false" customHeight="true" outlineLevel="0" collapsed="false">
      <c r="B2216" s="41"/>
      <c r="C2216" s="9"/>
      <c r="D2216" s="9"/>
      <c r="E2216" s="42"/>
      <c r="F2216" s="43"/>
      <c r="G2216" s="27" t="str">
        <f aca="false">IF(OR(C2216="",AND(D2216="",F2216="")),"",IF(N(E2216)=0,1,E2216)*IF(F2216="",IFERROR(N(INDEX(Produtos!$L$5:$L$104,MATCH(D2216,Produtos!$B$5:$B$104,0))),0),F2216))</f>
        <v/>
      </c>
      <c r="H2216" s="27" t="str">
        <f aca="false">IF(G2216="","",IF(N(E2216)=0,1,E2216)*IFERROR(N(INDEX(Produtos!$G$5:$G$104,MATCH(D2216,Produtos!$B$5:$B$104,0))),0))</f>
        <v/>
      </c>
      <c r="I2216" s="27" t="str">
        <f aca="false">IF(G2216="","",G2216-H2216)</f>
        <v/>
      </c>
      <c r="J2216" s="42"/>
    </row>
    <row r="2217" customFormat="false" ht="21" hidden="false" customHeight="true" outlineLevel="0" collapsed="false">
      <c r="B2217" s="41"/>
      <c r="C2217" s="9"/>
      <c r="D2217" s="9"/>
      <c r="E2217" s="42"/>
      <c r="F2217" s="43"/>
      <c r="G2217" s="27" t="str">
        <f aca="false">IF(OR(C2217="",AND(D2217="",F2217="")),"",IF(N(E2217)=0,1,E2217)*IF(F2217="",IFERROR(N(INDEX(Produtos!$L$5:$L$104,MATCH(D2217,Produtos!$B$5:$B$104,0))),0),F2217))</f>
        <v/>
      </c>
      <c r="H2217" s="27" t="str">
        <f aca="false">IF(G2217="","",IF(N(E2217)=0,1,E2217)*IFERROR(N(INDEX(Produtos!$G$5:$G$104,MATCH(D2217,Produtos!$B$5:$B$104,0))),0))</f>
        <v/>
      </c>
      <c r="I2217" s="27" t="str">
        <f aca="false">IF(G2217="","",G2217-H2217)</f>
        <v/>
      </c>
      <c r="J2217" s="42"/>
    </row>
    <row r="2218" customFormat="false" ht="21" hidden="false" customHeight="true" outlineLevel="0" collapsed="false">
      <c r="B2218" s="41"/>
      <c r="C2218" s="9"/>
      <c r="D2218" s="9"/>
      <c r="E2218" s="42"/>
      <c r="F2218" s="43"/>
      <c r="G2218" s="27" t="str">
        <f aca="false">IF(OR(C2218="",AND(D2218="",F2218="")),"",IF(N(E2218)=0,1,E2218)*IF(F2218="",IFERROR(N(INDEX(Produtos!$L$5:$L$104,MATCH(D2218,Produtos!$B$5:$B$104,0))),0),F2218))</f>
        <v/>
      </c>
      <c r="H2218" s="27" t="str">
        <f aca="false">IF(G2218="","",IF(N(E2218)=0,1,E2218)*IFERROR(N(INDEX(Produtos!$G$5:$G$104,MATCH(D2218,Produtos!$B$5:$B$104,0))),0))</f>
        <v/>
      </c>
      <c r="I2218" s="27" t="str">
        <f aca="false">IF(G2218="","",G2218-H2218)</f>
        <v/>
      </c>
      <c r="J2218" s="42"/>
    </row>
    <row r="2219" customFormat="false" ht="21" hidden="false" customHeight="true" outlineLevel="0" collapsed="false">
      <c r="B2219" s="41"/>
      <c r="C2219" s="9"/>
      <c r="D2219" s="9"/>
      <c r="E2219" s="42"/>
      <c r="F2219" s="43"/>
      <c r="G2219" s="27" t="str">
        <f aca="false">IF(OR(C2219="",AND(D2219="",F2219="")),"",IF(N(E2219)=0,1,E2219)*IF(F2219="",IFERROR(N(INDEX(Produtos!$L$5:$L$104,MATCH(D2219,Produtos!$B$5:$B$104,0))),0),F2219))</f>
        <v/>
      </c>
      <c r="H2219" s="27" t="str">
        <f aca="false">IF(G2219="","",IF(N(E2219)=0,1,E2219)*IFERROR(N(INDEX(Produtos!$G$5:$G$104,MATCH(D2219,Produtos!$B$5:$B$104,0))),0))</f>
        <v/>
      </c>
      <c r="I2219" s="27" t="str">
        <f aca="false">IF(G2219="","",G2219-H2219)</f>
        <v/>
      </c>
      <c r="J2219" s="42"/>
    </row>
    <row r="2220" customFormat="false" ht="21" hidden="false" customHeight="true" outlineLevel="0" collapsed="false">
      <c r="B2220" s="41"/>
      <c r="C2220" s="9"/>
      <c r="D2220" s="9"/>
      <c r="E2220" s="42"/>
      <c r="F2220" s="43"/>
      <c r="G2220" s="27" t="str">
        <f aca="false">IF(OR(C2220="",AND(D2220="",F2220="")),"",IF(N(E2220)=0,1,E2220)*IF(F2220="",IFERROR(N(INDEX(Produtos!$L$5:$L$104,MATCH(D2220,Produtos!$B$5:$B$104,0))),0),F2220))</f>
        <v/>
      </c>
      <c r="H2220" s="27" t="str">
        <f aca="false">IF(G2220="","",IF(N(E2220)=0,1,E2220)*IFERROR(N(INDEX(Produtos!$G$5:$G$104,MATCH(D2220,Produtos!$B$5:$B$104,0))),0))</f>
        <v/>
      </c>
      <c r="I2220" s="27" t="str">
        <f aca="false">IF(G2220="","",G2220-H2220)</f>
        <v/>
      </c>
      <c r="J2220" s="42"/>
    </row>
    <row r="2221" customFormat="false" ht="21" hidden="false" customHeight="true" outlineLevel="0" collapsed="false">
      <c r="B2221" s="41"/>
      <c r="C2221" s="9"/>
      <c r="D2221" s="9"/>
      <c r="E2221" s="42"/>
      <c r="F2221" s="43"/>
      <c r="G2221" s="27" t="str">
        <f aca="false">IF(OR(C2221="",AND(D2221="",F2221="")),"",IF(N(E2221)=0,1,E2221)*IF(F2221="",IFERROR(N(INDEX(Produtos!$L$5:$L$104,MATCH(D2221,Produtos!$B$5:$B$104,0))),0),F2221))</f>
        <v/>
      </c>
      <c r="H2221" s="27" t="str">
        <f aca="false">IF(G2221="","",IF(N(E2221)=0,1,E2221)*IFERROR(N(INDEX(Produtos!$G$5:$G$104,MATCH(D2221,Produtos!$B$5:$B$104,0))),0))</f>
        <v/>
      </c>
      <c r="I2221" s="27" t="str">
        <f aca="false">IF(G2221="","",G2221-H2221)</f>
        <v/>
      </c>
      <c r="J2221" s="42"/>
    </row>
    <row r="2222" customFormat="false" ht="21" hidden="false" customHeight="true" outlineLevel="0" collapsed="false">
      <c r="B2222" s="41"/>
      <c r="C2222" s="9"/>
      <c r="D2222" s="9"/>
      <c r="E2222" s="42"/>
      <c r="F2222" s="43"/>
      <c r="G2222" s="27" t="str">
        <f aca="false">IF(OR(C2222="",AND(D2222="",F2222="")),"",IF(N(E2222)=0,1,E2222)*IF(F2222="",IFERROR(N(INDEX(Produtos!$L$5:$L$104,MATCH(D2222,Produtos!$B$5:$B$104,0))),0),F2222))</f>
        <v/>
      </c>
      <c r="H2222" s="27" t="str">
        <f aca="false">IF(G2222="","",IF(N(E2222)=0,1,E2222)*IFERROR(N(INDEX(Produtos!$G$5:$G$104,MATCH(D2222,Produtos!$B$5:$B$104,0))),0))</f>
        <v/>
      </c>
      <c r="I2222" s="27" t="str">
        <f aca="false">IF(G2222="","",G2222-H2222)</f>
        <v/>
      </c>
      <c r="J2222" s="42"/>
    </row>
    <row r="2223" customFormat="false" ht="21" hidden="false" customHeight="true" outlineLevel="0" collapsed="false">
      <c r="B2223" s="41"/>
      <c r="C2223" s="9"/>
      <c r="D2223" s="9"/>
      <c r="E2223" s="42"/>
      <c r="F2223" s="43"/>
      <c r="G2223" s="27" t="str">
        <f aca="false">IF(OR(C2223="",AND(D2223="",F2223="")),"",IF(N(E2223)=0,1,E2223)*IF(F2223="",IFERROR(N(INDEX(Produtos!$L$5:$L$104,MATCH(D2223,Produtos!$B$5:$B$104,0))),0),F2223))</f>
        <v/>
      </c>
      <c r="H2223" s="27" t="str">
        <f aca="false">IF(G2223="","",IF(N(E2223)=0,1,E2223)*IFERROR(N(INDEX(Produtos!$G$5:$G$104,MATCH(D2223,Produtos!$B$5:$B$104,0))),0))</f>
        <v/>
      </c>
      <c r="I2223" s="27" t="str">
        <f aca="false">IF(G2223="","",G2223-H2223)</f>
        <v/>
      </c>
      <c r="J2223" s="42"/>
    </row>
    <row r="2224" customFormat="false" ht="21" hidden="false" customHeight="true" outlineLevel="0" collapsed="false">
      <c r="B2224" s="41"/>
      <c r="C2224" s="9"/>
      <c r="D2224" s="9"/>
      <c r="E2224" s="42"/>
      <c r="F2224" s="43"/>
      <c r="G2224" s="27" t="str">
        <f aca="false">IF(OR(C2224="",AND(D2224="",F2224="")),"",IF(N(E2224)=0,1,E2224)*IF(F2224="",IFERROR(N(INDEX(Produtos!$L$5:$L$104,MATCH(D2224,Produtos!$B$5:$B$104,0))),0),F2224))</f>
        <v/>
      </c>
      <c r="H2224" s="27" t="str">
        <f aca="false">IF(G2224="","",IF(N(E2224)=0,1,E2224)*IFERROR(N(INDEX(Produtos!$G$5:$G$104,MATCH(D2224,Produtos!$B$5:$B$104,0))),0))</f>
        <v/>
      </c>
      <c r="I2224" s="27" t="str">
        <f aca="false">IF(G2224="","",G2224-H2224)</f>
        <v/>
      </c>
      <c r="J2224" s="42"/>
    </row>
    <row r="2225" customFormat="false" ht="21" hidden="false" customHeight="true" outlineLevel="0" collapsed="false">
      <c r="B2225" s="41"/>
      <c r="C2225" s="9"/>
      <c r="D2225" s="9"/>
      <c r="E2225" s="42"/>
      <c r="F2225" s="43"/>
      <c r="G2225" s="27" t="str">
        <f aca="false">IF(OR(C2225="",AND(D2225="",F2225="")),"",IF(N(E2225)=0,1,E2225)*IF(F2225="",IFERROR(N(INDEX(Produtos!$L$5:$L$104,MATCH(D2225,Produtos!$B$5:$B$104,0))),0),F2225))</f>
        <v/>
      </c>
      <c r="H2225" s="27" t="str">
        <f aca="false">IF(G2225="","",IF(N(E2225)=0,1,E2225)*IFERROR(N(INDEX(Produtos!$G$5:$G$104,MATCH(D2225,Produtos!$B$5:$B$104,0))),0))</f>
        <v/>
      </c>
      <c r="I2225" s="27" t="str">
        <f aca="false">IF(G2225="","",G2225-H2225)</f>
        <v/>
      </c>
      <c r="J2225" s="42"/>
    </row>
    <row r="2226" customFormat="false" ht="21" hidden="false" customHeight="true" outlineLevel="0" collapsed="false">
      <c r="B2226" s="41"/>
      <c r="C2226" s="9"/>
      <c r="D2226" s="9"/>
      <c r="E2226" s="42"/>
      <c r="F2226" s="43"/>
      <c r="G2226" s="27" t="str">
        <f aca="false">IF(OR(C2226="",AND(D2226="",F2226="")),"",IF(N(E2226)=0,1,E2226)*IF(F2226="",IFERROR(N(INDEX(Produtos!$L$5:$L$104,MATCH(D2226,Produtos!$B$5:$B$104,0))),0),F2226))</f>
        <v/>
      </c>
      <c r="H2226" s="27" t="str">
        <f aca="false">IF(G2226="","",IF(N(E2226)=0,1,E2226)*IFERROR(N(INDEX(Produtos!$G$5:$G$104,MATCH(D2226,Produtos!$B$5:$B$104,0))),0))</f>
        <v/>
      </c>
      <c r="I2226" s="27" t="str">
        <f aca="false">IF(G2226="","",G2226-H2226)</f>
        <v/>
      </c>
      <c r="J2226" s="42"/>
    </row>
    <row r="2227" customFormat="false" ht="21" hidden="false" customHeight="true" outlineLevel="0" collapsed="false">
      <c r="B2227" s="41"/>
      <c r="C2227" s="9"/>
      <c r="D2227" s="9"/>
      <c r="E2227" s="42"/>
      <c r="F2227" s="43"/>
      <c r="G2227" s="27" t="str">
        <f aca="false">IF(OR(C2227="",AND(D2227="",F2227="")),"",IF(N(E2227)=0,1,E2227)*IF(F2227="",IFERROR(N(INDEX(Produtos!$L$5:$L$104,MATCH(D2227,Produtos!$B$5:$B$104,0))),0),F2227))</f>
        <v/>
      </c>
      <c r="H2227" s="27" t="str">
        <f aca="false">IF(G2227="","",IF(N(E2227)=0,1,E2227)*IFERROR(N(INDEX(Produtos!$G$5:$G$104,MATCH(D2227,Produtos!$B$5:$B$104,0))),0))</f>
        <v/>
      </c>
      <c r="I2227" s="27" t="str">
        <f aca="false">IF(G2227="","",G2227-H2227)</f>
        <v/>
      </c>
      <c r="J2227" s="42"/>
    </row>
    <row r="2228" customFormat="false" ht="21" hidden="false" customHeight="true" outlineLevel="0" collapsed="false">
      <c r="B2228" s="41"/>
      <c r="C2228" s="9"/>
      <c r="D2228" s="9"/>
      <c r="E2228" s="42"/>
      <c r="F2228" s="43"/>
      <c r="G2228" s="27" t="str">
        <f aca="false">IF(OR(C2228="",AND(D2228="",F2228="")),"",IF(N(E2228)=0,1,E2228)*IF(F2228="",IFERROR(N(INDEX(Produtos!$L$5:$L$104,MATCH(D2228,Produtos!$B$5:$B$104,0))),0),F2228))</f>
        <v/>
      </c>
      <c r="H2228" s="27" t="str">
        <f aca="false">IF(G2228="","",IF(N(E2228)=0,1,E2228)*IFERROR(N(INDEX(Produtos!$G$5:$G$104,MATCH(D2228,Produtos!$B$5:$B$104,0))),0))</f>
        <v/>
      </c>
      <c r="I2228" s="27" t="str">
        <f aca="false">IF(G2228="","",G2228-H2228)</f>
        <v/>
      </c>
      <c r="J2228" s="42"/>
    </row>
    <row r="2229" customFormat="false" ht="21" hidden="false" customHeight="true" outlineLevel="0" collapsed="false">
      <c r="B2229" s="41"/>
      <c r="C2229" s="9"/>
      <c r="D2229" s="9"/>
      <c r="E2229" s="42"/>
      <c r="F2229" s="43"/>
      <c r="G2229" s="27" t="str">
        <f aca="false">IF(OR(C2229="",AND(D2229="",F2229="")),"",IF(N(E2229)=0,1,E2229)*IF(F2229="",IFERROR(N(INDEX(Produtos!$L$5:$L$104,MATCH(D2229,Produtos!$B$5:$B$104,0))),0),F2229))</f>
        <v/>
      </c>
      <c r="H2229" s="27" t="str">
        <f aca="false">IF(G2229="","",IF(N(E2229)=0,1,E2229)*IFERROR(N(INDEX(Produtos!$G$5:$G$104,MATCH(D2229,Produtos!$B$5:$B$104,0))),0))</f>
        <v/>
      </c>
      <c r="I2229" s="27" t="str">
        <f aca="false">IF(G2229="","",G2229-H2229)</f>
        <v/>
      </c>
      <c r="J2229" s="42"/>
    </row>
    <row r="2230" customFormat="false" ht="21" hidden="false" customHeight="true" outlineLevel="0" collapsed="false">
      <c r="B2230" s="41"/>
      <c r="C2230" s="9"/>
      <c r="D2230" s="9"/>
      <c r="E2230" s="42"/>
      <c r="F2230" s="43"/>
      <c r="G2230" s="27" t="str">
        <f aca="false">IF(OR(C2230="",AND(D2230="",F2230="")),"",IF(N(E2230)=0,1,E2230)*IF(F2230="",IFERROR(N(INDEX(Produtos!$L$5:$L$104,MATCH(D2230,Produtos!$B$5:$B$104,0))),0),F2230))</f>
        <v/>
      </c>
      <c r="H2230" s="27" t="str">
        <f aca="false">IF(G2230="","",IF(N(E2230)=0,1,E2230)*IFERROR(N(INDEX(Produtos!$G$5:$G$104,MATCH(D2230,Produtos!$B$5:$B$104,0))),0))</f>
        <v/>
      </c>
      <c r="I2230" s="27" t="str">
        <f aca="false">IF(G2230="","",G2230-H2230)</f>
        <v/>
      </c>
      <c r="J2230" s="42"/>
    </row>
    <row r="2231" customFormat="false" ht="21" hidden="false" customHeight="true" outlineLevel="0" collapsed="false">
      <c r="B2231" s="41"/>
      <c r="C2231" s="9"/>
      <c r="D2231" s="9"/>
      <c r="E2231" s="42"/>
      <c r="F2231" s="43"/>
      <c r="G2231" s="27" t="str">
        <f aca="false">IF(OR(C2231="",AND(D2231="",F2231="")),"",IF(N(E2231)=0,1,E2231)*IF(F2231="",IFERROR(N(INDEX(Produtos!$L$5:$L$104,MATCH(D2231,Produtos!$B$5:$B$104,0))),0),F2231))</f>
        <v/>
      </c>
      <c r="H2231" s="27" t="str">
        <f aca="false">IF(G2231="","",IF(N(E2231)=0,1,E2231)*IFERROR(N(INDEX(Produtos!$G$5:$G$104,MATCH(D2231,Produtos!$B$5:$B$104,0))),0))</f>
        <v/>
      </c>
      <c r="I2231" s="27" t="str">
        <f aca="false">IF(G2231="","",G2231-H2231)</f>
        <v/>
      </c>
      <c r="J2231" s="42"/>
    </row>
    <row r="2232" customFormat="false" ht="21" hidden="false" customHeight="true" outlineLevel="0" collapsed="false">
      <c r="B2232" s="41"/>
      <c r="C2232" s="9"/>
      <c r="D2232" s="9"/>
      <c r="E2232" s="42"/>
      <c r="F2232" s="43"/>
      <c r="G2232" s="27" t="str">
        <f aca="false">IF(OR(C2232="",AND(D2232="",F2232="")),"",IF(N(E2232)=0,1,E2232)*IF(F2232="",IFERROR(N(INDEX(Produtos!$L$5:$L$104,MATCH(D2232,Produtos!$B$5:$B$104,0))),0),F2232))</f>
        <v/>
      </c>
      <c r="H2232" s="27" t="str">
        <f aca="false">IF(G2232="","",IF(N(E2232)=0,1,E2232)*IFERROR(N(INDEX(Produtos!$G$5:$G$104,MATCH(D2232,Produtos!$B$5:$B$104,0))),0))</f>
        <v/>
      </c>
      <c r="I2232" s="27" t="str">
        <f aca="false">IF(G2232="","",G2232-H2232)</f>
        <v/>
      </c>
      <c r="J2232" s="42"/>
    </row>
    <row r="2233" customFormat="false" ht="21" hidden="false" customHeight="true" outlineLevel="0" collapsed="false">
      <c r="B2233" s="41"/>
      <c r="C2233" s="9"/>
      <c r="D2233" s="9"/>
      <c r="E2233" s="42"/>
      <c r="F2233" s="43"/>
      <c r="G2233" s="27" t="str">
        <f aca="false">IF(OR(C2233="",AND(D2233="",F2233="")),"",IF(N(E2233)=0,1,E2233)*IF(F2233="",IFERROR(N(INDEX(Produtos!$L$5:$L$104,MATCH(D2233,Produtos!$B$5:$B$104,0))),0),F2233))</f>
        <v/>
      </c>
      <c r="H2233" s="27" t="str">
        <f aca="false">IF(G2233="","",IF(N(E2233)=0,1,E2233)*IFERROR(N(INDEX(Produtos!$G$5:$G$104,MATCH(D2233,Produtos!$B$5:$B$104,0))),0))</f>
        <v/>
      </c>
      <c r="I2233" s="27" t="str">
        <f aca="false">IF(G2233="","",G2233-H2233)</f>
        <v/>
      </c>
      <c r="J2233" s="42"/>
    </row>
    <row r="2234" customFormat="false" ht="21" hidden="false" customHeight="true" outlineLevel="0" collapsed="false">
      <c r="B2234" s="41"/>
      <c r="C2234" s="9"/>
      <c r="D2234" s="9"/>
      <c r="E2234" s="42"/>
      <c r="F2234" s="43"/>
      <c r="G2234" s="27" t="str">
        <f aca="false">IF(OR(C2234="",AND(D2234="",F2234="")),"",IF(N(E2234)=0,1,E2234)*IF(F2234="",IFERROR(N(INDEX(Produtos!$L$5:$L$104,MATCH(D2234,Produtos!$B$5:$B$104,0))),0),F2234))</f>
        <v/>
      </c>
      <c r="H2234" s="27" t="str">
        <f aca="false">IF(G2234="","",IF(N(E2234)=0,1,E2234)*IFERROR(N(INDEX(Produtos!$G$5:$G$104,MATCH(D2234,Produtos!$B$5:$B$104,0))),0))</f>
        <v/>
      </c>
      <c r="I2234" s="27" t="str">
        <f aca="false">IF(G2234="","",G2234-H2234)</f>
        <v/>
      </c>
      <c r="J2234" s="42"/>
    </row>
    <row r="2235" customFormat="false" ht="21" hidden="false" customHeight="true" outlineLevel="0" collapsed="false">
      <c r="B2235" s="41"/>
      <c r="C2235" s="9"/>
      <c r="D2235" s="9"/>
      <c r="E2235" s="42"/>
      <c r="F2235" s="43"/>
      <c r="G2235" s="27" t="str">
        <f aca="false">IF(OR(C2235="",AND(D2235="",F2235="")),"",IF(N(E2235)=0,1,E2235)*IF(F2235="",IFERROR(N(INDEX(Produtos!$L$5:$L$104,MATCH(D2235,Produtos!$B$5:$B$104,0))),0),F2235))</f>
        <v/>
      </c>
      <c r="H2235" s="27" t="str">
        <f aca="false">IF(G2235="","",IF(N(E2235)=0,1,E2235)*IFERROR(N(INDEX(Produtos!$G$5:$G$104,MATCH(D2235,Produtos!$B$5:$B$104,0))),0))</f>
        <v/>
      </c>
      <c r="I2235" s="27" t="str">
        <f aca="false">IF(G2235="","",G2235-H2235)</f>
        <v/>
      </c>
      <c r="J2235" s="42"/>
    </row>
    <row r="2236" customFormat="false" ht="21" hidden="false" customHeight="true" outlineLevel="0" collapsed="false">
      <c r="B2236" s="41"/>
      <c r="C2236" s="9"/>
      <c r="D2236" s="9"/>
      <c r="E2236" s="42"/>
      <c r="F2236" s="43"/>
      <c r="G2236" s="27" t="str">
        <f aca="false">IF(OR(C2236="",AND(D2236="",F2236="")),"",IF(N(E2236)=0,1,E2236)*IF(F2236="",IFERROR(N(INDEX(Produtos!$L$5:$L$104,MATCH(D2236,Produtos!$B$5:$B$104,0))),0),F2236))</f>
        <v/>
      </c>
      <c r="H2236" s="27" t="str">
        <f aca="false">IF(G2236="","",IF(N(E2236)=0,1,E2236)*IFERROR(N(INDEX(Produtos!$G$5:$G$104,MATCH(D2236,Produtos!$B$5:$B$104,0))),0))</f>
        <v/>
      </c>
      <c r="I2236" s="27" t="str">
        <f aca="false">IF(G2236="","",G2236-H2236)</f>
        <v/>
      </c>
      <c r="J2236" s="42"/>
    </row>
    <row r="2237" customFormat="false" ht="21" hidden="false" customHeight="true" outlineLevel="0" collapsed="false">
      <c r="B2237" s="41"/>
      <c r="C2237" s="9"/>
      <c r="D2237" s="9"/>
      <c r="E2237" s="42"/>
      <c r="F2237" s="43"/>
      <c r="G2237" s="27" t="str">
        <f aca="false">IF(OR(C2237="",AND(D2237="",F2237="")),"",IF(N(E2237)=0,1,E2237)*IF(F2237="",IFERROR(N(INDEX(Produtos!$L$5:$L$104,MATCH(D2237,Produtos!$B$5:$B$104,0))),0),F2237))</f>
        <v/>
      </c>
      <c r="H2237" s="27" t="str">
        <f aca="false">IF(G2237="","",IF(N(E2237)=0,1,E2237)*IFERROR(N(INDEX(Produtos!$G$5:$G$104,MATCH(D2237,Produtos!$B$5:$B$104,0))),0))</f>
        <v/>
      </c>
      <c r="I2237" s="27" t="str">
        <f aca="false">IF(G2237="","",G2237-H2237)</f>
        <v/>
      </c>
      <c r="J2237" s="42"/>
    </row>
    <row r="2238" customFormat="false" ht="21" hidden="false" customHeight="true" outlineLevel="0" collapsed="false">
      <c r="B2238" s="41"/>
      <c r="C2238" s="9"/>
      <c r="D2238" s="9"/>
      <c r="E2238" s="42"/>
      <c r="F2238" s="43"/>
      <c r="G2238" s="27" t="str">
        <f aca="false">IF(OR(C2238="",AND(D2238="",F2238="")),"",IF(N(E2238)=0,1,E2238)*IF(F2238="",IFERROR(N(INDEX(Produtos!$L$5:$L$104,MATCH(D2238,Produtos!$B$5:$B$104,0))),0),F2238))</f>
        <v/>
      </c>
      <c r="H2238" s="27" t="str">
        <f aca="false">IF(G2238="","",IF(N(E2238)=0,1,E2238)*IFERROR(N(INDEX(Produtos!$G$5:$G$104,MATCH(D2238,Produtos!$B$5:$B$104,0))),0))</f>
        <v/>
      </c>
      <c r="I2238" s="27" t="str">
        <f aca="false">IF(G2238="","",G2238-H2238)</f>
        <v/>
      </c>
      <c r="J2238" s="42"/>
    </row>
    <row r="2239" customFormat="false" ht="21" hidden="false" customHeight="true" outlineLevel="0" collapsed="false">
      <c r="B2239" s="41"/>
      <c r="C2239" s="9"/>
      <c r="D2239" s="9"/>
      <c r="E2239" s="42"/>
      <c r="F2239" s="43"/>
      <c r="G2239" s="27" t="str">
        <f aca="false">IF(OR(C2239="",AND(D2239="",F2239="")),"",IF(N(E2239)=0,1,E2239)*IF(F2239="",IFERROR(N(INDEX(Produtos!$L$5:$L$104,MATCH(D2239,Produtos!$B$5:$B$104,0))),0),F2239))</f>
        <v/>
      </c>
      <c r="H2239" s="27" t="str">
        <f aca="false">IF(G2239="","",IF(N(E2239)=0,1,E2239)*IFERROR(N(INDEX(Produtos!$G$5:$G$104,MATCH(D2239,Produtos!$B$5:$B$104,0))),0))</f>
        <v/>
      </c>
      <c r="I2239" s="27" t="str">
        <f aca="false">IF(G2239="","",G2239-H2239)</f>
        <v/>
      </c>
      <c r="J2239" s="42"/>
    </row>
    <row r="2240" customFormat="false" ht="21" hidden="false" customHeight="true" outlineLevel="0" collapsed="false">
      <c r="B2240" s="41"/>
      <c r="C2240" s="9"/>
      <c r="D2240" s="9"/>
      <c r="E2240" s="42"/>
      <c r="F2240" s="43"/>
      <c r="G2240" s="27" t="str">
        <f aca="false">IF(OR(C2240="",AND(D2240="",F2240="")),"",IF(N(E2240)=0,1,E2240)*IF(F2240="",IFERROR(N(INDEX(Produtos!$L$5:$L$104,MATCH(D2240,Produtos!$B$5:$B$104,0))),0),F2240))</f>
        <v/>
      </c>
      <c r="H2240" s="27" t="str">
        <f aca="false">IF(G2240="","",IF(N(E2240)=0,1,E2240)*IFERROR(N(INDEX(Produtos!$G$5:$G$104,MATCH(D2240,Produtos!$B$5:$B$104,0))),0))</f>
        <v/>
      </c>
      <c r="I2240" s="27" t="str">
        <f aca="false">IF(G2240="","",G2240-H2240)</f>
        <v/>
      </c>
      <c r="J2240" s="42"/>
    </row>
    <row r="2241" customFormat="false" ht="21" hidden="false" customHeight="true" outlineLevel="0" collapsed="false">
      <c r="B2241" s="41"/>
      <c r="C2241" s="9"/>
      <c r="D2241" s="9"/>
      <c r="E2241" s="42"/>
      <c r="F2241" s="43"/>
      <c r="G2241" s="27" t="str">
        <f aca="false">IF(OR(C2241="",AND(D2241="",F2241="")),"",IF(N(E2241)=0,1,E2241)*IF(F2241="",IFERROR(N(INDEX(Produtos!$L$5:$L$104,MATCH(D2241,Produtos!$B$5:$B$104,0))),0),F2241))</f>
        <v/>
      </c>
      <c r="H2241" s="27" t="str">
        <f aca="false">IF(G2241="","",IF(N(E2241)=0,1,E2241)*IFERROR(N(INDEX(Produtos!$G$5:$G$104,MATCH(D2241,Produtos!$B$5:$B$104,0))),0))</f>
        <v/>
      </c>
      <c r="I2241" s="27" t="str">
        <f aca="false">IF(G2241="","",G2241-H2241)</f>
        <v/>
      </c>
      <c r="J2241" s="42"/>
    </row>
    <row r="2242" customFormat="false" ht="21" hidden="false" customHeight="true" outlineLevel="0" collapsed="false">
      <c r="B2242" s="41"/>
      <c r="C2242" s="9"/>
      <c r="D2242" s="9"/>
      <c r="E2242" s="42"/>
      <c r="F2242" s="43"/>
      <c r="G2242" s="27" t="str">
        <f aca="false">IF(OR(C2242="",AND(D2242="",F2242="")),"",IF(N(E2242)=0,1,E2242)*IF(F2242="",IFERROR(N(INDEX(Produtos!$L$5:$L$104,MATCH(D2242,Produtos!$B$5:$B$104,0))),0),F2242))</f>
        <v/>
      </c>
      <c r="H2242" s="27" t="str">
        <f aca="false">IF(G2242="","",IF(N(E2242)=0,1,E2242)*IFERROR(N(INDEX(Produtos!$G$5:$G$104,MATCH(D2242,Produtos!$B$5:$B$104,0))),0))</f>
        <v/>
      </c>
      <c r="I2242" s="27" t="str">
        <f aca="false">IF(G2242="","",G2242-H2242)</f>
        <v/>
      </c>
      <c r="J2242" s="42"/>
    </row>
    <row r="2243" customFormat="false" ht="21" hidden="false" customHeight="true" outlineLevel="0" collapsed="false">
      <c r="B2243" s="41"/>
      <c r="C2243" s="9"/>
      <c r="D2243" s="9"/>
      <c r="E2243" s="42"/>
      <c r="F2243" s="43"/>
      <c r="G2243" s="27" t="str">
        <f aca="false">IF(OR(C2243="",AND(D2243="",F2243="")),"",IF(N(E2243)=0,1,E2243)*IF(F2243="",IFERROR(N(INDEX(Produtos!$L$5:$L$104,MATCH(D2243,Produtos!$B$5:$B$104,0))),0),F2243))</f>
        <v/>
      </c>
      <c r="H2243" s="27" t="str">
        <f aca="false">IF(G2243="","",IF(N(E2243)=0,1,E2243)*IFERROR(N(INDEX(Produtos!$G$5:$G$104,MATCH(D2243,Produtos!$B$5:$B$104,0))),0))</f>
        <v/>
      </c>
      <c r="I2243" s="27" t="str">
        <f aca="false">IF(G2243="","",G2243-H2243)</f>
        <v/>
      </c>
      <c r="J2243" s="42"/>
    </row>
    <row r="2244" customFormat="false" ht="21" hidden="false" customHeight="true" outlineLevel="0" collapsed="false">
      <c r="B2244" s="41"/>
      <c r="C2244" s="9"/>
      <c r="D2244" s="9"/>
      <c r="E2244" s="42"/>
      <c r="F2244" s="43"/>
      <c r="G2244" s="27" t="str">
        <f aca="false">IF(OR(C2244="",AND(D2244="",F2244="")),"",IF(N(E2244)=0,1,E2244)*IF(F2244="",IFERROR(N(INDEX(Produtos!$L$5:$L$104,MATCH(D2244,Produtos!$B$5:$B$104,0))),0),F2244))</f>
        <v/>
      </c>
      <c r="H2244" s="27" t="str">
        <f aca="false">IF(G2244="","",IF(N(E2244)=0,1,E2244)*IFERROR(N(INDEX(Produtos!$G$5:$G$104,MATCH(D2244,Produtos!$B$5:$B$104,0))),0))</f>
        <v/>
      </c>
      <c r="I2244" s="27" t="str">
        <f aca="false">IF(G2244="","",G2244-H2244)</f>
        <v/>
      </c>
      <c r="J2244" s="42"/>
    </row>
    <row r="2245" customFormat="false" ht="21" hidden="false" customHeight="true" outlineLevel="0" collapsed="false">
      <c r="B2245" s="41"/>
      <c r="C2245" s="9"/>
      <c r="D2245" s="9"/>
      <c r="E2245" s="42"/>
      <c r="F2245" s="43"/>
      <c r="G2245" s="27" t="str">
        <f aca="false">IF(OR(C2245="",AND(D2245="",F2245="")),"",IF(N(E2245)=0,1,E2245)*IF(F2245="",IFERROR(N(INDEX(Produtos!$L$5:$L$104,MATCH(D2245,Produtos!$B$5:$B$104,0))),0),F2245))</f>
        <v/>
      </c>
      <c r="H2245" s="27" t="str">
        <f aca="false">IF(G2245="","",IF(N(E2245)=0,1,E2245)*IFERROR(N(INDEX(Produtos!$G$5:$G$104,MATCH(D2245,Produtos!$B$5:$B$104,0))),0))</f>
        <v/>
      </c>
      <c r="I2245" s="27" t="str">
        <f aca="false">IF(G2245="","",G2245-H2245)</f>
        <v/>
      </c>
      <c r="J2245" s="42"/>
    </row>
    <row r="2246" customFormat="false" ht="21" hidden="false" customHeight="true" outlineLevel="0" collapsed="false">
      <c r="B2246" s="41"/>
      <c r="C2246" s="9"/>
      <c r="D2246" s="9"/>
      <c r="E2246" s="42"/>
      <c r="F2246" s="43"/>
      <c r="G2246" s="27" t="str">
        <f aca="false">IF(OR(C2246="",AND(D2246="",F2246="")),"",IF(N(E2246)=0,1,E2246)*IF(F2246="",IFERROR(N(INDEX(Produtos!$L$5:$L$104,MATCH(D2246,Produtos!$B$5:$B$104,0))),0),F2246))</f>
        <v/>
      </c>
      <c r="H2246" s="27" t="str">
        <f aca="false">IF(G2246="","",IF(N(E2246)=0,1,E2246)*IFERROR(N(INDEX(Produtos!$G$5:$G$104,MATCH(D2246,Produtos!$B$5:$B$104,0))),0))</f>
        <v/>
      </c>
      <c r="I2246" s="27" t="str">
        <f aca="false">IF(G2246="","",G2246-H2246)</f>
        <v/>
      </c>
      <c r="J2246" s="42"/>
    </row>
    <row r="2247" customFormat="false" ht="21" hidden="false" customHeight="true" outlineLevel="0" collapsed="false">
      <c r="B2247" s="41"/>
      <c r="C2247" s="9"/>
      <c r="D2247" s="9"/>
      <c r="E2247" s="42"/>
      <c r="F2247" s="43"/>
      <c r="G2247" s="27" t="str">
        <f aca="false">IF(OR(C2247="",AND(D2247="",F2247="")),"",IF(N(E2247)=0,1,E2247)*IF(F2247="",IFERROR(N(INDEX(Produtos!$L$5:$L$104,MATCH(D2247,Produtos!$B$5:$B$104,0))),0),F2247))</f>
        <v/>
      </c>
      <c r="H2247" s="27" t="str">
        <f aca="false">IF(G2247="","",IF(N(E2247)=0,1,E2247)*IFERROR(N(INDEX(Produtos!$G$5:$G$104,MATCH(D2247,Produtos!$B$5:$B$104,0))),0))</f>
        <v/>
      </c>
      <c r="I2247" s="27" t="str">
        <f aca="false">IF(G2247="","",G2247-H2247)</f>
        <v/>
      </c>
      <c r="J2247" s="42"/>
    </row>
    <row r="2248" customFormat="false" ht="21" hidden="false" customHeight="true" outlineLevel="0" collapsed="false">
      <c r="B2248" s="41"/>
      <c r="C2248" s="9"/>
      <c r="D2248" s="9"/>
      <c r="E2248" s="42"/>
      <c r="F2248" s="43"/>
      <c r="G2248" s="27" t="str">
        <f aca="false">IF(OR(C2248="",AND(D2248="",F2248="")),"",IF(N(E2248)=0,1,E2248)*IF(F2248="",IFERROR(N(INDEX(Produtos!$L$5:$L$104,MATCH(D2248,Produtos!$B$5:$B$104,0))),0),F2248))</f>
        <v/>
      </c>
      <c r="H2248" s="27" t="str">
        <f aca="false">IF(G2248="","",IF(N(E2248)=0,1,E2248)*IFERROR(N(INDEX(Produtos!$G$5:$G$104,MATCH(D2248,Produtos!$B$5:$B$104,0))),0))</f>
        <v/>
      </c>
      <c r="I2248" s="27" t="str">
        <f aca="false">IF(G2248="","",G2248-H2248)</f>
        <v/>
      </c>
      <c r="J2248" s="42"/>
    </row>
    <row r="2249" customFormat="false" ht="21" hidden="false" customHeight="true" outlineLevel="0" collapsed="false">
      <c r="B2249" s="41"/>
      <c r="C2249" s="9"/>
      <c r="D2249" s="9"/>
      <c r="E2249" s="42"/>
      <c r="F2249" s="43"/>
      <c r="G2249" s="27" t="str">
        <f aca="false">IF(OR(C2249="",AND(D2249="",F2249="")),"",IF(N(E2249)=0,1,E2249)*IF(F2249="",IFERROR(N(INDEX(Produtos!$L$5:$L$104,MATCH(D2249,Produtos!$B$5:$B$104,0))),0),F2249))</f>
        <v/>
      </c>
      <c r="H2249" s="27" t="str">
        <f aca="false">IF(G2249="","",IF(N(E2249)=0,1,E2249)*IFERROR(N(INDEX(Produtos!$G$5:$G$104,MATCH(D2249,Produtos!$B$5:$B$104,0))),0))</f>
        <v/>
      </c>
      <c r="I2249" s="27" t="str">
        <f aca="false">IF(G2249="","",G2249-H2249)</f>
        <v/>
      </c>
      <c r="J2249" s="42"/>
    </row>
    <row r="2250" customFormat="false" ht="21" hidden="false" customHeight="true" outlineLevel="0" collapsed="false">
      <c r="B2250" s="41"/>
      <c r="C2250" s="9"/>
      <c r="D2250" s="9"/>
      <c r="E2250" s="42"/>
      <c r="F2250" s="43"/>
      <c r="G2250" s="27" t="str">
        <f aca="false">IF(OR(C2250="",AND(D2250="",F2250="")),"",IF(N(E2250)=0,1,E2250)*IF(F2250="",IFERROR(N(INDEX(Produtos!$L$5:$L$104,MATCH(D2250,Produtos!$B$5:$B$104,0))),0),F2250))</f>
        <v/>
      </c>
      <c r="H2250" s="27" t="str">
        <f aca="false">IF(G2250="","",IF(N(E2250)=0,1,E2250)*IFERROR(N(INDEX(Produtos!$G$5:$G$104,MATCH(D2250,Produtos!$B$5:$B$104,0))),0))</f>
        <v/>
      </c>
      <c r="I2250" s="27" t="str">
        <f aca="false">IF(G2250="","",G2250-H2250)</f>
        <v/>
      </c>
      <c r="J2250" s="42"/>
    </row>
    <row r="2251" customFormat="false" ht="21" hidden="false" customHeight="true" outlineLevel="0" collapsed="false">
      <c r="B2251" s="41"/>
      <c r="C2251" s="9"/>
      <c r="D2251" s="9"/>
      <c r="E2251" s="42"/>
      <c r="F2251" s="43"/>
      <c r="G2251" s="27" t="str">
        <f aca="false">IF(OR(C2251="",AND(D2251="",F2251="")),"",IF(N(E2251)=0,1,E2251)*IF(F2251="",IFERROR(N(INDEX(Produtos!$L$5:$L$104,MATCH(D2251,Produtos!$B$5:$B$104,0))),0),F2251))</f>
        <v/>
      </c>
      <c r="H2251" s="27" t="str">
        <f aca="false">IF(G2251="","",IF(N(E2251)=0,1,E2251)*IFERROR(N(INDEX(Produtos!$G$5:$G$104,MATCH(D2251,Produtos!$B$5:$B$104,0))),0))</f>
        <v/>
      </c>
      <c r="I2251" s="27" t="str">
        <f aca="false">IF(G2251="","",G2251-H2251)</f>
        <v/>
      </c>
      <c r="J2251" s="42"/>
    </row>
    <row r="2252" customFormat="false" ht="21" hidden="false" customHeight="true" outlineLevel="0" collapsed="false">
      <c r="B2252" s="41"/>
      <c r="C2252" s="9"/>
      <c r="D2252" s="9"/>
      <c r="E2252" s="42"/>
      <c r="F2252" s="43"/>
      <c r="G2252" s="27" t="str">
        <f aca="false">IF(OR(C2252="",AND(D2252="",F2252="")),"",IF(N(E2252)=0,1,E2252)*IF(F2252="",IFERROR(N(INDEX(Produtos!$L$5:$L$104,MATCH(D2252,Produtos!$B$5:$B$104,0))),0),F2252))</f>
        <v/>
      </c>
      <c r="H2252" s="27" t="str">
        <f aca="false">IF(G2252="","",IF(N(E2252)=0,1,E2252)*IFERROR(N(INDEX(Produtos!$G$5:$G$104,MATCH(D2252,Produtos!$B$5:$B$104,0))),0))</f>
        <v/>
      </c>
      <c r="I2252" s="27" t="str">
        <f aca="false">IF(G2252="","",G2252-H2252)</f>
        <v/>
      </c>
      <c r="J2252" s="42"/>
    </row>
    <row r="2253" customFormat="false" ht="21" hidden="false" customHeight="true" outlineLevel="0" collapsed="false">
      <c r="B2253" s="41"/>
      <c r="C2253" s="9"/>
      <c r="D2253" s="9"/>
      <c r="E2253" s="42"/>
      <c r="F2253" s="43"/>
      <c r="G2253" s="27" t="str">
        <f aca="false">IF(OR(C2253="",AND(D2253="",F2253="")),"",IF(N(E2253)=0,1,E2253)*IF(F2253="",IFERROR(N(INDEX(Produtos!$L$5:$L$104,MATCH(D2253,Produtos!$B$5:$B$104,0))),0),F2253))</f>
        <v/>
      </c>
      <c r="H2253" s="27" t="str">
        <f aca="false">IF(G2253="","",IF(N(E2253)=0,1,E2253)*IFERROR(N(INDEX(Produtos!$G$5:$G$104,MATCH(D2253,Produtos!$B$5:$B$104,0))),0))</f>
        <v/>
      </c>
      <c r="I2253" s="27" t="str">
        <f aca="false">IF(G2253="","",G2253-H2253)</f>
        <v/>
      </c>
      <c r="J2253" s="42"/>
    </row>
    <row r="2254" customFormat="false" ht="21" hidden="false" customHeight="true" outlineLevel="0" collapsed="false">
      <c r="B2254" s="41"/>
      <c r="C2254" s="9"/>
      <c r="D2254" s="9"/>
      <c r="E2254" s="42"/>
      <c r="F2254" s="43"/>
      <c r="G2254" s="27" t="str">
        <f aca="false">IF(OR(C2254="",AND(D2254="",F2254="")),"",IF(N(E2254)=0,1,E2254)*IF(F2254="",IFERROR(N(INDEX(Produtos!$L$5:$L$104,MATCH(D2254,Produtos!$B$5:$B$104,0))),0),F2254))</f>
        <v/>
      </c>
      <c r="H2254" s="27" t="str">
        <f aca="false">IF(G2254="","",IF(N(E2254)=0,1,E2254)*IFERROR(N(INDEX(Produtos!$G$5:$G$104,MATCH(D2254,Produtos!$B$5:$B$104,0))),0))</f>
        <v/>
      </c>
      <c r="I2254" s="27" t="str">
        <f aca="false">IF(G2254="","",G2254-H2254)</f>
        <v/>
      </c>
      <c r="J2254" s="42"/>
    </row>
    <row r="2255" customFormat="false" ht="21" hidden="false" customHeight="true" outlineLevel="0" collapsed="false">
      <c r="B2255" s="41"/>
      <c r="C2255" s="9"/>
      <c r="D2255" s="9"/>
      <c r="E2255" s="42"/>
      <c r="F2255" s="43"/>
      <c r="G2255" s="27" t="str">
        <f aca="false">IF(OR(C2255="",AND(D2255="",F2255="")),"",IF(N(E2255)=0,1,E2255)*IF(F2255="",IFERROR(N(INDEX(Produtos!$L$5:$L$104,MATCH(D2255,Produtos!$B$5:$B$104,0))),0),F2255))</f>
        <v/>
      </c>
      <c r="H2255" s="27" t="str">
        <f aca="false">IF(G2255="","",IF(N(E2255)=0,1,E2255)*IFERROR(N(INDEX(Produtos!$G$5:$G$104,MATCH(D2255,Produtos!$B$5:$B$104,0))),0))</f>
        <v/>
      </c>
      <c r="I2255" s="27" t="str">
        <f aca="false">IF(G2255="","",G2255-H2255)</f>
        <v/>
      </c>
      <c r="J2255" s="42"/>
    </row>
    <row r="2256" customFormat="false" ht="21" hidden="false" customHeight="true" outlineLevel="0" collapsed="false">
      <c r="B2256" s="41"/>
      <c r="C2256" s="9"/>
      <c r="D2256" s="9"/>
      <c r="E2256" s="42"/>
      <c r="F2256" s="43"/>
      <c r="G2256" s="27" t="str">
        <f aca="false">IF(OR(C2256="",AND(D2256="",F2256="")),"",IF(N(E2256)=0,1,E2256)*IF(F2256="",IFERROR(N(INDEX(Produtos!$L$5:$L$104,MATCH(D2256,Produtos!$B$5:$B$104,0))),0),F2256))</f>
        <v/>
      </c>
      <c r="H2256" s="27" t="str">
        <f aca="false">IF(G2256="","",IF(N(E2256)=0,1,E2256)*IFERROR(N(INDEX(Produtos!$G$5:$G$104,MATCH(D2256,Produtos!$B$5:$B$104,0))),0))</f>
        <v/>
      </c>
      <c r="I2256" s="27" t="str">
        <f aca="false">IF(G2256="","",G2256-H2256)</f>
        <v/>
      </c>
      <c r="J2256" s="42"/>
    </row>
    <row r="2257" customFormat="false" ht="21" hidden="false" customHeight="true" outlineLevel="0" collapsed="false">
      <c r="B2257" s="41"/>
      <c r="C2257" s="9"/>
      <c r="D2257" s="9"/>
      <c r="E2257" s="42"/>
      <c r="F2257" s="43"/>
      <c r="G2257" s="27" t="str">
        <f aca="false">IF(OR(C2257="",AND(D2257="",F2257="")),"",IF(N(E2257)=0,1,E2257)*IF(F2257="",IFERROR(N(INDEX(Produtos!$L$5:$L$104,MATCH(D2257,Produtos!$B$5:$B$104,0))),0),F2257))</f>
        <v/>
      </c>
      <c r="H2257" s="27" t="str">
        <f aca="false">IF(G2257="","",IF(N(E2257)=0,1,E2257)*IFERROR(N(INDEX(Produtos!$G$5:$G$104,MATCH(D2257,Produtos!$B$5:$B$104,0))),0))</f>
        <v/>
      </c>
      <c r="I2257" s="27" t="str">
        <f aca="false">IF(G2257="","",G2257-H2257)</f>
        <v/>
      </c>
      <c r="J2257" s="42"/>
    </row>
    <row r="2258" customFormat="false" ht="21" hidden="false" customHeight="true" outlineLevel="0" collapsed="false">
      <c r="B2258" s="41"/>
      <c r="C2258" s="9"/>
      <c r="D2258" s="9"/>
      <c r="E2258" s="42"/>
      <c r="F2258" s="43"/>
      <c r="G2258" s="27" t="str">
        <f aca="false">IF(OR(C2258="",AND(D2258="",F2258="")),"",IF(N(E2258)=0,1,E2258)*IF(F2258="",IFERROR(N(INDEX(Produtos!$L$5:$L$104,MATCH(D2258,Produtos!$B$5:$B$104,0))),0),F2258))</f>
        <v/>
      </c>
      <c r="H2258" s="27" t="str">
        <f aca="false">IF(G2258="","",IF(N(E2258)=0,1,E2258)*IFERROR(N(INDEX(Produtos!$G$5:$G$104,MATCH(D2258,Produtos!$B$5:$B$104,0))),0))</f>
        <v/>
      </c>
      <c r="I2258" s="27" t="str">
        <f aca="false">IF(G2258="","",G2258-H2258)</f>
        <v/>
      </c>
      <c r="J2258" s="42"/>
    </row>
    <row r="2259" customFormat="false" ht="21" hidden="false" customHeight="true" outlineLevel="0" collapsed="false">
      <c r="B2259" s="41"/>
      <c r="C2259" s="9"/>
      <c r="D2259" s="9"/>
      <c r="E2259" s="42"/>
      <c r="F2259" s="43"/>
      <c r="G2259" s="27" t="str">
        <f aca="false">IF(OR(C2259="",AND(D2259="",F2259="")),"",IF(N(E2259)=0,1,E2259)*IF(F2259="",IFERROR(N(INDEX(Produtos!$L$5:$L$104,MATCH(D2259,Produtos!$B$5:$B$104,0))),0),F2259))</f>
        <v/>
      </c>
      <c r="H2259" s="27" t="str">
        <f aca="false">IF(G2259="","",IF(N(E2259)=0,1,E2259)*IFERROR(N(INDEX(Produtos!$G$5:$G$104,MATCH(D2259,Produtos!$B$5:$B$104,0))),0))</f>
        <v/>
      </c>
      <c r="I2259" s="27" t="str">
        <f aca="false">IF(G2259="","",G2259-H2259)</f>
        <v/>
      </c>
      <c r="J2259" s="42"/>
    </row>
    <row r="2260" customFormat="false" ht="21" hidden="false" customHeight="true" outlineLevel="0" collapsed="false">
      <c r="B2260" s="41"/>
      <c r="C2260" s="9"/>
      <c r="D2260" s="9"/>
      <c r="E2260" s="42"/>
      <c r="F2260" s="43"/>
      <c r="G2260" s="27" t="str">
        <f aca="false">IF(OR(C2260="",AND(D2260="",F2260="")),"",IF(N(E2260)=0,1,E2260)*IF(F2260="",IFERROR(N(INDEX(Produtos!$L$5:$L$104,MATCH(D2260,Produtos!$B$5:$B$104,0))),0),F2260))</f>
        <v/>
      </c>
      <c r="H2260" s="27" t="str">
        <f aca="false">IF(G2260="","",IF(N(E2260)=0,1,E2260)*IFERROR(N(INDEX(Produtos!$G$5:$G$104,MATCH(D2260,Produtos!$B$5:$B$104,0))),0))</f>
        <v/>
      </c>
      <c r="I2260" s="27" t="str">
        <f aca="false">IF(G2260="","",G2260-H2260)</f>
        <v/>
      </c>
      <c r="J2260" s="42"/>
    </row>
    <row r="2261" customFormat="false" ht="21" hidden="false" customHeight="true" outlineLevel="0" collapsed="false">
      <c r="B2261" s="41"/>
      <c r="C2261" s="9"/>
      <c r="D2261" s="9"/>
      <c r="E2261" s="42"/>
      <c r="F2261" s="43"/>
      <c r="G2261" s="27" t="str">
        <f aca="false">IF(OR(C2261="",AND(D2261="",F2261="")),"",IF(N(E2261)=0,1,E2261)*IF(F2261="",IFERROR(N(INDEX(Produtos!$L$5:$L$104,MATCH(D2261,Produtos!$B$5:$B$104,0))),0),F2261))</f>
        <v/>
      </c>
      <c r="H2261" s="27" t="str">
        <f aca="false">IF(G2261="","",IF(N(E2261)=0,1,E2261)*IFERROR(N(INDEX(Produtos!$G$5:$G$104,MATCH(D2261,Produtos!$B$5:$B$104,0))),0))</f>
        <v/>
      </c>
      <c r="I2261" s="27" t="str">
        <f aca="false">IF(G2261="","",G2261-H2261)</f>
        <v/>
      </c>
      <c r="J2261" s="42"/>
    </row>
    <row r="2262" customFormat="false" ht="21" hidden="false" customHeight="true" outlineLevel="0" collapsed="false">
      <c r="B2262" s="41"/>
      <c r="C2262" s="9"/>
      <c r="D2262" s="9"/>
      <c r="E2262" s="42"/>
      <c r="F2262" s="43"/>
      <c r="G2262" s="27" t="str">
        <f aca="false">IF(OR(C2262="",AND(D2262="",F2262="")),"",IF(N(E2262)=0,1,E2262)*IF(F2262="",IFERROR(N(INDEX(Produtos!$L$5:$L$104,MATCH(D2262,Produtos!$B$5:$B$104,0))),0),F2262))</f>
        <v/>
      </c>
      <c r="H2262" s="27" t="str">
        <f aca="false">IF(G2262="","",IF(N(E2262)=0,1,E2262)*IFERROR(N(INDEX(Produtos!$G$5:$G$104,MATCH(D2262,Produtos!$B$5:$B$104,0))),0))</f>
        <v/>
      </c>
      <c r="I2262" s="27" t="str">
        <f aca="false">IF(G2262="","",G2262-H2262)</f>
        <v/>
      </c>
      <c r="J2262" s="42"/>
    </row>
    <row r="2263" customFormat="false" ht="21" hidden="false" customHeight="true" outlineLevel="0" collapsed="false">
      <c r="B2263" s="41"/>
      <c r="C2263" s="9"/>
      <c r="D2263" s="9"/>
      <c r="E2263" s="42"/>
      <c r="F2263" s="43"/>
      <c r="G2263" s="27" t="str">
        <f aca="false">IF(OR(C2263="",AND(D2263="",F2263="")),"",IF(N(E2263)=0,1,E2263)*IF(F2263="",IFERROR(N(INDEX(Produtos!$L$5:$L$104,MATCH(D2263,Produtos!$B$5:$B$104,0))),0),F2263))</f>
        <v/>
      </c>
      <c r="H2263" s="27" t="str">
        <f aca="false">IF(G2263="","",IF(N(E2263)=0,1,E2263)*IFERROR(N(INDEX(Produtos!$G$5:$G$104,MATCH(D2263,Produtos!$B$5:$B$104,0))),0))</f>
        <v/>
      </c>
      <c r="I2263" s="27" t="str">
        <f aca="false">IF(G2263="","",G2263-H2263)</f>
        <v/>
      </c>
      <c r="J2263" s="42"/>
    </row>
    <row r="2264" customFormat="false" ht="21" hidden="false" customHeight="true" outlineLevel="0" collapsed="false">
      <c r="B2264" s="41"/>
      <c r="C2264" s="9"/>
      <c r="D2264" s="9"/>
      <c r="E2264" s="42"/>
      <c r="F2264" s="43"/>
      <c r="G2264" s="27" t="str">
        <f aca="false">IF(OR(C2264="",AND(D2264="",F2264="")),"",IF(N(E2264)=0,1,E2264)*IF(F2264="",IFERROR(N(INDEX(Produtos!$L$5:$L$104,MATCH(D2264,Produtos!$B$5:$B$104,0))),0),F2264))</f>
        <v/>
      </c>
      <c r="H2264" s="27" t="str">
        <f aca="false">IF(G2264="","",IF(N(E2264)=0,1,E2264)*IFERROR(N(INDEX(Produtos!$G$5:$G$104,MATCH(D2264,Produtos!$B$5:$B$104,0))),0))</f>
        <v/>
      </c>
      <c r="I2264" s="27" t="str">
        <f aca="false">IF(G2264="","",G2264-H2264)</f>
        <v/>
      </c>
      <c r="J2264" s="42"/>
    </row>
    <row r="2265" customFormat="false" ht="21" hidden="false" customHeight="true" outlineLevel="0" collapsed="false">
      <c r="B2265" s="41"/>
      <c r="C2265" s="9"/>
      <c r="D2265" s="9"/>
      <c r="E2265" s="42"/>
      <c r="F2265" s="43"/>
      <c r="G2265" s="27" t="str">
        <f aca="false">IF(OR(C2265="",AND(D2265="",F2265="")),"",IF(N(E2265)=0,1,E2265)*IF(F2265="",IFERROR(N(INDEX(Produtos!$L$5:$L$104,MATCH(D2265,Produtos!$B$5:$B$104,0))),0),F2265))</f>
        <v/>
      </c>
      <c r="H2265" s="27" t="str">
        <f aca="false">IF(G2265="","",IF(N(E2265)=0,1,E2265)*IFERROR(N(INDEX(Produtos!$G$5:$G$104,MATCH(D2265,Produtos!$B$5:$B$104,0))),0))</f>
        <v/>
      </c>
      <c r="I2265" s="27" t="str">
        <f aca="false">IF(G2265="","",G2265-H2265)</f>
        <v/>
      </c>
      <c r="J2265" s="42"/>
    </row>
    <row r="2266" customFormat="false" ht="21" hidden="false" customHeight="true" outlineLevel="0" collapsed="false">
      <c r="B2266" s="41"/>
      <c r="C2266" s="9"/>
      <c r="D2266" s="9"/>
      <c r="E2266" s="42"/>
      <c r="F2266" s="43"/>
      <c r="G2266" s="27" t="str">
        <f aca="false">IF(OR(C2266="",AND(D2266="",F2266="")),"",IF(N(E2266)=0,1,E2266)*IF(F2266="",IFERROR(N(INDEX(Produtos!$L$5:$L$104,MATCH(D2266,Produtos!$B$5:$B$104,0))),0),F2266))</f>
        <v/>
      </c>
      <c r="H2266" s="27" t="str">
        <f aca="false">IF(G2266="","",IF(N(E2266)=0,1,E2266)*IFERROR(N(INDEX(Produtos!$G$5:$G$104,MATCH(D2266,Produtos!$B$5:$B$104,0))),0))</f>
        <v/>
      </c>
      <c r="I2266" s="27" t="str">
        <f aca="false">IF(G2266="","",G2266-H2266)</f>
        <v/>
      </c>
      <c r="J2266" s="42"/>
    </row>
    <row r="2267" customFormat="false" ht="21" hidden="false" customHeight="true" outlineLevel="0" collapsed="false">
      <c r="B2267" s="41"/>
      <c r="C2267" s="9"/>
      <c r="D2267" s="9"/>
      <c r="E2267" s="42"/>
      <c r="F2267" s="43"/>
      <c r="G2267" s="27" t="str">
        <f aca="false">IF(OR(C2267="",AND(D2267="",F2267="")),"",IF(N(E2267)=0,1,E2267)*IF(F2267="",IFERROR(N(INDEX(Produtos!$L$5:$L$104,MATCH(D2267,Produtos!$B$5:$B$104,0))),0),F2267))</f>
        <v/>
      </c>
      <c r="H2267" s="27" t="str">
        <f aca="false">IF(G2267="","",IF(N(E2267)=0,1,E2267)*IFERROR(N(INDEX(Produtos!$G$5:$G$104,MATCH(D2267,Produtos!$B$5:$B$104,0))),0))</f>
        <v/>
      </c>
      <c r="I2267" s="27" t="str">
        <f aca="false">IF(G2267="","",G2267-H2267)</f>
        <v/>
      </c>
      <c r="J2267" s="42"/>
    </row>
    <row r="2268" customFormat="false" ht="21" hidden="false" customHeight="true" outlineLevel="0" collapsed="false">
      <c r="B2268" s="41"/>
      <c r="C2268" s="9"/>
      <c r="D2268" s="9"/>
      <c r="E2268" s="42"/>
      <c r="F2268" s="43"/>
      <c r="G2268" s="27" t="str">
        <f aca="false">IF(OR(C2268="",AND(D2268="",F2268="")),"",IF(N(E2268)=0,1,E2268)*IF(F2268="",IFERROR(N(INDEX(Produtos!$L$5:$L$104,MATCH(D2268,Produtos!$B$5:$B$104,0))),0),F2268))</f>
        <v/>
      </c>
      <c r="H2268" s="27" t="str">
        <f aca="false">IF(G2268="","",IF(N(E2268)=0,1,E2268)*IFERROR(N(INDEX(Produtos!$G$5:$G$104,MATCH(D2268,Produtos!$B$5:$B$104,0))),0))</f>
        <v/>
      </c>
      <c r="I2268" s="27" t="str">
        <f aca="false">IF(G2268="","",G2268-H2268)</f>
        <v/>
      </c>
      <c r="J2268" s="42"/>
    </row>
    <row r="2269" customFormat="false" ht="21" hidden="false" customHeight="true" outlineLevel="0" collapsed="false">
      <c r="B2269" s="41"/>
      <c r="C2269" s="9"/>
      <c r="D2269" s="9"/>
      <c r="E2269" s="42"/>
      <c r="F2269" s="43"/>
      <c r="G2269" s="27" t="str">
        <f aca="false">IF(OR(C2269="",AND(D2269="",F2269="")),"",IF(N(E2269)=0,1,E2269)*IF(F2269="",IFERROR(N(INDEX(Produtos!$L$5:$L$104,MATCH(D2269,Produtos!$B$5:$B$104,0))),0),F2269))</f>
        <v/>
      </c>
      <c r="H2269" s="27" t="str">
        <f aca="false">IF(G2269="","",IF(N(E2269)=0,1,E2269)*IFERROR(N(INDEX(Produtos!$G$5:$G$104,MATCH(D2269,Produtos!$B$5:$B$104,0))),0))</f>
        <v/>
      </c>
      <c r="I2269" s="27" t="str">
        <f aca="false">IF(G2269="","",G2269-H2269)</f>
        <v/>
      </c>
      <c r="J2269" s="42"/>
    </row>
    <row r="2270" customFormat="false" ht="21" hidden="false" customHeight="true" outlineLevel="0" collapsed="false">
      <c r="B2270" s="41"/>
      <c r="C2270" s="9"/>
      <c r="D2270" s="9"/>
      <c r="E2270" s="42"/>
      <c r="F2270" s="43"/>
      <c r="G2270" s="27" t="str">
        <f aca="false">IF(OR(C2270="",AND(D2270="",F2270="")),"",IF(N(E2270)=0,1,E2270)*IF(F2270="",IFERROR(N(INDEX(Produtos!$L$5:$L$104,MATCH(D2270,Produtos!$B$5:$B$104,0))),0),F2270))</f>
        <v/>
      </c>
      <c r="H2270" s="27" t="str">
        <f aca="false">IF(G2270="","",IF(N(E2270)=0,1,E2270)*IFERROR(N(INDEX(Produtos!$G$5:$G$104,MATCH(D2270,Produtos!$B$5:$B$104,0))),0))</f>
        <v/>
      </c>
      <c r="I2270" s="27" t="str">
        <f aca="false">IF(G2270="","",G2270-H2270)</f>
        <v/>
      </c>
      <c r="J2270" s="42"/>
    </row>
    <row r="2271" customFormat="false" ht="21" hidden="false" customHeight="true" outlineLevel="0" collapsed="false">
      <c r="B2271" s="41"/>
      <c r="C2271" s="9"/>
      <c r="D2271" s="9"/>
      <c r="E2271" s="42"/>
      <c r="F2271" s="43"/>
      <c r="G2271" s="27" t="str">
        <f aca="false">IF(OR(C2271="",AND(D2271="",F2271="")),"",IF(N(E2271)=0,1,E2271)*IF(F2271="",IFERROR(N(INDEX(Produtos!$L$5:$L$104,MATCH(D2271,Produtos!$B$5:$B$104,0))),0),F2271))</f>
        <v/>
      </c>
      <c r="H2271" s="27" t="str">
        <f aca="false">IF(G2271="","",IF(N(E2271)=0,1,E2271)*IFERROR(N(INDEX(Produtos!$G$5:$G$104,MATCH(D2271,Produtos!$B$5:$B$104,0))),0))</f>
        <v/>
      </c>
      <c r="I2271" s="27" t="str">
        <f aca="false">IF(G2271="","",G2271-H2271)</f>
        <v/>
      </c>
      <c r="J2271" s="42"/>
    </row>
    <row r="2272" customFormat="false" ht="21" hidden="false" customHeight="true" outlineLevel="0" collapsed="false">
      <c r="B2272" s="41"/>
      <c r="C2272" s="9"/>
      <c r="D2272" s="9"/>
      <c r="E2272" s="42"/>
      <c r="F2272" s="43"/>
      <c r="G2272" s="27" t="str">
        <f aca="false">IF(OR(C2272="",AND(D2272="",F2272="")),"",IF(N(E2272)=0,1,E2272)*IF(F2272="",IFERROR(N(INDEX(Produtos!$L$5:$L$104,MATCH(D2272,Produtos!$B$5:$B$104,0))),0),F2272))</f>
        <v/>
      </c>
      <c r="H2272" s="27" t="str">
        <f aca="false">IF(G2272="","",IF(N(E2272)=0,1,E2272)*IFERROR(N(INDEX(Produtos!$G$5:$G$104,MATCH(D2272,Produtos!$B$5:$B$104,0))),0))</f>
        <v/>
      </c>
      <c r="I2272" s="27" t="str">
        <f aca="false">IF(G2272="","",G2272-H2272)</f>
        <v/>
      </c>
      <c r="J2272" s="42"/>
    </row>
    <row r="2273" customFormat="false" ht="21" hidden="false" customHeight="true" outlineLevel="0" collapsed="false">
      <c r="B2273" s="41"/>
      <c r="C2273" s="9"/>
      <c r="D2273" s="9"/>
      <c r="E2273" s="42"/>
      <c r="F2273" s="43"/>
      <c r="G2273" s="27" t="str">
        <f aca="false">IF(OR(C2273="",AND(D2273="",F2273="")),"",IF(N(E2273)=0,1,E2273)*IF(F2273="",IFERROR(N(INDEX(Produtos!$L$5:$L$104,MATCH(D2273,Produtos!$B$5:$B$104,0))),0),F2273))</f>
        <v/>
      </c>
      <c r="H2273" s="27" t="str">
        <f aca="false">IF(G2273="","",IF(N(E2273)=0,1,E2273)*IFERROR(N(INDEX(Produtos!$G$5:$G$104,MATCH(D2273,Produtos!$B$5:$B$104,0))),0))</f>
        <v/>
      </c>
      <c r="I2273" s="27" t="str">
        <f aca="false">IF(G2273="","",G2273-H2273)</f>
        <v/>
      </c>
      <c r="J2273" s="42"/>
    </row>
    <row r="2274" customFormat="false" ht="21" hidden="false" customHeight="true" outlineLevel="0" collapsed="false">
      <c r="B2274" s="41"/>
      <c r="C2274" s="9"/>
      <c r="D2274" s="9"/>
      <c r="E2274" s="42"/>
      <c r="F2274" s="43"/>
      <c r="G2274" s="27" t="str">
        <f aca="false">IF(OR(C2274="",AND(D2274="",F2274="")),"",IF(N(E2274)=0,1,E2274)*IF(F2274="",IFERROR(N(INDEX(Produtos!$L$5:$L$104,MATCH(D2274,Produtos!$B$5:$B$104,0))),0),F2274))</f>
        <v/>
      </c>
      <c r="H2274" s="27" t="str">
        <f aca="false">IF(G2274="","",IF(N(E2274)=0,1,E2274)*IFERROR(N(INDEX(Produtos!$G$5:$G$104,MATCH(D2274,Produtos!$B$5:$B$104,0))),0))</f>
        <v/>
      </c>
      <c r="I2274" s="27" t="str">
        <f aca="false">IF(G2274="","",G2274-H2274)</f>
        <v/>
      </c>
      <c r="J2274" s="42"/>
    </row>
    <row r="2275" customFormat="false" ht="21" hidden="false" customHeight="true" outlineLevel="0" collapsed="false">
      <c r="B2275" s="41"/>
      <c r="C2275" s="9"/>
      <c r="D2275" s="9"/>
      <c r="E2275" s="42"/>
      <c r="F2275" s="43"/>
      <c r="G2275" s="27" t="str">
        <f aca="false">IF(OR(C2275="",AND(D2275="",F2275="")),"",IF(N(E2275)=0,1,E2275)*IF(F2275="",IFERROR(N(INDEX(Produtos!$L$5:$L$104,MATCH(D2275,Produtos!$B$5:$B$104,0))),0),F2275))</f>
        <v/>
      </c>
      <c r="H2275" s="27" t="str">
        <f aca="false">IF(G2275="","",IF(N(E2275)=0,1,E2275)*IFERROR(N(INDEX(Produtos!$G$5:$G$104,MATCH(D2275,Produtos!$B$5:$B$104,0))),0))</f>
        <v/>
      </c>
      <c r="I2275" s="27" t="str">
        <f aca="false">IF(G2275="","",G2275-H2275)</f>
        <v/>
      </c>
      <c r="J2275" s="42"/>
    </row>
    <row r="2276" customFormat="false" ht="21" hidden="false" customHeight="true" outlineLevel="0" collapsed="false">
      <c r="B2276" s="41"/>
      <c r="C2276" s="9"/>
      <c r="D2276" s="9"/>
      <c r="E2276" s="42"/>
      <c r="F2276" s="43"/>
      <c r="G2276" s="27" t="str">
        <f aca="false">IF(OR(C2276="",AND(D2276="",F2276="")),"",IF(N(E2276)=0,1,E2276)*IF(F2276="",IFERROR(N(INDEX(Produtos!$L$5:$L$104,MATCH(D2276,Produtos!$B$5:$B$104,0))),0),F2276))</f>
        <v/>
      </c>
      <c r="H2276" s="27" t="str">
        <f aca="false">IF(G2276="","",IF(N(E2276)=0,1,E2276)*IFERROR(N(INDEX(Produtos!$G$5:$G$104,MATCH(D2276,Produtos!$B$5:$B$104,0))),0))</f>
        <v/>
      </c>
      <c r="I2276" s="27" t="str">
        <f aca="false">IF(G2276="","",G2276-H2276)</f>
        <v/>
      </c>
      <c r="J2276" s="42"/>
    </row>
    <row r="2277" customFormat="false" ht="21" hidden="false" customHeight="true" outlineLevel="0" collapsed="false">
      <c r="B2277" s="41"/>
      <c r="C2277" s="9"/>
      <c r="D2277" s="9"/>
      <c r="E2277" s="42"/>
      <c r="F2277" s="43"/>
      <c r="G2277" s="27" t="str">
        <f aca="false">IF(OR(C2277="",AND(D2277="",F2277="")),"",IF(N(E2277)=0,1,E2277)*IF(F2277="",IFERROR(N(INDEX(Produtos!$L$5:$L$104,MATCH(D2277,Produtos!$B$5:$B$104,0))),0),F2277))</f>
        <v/>
      </c>
      <c r="H2277" s="27" t="str">
        <f aca="false">IF(G2277="","",IF(N(E2277)=0,1,E2277)*IFERROR(N(INDEX(Produtos!$G$5:$G$104,MATCH(D2277,Produtos!$B$5:$B$104,0))),0))</f>
        <v/>
      </c>
      <c r="I2277" s="27" t="str">
        <f aca="false">IF(G2277="","",G2277-H2277)</f>
        <v/>
      </c>
      <c r="J2277" s="42"/>
    </row>
    <row r="2278" customFormat="false" ht="21" hidden="false" customHeight="true" outlineLevel="0" collapsed="false">
      <c r="B2278" s="41"/>
      <c r="C2278" s="9"/>
      <c r="D2278" s="9"/>
      <c r="E2278" s="42"/>
      <c r="F2278" s="43"/>
      <c r="G2278" s="27" t="str">
        <f aca="false">IF(OR(C2278="",AND(D2278="",F2278="")),"",IF(N(E2278)=0,1,E2278)*IF(F2278="",IFERROR(N(INDEX(Produtos!$L$5:$L$104,MATCH(D2278,Produtos!$B$5:$B$104,0))),0),F2278))</f>
        <v/>
      </c>
      <c r="H2278" s="27" t="str">
        <f aca="false">IF(G2278="","",IF(N(E2278)=0,1,E2278)*IFERROR(N(INDEX(Produtos!$G$5:$G$104,MATCH(D2278,Produtos!$B$5:$B$104,0))),0))</f>
        <v/>
      </c>
      <c r="I2278" s="27" t="str">
        <f aca="false">IF(G2278="","",G2278-H2278)</f>
        <v/>
      </c>
      <c r="J2278" s="42"/>
    </row>
    <row r="2279" customFormat="false" ht="21" hidden="false" customHeight="true" outlineLevel="0" collapsed="false">
      <c r="B2279" s="41"/>
      <c r="C2279" s="9"/>
      <c r="D2279" s="9"/>
      <c r="E2279" s="42"/>
      <c r="F2279" s="43"/>
      <c r="G2279" s="27" t="str">
        <f aca="false">IF(OR(C2279="",AND(D2279="",F2279="")),"",IF(N(E2279)=0,1,E2279)*IF(F2279="",IFERROR(N(INDEX(Produtos!$L$5:$L$104,MATCH(D2279,Produtos!$B$5:$B$104,0))),0),F2279))</f>
        <v/>
      </c>
      <c r="H2279" s="27" t="str">
        <f aca="false">IF(G2279="","",IF(N(E2279)=0,1,E2279)*IFERROR(N(INDEX(Produtos!$G$5:$G$104,MATCH(D2279,Produtos!$B$5:$B$104,0))),0))</f>
        <v/>
      </c>
      <c r="I2279" s="27" t="str">
        <f aca="false">IF(G2279="","",G2279-H2279)</f>
        <v/>
      </c>
      <c r="J2279" s="42"/>
    </row>
    <row r="2280" customFormat="false" ht="21" hidden="false" customHeight="true" outlineLevel="0" collapsed="false">
      <c r="B2280" s="41"/>
      <c r="C2280" s="9"/>
      <c r="D2280" s="9"/>
      <c r="E2280" s="42"/>
      <c r="F2280" s="43"/>
      <c r="G2280" s="27" t="str">
        <f aca="false">IF(OR(C2280="",AND(D2280="",F2280="")),"",IF(N(E2280)=0,1,E2280)*IF(F2280="",IFERROR(N(INDEX(Produtos!$L$5:$L$104,MATCH(D2280,Produtos!$B$5:$B$104,0))),0),F2280))</f>
        <v/>
      </c>
      <c r="H2280" s="27" t="str">
        <f aca="false">IF(G2280="","",IF(N(E2280)=0,1,E2280)*IFERROR(N(INDEX(Produtos!$G$5:$G$104,MATCH(D2280,Produtos!$B$5:$B$104,0))),0))</f>
        <v/>
      </c>
      <c r="I2280" s="27" t="str">
        <f aca="false">IF(G2280="","",G2280-H2280)</f>
        <v/>
      </c>
      <c r="J2280" s="42"/>
    </row>
    <row r="2281" customFormat="false" ht="21" hidden="false" customHeight="true" outlineLevel="0" collapsed="false">
      <c r="B2281" s="41"/>
      <c r="C2281" s="9"/>
      <c r="D2281" s="9"/>
      <c r="E2281" s="42"/>
      <c r="F2281" s="43"/>
      <c r="G2281" s="27" t="str">
        <f aca="false">IF(OR(C2281="",AND(D2281="",F2281="")),"",IF(N(E2281)=0,1,E2281)*IF(F2281="",IFERROR(N(INDEX(Produtos!$L$5:$L$104,MATCH(D2281,Produtos!$B$5:$B$104,0))),0),F2281))</f>
        <v/>
      </c>
      <c r="H2281" s="27" t="str">
        <f aca="false">IF(G2281="","",IF(N(E2281)=0,1,E2281)*IFERROR(N(INDEX(Produtos!$G$5:$G$104,MATCH(D2281,Produtos!$B$5:$B$104,0))),0))</f>
        <v/>
      </c>
      <c r="I2281" s="27" t="str">
        <f aca="false">IF(G2281="","",G2281-H2281)</f>
        <v/>
      </c>
      <c r="J2281" s="42"/>
    </row>
    <row r="2282" customFormat="false" ht="21" hidden="false" customHeight="true" outlineLevel="0" collapsed="false">
      <c r="B2282" s="41"/>
      <c r="C2282" s="9"/>
      <c r="D2282" s="9"/>
      <c r="E2282" s="42"/>
      <c r="F2282" s="43"/>
      <c r="G2282" s="27" t="str">
        <f aca="false">IF(OR(C2282="",AND(D2282="",F2282="")),"",IF(N(E2282)=0,1,E2282)*IF(F2282="",IFERROR(N(INDEX(Produtos!$L$5:$L$104,MATCH(D2282,Produtos!$B$5:$B$104,0))),0),F2282))</f>
        <v/>
      </c>
      <c r="H2282" s="27" t="str">
        <f aca="false">IF(G2282="","",IF(N(E2282)=0,1,E2282)*IFERROR(N(INDEX(Produtos!$G$5:$G$104,MATCH(D2282,Produtos!$B$5:$B$104,0))),0))</f>
        <v/>
      </c>
      <c r="I2282" s="27" t="str">
        <f aca="false">IF(G2282="","",G2282-H2282)</f>
        <v/>
      </c>
      <c r="J2282" s="42"/>
    </row>
    <row r="2283" customFormat="false" ht="21" hidden="false" customHeight="true" outlineLevel="0" collapsed="false">
      <c r="B2283" s="41"/>
      <c r="C2283" s="9"/>
      <c r="D2283" s="9"/>
      <c r="E2283" s="42"/>
      <c r="F2283" s="43"/>
      <c r="G2283" s="27" t="str">
        <f aca="false">IF(OR(C2283="",AND(D2283="",F2283="")),"",IF(N(E2283)=0,1,E2283)*IF(F2283="",IFERROR(N(INDEX(Produtos!$L$5:$L$104,MATCH(D2283,Produtos!$B$5:$B$104,0))),0),F2283))</f>
        <v/>
      </c>
      <c r="H2283" s="27" t="str">
        <f aca="false">IF(G2283="","",IF(N(E2283)=0,1,E2283)*IFERROR(N(INDEX(Produtos!$G$5:$G$104,MATCH(D2283,Produtos!$B$5:$B$104,0))),0))</f>
        <v/>
      </c>
      <c r="I2283" s="27" t="str">
        <f aca="false">IF(G2283="","",G2283-H2283)</f>
        <v/>
      </c>
      <c r="J2283" s="42"/>
    </row>
    <row r="2284" customFormat="false" ht="21" hidden="false" customHeight="true" outlineLevel="0" collapsed="false">
      <c r="B2284" s="41"/>
      <c r="C2284" s="9"/>
      <c r="D2284" s="9"/>
      <c r="E2284" s="42"/>
      <c r="F2284" s="43"/>
      <c r="G2284" s="27" t="str">
        <f aca="false">IF(OR(C2284="",AND(D2284="",F2284="")),"",IF(N(E2284)=0,1,E2284)*IF(F2284="",IFERROR(N(INDEX(Produtos!$L$5:$L$104,MATCH(D2284,Produtos!$B$5:$B$104,0))),0),F2284))</f>
        <v/>
      </c>
      <c r="H2284" s="27" t="str">
        <f aca="false">IF(G2284="","",IF(N(E2284)=0,1,E2284)*IFERROR(N(INDEX(Produtos!$G$5:$G$104,MATCH(D2284,Produtos!$B$5:$B$104,0))),0))</f>
        <v/>
      </c>
      <c r="I2284" s="27" t="str">
        <f aca="false">IF(G2284="","",G2284-H2284)</f>
        <v/>
      </c>
      <c r="J2284" s="42"/>
    </row>
    <row r="2285" customFormat="false" ht="21" hidden="false" customHeight="true" outlineLevel="0" collapsed="false">
      <c r="B2285" s="41"/>
      <c r="C2285" s="9"/>
      <c r="D2285" s="9"/>
      <c r="E2285" s="42"/>
      <c r="F2285" s="43"/>
      <c r="G2285" s="27" t="str">
        <f aca="false">IF(OR(C2285="",AND(D2285="",F2285="")),"",IF(N(E2285)=0,1,E2285)*IF(F2285="",IFERROR(N(INDEX(Produtos!$L$5:$L$104,MATCH(D2285,Produtos!$B$5:$B$104,0))),0),F2285))</f>
        <v/>
      </c>
      <c r="H2285" s="27" t="str">
        <f aca="false">IF(G2285="","",IF(N(E2285)=0,1,E2285)*IFERROR(N(INDEX(Produtos!$G$5:$G$104,MATCH(D2285,Produtos!$B$5:$B$104,0))),0))</f>
        <v/>
      </c>
      <c r="I2285" s="27" t="str">
        <f aca="false">IF(G2285="","",G2285-H2285)</f>
        <v/>
      </c>
      <c r="J2285" s="42"/>
    </row>
    <row r="2286" customFormat="false" ht="21" hidden="false" customHeight="true" outlineLevel="0" collapsed="false">
      <c r="B2286" s="41"/>
      <c r="C2286" s="9"/>
      <c r="D2286" s="9"/>
      <c r="E2286" s="42"/>
      <c r="F2286" s="43"/>
      <c r="G2286" s="27" t="str">
        <f aca="false">IF(OR(C2286="",AND(D2286="",F2286="")),"",IF(N(E2286)=0,1,E2286)*IF(F2286="",IFERROR(N(INDEX(Produtos!$L$5:$L$104,MATCH(D2286,Produtos!$B$5:$B$104,0))),0),F2286))</f>
        <v/>
      </c>
      <c r="H2286" s="27" t="str">
        <f aca="false">IF(G2286="","",IF(N(E2286)=0,1,E2286)*IFERROR(N(INDEX(Produtos!$G$5:$G$104,MATCH(D2286,Produtos!$B$5:$B$104,0))),0))</f>
        <v/>
      </c>
      <c r="I2286" s="27" t="str">
        <f aca="false">IF(G2286="","",G2286-H2286)</f>
        <v/>
      </c>
      <c r="J2286" s="42"/>
    </row>
    <row r="2287" customFormat="false" ht="21" hidden="false" customHeight="true" outlineLevel="0" collapsed="false">
      <c r="B2287" s="41"/>
      <c r="C2287" s="9"/>
      <c r="D2287" s="9"/>
      <c r="E2287" s="42"/>
      <c r="F2287" s="43"/>
      <c r="G2287" s="27" t="str">
        <f aca="false">IF(OR(C2287="",AND(D2287="",F2287="")),"",IF(N(E2287)=0,1,E2287)*IF(F2287="",IFERROR(N(INDEX(Produtos!$L$5:$L$104,MATCH(D2287,Produtos!$B$5:$B$104,0))),0),F2287))</f>
        <v/>
      </c>
      <c r="H2287" s="27" t="str">
        <f aca="false">IF(G2287="","",IF(N(E2287)=0,1,E2287)*IFERROR(N(INDEX(Produtos!$G$5:$G$104,MATCH(D2287,Produtos!$B$5:$B$104,0))),0))</f>
        <v/>
      </c>
      <c r="I2287" s="27" t="str">
        <f aca="false">IF(G2287="","",G2287-H2287)</f>
        <v/>
      </c>
      <c r="J2287" s="42"/>
    </row>
    <row r="2288" customFormat="false" ht="21" hidden="false" customHeight="true" outlineLevel="0" collapsed="false">
      <c r="B2288" s="41"/>
      <c r="C2288" s="9"/>
      <c r="D2288" s="9"/>
      <c r="E2288" s="42"/>
      <c r="F2288" s="43"/>
      <c r="G2288" s="27" t="str">
        <f aca="false">IF(OR(C2288="",AND(D2288="",F2288="")),"",IF(N(E2288)=0,1,E2288)*IF(F2288="",IFERROR(N(INDEX(Produtos!$L$5:$L$104,MATCH(D2288,Produtos!$B$5:$B$104,0))),0),F2288))</f>
        <v/>
      </c>
      <c r="H2288" s="27" t="str">
        <f aca="false">IF(G2288="","",IF(N(E2288)=0,1,E2288)*IFERROR(N(INDEX(Produtos!$G$5:$G$104,MATCH(D2288,Produtos!$B$5:$B$104,0))),0))</f>
        <v/>
      </c>
      <c r="I2288" s="27" t="str">
        <f aca="false">IF(G2288="","",G2288-H2288)</f>
        <v/>
      </c>
      <c r="J2288" s="42"/>
    </row>
    <row r="2289" customFormat="false" ht="21" hidden="false" customHeight="true" outlineLevel="0" collapsed="false">
      <c r="B2289" s="41"/>
      <c r="C2289" s="9"/>
      <c r="D2289" s="9"/>
      <c r="E2289" s="42"/>
      <c r="F2289" s="43"/>
      <c r="G2289" s="27" t="str">
        <f aca="false">IF(OR(C2289="",AND(D2289="",F2289="")),"",IF(N(E2289)=0,1,E2289)*IF(F2289="",IFERROR(N(INDEX(Produtos!$L$5:$L$104,MATCH(D2289,Produtos!$B$5:$B$104,0))),0),F2289))</f>
        <v/>
      </c>
      <c r="H2289" s="27" t="str">
        <f aca="false">IF(G2289="","",IF(N(E2289)=0,1,E2289)*IFERROR(N(INDEX(Produtos!$G$5:$G$104,MATCH(D2289,Produtos!$B$5:$B$104,0))),0))</f>
        <v/>
      </c>
      <c r="I2289" s="27" t="str">
        <f aca="false">IF(G2289="","",G2289-H2289)</f>
        <v/>
      </c>
      <c r="J2289" s="42"/>
    </row>
    <row r="2290" customFormat="false" ht="21" hidden="false" customHeight="true" outlineLevel="0" collapsed="false">
      <c r="B2290" s="41"/>
      <c r="C2290" s="9"/>
      <c r="D2290" s="9"/>
      <c r="E2290" s="42"/>
      <c r="F2290" s="43"/>
      <c r="G2290" s="27" t="str">
        <f aca="false">IF(OR(C2290="",AND(D2290="",F2290="")),"",IF(N(E2290)=0,1,E2290)*IF(F2290="",IFERROR(N(INDEX(Produtos!$L$5:$L$104,MATCH(D2290,Produtos!$B$5:$B$104,0))),0),F2290))</f>
        <v/>
      </c>
      <c r="H2290" s="27" t="str">
        <f aca="false">IF(G2290="","",IF(N(E2290)=0,1,E2290)*IFERROR(N(INDEX(Produtos!$G$5:$G$104,MATCH(D2290,Produtos!$B$5:$B$104,0))),0))</f>
        <v/>
      </c>
      <c r="I2290" s="27" t="str">
        <f aca="false">IF(G2290="","",G2290-H2290)</f>
        <v/>
      </c>
      <c r="J2290" s="42"/>
    </row>
    <row r="2291" customFormat="false" ht="21" hidden="false" customHeight="true" outlineLevel="0" collapsed="false">
      <c r="B2291" s="41"/>
      <c r="C2291" s="9"/>
      <c r="D2291" s="9"/>
      <c r="E2291" s="42"/>
      <c r="F2291" s="43"/>
      <c r="G2291" s="27" t="str">
        <f aca="false">IF(OR(C2291="",AND(D2291="",F2291="")),"",IF(N(E2291)=0,1,E2291)*IF(F2291="",IFERROR(N(INDEX(Produtos!$L$5:$L$104,MATCH(D2291,Produtos!$B$5:$B$104,0))),0),F2291))</f>
        <v/>
      </c>
      <c r="H2291" s="27" t="str">
        <f aca="false">IF(G2291="","",IF(N(E2291)=0,1,E2291)*IFERROR(N(INDEX(Produtos!$G$5:$G$104,MATCH(D2291,Produtos!$B$5:$B$104,0))),0))</f>
        <v/>
      </c>
      <c r="I2291" s="27" t="str">
        <f aca="false">IF(G2291="","",G2291-H2291)</f>
        <v/>
      </c>
      <c r="J2291" s="42"/>
    </row>
    <row r="2292" customFormat="false" ht="21" hidden="false" customHeight="true" outlineLevel="0" collapsed="false">
      <c r="B2292" s="41"/>
      <c r="C2292" s="9"/>
      <c r="D2292" s="9"/>
      <c r="E2292" s="42"/>
      <c r="F2292" s="43"/>
      <c r="G2292" s="27" t="str">
        <f aca="false">IF(OR(C2292="",AND(D2292="",F2292="")),"",IF(N(E2292)=0,1,E2292)*IF(F2292="",IFERROR(N(INDEX(Produtos!$L$5:$L$104,MATCH(D2292,Produtos!$B$5:$B$104,0))),0),F2292))</f>
        <v/>
      </c>
      <c r="H2292" s="27" t="str">
        <f aca="false">IF(G2292="","",IF(N(E2292)=0,1,E2292)*IFERROR(N(INDEX(Produtos!$G$5:$G$104,MATCH(D2292,Produtos!$B$5:$B$104,0))),0))</f>
        <v/>
      </c>
      <c r="I2292" s="27" t="str">
        <f aca="false">IF(G2292="","",G2292-H2292)</f>
        <v/>
      </c>
      <c r="J2292" s="42"/>
    </row>
    <row r="2293" customFormat="false" ht="21" hidden="false" customHeight="true" outlineLevel="0" collapsed="false">
      <c r="B2293" s="41"/>
      <c r="C2293" s="9"/>
      <c r="D2293" s="9"/>
      <c r="E2293" s="42"/>
      <c r="F2293" s="43"/>
      <c r="G2293" s="27" t="str">
        <f aca="false">IF(OR(C2293="",AND(D2293="",F2293="")),"",IF(N(E2293)=0,1,E2293)*IF(F2293="",IFERROR(N(INDEX(Produtos!$L$5:$L$104,MATCH(D2293,Produtos!$B$5:$B$104,0))),0),F2293))</f>
        <v/>
      </c>
      <c r="H2293" s="27" t="str">
        <f aca="false">IF(G2293="","",IF(N(E2293)=0,1,E2293)*IFERROR(N(INDEX(Produtos!$G$5:$G$104,MATCH(D2293,Produtos!$B$5:$B$104,0))),0))</f>
        <v/>
      </c>
      <c r="I2293" s="27" t="str">
        <f aca="false">IF(G2293="","",G2293-H2293)</f>
        <v/>
      </c>
      <c r="J2293" s="42"/>
    </row>
    <row r="2294" customFormat="false" ht="21" hidden="false" customHeight="true" outlineLevel="0" collapsed="false">
      <c r="B2294" s="41"/>
      <c r="C2294" s="9"/>
      <c r="D2294" s="9"/>
      <c r="E2294" s="42"/>
      <c r="F2294" s="43"/>
      <c r="G2294" s="27" t="str">
        <f aca="false">IF(OR(C2294="",AND(D2294="",F2294="")),"",IF(N(E2294)=0,1,E2294)*IF(F2294="",IFERROR(N(INDEX(Produtos!$L$5:$L$104,MATCH(D2294,Produtos!$B$5:$B$104,0))),0),F2294))</f>
        <v/>
      </c>
      <c r="H2294" s="27" t="str">
        <f aca="false">IF(G2294="","",IF(N(E2294)=0,1,E2294)*IFERROR(N(INDEX(Produtos!$G$5:$G$104,MATCH(D2294,Produtos!$B$5:$B$104,0))),0))</f>
        <v/>
      </c>
      <c r="I2294" s="27" t="str">
        <f aca="false">IF(G2294="","",G2294-H2294)</f>
        <v/>
      </c>
      <c r="J2294" s="42"/>
    </row>
    <row r="2295" customFormat="false" ht="21" hidden="false" customHeight="true" outlineLevel="0" collapsed="false">
      <c r="B2295" s="41"/>
      <c r="C2295" s="9"/>
      <c r="D2295" s="9"/>
      <c r="E2295" s="42"/>
      <c r="F2295" s="43"/>
      <c r="G2295" s="27" t="str">
        <f aca="false">IF(OR(C2295="",AND(D2295="",F2295="")),"",IF(N(E2295)=0,1,E2295)*IF(F2295="",IFERROR(N(INDEX(Produtos!$L$5:$L$104,MATCH(D2295,Produtos!$B$5:$B$104,0))),0),F2295))</f>
        <v/>
      </c>
      <c r="H2295" s="27" t="str">
        <f aca="false">IF(G2295="","",IF(N(E2295)=0,1,E2295)*IFERROR(N(INDEX(Produtos!$G$5:$G$104,MATCH(D2295,Produtos!$B$5:$B$104,0))),0))</f>
        <v/>
      </c>
      <c r="I2295" s="27" t="str">
        <f aca="false">IF(G2295="","",G2295-H2295)</f>
        <v/>
      </c>
      <c r="J2295" s="42"/>
    </row>
    <row r="2296" customFormat="false" ht="21" hidden="false" customHeight="true" outlineLevel="0" collapsed="false">
      <c r="B2296" s="41"/>
      <c r="C2296" s="9"/>
      <c r="D2296" s="9"/>
      <c r="E2296" s="42"/>
      <c r="F2296" s="43"/>
      <c r="G2296" s="27" t="str">
        <f aca="false">IF(OR(C2296="",AND(D2296="",F2296="")),"",IF(N(E2296)=0,1,E2296)*IF(F2296="",IFERROR(N(INDEX(Produtos!$L$5:$L$104,MATCH(D2296,Produtos!$B$5:$B$104,0))),0),F2296))</f>
        <v/>
      </c>
      <c r="H2296" s="27" t="str">
        <f aca="false">IF(G2296="","",IF(N(E2296)=0,1,E2296)*IFERROR(N(INDEX(Produtos!$G$5:$G$104,MATCH(D2296,Produtos!$B$5:$B$104,0))),0))</f>
        <v/>
      </c>
      <c r="I2296" s="27" t="str">
        <f aca="false">IF(G2296="","",G2296-H2296)</f>
        <v/>
      </c>
      <c r="J2296" s="42"/>
    </row>
    <row r="2297" customFormat="false" ht="21" hidden="false" customHeight="true" outlineLevel="0" collapsed="false">
      <c r="B2297" s="41"/>
      <c r="C2297" s="9"/>
      <c r="D2297" s="9"/>
      <c r="E2297" s="42"/>
      <c r="F2297" s="43"/>
      <c r="G2297" s="27" t="str">
        <f aca="false">IF(OR(C2297="",AND(D2297="",F2297="")),"",IF(N(E2297)=0,1,E2297)*IF(F2297="",IFERROR(N(INDEX(Produtos!$L$5:$L$104,MATCH(D2297,Produtos!$B$5:$B$104,0))),0),F2297))</f>
        <v/>
      </c>
      <c r="H2297" s="27" t="str">
        <f aca="false">IF(G2297="","",IF(N(E2297)=0,1,E2297)*IFERROR(N(INDEX(Produtos!$G$5:$G$104,MATCH(D2297,Produtos!$B$5:$B$104,0))),0))</f>
        <v/>
      </c>
      <c r="I2297" s="27" t="str">
        <f aca="false">IF(G2297="","",G2297-H2297)</f>
        <v/>
      </c>
      <c r="J2297" s="42"/>
    </row>
    <row r="2298" customFormat="false" ht="21" hidden="false" customHeight="true" outlineLevel="0" collapsed="false">
      <c r="B2298" s="41"/>
      <c r="C2298" s="9"/>
      <c r="D2298" s="9"/>
      <c r="E2298" s="42"/>
      <c r="F2298" s="43"/>
      <c r="G2298" s="27" t="str">
        <f aca="false">IF(OR(C2298="",AND(D2298="",F2298="")),"",IF(N(E2298)=0,1,E2298)*IF(F2298="",IFERROR(N(INDEX(Produtos!$L$5:$L$104,MATCH(D2298,Produtos!$B$5:$B$104,0))),0),F2298))</f>
        <v/>
      </c>
      <c r="H2298" s="27" t="str">
        <f aca="false">IF(G2298="","",IF(N(E2298)=0,1,E2298)*IFERROR(N(INDEX(Produtos!$G$5:$G$104,MATCH(D2298,Produtos!$B$5:$B$104,0))),0))</f>
        <v/>
      </c>
      <c r="I2298" s="27" t="str">
        <f aca="false">IF(G2298="","",G2298-H2298)</f>
        <v/>
      </c>
      <c r="J2298" s="42"/>
    </row>
    <row r="2299" customFormat="false" ht="21" hidden="false" customHeight="true" outlineLevel="0" collapsed="false">
      <c r="B2299" s="41"/>
      <c r="C2299" s="9"/>
      <c r="D2299" s="9"/>
      <c r="E2299" s="42"/>
      <c r="F2299" s="43"/>
      <c r="G2299" s="27" t="str">
        <f aca="false">IF(OR(C2299="",AND(D2299="",F2299="")),"",IF(N(E2299)=0,1,E2299)*IF(F2299="",IFERROR(N(INDEX(Produtos!$L$5:$L$104,MATCH(D2299,Produtos!$B$5:$B$104,0))),0),F2299))</f>
        <v/>
      </c>
      <c r="H2299" s="27" t="str">
        <f aca="false">IF(G2299="","",IF(N(E2299)=0,1,E2299)*IFERROR(N(INDEX(Produtos!$G$5:$G$104,MATCH(D2299,Produtos!$B$5:$B$104,0))),0))</f>
        <v/>
      </c>
      <c r="I2299" s="27" t="str">
        <f aca="false">IF(G2299="","",G2299-H2299)</f>
        <v/>
      </c>
      <c r="J2299" s="42"/>
    </row>
    <row r="2300" customFormat="false" ht="21" hidden="false" customHeight="true" outlineLevel="0" collapsed="false">
      <c r="B2300" s="41"/>
      <c r="C2300" s="9"/>
      <c r="D2300" s="9"/>
      <c r="E2300" s="42"/>
      <c r="F2300" s="43"/>
      <c r="G2300" s="27" t="str">
        <f aca="false">IF(OR(C2300="",AND(D2300="",F2300="")),"",IF(N(E2300)=0,1,E2300)*IF(F2300="",IFERROR(N(INDEX(Produtos!$L$5:$L$104,MATCH(D2300,Produtos!$B$5:$B$104,0))),0),F2300))</f>
        <v/>
      </c>
      <c r="H2300" s="27" t="str">
        <f aca="false">IF(G2300="","",IF(N(E2300)=0,1,E2300)*IFERROR(N(INDEX(Produtos!$G$5:$G$104,MATCH(D2300,Produtos!$B$5:$B$104,0))),0))</f>
        <v/>
      </c>
      <c r="I2300" s="27" t="str">
        <f aca="false">IF(G2300="","",G2300-H2300)</f>
        <v/>
      </c>
      <c r="J2300" s="42"/>
    </row>
    <row r="2301" customFormat="false" ht="21" hidden="false" customHeight="true" outlineLevel="0" collapsed="false">
      <c r="B2301" s="41"/>
      <c r="C2301" s="9"/>
      <c r="D2301" s="9"/>
      <c r="E2301" s="42"/>
      <c r="F2301" s="43"/>
      <c r="G2301" s="27" t="str">
        <f aca="false">IF(OR(C2301="",AND(D2301="",F2301="")),"",IF(N(E2301)=0,1,E2301)*IF(F2301="",IFERROR(N(INDEX(Produtos!$L$5:$L$104,MATCH(D2301,Produtos!$B$5:$B$104,0))),0),F2301))</f>
        <v/>
      </c>
      <c r="H2301" s="27" t="str">
        <f aca="false">IF(G2301="","",IF(N(E2301)=0,1,E2301)*IFERROR(N(INDEX(Produtos!$G$5:$G$104,MATCH(D2301,Produtos!$B$5:$B$104,0))),0))</f>
        <v/>
      </c>
      <c r="I2301" s="27" t="str">
        <f aca="false">IF(G2301="","",G2301-H2301)</f>
        <v/>
      </c>
      <c r="J2301" s="42"/>
    </row>
    <row r="2302" customFormat="false" ht="21" hidden="false" customHeight="true" outlineLevel="0" collapsed="false">
      <c r="B2302" s="41"/>
      <c r="C2302" s="9"/>
      <c r="D2302" s="9"/>
      <c r="E2302" s="42"/>
      <c r="F2302" s="43"/>
      <c r="G2302" s="27" t="str">
        <f aca="false">IF(OR(C2302="",AND(D2302="",F2302="")),"",IF(N(E2302)=0,1,E2302)*IF(F2302="",IFERROR(N(INDEX(Produtos!$L$5:$L$104,MATCH(D2302,Produtos!$B$5:$B$104,0))),0),F2302))</f>
        <v/>
      </c>
      <c r="H2302" s="27" t="str">
        <f aca="false">IF(G2302="","",IF(N(E2302)=0,1,E2302)*IFERROR(N(INDEX(Produtos!$G$5:$G$104,MATCH(D2302,Produtos!$B$5:$B$104,0))),0))</f>
        <v/>
      </c>
      <c r="I2302" s="27" t="str">
        <f aca="false">IF(G2302="","",G2302-H2302)</f>
        <v/>
      </c>
      <c r="J2302" s="42"/>
    </row>
    <row r="2303" customFormat="false" ht="21" hidden="false" customHeight="true" outlineLevel="0" collapsed="false">
      <c r="B2303" s="41"/>
      <c r="C2303" s="9"/>
      <c r="D2303" s="9"/>
      <c r="E2303" s="42"/>
      <c r="F2303" s="43"/>
      <c r="G2303" s="27" t="str">
        <f aca="false">IF(OR(C2303="",AND(D2303="",F2303="")),"",IF(N(E2303)=0,1,E2303)*IF(F2303="",IFERROR(N(INDEX(Produtos!$L$5:$L$104,MATCH(D2303,Produtos!$B$5:$B$104,0))),0),F2303))</f>
        <v/>
      </c>
      <c r="H2303" s="27" t="str">
        <f aca="false">IF(G2303="","",IF(N(E2303)=0,1,E2303)*IFERROR(N(INDEX(Produtos!$G$5:$G$104,MATCH(D2303,Produtos!$B$5:$B$104,0))),0))</f>
        <v/>
      </c>
      <c r="I2303" s="27" t="str">
        <f aca="false">IF(G2303="","",G2303-H2303)</f>
        <v/>
      </c>
      <c r="J2303" s="42"/>
    </row>
    <row r="2304" customFormat="false" ht="21" hidden="false" customHeight="true" outlineLevel="0" collapsed="false">
      <c r="B2304" s="41"/>
      <c r="C2304" s="9"/>
      <c r="D2304" s="9"/>
      <c r="E2304" s="42"/>
      <c r="F2304" s="43"/>
      <c r="G2304" s="27" t="str">
        <f aca="false">IF(OR(C2304="",AND(D2304="",F2304="")),"",IF(N(E2304)=0,1,E2304)*IF(F2304="",IFERROR(N(INDEX(Produtos!$L$5:$L$104,MATCH(D2304,Produtos!$B$5:$B$104,0))),0),F2304))</f>
        <v/>
      </c>
      <c r="H2304" s="27" t="str">
        <f aca="false">IF(G2304="","",IF(N(E2304)=0,1,E2304)*IFERROR(N(INDEX(Produtos!$G$5:$G$104,MATCH(D2304,Produtos!$B$5:$B$104,0))),0))</f>
        <v/>
      </c>
      <c r="I2304" s="27" t="str">
        <f aca="false">IF(G2304="","",G2304-H2304)</f>
        <v/>
      </c>
      <c r="J2304" s="42"/>
    </row>
    <row r="2305" customFormat="false" ht="21" hidden="false" customHeight="true" outlineLevel="0" collapsed="false">
      <c r="B2305" s="41"/>
      <c r="C2305" s="9"/>
      <c r="D2305" s="9"/>
      <c r="E2305" s="42"/>
      <c r="F2305" s="43"/>
      <c r="G2305" s="27" t="str">
        <f aca="false">IF(OR(C2305="",AND(D2305="",F2305="")),"",IF(N(E2305)=0,1,E2305)*IF(F2305="",IFERROR(N(INDEX(Produtos!$L$5:$L$104,MATCH(D2305,Produtos!$B$5:$B$104,0))),0),F2305))</f>
        <v/>
      </c>
      <c r="H2305" s="27" t="str">
        <f aca="false">IF(G2305="","",IF(N(E2305)=0,1,E2305)*IFERROR(N(INDEX(Produtos!$G$5:$G$104,MATCH(D2305,Produtos!$B$5:$B$104,0))),0))</f>
        <v/>
      </c>
      <c r="I2305" s="27" t="str">
        <f aca="false">IF(G2305="","",G2305-H2305)</f>
        <v/>
      </c>
      <c r="J2305" s="42"/>
    </row>
    <row r="2306" customFormat="false" ht="21" hidden="false" customHeight="true" outlineLevel="0" collapsed="false">
      <c r="B2306" s="41"/>
      <c r="C2306" s="9"/>
      <c r="D2306" s="9"/>
      <c r="E2306" s="42"/>
      <c r="F2306" s="43"/>
      <c r="G2306" s="27" t="str">
        <f aca="false">IF(OR(C2306="",AND(D2306="",F2306="")),"",IF(N(E2306)=0,1,E2306)*IF(F2306="",IFERROR(N(INDEX(Produtos!$L$5:$L$104,MATCH(D2306,Produtos!$B$5:$B$104,0))),0),F2306))</f>
        <v/>
      </c>
      <c r="H2306" s="27" t="str">
        <f aca="false">IF(G2306="","",IF(N(E2306)=0,1,E2306)*IFERROR(N(INDEX(Produtos!$G$5:$G$104,MATCH(D2306,Produtos!$B$5:$B$104,0))),0))</f>
        <v/>
      </c>
      <c r="I2306" s="27" t="str">
        <f aca="false">IF(G2306="","",G2306-H2306)</f>
        <v/>
      </c>
      <c r="J2306" s="42"/>
    </row>
    <row r="2307" customFormat="false" ht="21" hidden="false" customHeight="true" outlineLevel="0" collapsed="false">
      <c r="B2307" s="41"/>
      <c r="C2307" s="9"/>
      <c r="D2307" s="9"/>
      <c r="E2307" s="42"/>
      <c r="F2307" s="43"/>
      <c r="G2307" s="27" t="str">
        <f aca="false">IF(OR(C2307="",AND(D2307="",F2307="")),"",IF(N(E2307)=0,1,E2307)*IF(F2307="",IFERROR(N(INDEX(Produtos!$L$5:$L$104,MATCH(D2307,Produtos!$B$5:$B$104,0))),0),F2307))</f>
        <v/>
      </c>
      <c r="H2307" s="27" t="str">
        <f aca="false">IF(G2307="","",IF(N(E2307)=0,1,E2307)*IFERROR(N(INDEX(Produtos!$G$5:$G$104,MATCH(D2307,Produtos!$B$5:$B$104,0))),0))</f>
        <v/>
      </c>
      <c r="I2307" s="27" t="str">
        <f aca="false">IF(G2307="","",G2307-H2307)</f>
        <v/>
      </c>
      <c r="J2307" s="42"/>
    </row>
    <row r="2308" customFormat="false" ht="21" hidden="false" customHeight="true" outlineLevel="0" collapsed="false">
      <c r="B2308" s="41"/>
      <c r="C2308" s="9"/>
      <c r="D2308" s="9"/>
      <c r="E2308" s="42"/>
      <c r="F2308" s="43"/>
      <c r="G2308" s="27" t="str">
        <f aca="false">IF(OR(C2308="",AND(D2308="",F2308="")),"",IF(N(E2308)=0,1,E2308)*IF(F2308="",IFERROR(N(INDEX(Produtos!$L$5:$L$104,MATCH(D2308,Produtos!$B$5:$B$104,0))),0),F2308))</f>
        <v/>
      </c>
      <c r="H2308" s="27" t="str">
        <f aca="false">IF(G2308="","",IF(N(E2308)=0,1,E2308)*IFERROR(N(INDEX(Produtos!$G$5:$G$104,MATCH(D2308,Produtos!$B$5:$B$104,0))),0))</f>
        <v/>
      </c>
      <c r="I2308" s="27" t="str">
        <f aca="false">IF(G2308="","",G2308-H2308)</f>
        <v/>
      </c>
      <c r="J2308" s="42"/>
    </row>
    <row r="2309" customFormat="false" ht="21" hidden="false" customHeight="true" outlineLevel="0" collapsed="false">
      <c r="B2309" s="41"/>
      <c r="C2309" s="9"/>
      <c r="D2309" s="9"/>
      <c r="E2309" s="42"/>
      <c r="F2309" s="43"/>
      <c r="G2309" s="27" t="str">
        <f aca="false">IF(OR(C2309="",AND(D2309="",F2309="")),"",IF(N(E2309)=0,1,E2309)*IF(F2309="",IFERROR(N(INDEX(Produtos!$L$5:$L$104,MATCH(D2309,Produtos!$B$5:$B$104,0))),0),F2309))</f>
        <v/>
      </c>
      <c r="H2309" s="27" t="str">
        <f aca="false">IF(G2309="","",IF(N(E2309)=0,1,E2309)*IFERROR(N(INDEX(Produtos!$G$5:$G$104,MATCH(D2309,Produtos!$B$5:$B$104,0))),0))</f>
        <v/>
      </c>
      <c r="I2309" s="27" t="str">
        <f aca="false">IF(G2309="","",G2309-H2309)</f>
        <v/>
      </c>
      <c r="J2309" s="42"/>
    </row>
    <row r="2310" customFormat="false" ht="21" hidden="false" customHeight="true" outlineLevel="0" collapsed="false">
      <c r="B2310" s="41"/>
      <c r="C2310" s="9"/>
      <c r="D2310" s="9"/>
      <c r="E2310" s="42"/>
      <c r="F2310" s="43"/>
      <c r="G2310" s="27" t="str">
        <f aca="false">IF(OR(C2310="",AND(D2310="",F2310="")),"",IF(N(E2310)=0,1,E2310)*IF(F2310="",IFERROR(N(INDEX(Produtos!$L$5:$L$104,MATCH(D2310,Produtos!$B$5:$B$104,0))),0),F2310))</f>
        <v/>
      </c>
      <c r="H2310" s="27" t="str">
        <f aca="false">IF(G2310="","",IF(N(E2310)=0,1,E2310)*IFERROR(N(INDEX(Produtos!$G$5:$G$104,MATCH(D2310,Produtos!$B$5:$B$104,0))),0))</f>
        <v/>
      </c>
      <c r="I2310" s="27" t="str">
        <f aca="false">IF(G2310="","",G2310-H2310)</f>
        <v/>
      </c>
      <c r="J2310" s="42"/>
    </row>
    <row r="2311" customFormat="false" ht="21" hidden="false" customHeight="true" outlineLevel="0" collapsed="false">
      <c r="B2311" s="41"/>
      <c r="C2311" s="9"/>
      <c r="D2311" s="9"/>
      <c r="E2311" s="42"/>
      <c r="F2311" s="43"/>
      <c r="G2311" s="27" t="str">
        <f aca="false">IF(OR(C2311="",AND(D2311="",F2311="")),"",IF(N(E2311)=0,1,E2311)*IF(F2311="",IFERROR(N(INDEX(Produtos!$L$5:$L$104,MATCH(D2311,Produtos!$B$5:$B$104,0))),0),F2311))</f>
        <v/>
      </c>
      <c r="H2311" s="27" t="str">
        <f aca="false">IF(G2311="","",IF(N(E2311)=0,1,E2311)*IFERROR(N(INDEX(Produtos!$G$5:$G$104,MATCH(D2311,Produtos!$B$5:$B$104,0))),0))</f>
        <v/>
      </c>
      <c r="I2311" s="27" t="str">
        <f aca="false">IF(G2311="","",G2311-H2311)</f>
        <v/>
      </c>
      <c r="J2311" s="42"/>
    </row>
    <row r="2312" customFormat="false" ht="21" hidden="false" customHeight="true" outlineLevel="0" collapsed="false">
      <c r="B2312" s="41"/>
      <c r="C2312" s="9"/>
      <c r="D2312" s="9"/>
      <c r="E2312" s="42"/>
      <c r="F2312" s="43"/>
      <c r="G2312" s="27" t="str">
        <f aca="false">IF(OR(C2312="",AND(D2312="",F2312="")),"",IF(N(E2312)=0,1,E2312)*IF(F2312="",IFERROR(N(INDEX(Produtos!$L$5:$L$104,MATCH(D2312,Produtos!$B$5:$B$104,0))),0),F2312))</f>
        <v/>
      </c>
      <c r="H2312" s="27" t="str">
        <f aca="false">IF(G2312="","",IF(N(E2312)=0,1,E2312)*IFERROR(N(INDEX(Produtos!$G$5:$G$104,MATCH(D2312,Produtos!$B$5:$B$104,0))),0))</f>
        <v/>
      </c>
      <c r="I2312" s="27" t="str">
        <f aca="false">IF(G2312="","",G2312-H2312)</f>
        <v/>
      </c>
      <c r="J2312" s="42"/>
    </row>
    <row r="2313" customFormat="false" ht="21" hidden="false" customHeight="true" outlineLevel="0" collapsed="false">
      <c r="B2313" s="41"/>
      <c r="C2313" s="9"/>
      <c r="D2313" s="9"/>
      <c r="E2313" s="42"/>
      <c r="F2313" s="43"/>
      <c r="G2313" s="27" t="str">
        <f aca="false">IF(OR(C2313="",AND(D2313="",F2313="")),"",IF(N(E2313)=0,1,E2313)*IF(F2313="",IFERROR(N(INDEX(Produtos!$L$5:$L$104,MATCH(D2313,Produtos!$B$5:$B$104,0))),0),F2313))</f>
        <v/>
      </c>
      <c r="H2313" s="27" t="str">
        <f aca="false">IF(G2313="","",IF(N(E2313)=0,1,E2313)*IFERROR(N(INDEX(Produtos!$G$5:$G$104,MATCH(D2313,Produtos!$B$5:$B$104,0))),0))</f>
        <v/>
      </c>
      <c r="I2313" s="27" t="str">
        <f aca="false">IF(G2313="","",G2313-H2313)</f>
        <v/>
      </c>
      <c r="J2313" s="42"/>
    </row>
    <row r="2314" customFormat="false" ht="21" hidden="false" customHeight="true" outlineLevel="0" collapsed="false">
      <c r="B2314" s="41"/>
      <c r="C2314" s="9"/>
      <c r="D2314" s="9"/>
      <c r="E2314" s="42"/>
      <c r="F2314" s="43"/>
      <c r="G2314" s="27" t="str">
        <f aca="false">IF(OR(C2314="",AND(D2314="",F2314="")),"",IF(N(E2314)=0,1,E2314)*IF(F2314="",IFERROR(N(INDEX(Produtos!$L$5:$L$104,MATCH(D2314,Produtos!$B$5:$B$104,0))),0),F2314))</f>
        <v/>
      </c>
      <c r="H2314" s="27" t="str">
        <f aca="false">IF(G2314="","",IF(N(E2314)=0,1,E2314)*IFERROR(N(INDEX(Produtos!$G$5:$G$104,MATCH(D2314,Produtos!$B$5:$B$104,0))),0))</f>
        <v/>
      </c>
      <c r="I2314" s="27" t="str">
        <f aca="false">IF(G2314="","",G2314-H2314)</f>
        <v/>
      </c>
      <c r="J2314" s="42"/>
    </row>
    <row r="2315" customFormat="false" ht="21" hidden="false" customHeight="true" outlineLevel="0" collapsed="false">
      <c r="B2315" s="41"/>
      <c r="C2315" s="9"/>
      <c r="D2315" s="9"/>
      <c r="E2315" s="42"/>
      <c r="F2315" s="43"/>
      <c r="G2315" s="27" t="str">
        <f aca="false">IF(OR(C2315="",AND(D2315="",F2315="")),"",IF(N(E2315)=0,1,E2315)*IF(F2315="",IFERROR(N(INDEX(Produtos!$L$5:$L$104,MATCH(D2315,Produtos!$B$5:$B$104,0))),0),F2315))</f>
        <v/>
      </c>
      <c r="H2315" s="27" t="str">
        <f aca="false">IF(G2315="","",IF(N(E2315)=0,1,E2315)*IFERROR(N(INDEX(Produtos!$G$5:$G$104,MATCH(D2315,Produtos!$B$5:$B$104,0))),0))</f>
        <v/>
      </c>
      <c r="I2315" s="27" t="str">
        <f aca="false">IF(G2315="","",G2315-H2315)</f>
        <v/>
      </c>
      <c r="J2315" s="42"/>
    </row>
    <row r="2316" customFormat="false" ht="21" hidden="false" customHeight="true" outlineLevel="0" collapsed="false">
      <c r="B2316" s="41"/>
      <c r="C2316" s="9"/>
      <c r="D2316" s="9"/>
      <c r="E2316" s="42"/>
      <c r="F2316" s="43"/>
      <c r="G2316" s="27" t="str">
        <f aca="false">IF(OR(C2316="",AND(D2316="",F2316="")),"",IF(N(E2316)=0,1,E2316)*IF(F2316="",IFERROR(N(INDEX(Produtos!$L$5:$L$104,MATCH(D2316,Produtos!$B$5:$B$104,0))),0),F2316))</f>
        <v/>
      </c>
      <c r="H2316" s="27" t="str">
        <f aca="false">IF(G2316="","",IF(N(E2316)=0,1,E2316)*IFERROR(N(INDEX(Produtos!$G$5:$G$104,MATCH(D2316,Produtos!$B$5:$B$104,0))),0))</f>
        <v/>
      </c>
      <c r="I2316" s="27" t="str">
        <f aca="false">IF(G2316="","",G2316-H2316)</f>
        <v/>
      </c>
      <c r="J2316" s="42"/>
    </row>
    <row r="2317" customFormat="false" ht="21" hidden="false" customHeight="true" outlineLevel="0" collapsed="false">
      <c r="B2317" s="41"/>
      <c r="C2317" s="9"/>
      <c r="D2317" s="9"/>
      <c r="E2317" s="42"/>
      <c r="F2317" s="43"/>
      <c r="G2317" s="27" t="str">
        <f aca="false">IF(OR(C2317="",AND(D2317="",F2317="")),"",IF(N(E2317)=0,1,E2317)*IF(F2317="",IFERROR(N(INDEX(Produtos!$L$5:$L$104,MATCH(D2317,Produtos!$B$5:$B$104,0))),0),F2317))</f>
        <v/>
      </c>
      <c r="H2317" s="27" t="str">
        <f aca="false">IF(G2317="","",IF(N(E2317)=0,1,E2317)*IFERROR(N(INDEX(Produtos!$G$5:$G$104,MATCH(D2317,Produtos!$B$5:$B$104,0))),0))</f>
        <v/>
      </c>
      <c r="I2317" s="27" t="str">
        <f aca="false">IF(G2317="","",G2317-H2317)</f>
        <v/>
      </c>
      <c r="J2317" s="42"/>
    </row>
    <row r="2318" customFormat="false" ht="21" hidden="false" customHeight="true" outlineLevel="0" collapsed="false">
      <c r="B2318" s="41"/>
      <c r="C2318" s="9"/>
      <c r="D2318" s="9"/>
      <c r="E2318" s="42"/>
      <c r="F2318" s="43"/>
      <c r="G2318" s="27" t="str">
        <f aca="false">IF(OR(C2318="",AND(D2318="",F2318="")),"",IF(N(E2318)=0,1,E2318)*IF(F2318="",IFERROR(N(INDEX(Produtos!$L$5:$L$104,MATCH(D2318,Produtos!$B$5:$B$104,0))),0),F2318))</f>
        <v/>
      </c>
      <c r="H2318" s="27" t="str">
        <f aca="false">IF(G2318="","",IF(N(E2318)=0,1,E2318)*IFERROR(N(INDEX(Produtos!$G$5:$G$104,MATCH(D2318,Produtos!$B$5:$B$104,0))),0))</f>
        <v/>
      </c>
      <c r="I2318" s="27" t="str">
        <f aca="false">IF(G2318="","",G2318-H2318)</f>
        <v/>
      </c>
      <c r="J2318" s="42"/>
    </row>
    <row r="2319" customFormat="false" ht="21" hidden="false" customHeight="true" outlineLevel="0" collapsed="false">
      <c r="B2319" s="41"/>
      <c r="C2319" s="9"/>
      <c r="D2319" s="9"/>
      <c r="E2319" s="42"/>
      <c r="F2319" s="43"/>
      <c r="G2319" s="27" t="str">
        <f aca="false">IF(OR(C2319="",AND(D2319="",F2319="")),"",IF(N(E2319)=0,1,E2319)*IF(F2319="",IFERROR(N(INDEX(Produtos!$L$5:$L$104,MATCH(D2319,Produtos!$B$5:$B$104,0))),0),F2319))</f>
        <v/>
      </c>
      <c r="H2319" s="27" t="str">
        <f aca="false">IF(G2319="","",IF(N(E2319)=0,1,E2319)*IFERROR(N(INDEX(Produtos!$G$5:$G$104,MATCH(D2319,Produtos!$B$5:$B$104,0))),0))</f>
        <v/>
      </c>
      <c r="I2319" s="27" t="str">
        <f aca="false">IF(G2319="","",G2319-H2319)</f>
        <v/>
      </c>
      <c r="J2319" s="42"/>
    </row>
    <row r="2320" customFormat="false" ht="21" hidden="false" customHeight="true" outlineLevel="0" collapsed="false">
      <c r="B2320" s="41"/>
      <c r="C2320" s="9"/>
      <c r="D2320" s="9"/>
      <c r="E2320" s="42"/>
      <c r="F2320" s="43"/>
      <c r="G2320" s="27" t="str">
        <f aca="false">IF(OR(C2320="",AND(D2320="",F2320="")),"",IF(N(E2320)=0,1,E2320)*IF(F2320="",IFERROR(N(INDEX(Produtos!$L$5:$L$104,MATCH(D2320,Produtos!$B$5:$B$104,0))),0),F2320))</f>
        <v/>
      </c>
      <c r="H2320" s="27" t="str">
        <f aca="false">IF(G2320="","",IF(N(E2320)=0,1,E2320)*IFERROR(N(INDEX(Produtos!$G$5:$G$104,MATCH(D2320,Produtos!$B$5:$B$104,0))),0))</f>
        <v/>
      </c>
      <c r="I2320" s="27" t="str">
        <f aca="false">IF(G2320="","",G2320-H2320)</f>
        <v/>
      </c>
      <c r="J2320" s="42"/>
    </row>
    <row r="2321" customFormat="false" ht="21" hidden="false" customHeight="true" outlineLevel="0" collapsed="false">
      <c r="B2321" s="41"/>
      <c r="C2321" s="9"/>
      <c r="D2321" s="9"/>
      <c r="E2321" s="42"/>
      <c r="F2321" s="43"/>
      <c r="G2321" s="27" t="str">
        <f aca="false">IF(OR(C2321="",AND(D2321="",F2321="")),"",IF(N(E2321)=0,1,E2321)*IF(F2321="",IFERROR(N(INDEX(Produtos!$L$5:$L$104,MATCH(D2321,Produtos!$B$5:$B$104,0))),0),F2321))</f>
        <v/>
      </c>
      <c r="H2321" s="27" t="str">
        <f aca="false">IF(G2321="","",IF(N(E2321)=0,1,E2321)*IFERROR(N(INDEX(Produtos!$G$5:$G$104,MATCH(D2321,Produtos!$B$5:$B$104,0))),0))</f>
        <v/>
      </c>
      <c r="I2321" s="27" t="str">
        <f aca="false">IF(G2321="","",G2321-H2321)</f>
        <v/>
      </c>
      <c r="J2321" s="42"/>
    </row>
    <row r="2322" customFormat="false" ht="21" hidden="false" customHeight="true" outlineLevel="0" collapsed="false">
      <c r="B2322" s="41"/>
      <c r="C2322" s="9"/>
      <c r="D2322" s="9"/>
      <c r="E2322" s="42"/>
      <c r="F2322" s="43"/>
      <c r="G2322" s="27" t="str">
        <f aca="false">IF(OR(C2322="",AND(D2322="",F2322="")),"",IF(N(E2322)=0,1,E2322)*IF(F2322="",IFERROR(N(INDEX(Produtos!$L$5:$L$104,MATCH(D2322,Produtos!$B$5:$B$104,0))),0),F2322))</f>
        <v/>
      </c>
      <c r="H2322" s="27" t="str">
        <f aca="false">IF(G2322="","",IF(N(E2322)=0,1,E2322)*IFERROR(N(INDEX(Produtos!$G$5:$G$104,MATCH(D2322,Produtos!$B$5:$B$104,0))),0))</f>
        <v/>
      </c>
      <c r="I2322" s="27" t="str">
        <f aca="false">IF(G2322="","",G2322-H2322)</f>
        <v/>
      </c>
      <c r="J2322" s="42"/>
    </row>
    <row r="2323" customFormat="false" ht="21" hidden="false" customHeight="true" outlineLevel="0" collapsed="false">
      <c r="B2323" s="41"/>
      <c r="C2323" s="9"/>
      <c r="D2323" s="9"/>
      <c r="E2323" s="42"/>
      <c r="F2323" s="43"/>
      <c r="G2323" s="27" t="str">
        <f aca="false">IF(OR(C2323="",AND(D2323="",F2323="")),"",IF(N(E2323)=0,1,E2323)*IF(F2323="",IFERROR(N(INDEX(Produtos!$L$5:$L$104,MATCH(D2323,Produtos!$B$5:$B$104,0))),0),F2323))</f>
        <v/>
      </c>
      <c r="H2323" s="27" t="str">
        <f aca="false">IF(G2323="","",IF(N(E2323)=0,1,E2323)*IFERROR(N(INDEX(Produtos!$G$5:$G$104,MATCH(D2323,Produtos!$B$5:$B$104,0))),0))</f>
        <v/>
      </c>
      <c r="I2323" s="27" t="str">
        <f aca="false">IF(G2323="","",G2323-H2323)</f>
        <v/>
      </c>
      <c r="J2323" s="42"/>
    </row>
    <row r="2324" customFormat="false" ht="21" hidden="false" customHeight="true" outlineLevel="0" collapsed="false">
      <c r="B2324" s="41"/>
      <c r="C2324" s="9"/>
      <c r="D2324" s="9"/>
      <c r="E2324" s="42"/>
      <c r="F2324" s="43"/>
      <c r="G2324" s="27" t="str">
        <f aca="false">IF(OR(C2324="",AND(D2324="",F2324="")),"",IF(N(E2324)=0,1,E2324)*IF(F2324="",IFERROR(N(INDEX(Produtos!$L$5:$L$104,MATCH(D2324,Produtos!$B$5:$B$104,0))),0),F2324))</f>
        <v/>
      </c>
      <c r="H2324" s="27" t="str">
        <f aca="false">IF(G2324="","",IF(N(E2324)=0,1,E2324)*IFERROR(N(INDEX(Produtos!$G$5:$G$104,MATCH(D2324,Produtos!$B$5:$B$104,0))),0))</f>
        <v/>
      </c>
      <c r="I2324" s="27" t="str">
        <f aca="false">IF(G2324="","",G2324-H2324)</f>
        <v/>
      </c>
      <c r="J2324" s="42"/>
    </row>
    <row r="2325" customFormat="false" ht="21" hidden="false" customHeight="true" outlineLevel="0" collapsed="false">
      <c r="B2325" s="41"/>
      <c r="C2325" s="9"/>
      <c r="D2325" s="9"/>
      <c r="E2325" s="42"/>
      <c r="F2325" s="43"/>
      <c r="G2325" s="27" t="str">
        <f aca="false">IF(OR(C2325="",AND(D2325="",F2325="")),"",IF(N(E2325)=0,1,E2325)*IF(F2325="",IFERROR(N(INDEX(Produtos!$L$5:$L$104,MATCH(D2325,Produtos!$B$5:$B$104,0))),0),F2325))</f>
        <v/>
      </c>
      <c r="H2325" s="27" t="str">
        <f aca="false">IF(G2325="","",IF(N(E2325)=0,1,E2325)*IFERROR(N(INDEX(Produtos!$G$5:$G$104,MATCH(D2325,Produtos!$B$5:$B$104,0))),0))</f>
        <v/>
      </c>
      <c r="I2325" s="27" t="str">
        <f aca="false">IF(G2325="","",G2325-H2325)</f>
        <v/>
      </c>
      <c r="J2325" s="42"/>
    </row>
    <row r="2326" customFormat="false" ht="21" hidden="false" customHeight="true" outlineLevel="0" collapsed="false">
      <c r="B2326" s="41"/>
      <c r="C2326" s="9"/>
      <c r="D2326" s="9"/>
      <c r="E2326" s="42"/>
      <c r="F2326" s="43"/>
      <c r="G2326" s="27" t="str">
        <f aca="false">IF(OR(C2326="",AND(D2326="",F2326="")),"",IF(N(E2326)=0,1,E2326)*IF(F2326="",IFERROR(N(INDEX(Produtos!$L$5:$L$104,MATCH(D2326,Produtos!$B$5:$B$104,0))),0),F2326))</f>
        <v/>
      </c>
      <c r="H2326" s="27" t="str">
        <f aca="false">IF(G2326="","",IF(N(E2326)=0,1,E2326)*IFERROR(N(INDEX(Produtos!$G$5:$G$104,MATCH(D2326,Produtos!$B$5:$B$104,0))),0))</f>
        <v/>
      </c>
      <c r="I2326" s="27" t="str">
        <f aca="false">IF(G2326="","",G2326-H2326)</f>
        <v/>
      </c>
      <c r="J2326" s="42"/>
    </row>
    <row r="2327" customFormat="false" ht="21" hidden="false" customHeight="true" outlineLevel="0" collapsed="false">
      <c r="B2327" s="41"/>
      <c r="C2327" s="9"/>
      <c r="D2327" s="9"/>
      <c r="E2327" s="42"/>
      <c r="F2327" s="43"/>
      <c r="G2327" s="27" t="str">
        <f aca="false">IF(OR(C2327="",AND(D2327="",F2327="")),"",IF(N(E2327)=0,1,E2327)*IF(F2327="",IFERROR(N(INDEX(Produtos!$L$5:$L$104,MATCH(D2327,Produtos!$B$5:$B$104,0))),0),F2327))</f>
        <v/>
      </c>
      <c r="H2327" s="27" t="str">
        <f aca="false">IF(G2327="","",IF(N(E2327)=0,1,E2327)*IFERROR(N(INDEX(Produtos!$G$5:$G$104,MATCH(D2327,Produtos!$B$5:$B$104,0))),0))</f>
        <v/>
      </c>
      <c r="I2327" s="27" t="str">
        <f aca="false">IF(G2327="","",G2327-H2327)</f>
        <v/>
      </c>
      <c r="J2327" s="42"/>
    </row>
    <row r="2328" customFormat="false" ht="21" hidden="false" customHeight="true" outlineLevel="0" collapsed="false">
      <c r="B2328" s="41"/>
      <c r="C2328" s="9"/>
      <c r="D2328" s="9"/>
      <c r="E2328" s="42"/>
      <c r="F2328" s="43"/>
      <c r="G2328" s="27" t="str">
        <f aca="false">IF(OR(C2328="",AND(D2328="",F2328="")),"",IF(N(E2328)=0,1,E2328)*IF(F2328="",IFERROR(N(INDEX(Produtos!$L$5:$L$104,MATCH(D2328,Produtos!$B$5:$B$104,0))),0),F2328))</f>
        <v/>
      </c>
      <c r="H2328" s="27" t="str">
        <f aca="false">IF(G2328="","",IF(N(E2328)=0,1,E2328)*IFERROR(N(INDEX(Produtos!$G$5:$G$104,MATCH(D2328,Produtos!$B$5:$B$104,0))),0))</f>
        <v/>
      </c>
      <c r="I2328" s="27" t="str">
        <f aca="false">IF(G2328="","",G2328-H2328)</f>
        <v/>
      </c>
      <c r="J2328" s="42"/>
    </row>
    <row r="2329" customFormat="false" ht="21" hidden="false" customHeight="true" outlineLevel="0" collapsed="false">
      <c r="B2329" s="41"/>
      <c r="C2329" s="9"/>
      <c r="D2329" s="9"/>
      <c r="E2329" s="42"/>
      <c r="F2329" s="43"/>
      <c r="G2329" s="27" t="str">
        <f aca="false">IF(OR(C2329="",AND(D2329="",F2329="")),"",IF(N(E2329)=0,1,E2329)*IF(F2329="",IFERROR(N(INDEX(Produtos!$L$5:$L$104,MATCH(D2329,Produtos!$B$5:$B$104,0))),0),F2329))</f>
        <v/>
      </c>
      <c r="H2329" s="27" t="str">
        <f aca="false">IF(G2329="","",IF(N(E2329)=0,1,E2329)*IFERROR(N(INDEX(Produtos!$G$5:$G$104,MATCH(D2329,Produtos!$B$5:$B$104,0))),0))</f>
        <v/>
      </c>
      <c r="I2329" s="27" t="str">
        <f aca="false">IF(G2329="","",G2329-H2329)</f>
        <v/>
      </c>
      <c r="J2329" s="42"/>
    </row>
    <row r="2330" customFormat="false" ht="21" hidden="false" customHeight="true" outlineLevel="0" collapsed="false">
      <c r="B2330" s="41"/>
      <c r="C2330" s="9"/>
      <c r="D2330" s="9"/>
      <c r="E2330" s="42"/>
      <c r="F2330" s="43"/>
      <c r="G2330" s="27" t="str">
        <f aca="false">IF(OR(C2330="",AND(D2330="",F2330="")),"",IF(N(E2330)=0,1,E2330)*IF(F2330="",IFERROR(N(INDEX(Produtos!$L$5:$L$104,MATCH(D2330,Produtos!$B$5:$B$104,0))),0),F2330))</f>
        <v/>
      </c>
      <c r="H2330" s="27" t="str">
        <f aca="false">IF(G2330="","",IF(N(E2330)=0,1,E2330)*IFERROR(N(INDEX(Produtos!$G$5:$G$104,MATCH(D2330,Produtos!$B$5:$B$104,0))),0))</f>
        <v/>
      </c>
      <c r="I2330" s="27" t="str">
        <f aca="false">IF(G2330="","",G2330-H2330)</f>
        <v/>
      </c>
      <c r="J2330" s="42"/>
    </row>
    <row r="2331" customFormat="false" ht="21" hidden="false" customHeight="true" outlineLevel="0" collapsed="false">
      <c r="B2331" s="41"/>
      <c r="C2331" s="9"/>
      <c r="D2331" s="9"/>
      <c r="E2331" s="42"/>
      <c r="F2331" s="43"/>
      <c r="G2331" s="27" t="str">
        <f aca="false">IF(OR(C2331="",AND(D2331="",F2331="")),"",IF(N(E2331)=0,1,E2331)*IF(F2331="",IFERROR(N(INDEX(Produtos!$L$5:$L$104,MATCH(D2331,Produtos!$B$5:$B$104,0))),0),F2331))</f>
        <v/>
      </c>
      <c r="H2331" s="27" t="str">
        <f aca="false">IF(G2331="","",IF(N(E2331)=0,1,E2331)*IFERROR(N(INDEX(Produtos!$G$5:$G$104,MATCH(D2331,Produtos!$B$5:$B$104,0))),0))</f>
        <v/>
      </c>
      <c r="I2331" s="27" t="str">
        <f aca="false">IF(G2331="","",G2331-H2331)</f>
        <v/>
      </c>
      <c r="J2331" s="42"/>
    </row>
    <row r="2332" customFormat="false" ht="21" hidden="false" customHeight="true" outlineLevel="0" collapsed="false">
      <c r="B2332" s="41"/>
      <c r="C2332" s="9"/>
      <c r="D2332" s="9"/>
      <c r="E2332" s="42"/>
      <c r="F2332" s="43"/>
      <c r="G2332" s="27" t="str">
        <f aca="false">IF(OR(C2332="",AND(D2332="",F2332="")),"",IF(N(E2332)=0,1,E2332)*IF(F2332="",IFERROR(N(INDEX(Produtos!$L$5:$L$104,MATCH(D2332,Produtos!$B$5:$B$104,0))),0),F2332))</f>
        <v/>
      </c>
      <c r="H2332" s="27" t="str">
        <f aca="false">IF(G2332="","",IF(N(E2332)=0,1,E2332)*IFERROR(N(INDEX(Produtos!$G$5:$G$104,MATCH(D2332,Produtos!$B$5:$B$104,0))),0))</f>
        <v/>
      </c>
      <c r="I2332" s="27" t="str">
        <f aca="false">IF(G2332="","",G2332-H2332)</f>
        <v/>
      </c>
      <c r="J2332" s="42"/>
    </row>
    <row r="2333" customFormat="false" ht="21" hidden="false" customHeight="true" outlineLevel="0" collapsed="false">
      <c r="B2333" s="41"/>
      <c r="C2333" s="9"/>
      <c r="D2333" s="9"/>
      <c r="E2333" s="42"/>
      <c r="F2333" s="43"/>
      <c r="G2333" s="27" t="str">
        <f aca="false">IF(OR(C2333="",AND(D2333="",F2333="")),"",IF(N(E2333)=0,1,E2333)*IF(F2333="",IFERROR(N(INDEX(Produtos!$L$5:$L$104,MATCH(D2333,Produtos!$B$5:$B$104,0))),0),F2333))</f>
        <v/>
      </c>
      <c r="H2333" s="27" t="str">
        <f aca="false">IF(G2333="","",IF(N(E2333)=0,1,E2333)*IFERROR(N(INDEX(Produtos!$G$5:$G$104,MATCH(D2333,Produtos!$B$5:$B$104,0))),0))</f>
        <v/>
      </c>
      <c r="I2333" s="27" t="str">
        <f aca="false">IF(G2333="","",G2333-H2333)</f>
        <v/>
      </c>
      <c r="J2333" s="42"/>
    </row>
    <row r="2334" customFormat="false" ht="21" hidden="false" customHeight="true" outlineLevel="0" collapsed="false">
      <c r="B2334" s="41"/>
      <c r="C2334" s="9"/>
      <c r="D2334" s="9"/>
      <c r="E2334" s="42"/>
      <c r="F2334" s="43"/>
      <c r="G2334" s="27" t="str">
        <f aca="false">IF(OR(C2334="",AND(D2334="",F2334="")),"",IF(N(E2334)=0,1,E2334)*IF(F2334="",IFERROR(N(INDEX(Produtos!$L$5:$L$104,MATCH(D2334,Produtos!$B$5:$B$104,0))),0),F2334))</f>
        <v/>
      </c>
      <c r="H2334" s="27" t="str">
        <f aca="false">IF(G2334="","",IF(N(E2334)=0,1,E2334)*IFERROR(N(INDEX(Produtos!$G$5:$G$104,MATCH(D2334,Produtos!$B$5:$B$104,0))),0))</f>
        <v/>
      </c>
      <c r="I2334" s="27" t="str">
        <f aca="false">IF(G2334="","",G2334-H2334)</f>
        <v/>
      </c>
      <c r="J2334" s="42"/>
    </row>
    <row r="2335" customFormat="false" ht="21" hidden="false" customHeight="true" outlineLevel="0" collapsed="false">
      <c r="B2335" s="41"/>
      <c r="C2335" s="9"/>
      <c r="D2335" s="9"/>
      <c r="E2335" s="42"/>
      <c r="F2335" s="43"/>
      <c r="G2335" s="27" t="str">
        <f aca="false">IF(OR(C2335="",AND(D2335="",F2335="")),"",IF(N(E2335)=0,1,E2335)*IF(F2335="",IFERROR(N(INDEX(Produtos!$L$5:$L$104,MATCH(D2335,Produtos!$B$5:$B$104,0))),0),F2335))</f>
        <v/>
      </c>
      <c r="H2335" s="27" t="str">
        <f aca="false">IF(G2335="","",IF(N(E2335)=0,1,E2335)*IFERROR(N(INDEX(Produtos!$G$5:$G$104,MATCH(D2335,Produtos!$B$5:$B$104,0))),0))</f>
        <v/>
      </c>
      <c r="I2335" s="27" t="str">
        <f aca="false">IF(G2335="","",G2335-H2335)</f>
        <v/>
      </c>
      <c r="J2335" s="42"/>
    </row>
    <row r="2336" customFormat="false" ht="21" hidden="false" customHeight="true" outlineLevel="0" collapsed="false">
      <c r="B2336" s="41"/>
      <c r="C2336" s="9"/>
      <c r="D2336" s="9"/>
      <c r="E2336" s="42"/>
      <c r="F2336" s="43"/>
      <c r="G2336" s="27" t="str">
        <f aca="false">IF(OR(C2336="",AND(D2336="",F2336="")),"",IF(N(E2336)=0,1,E2336)*IF(F2336="",IFERROR(N(INDEX(Produtos!$L$5:$L$104,MATCH(D2336,Produtos!$B$5:$B$104,0))),0),F2336))</f>
        <v/>
      </c>
      <c r="H2336" s="27" t="str">
        <f aca="false">IF(G2336="","",IF(N(E2336)=0,1,E2336)*IFERROR(N(INDEX(Produtos!$G$5:$G$104,MATCH(D2336,Produtos!$B$5:$B$104,0))),0))</f>
        <v/>
      </c>
      <c r="I2336" s="27" t="str">
        <f aca="false">IF(G2336="","",G2336-H2336)</f>
        <v/>
      </c>
      <c r="J2336" s="42"/>
    </row>
    <row r="2337" customFormat="false" ht="21" hidden="false" customHeight="true" outlineLevel="0" collapsed="false">
      <c r="B2337" s="41"/>
      <c r="C2337" s="9"/>
      <c r="D2337" s="9"/>
      <c r="E2337" s="42"/>
      <c r="F2337" s="43"/>
      <c r="G2337" s="27" t="str">
        <f aca="false">IF(OR(C2337="",AND(D2337="",F2337="")),"",IF(N(E2337)=0,1,E2337)*IF(F2337="",IFERROR(N(INDEX(Produtos!$L$5:$L$104,MATCH(D2337,Produtos!$B$5:$B$104,0))),0),F2337))</f>
        <v/>
      </c>
      <c r="H2337" s="27" t="str">
        <f aca="false">IF(G2337="","",IF(N(E2337)=0,1,E2337)*IFERROR(N(INDEX(Produtos!$G$5:$G$104,MATCH(D2337,Produtos!$B$5:$B$104,0))),0))</f>
        <v/>
      </c>
      <c r="I2337" s="27" t="str">
        <f aca="false">IF(G2337="","",G2337-H2337)</f>
        <v/>
      </c>
      <c r="J2337" s="42"/>
    </row>
    <row r="2338" customFormat="false" ht="21" hidden="false" customHeight="true" outlineLevel="0" collapsed="false">
      <c r="B2338" s="41"/>
      <c r="C2338" s="9"/>
      <c r="D2338" s="9"/>
      <c r="E2338" s="42"/>
      <c r="F2338" s="43"/>
      <c r="G2338" s="27" t="str">
        <f aca="false">IF(OR(C2338="",AND(D2338="",F2338="")),"",IF(N(E2338)=0,1,E2338)*IF(F2338="",IFERROR(N(INDEX(Produtos!$L$5:$L$104,MATCH(D2338,Produtos!$B$5:$B$104,0))),0),F2338))</f>
        <v/>
      </c>
      <c r="H2338" s="27" t="str">
        <f aca="false">IF(G2338="","",IF(N(E2338)=0,1,E2338)*IFERROR(N(INDEX(Produtos!$G$5:$G$104,MATCH(D2338,Produtos!$B$5:$B$104,0))),0))</f>
        <v/>
      </c>
      <c r="I2338" s="27" t="str">
        <f aca="false">IF(G2338="","",G2338-H2338)</f>
        <v/>
      </c>
      <c r="J2338" s="42"/>
    </row>
    <row r="2339" customFormat="false" ht="21" hidden="false" customHeight="true" outlineLevel="0" collapsed="false">
      <c r="B2339" s="41"/>
      <c r="C2339" s="9"/>
      <c r="D2339" s="9"/>
      <c r="E2339" s="42"/>
      <c r="F2339" s="43"/>
      <c r="G2339" s="27" t="str">
        <f aca="false">IF(OR(C2339="",AND(D2339="",F2339="")),"",IF(N(E2339)=0,1,E2339)*IF(F2339="",IFERROR(N(INDEX(Produtos!$L$5:$L$104,MATCH(D2339,Produtos!$B$5:$B$104,0))),0),F2339))</f>
        <v/>
      </c>
      <c r="H2339" s="27" t="str">
        <f aca="false">IF(G2339="","",IF(N(E2339)=0,1,E2339)*IFERROR(N(INDEX(Produtos!$G$5:$G$104,MATCH(D2339,Produtos!$B$5:$B$104,0))),0))</f>
        <v/>
      </c>
      <c r="I2339" s="27" t="str">
        <f aca="false">IF(G2339="","",G2339-H2339)</f>
        <v/>
      </c>
      <c r="J2339" s="42"/>
    </row>
    <row r="2340" customFormat="false" ht="21" hidden="false" customHeight="true" outlineLevel="0" collapsed="false">
      <c r="B2340" s="41"/>
      <c r="C2340" s="9"/>
      <c r="D2340" s="9"/>
      <c r="E2340" s="42"/>
      <c r="F2340" s="43"/>
      <c r="G2340" s="27" t="str">
        <f aca="false">IF(OR(C2340="",AND(D2340="",F2340="")),"",IF(N(E2340)=0,1,E2340)*IF(F2340="",IFERROR(N(INDEX(Produtos!$L$5:$L$104,MATCH(D2340,Produtos!$B$5:$B$104,0))),0),F2340))</f>
        <v/>
      </c>
      <c r="H2340" s="27" t="str">
        <f aca="false">IF(G2340="","",IF(N(E2340)=0,1,E2340)*IFERROR(N(INDEX(Produtos!$G$5:$G$104,MATCH(D2340,Produtos!$B$5:$B$104,0))),0))</f>
        <v/>
      </c>
      <c r="I2340" s="27" t="str">
        <f aca="false">IF(G2340="","",G2340-H2340)</f>
        <v/>
      </c>
      <c r="J2340" s="42"/>
    </row>
    <row r="2341" customFormat="false" ht="21" hidden="false" customHeight="true" outlineLevel="0" collapsed="false">
      <c r="B2341" s="41"/>
      <c r="C2341" s="9"/>
      <c r="D2341" s="9"/>
      <c r="E2341" s="42"/>
      <c r="F2341" s="43"/>
      <c r="G2341" s="27" t="str">
        <f aca="false">IF(OR(C2341="",AND(D2341="",F2341="")),"",IF(N(E2341)=0,1,E2341)*IF(F2341="",IFERROR(N(INDEX(Produtos!$L$5:$L$104,MATCH(D2341,Produtos!$B$5:$B$104,0))),0),F2341))</f>
        <v/>
      </c>
      <c r="H2341" s="27" t="str">
        <f aca="false">IF(G2341="","",IF(N(E2341)=0,1,E2341)*IFERROR(N(INDEX(Produtos!$G$5:$G$104,MATCH(D2341,Produtos!$B$5:$B$104,0))),0))</f>
        <v/>
      </c>
      <c r="I2341" s="27" t="str">
        <f aca="false">IF(G2341="","",G2341-H2341)</f>
        <v/>
      </c>
      <c r="J2341" s="42"/>
    </row>
    <row r="2342" customFormat="false" ht="21" hidden="false" customHeight="true" outlineLevel="0" collapsed="false">
      <c r="B2342" s="41"/>
      <c r="C2342" s="9"/>
      <c r="D2342" s="9"/>
      <c r="E2342" s="42"/>
      <c r="F2342" s="43"/>
      <c r="G2342" s="27" t="str">
        <f aca="false">IF(OR(C2342="",AND(D2342="",F2342="")),"",IF(N(E2342)=0,1,E2342)*IF(F2342="",IFERROR(N(INDEX(Produtos!$L$5:$L$104,MATCH(D2342,Produtos!$B$5:$B$104,0))),0),F2342))</f>
        <v/>
      </c>
      <c r="H2342" s="27" t="str">
        <f aca="false">IF(G2342="","",IF(N(E2342)=0,1,E2342)*IFERROR(N(INDEX(Produtos!$G$5:$G$104,MATCH(D2342,Produtos!$B$5:$B$104,0))),0))</f>
        <v/>
      </c>
      <c r="I2342" s="27" t="str">
        <f aca="false">IF(G2342="","",G2342-H2342)</f>
        <v/>
      </c>
      <c r="J2342" s="42"/>
    </row>
    <row r="2343" customFormat="false" ht="21" hidden="false" customHeight="true" outlineLevel="0" collapsed="false">
      <c r="B2343" s="41"/>
      <c r="C2343" s="9"/>
      <c r="D2343" s="9"/>
      <c r="E2343" s="42"/>
      <c r="F2343" s="43"/>
      <c r="G2343" s="27" t="str">
        <f aca="false">IF(OR(C2343="",AND(D2343="",F2343="")),"",IF(N(E2343)=0,1,E2343)*IF(F2343="",IFERROR(N(INDEX(Produtos!$L$5:$L$104,MATCH(D2343,Produtos!$B$5:$B$104,0))),0),F2343))</f>
        <v/>
      </c>
      <c r="H2343" s="27" t="str">
        <f aca="false">IF(G2343="","",IF(N(E2343)=0,1,E2343)*IFERROR(N(INDEX(Produtos!$G$5:$G$104,MATCH(D2343,Produtos!$B$5:$B$104,0))),0))</f>
        <v/>
      </c>
      <c r="I2343" s="27" t="str">
        <f aca="false">IF(G2343="","",G2343-H2343)</f>
        <v/>
      </c>
      <c r="J2343" s="42"/>
    </row>
    <row r="2344" customFormat="false" ht="21" hidden="false" customHeight="true" outlineLevel="0" collapsed="false">
      <c r="B2344" s="41"/>
      <c r="C2344" s="9"/>
      <c r="D2344" s="9"/>
      <c r="E2344" s="42"/>
      <c r="F2344" s="43"/>
      <c r="G2344" s="27" t="str">
        <f aca="false">IF(OR(C2344="",AND(D2344="",F2344="")),"",IF(N(E2344)=0,1,E2344)*IF(F2344="",IFERROR(N(INDEX(Produtos!$L$5:$L$104,MATCH(D2344,Produtos!$B$5:$B$104,0))),0),F2344))</f>
        <v/>
      </c>
      <c r="H2344" s="27" t="str">
        <f aca="false">IF(G2344="","",IF(N(E2344)=0,1,E2344)*IFERROR(N(INDEX(Produtos!$G$5:$G$104,MATCH(D2344,Produtos!$B$5:$B$104,0))),0))</f>
        <v/>
      </c>
      <c r="I2344" s="27" t="str">
        <f aca="false">IF(G2344="","",G2344-H2344)</f>
        <v/>
      </c>
      <c r="J2344" s="42"/>
    </row>
    <row r="2345" customFormat="false" ht="21" hidden="false" customHeight="true" outlineLevel="0" collapsed="false">
      <c r="B2345" s="41"/>
      <c r="C2345" s="9"/>
      <c r="D2345" s="9"/>
      <c r="E2345" s="42"/>
      <c r="F2345" s="43"/>
      <c r="G2345" s="27" t="str">
        <f aca="false">IF(OR(C2345="",AND(D2345="",F2345="")),"",IF(N(E2345)=0,1,E2345)*IF(F2345="",IFERROR(N(INDEX(Produtos!$L$5:$L$104,MATCH(D2345,Produtos!$B$5:$B$104,0))),0),F2345))</f>
        <v/>
      </c>
      <c r="H2345" s="27" t="str">
        <f aca="false">IF(G2345="","",IF(N(E2345)=0,1,E2345)*IFERROR(N(INDEX(Produtos!$G$5:$G$104,MATCH(D2345,Produtos!$B$5:$B$104,0))),0))</f>
        <v/>
      </c>
      <c r="I2345" s="27" t="str">
        <f aca="false">IF(G2345="","",G2345-H2345)</f>
        <v/>
      </c>
      <c r="J2345" s="42"/>
    </row>
    <row r="2346" customFormat="false" ht="21" hidden="false" customHeight="true" outlineLevel="0" collapsed="false">
      <c r="B2346" s="41"/>
      <c r="C2346" s="9"/>
      <c r="D2346" s="9"/>
      <c r="E2346" s="42"/>
      <c r="F2346" s="43"/>
      <c r="G2346" s="27" t="str">
        <f aca="false">IF(OR(C2346="",AND(D2346="",F2346="")),"",IF(N(E2346)=0,1,E2346)*IF(F2346="",IFERROR(N(INDEX(Produtos!$L$5:$L$104,MATCH(D2346,Produtos!$B$5:$B$104,0))),0),F2346))</f>
        <v/>
      </c>
      <c r="H2346" s="27" t="str">
        <f aca="false">IF(G2346="","",IF(N(E2346)=0,1,E2346)*IFERROR(N(INDEX(Produtos!$G$5:$G$104,MATCH(D2346,Produtos!$B$5:$B$104,0))),0))</f>
        <v/>
      </c>
      <c r="I2346" s="27" t="str">
        <f aca="false">IF(G2346="","",G2346-H2346)</f>
        <v/>
      </c>
      <c r="J2346" s="42"/>
    </row>
    <row r="2347" customFormat="false" ht="21" hidden="false" customHeight="true" outlineLevel="0" collapsed="false">
      <c r="B2347" s="41"/>
      <c r="C2347" s="9"/>
      <c r="D2347" s="9"/>
      <c r="E2347" s="42"/>
      <c r="F2347" s="43"/>
      <c r="G2347" s="27" t="str">
        <f aca="false">IF(OR(C2347="",AND(D2347="",F2347="")),"",IF(N(E2347)=0,1,E2347)*IF(F2347="",IFERROR(N(INDEX(Produtos!$L$5:$L$104,MATCH(D2347,Produtos!$B$5:$B$104,0))),0),F2347))</f>
        <v/>
      </c>
      <c r="H2347" s="27" t="str">
        <f aca="false">IF(G2347="","",IF(N(E2347)=0,1,E2347)*IFERROR(N(INDEX(Produtos!$G$5:$G$104,MATCH(D2347,Produtos!$B$5:$B$104,0))),0))</f>
        <v/>
      </c>
      <c r="I2347" s="27" t="str">
        <f aca="false">IF(G2347="","",G2347-H2347)</f>
        <v/>
      </c>
      <c r="J2347" s="42"/>
    </row>
    <row r="2348" customFormat="false" ht="21" hidden="false" customHeight="true" outlineLevel="0" collapsed="false">
      <c r="B2348" s="41"/>
      <c r="C2348" s="9"/>
      <c r="D2348" s="9"/>
      <c r="E2348" s="42"/>
      <c r="F2348" s="43"/>
      <c r="G2348" s="27" t="str">
        <f aca="false">IF(OR(C2348="",AND(D2348="",F2348="")),"",IF(N(E2348)=0,1,E2348)*IF(F2348="",IFERROR(N(INDEX(Produtos!$L$5:$L$104,MATCH(D2348,Produtos!$B$5:$B$104,0))),0),F2348))</f>
        <v/>
      </c>
      <c r="H2348" s="27" t="str">
        <f aca="false">IF(G2348="","",IF(N(E2348)=0,1,E2348)*IFERROR(N(INDEX(Produtos!$G$5:$G$104,MATCH(D2348,Produtos!$B$5:$B$104,0))),0))</f>
        <v/>
      </c>
      <c r="I2348" s="27" t="str">
        <f aca="false">IF(G2348="","",G2348-H2348)</f>
        <v/>
      </c>
      <c r="J2348" s="42"/>
    </row>
    <row r="2349" customFormat="false" ht="21" hidden="false" customHeight="true" outlineLevel="0" collapsed="false">
      <c r="B2349" s="41"/>
      <c r="C2349" s="9"/>
      <c r="D2349" s="9"/>
      <c r="E2349" s="42"/>
      <c r="F2349" s="43"/>
      <c r="G2349" s="27" t="str">
        <f aca="false">IF(OR(C2349="",AND(D2349="",F2349="")),"",IF(N(E2349)=0,1,E2349)*IF(F2349="",IFERROR(N(INDEX(Produtos!$L$5:$L$104,MATCH(D2349,Produtos!$B$5:$B$104,0))),0),F2349))</f>
        <v/>
      </c>
      <c r="H2349" s="27" t="str">
        <f aca="false">IF(G2349="","",IF(N(E2349)=0,1,E2349)*IFERROR(N(INDEX(Produtos!$G$5:$G$104,MATCH(D2349,Produtos!$B$5:$B$104,0))),0))</f>
        <v/>
      </c>
      <c r="I2349" s="27" t="str">
        <f aca="false">IF(G2349="","",G2349-H2349)</f>
        <v/>
      </c>
      <c r="J2349" s="42"/>
    </row>
    <row r="2350" customFormat="false" ht="21" hidden="false" customHeight="true" outlineLevel="0" collapsed="false">
      <c r="B2350" s="41"/>
      <c r="C2350" s="9"/>
      <c r="D2350" s="9"/>
      <c r="E2350" s="42"/>
      <c r="F2350" s="43"/>
      <c r="G2350" s="27" t="str">
        <f aca="false">IF(OR(C2350="",AND(D2350="",F2350="")),"",IF(N(E2350)=0,1,E2350)*IF(F2350="",IFERROR(N(INDEX(Produtos!$L$5:$L$104,MATCH(D2350,Produtos!$B$5:$B$104,0))),0),F2350))</f>
        <v/>
      </c>
      <c r="H2350" s="27" t="str">
        <f aca="false">IF(G2350="","",IF(N(E2350)=0,1,E2350)*IFERROR(N(INDEX(Produtos!$G$5:$G$104,MATCH(D2350,Produtos!$B$5:$B$104,0))),0))</f>
        <v/>
      </c>
      <c r="I2350" s="27" t="str">
        <f aca="false">IF(G2350="","",G2350-H2350)</f>
        <v/>
      </c>
      <c r="J2350" s="42"/>
    </row>
    <row r="2351" customFormat="false" ht="21" hidden="false" customHeight="true" outlineLevel="0" collapsed="false">
      <c r="B2351" s="41"/>
      <c r="C2351" s="9"/>
      <c r="D2351" s="9"/>
      <c r="E2351" s="42"/>
      <c r="F2351" s="43"/>
      <c r="G2351" s="27" t="str">
        <f aca="false">IF(OR(C2351="",AND(D2351="",F2351="")),"",IF(N(E2351)=0,1,E2351)*IF(F2351="",IFERROR(N(INDEX(Produtos!$L$5:$L$104,MATCH(D2351,Produtos!$B$5:$B$104,0))),0),F2351))</f>
        <v/>
      </c>
      <c r="H2351" s="27" t="str">
        <f aca="false">IF(G2351="","",IF(N(E2351)=0,1,E2351)*IFERROR(N(INDEX(Produtos!$G$5:$G$104,MATCH(D2351,Produtos!$B$5:$B$104,0))),0))</f>
        <v/>
      </c>
      <c r="I2351" s="27" t="str">
        <f aca="false">IF(G2351="","",G2351-H2351)</f>
        <v/>
      </c>
      <c r="J2351" s="42"/>
    </row>
    <row r="2352" customFormat="false" ht="21" hidden="false" customHeight="true" outlineLevel="0" collapsed="false">
      <c r="B2352" s="41"/>
      <c r="C2352" s="9"/>
      <c r="D2352" s="9"/>
      <c r="E2352" s="42"/>
      <c r="F2352" s="43"/>
      <c r="G2352" s="27" t="str">
        <f aca="false">IF(OR(C2352="",AND(D2352="",F2352="")),"",IF(N(E2352)=0,1,E2352)*IF(F2352="",IFERROR(N(INDEX(Produtos!$L$5:$L$104,MATCH(D2352,Produtos!$B$5:$B$104,0))),0),F2352))</f>
        <v/>
      </c>
      <c r="H2352" s="27" t="str">
        <f aca="false">IF(G2352="","",IF(N(E2352)=0,1,E2352)*IFERROR(N(INDEX(Produtos!$G$5:$G$104,MATCH(D2352,Produtos!$B$5:$B$104,0))),0))</f>
        <v/>
      </c>
      <c r="I2352" s="27" t="str">
        <f aca="false">IF(G2352="","",G2352-H2352)</f>
        <v/>
      </c>
      <c r="J2352" s="42"/>
    </row>
    <row r="2353" customFormat="false" ht="21" hidden="false" customHeight="true" outlineLevel="0" collapsed="false">
      <c r="B2353" s="41"/>
      <c r="C2353" s="9"/>
      <c r="D2353" s="9"/>
      <c r="E2353" s="42"/>
      <c r="F2353" s="43"/>
      <c r="G2353" s="27" t="str">
        <f aca="false">IF(OR(C2353="",AND(D2353="",F2353="")),"",IF(N(E2353)=0,1,E2353)*IF(F2353="",IFERROR(N(INDEX(Produtos!$L$5:$L$104,MATCH(D2353,Produtos!$B$5:$B$104,0))),0),F2353))</f>
        <v/>
      </c>
      <c r="H2353" s="27" t="str">
        <f aca="false">IF(G2353="","",IF(N(E2353)=0,1,E2353)*IFERROR(N(INDEX(Produtos!$G$5:$G$104,MATCH(D2353,Produtos!$B$5:$B$104,0))),0))</f>
        <v/>
      </c>
      <c r="I2353" s="27" t="str">
        <f aca="false">IF(G2353="","",G2353-H2353)</f>
        <v/>
      </c>
      <c r="J2353" s="42"/>
    </row>
    <row r="2354" customFormat="false" ht="21" hidden="false" customHeight="true" outlineLevel="0" collapsed="false">
      <c r="B2354" s="41"/>
      <c r="C2354" s="9"/>
      <c r="D2354" s="9"/>
      <c r="E2354" s="42"/>
      <c r="F2354" s="43"/>
      <c r="G2354" s="27" t="str">
        <f aca="false">IF(OR(C2354="",AND(D2354="",F2354="")),"",IF(N(E2354)=0,1,E2354)*IF(F2354="",IFERROR(N(INDEX(Produtos!$L$5:$L$104,MATCH(D2354,Produtos!$B$5:$B$104,0))),0),F2354))</f>
        <v/>
      </c>
      <c r="H2354" s="27" t="str">
        <f aca="false">IF(G2354="","",IF(N(E2354)=0,1,E2354)*IFERROR(N(INDEX(Produtos!$G$5:$G$104,MATCH(D2354,Produtos!$B$5:$B$104,0))),0))</f>
        <v/>
      </c>
      <c r="I2354" s="27" t="str">
        <f aca="false">IF(G2354="","",G2354-H2354)</f>
        <v/>
      </c>
      <c r="J2354" s="42"/>
    </row>
    <row r="2355" customFormat="false" ht="21" hidden="false" customHeight="true" outlineLevel="0" collapsed="false">
      <c r="B2355" s="41"/>
      <c r="C2355" s="9"/>
      <c r="D2355" s="9"/>
      <c r="E2355" s="42"/>
      <c r="F2355" s="43"/>
      <c r="G2355" s="27" t="str">
        <f aca="false">IF(OR(C2355="",AND(D2355="",F2355="")),"",IF(N(E2355)=0,1,E2355)*IF(F2355="",IFERROR(N(INDEX(Produtos!$L$5:$L$104,MATCH(D2355,Produtos!$B$5:$B$104,0))),0),F2355))</f>
        <v/>
      </c>
      <c r="H2355" s="27" t="str">
        <f aca="false">IF(G2355="","",IF(N(E2355)=0,1,E2355)*IFERROR(N(INDEX(Produtos!$G$5:$G$104,MATCH(D2355,Produtos!$B$5:$B$104,0))),0))</f>
        <v/>
      </c>
      <c r="I2355" s="27" t="str">
        <f aca="false">IF(G2355="","",G2355-H2355)</f>
        <v/>
      </c>
      <c r="J2355" s="42"/>
    </row>
    <row r="2356" customFormat="false" ht="21" hidden="false" customHeight="true" outlineLevel="0" collapsed="false">
      <c r="B2356" s="41"/>
      <c r="C2356" s="9"/>
      <c r="D2356" s="9"/>
      <c r="E2356" s="42"/>
      <c r="F2356" s="43"/>
      <c r="G2356" s="27" t="str">
        <f aca="false">IF(OR(C2356="",AND(D2356="",F2356="")),"",IF(N(E2356)=0,1,E2356)*IF(F2356="",IFERROR(N(INDEX(Produtos!$L$5:$L$104,MATCH(D2356,Produtos!$B$5:$B$104,0))),0),F2356))</f>
        <v/>
      </c>
      <c r="H2356" s="27" t="str">
        <f aca="false">IF(G2356="","",IF(N(E2356)=0,1,E2356)*IFERROR(N(INDEX(Produtos!$G$5:$G$104,MATCH(D2356,Produtos!$B$5:$B$104,0))),0))</f>
        <v/>
      </c>
      <c r="I2356" s="27" t="str">
        <f aca="false">IF(G2356="","",G2356-H2356)</f>
        <v/>
      </c>
      <c r="J2356" s="42"/>
    </row>
    <row r="2357" customFormat="false" ht="21" hidden="false" customHeight="true" outlineLevel="0" collapsed="false">
      <c r="B2357" s="41"/>
      <c r="C2357" s="9"/>
      <c r="D2357" s="9"/>
      <c r="E2357" s="42"/>
      <c r="F2357" s="43"/>
      <c r="G2357" s="27" t="str">
        <f aca="false">IF(OR(C2357="",AND(D2357="",F2357="")),"",IF(N(E2357)=0,1,E2357)*IF(F2357="",IFERROR(N(INDEX(Produtos!$L$5:$L$104,MATCH(D2357,Produtos!$B$5:$B$104,0))),0),F2357))</f>
        <v/>
      </c>
      <c r="H2357" s="27" t="str">
        <f aca="false">IF(G2357="","",IF(N(E2357)=0,1,E2357)*IFERROR(N(INDEX(Produtos!$G$5:$G$104,MATCH(D2357,Produtos!$B$5:$B$104,0))),0))</f>
        <v/>
      </c>
      <c r="I2357" s="27" t="str">
        <f aca="false">IF(G2357="","",G2357-H2357)</f>
        <v/>
      </c>
      <c r="J2357" s="42"/>
    </row>
    <row r="2358" customFormat="false" ht="21" hidden="false" customHeight="true" outlineLevel="0" collapsed="false">
      <c r="B2358" s="41"/>
      <c r="C2358" s="9"/>
      <c r="D2358" s="9"/>
      <c r="E2358" s="42"/>
      <c r="F2358" s="43"/>
      <c r="G2358" s="27" t="str">
        <f aca="false">IF(OR(C2358="",AND(D2358="",F2358="")),"",IF(N(E2358)=0,1,E2358)*IF(F2358="",IFERROR(N(INDEX(Produtos!$L$5:$L$104,MATCH(D2358,Produtos!$B$5:$B$104,0))),0),F2358))</f>
        <v/>
      </c>
      <c r="H2358" s="27" t="str">
        <f aca="false">IF(G2358="","",IF(N(E2358)=0,1,E2358)*IFERROR(N(INDEX(Produtos!$G$5:$G$104,MATCH(D2358,Produtos!$B$5:$B$104,0))),0))</f>
        <v/>
      </c>
      <c r="I2358" s="27" t="str">
        <f aca="false">IF(G2358="","",G2358-H2358)</f>
        <v/>
      </c>
      <c r="J2358" s="42"/>
    </row>
    <row r="2359" customFormat="false" ht="21" hidden="false" customHeight="true" outlineLevel="0" collapsed="false">
      <c r="B2359" s="41"/>
      <c r="C2359" s="9"/>
      <c r="D2359" s="9"/>
      <c r="E2359" s="42"/>
      <c r="F2359" s="43"/>
      <c r="G2359" s="27" t="str">
        <f aca="false">IF(OR(C2359="",AND(D2359="",F2359="")),"",IF(N(E2359)=0,1,E2359)*IF(F2359="",IFERROR(N(INDEX(Produtos!$L$5:$L$104,MATCH(D2359,Produtos!$B$5:$B$104,0))),0),F2359))</f>
        <v/>
      </c>
      <c r="H2359" s="27" t="str">
        <f aca="false">IF(G2359="","",IF(N(E2359)=0,1,E2359)*IFERROR(N(INDEX(Produtos!$G$5:$G$104,MATCH(D2359,Produtos!$B$5:$B$104,0))),0))</f>
        <v/>
      </c>
      <c r="I2359" s="27" t="str">
        <f aca="false">IF(G2359="","",G2359-H2359)</f>
        <v/>
      </c>
      <c r="J2359" s="42"/>
    </row>
    <row r="2360" customFormat="false" ht="21" hidden="false" customHeight="true" outlineLevel="0" collapsed="false">
      <c r="B2360" s="41"/>
      <c r="C2360" s="9"/>
      <c r="D2360" s="9"/>
      <c r="E2360" s="42"/>
      <c r="F2360" s="43"/>
      <c r="G2360" s="27" t="str">
        <f aca="false">IF(OR(C2360="",AND(D2360="",F2360="")),"",IF(N(E2360)=0,1,E2360)*IF(F2360="",IFERROR(N(INDEX(Produtos!$L$5:$L$104,MATCH(D2360,Produtos!$B$5:$B$104,0))),0),F2360))</f>
        <v/>
      </c>
      <c r="H2360" s="27" t="str">
        <f aca="false">IF(G2360="","",IF(N(E2360)=0,1,E2360)*IFERROR(N(INDEX(Produtos!$G$5:$G$104,MATCH(D2360,Produtos!$B$5:$B$104,0))),0))</f>
        <v/>
      </c>
      <c r="I2360" s="27" t="str">
        <f aca="false">IF(G2360="","",G2360-H2360)</f>
        <v/>
      </c>
      <c r="J2360" s="42"/>
    </row>
    <row r="2361" customFormat="false" ht="21" hidden="false" customHeight="true" outlineLevel="0" collapsed="false">
      <c r="B2361" s="41"/>
      <c r="C2361" s="9"/>
      <c r="D2361" s="9"/>
      <c r="E2361" s="42"/>
      <c r="F2361" s="43"/>
      <c r="G2361" s="27" t="str">
        <f aca="false">IF(OR(C2361="",AND(D2361="",F2361="")),"",IF(N(E2361)=0,1,E2361)*IF(F2361="",IFERROR(N(INDEX(Produtos!$L$5:$L$104,MATCH(D2361,Produtos!$B$5:$B$104,0))),0),F2361))</f>
        <v/>
      </c>
      <c r="H2361" s="27" t="str">
        <f aca="false">IF(G2361="","",IF(N(E2361)=0,1,E2361)*IFERROR(N(INDEX(Produtos!$G$5:$G$104,MATCH(D2361,Produtos!$B$5:$B$104,0))),0))</f>
        <v/>
      </c>
      <c r="I2361" s="27" t="str">
        <f aca="false">IF(G2361="","",G2361-H2361)</f>
        <v/>
      </c>
      <c r="J2361" s="42"/>
    </row>
    <row r="2362" customFormat="false" ht="21" hidden="false" customHeight="true" outlineLevel="0" collapsed="false">
      <c r="B2362" s="41"/>
      <c r="C2362" s="9"/>
      <c r="D2362" s="9"/>
      <c r="E2362" s="42"/>
      <c r="F2362" s="43"/>
      <c r="G2362" s="27" t="str">
        <f aca="false">IF(OR(C2362="",AND(D2362="",F2362="")),"",IF(N(E2362)=0,1,E2362)*IF(F2362="",IFERROR(N(INDEX(Produtos!$L$5:$L$104,MATCH(D2362,Produtos!$B$5:$B$104,0))),0),F2362))</f>
        <v/>
      </c>
      <c r="H2362" s="27" t="str">
        <f aca="false">IF(G2362="","",IF(N(E2362)=0,1,E2362)*IFERROR(N(INDEX(Produtos!$G$5:$G$104,MATCH(D2362,Produtos!$B$5:$B$104,0))),0))</f>
        <v/>
      </c>
      <c r="I2362" s="27" t="str">
        <f aca="false">IF(G2362="","",G2362-H2362)</f>
        <v/>
      </c>
      <c r="J2362" s="42"/>
    </row>
    <row r="2363" customFormat="false" ht="21" hidden="false" customHeight="true" outlineLevel="0" collapsed="false">
      <c r="B2363" s="41"/>
      <c r="C2363" s="9"/>
      <c r="D2363" s="9"/>
      <c r="E2363" s="42"/>
      <c r="F2363" s="43"/>
      <c r="G2363" s="27" t="str">
        <f aca="false">IF(OR(C2363="",AND(D2363="",F2363="")),"",IF(N(E2363)=0,1,E2363)*IF(F2363="",IFERROR(N(INDEX(Produtos!$L$5:$L$104,MATCH(D2363,Produtos!$B$5:$B$104,0))),0),F2363))</f>
        <v/>
      </c>
      <c r="H2363" s="27" t="str">
        <f aca="false">IF(G2363="","",IF(N(E2363)=0,1,E2363)*IFERROR(N(INDEX(Produtos!$G$5:$G$104,MATCH(D2363,Produtos!$B$5:$B$104,0))),0))</f>
        <v/>
      </c>
      <c r="I2363" s="27" t="str">
        <f aca="false">IF(G2363="","",G2363-H2363)</f>
        <v/>
      </c>
      <c r="J2363" s="42"/>
    </row>
    <row r="2364" customFormat="false" ht="21" hidden="false" customHeight="true" outlineLevel="0" collapsed="false">
      <c r="B2364" s="41"/>
      <c r="C2364" s="9"/>
      <c r="D2364" s="9"/>
      <c r="E2364" s="42"/>
      <c r="F2364" s="43"/>
      <c r="G2364" s="27" t="str">
        <f aca="false">IF(OR(C2364="",AND(D2364="",F2364="")),"",IF(N(E2364)=0,1,E2364)*IF(F2364="",IFERROR(N(INDEX(Produtos!$L$5:$L$104,MATCH(D2364,Produtos!$B$5:$B$104,0))),0),F2364))</f>
        <v/>
      </c>
      <c r="H2364" s="27" t="str">
        <f aca="false">IF(G2364="","",IF(N(E2364)=0,1,E2364)*IFERROR(N(INDEX(Produtos!$G$5:$G$104,MATCH(D2364,Produtos!$B$5:$B$104,0))),0))</f>
        <v/>
      </c>
      <c r="I2364" s="27" t="str">
        <f aca="false">IF(G2364="","",G2364-H2364)</f>
        <v/>
      </c>
      <c r="J2364" s="42"/>
    </row>
    <row r="2365" customFormat="false" ht="21" hidden="false" customHeight="true" outlineLevel="0" collapsed="false">
      <c r="B2365" s="41"/>
      <c r="C2365" s="9"/>
      <c r="D2365" s="9"/>
      <c r="E2365" s="42"/>
      <c r="F2365" s="43"/>
      <c r="G2365" s="27" t="str">
        <f aca="false">IF(OR(C2365="",AND(D2365="",F2365="")),"",IF(N(E2365)=0,1,E2365)*IF(F2365="",IFERROR(N(INDEX(Produtos!$L$5:$L$104,MATCH(D2365,Produtos!$B$5:$B$104,0))),0),F2365))</f>
        <v/>
      </c>
      <c r="H2365" s="27" t="str">
        <f aca="false">IF(G2365="","",IF(N(E2365)=0,1,E2365)*IFERROR(N(INDEX(Produtos!$G$5:$G$104,MATCH(D2365,Produtos!$B$5:$B$104,0))),0))</f>
        <v/>
      </c>
      <c r="I2365" s="27" t="str">
        <f aca="false">IF(G2365="","",G2365-H2365)</f>
        <v/>
      </c>
      <c r="J2365" s="42"/>
    </row>
    <row r="2366" customFormat="false" ht="21" hidden="false" customHeight="true" outlineLevel="0" collapsed="false">
      <c r="B2366" s="41"/>
      <c r="C2366" s="9"/>
      <c r="D2366" s="9"/>
      <c r="E2366" s="42"/>
      <c r="F2366" s="43"/>
      <c r="G2366" s="27" t="str">
        <f aca="false">IF(OR(C2366="",AND(D2366="",F2366="")),"",IF(N(E2366)=0,1,E2366)*IF(F2366="",IFERROR(N(INDEX(Produtos!$L$5:$L$104,MATCH(D2366,Produtos!$B$5:$B$104,0))),0),F2366))</f>
        <v/>
      </c>
      <c r="H2366" s="27" t="str">
        <f aca="false">IF(G2366="","",IF(N(E2366)=0,1,E2366)*IFERROR(N(INDEX(Produtos!$G$5:$G$104,MATCH(D2366,Produtos!$B$5:$B$104,0))),0))</f>
        <v/>
      </c>
      <c r="I2366" s="27" t="str">
        <f aca="false">IF(G2366="","",G2366-H2366)</f>
        <v/>
      </c>
      <c r="J2366" s="42"/>
    </row>
    <row r="2367" customFormat="false" ht="21" hidden="false" customHeight="true" outlineLevel="0" collapsed="false">
      <c r="B2367" s="41"/>
      <c r="C2367" s="9"/>
      <c r="D2367" s="9"/>
      <c r="E2367" s="42"/>
      <c r="F2367" s="43"/>
      <c r="G2367" s="27" t="str">
        <f aca="false">IF(OR(C2367="",AND(D2367="",F2367="")),"",IF(N(E2367)=0,1,E2367)*IF(F2367="",IFERROR(N(INDEX(Produtos!$L$5:$L$104,MATCH(D2367,Produtos!$B$5:$B$104,0))),0),F2367))</f>
        <v/>
      </c>
      <c r="H2367" s="27" t="str">
        <f aca="false">IF(G2367="","",IF(N(E2367)=0,1,E2367)*IFERROR(N(INDEX(Produtos!$G$5:$G$104,MATCH(D2367,Produtos!$B$5:$B$104,0))),0))</f>
        <v/>
      </c>
      <c r="I2367" s="27" t="str">
        <f aca="false">IF(G2367="","",G2367-H2367)</f>
        <v/>
      </c>
      <c r="J2367" s="42"/>
    </row>
    <row r="2368" customFormat="false" ht="21" hidden="false" customHeight="true" outlineLevel="0" collapsed="false">
      <c r="B2368" s="41"/>
      <c r="C2368" s="9"/>
      <c r="D2368" s="9"/>
      <c r="E2368" s="42"/>
      <c r="F2368" s="43"/>
      <c r="G2368" s="27" t="str">
        <f aca="false">IF(OR(C2368="",AND(D2368="",F2368="")),"",IF(N(E2368)=0,1,E2368)*IF(F2368="",IFERROR(N(INDEX(Produtos!$L$5:$L$104,MATCH(D2368,Produtos!$B$5:$B$104,0))),0),F2368))</f>
        <v/>
      </c>
      <c r="H2368" s="27" t="str">
        <f aca="false">IF(G2368="","",IF(N(E2368)=0,1,E2368)*IFERROR(N(INDEX(Produtos!$G$5:$G$104,MATCH(D2368,Produtos!$B$5:$B$104,0))),0))</f>
        <v/>
      </c>
      <c r="I2368" s="27" t="str">
        <f aca="false">IF(G2368="","",G2368-H2368)</f>
        <v/>
      </c>
      <c r="J2368" s="42"/>
    </row>
    <row r="2369" customFormat="false" ht="21" hidden="false" customHeight="true" outlineLevel="0" collapsed="false">
      <c r="B2369" s="41"/>
      <c r="C2369" s="9"/>
      <c r="D2369" s="9"/>
      <c r="E2369" s="42"/>
      <c r="F2369" s="43"/>
      <c r="G2369" s="27" t="str">
        <f aca="false">IF(OR(C2369="",AND(D2369="",F2369="")),"",IF(N(E2369)=0,1,E2369)*IF(F2369="",IFERROR(N(INDEX(Produtos!$L$5:$L$104,MATCH(D2369,Produtos!$B$5:$B$104,0))),0),F2369))</f>
        <v/>
      </c>
      <c r="H2369" s="27" t="str">
        <f aca="false">IF(G2369="","",IF(N(E2369)=0,1,E2369)*IFERROR(N(INDEX(Produtos!$G$5:$G$104,MATCH(D2369,Produtos!$B$5:$B$104,0))),0))</f>
        <v/>
      </c>
      <c r="I2369" s="27" t="str">
        <f aca="false">IF(G2369="","",G2369-H2369)</f>
        <v/>
      </c>
      <c r="J2369" s="42"/>
    </row>
    <row r="2370" customFormat="false" ht="21" hidden="false" customHeight="true" outlineLevel="0" collapsed="false">
      <c r="B2370" s="41"/>
      <c r="C2370" s="9"/>
      <c r="D2370" s="9"/>
      <c r="E2370" s="42"/>
      <c r="F2370" s="43"/>
      <c r="G2370" s="27" t="str">
        <f aca="false">IF(OR(C2370="",AND(D2370="",F2370="")),"",IF(N(E2370)=0,1,E2370)*IF(F2370="",IFERROR(N(INDEX(Produtos!$L$5:$L$104,MATCH(D2370,Produtos!$B$5:$B$104,0))),0),F2370))</f>
        <v/>
      </c>
      <c r="H2370" s="27" t="str">
        <f aca="false">IF(G2370="","",IF(N(E2370)=0,1,E2370)*IFERROR(N(INDEX(Produtos!$G$5:$G$104,MATCH(D2370,Produtos!$B$5:$B$104,0))),0))</f>
        <v/>
      </c>
      <c r="I2370" s="27" t="str">
        <f aca="false">IF(G2370="","",G2370-H2370)</f>
        <v/>
      </c>
      <c r="J2370" s="42"/>
    </row>
    <row r="2371" customFormat="false" ht="21" hidden="false" customHeight="true" outlineLevel="0" collapsed="false">
      <c r="B2371" s="41"/>
      <c r="C2371" s="9"/>
      <c r="D2371" s="9"/>
      <c r="E2371" s="42"/>
      <c r="F2371" s="43"/>
      <c r="G2371" s="27" t="str">
        <f aca="false">IF(OR(C2371="",AND(D2371="",F2371="")),"",IF(N(E2371)=0,1,E2371)*IF(F2371="",IFERROR(N(INDEX(Produtos!$L$5:$L$104,MATCH(D2371,Produtos!$B$5:$B$104,0))),0),F2371))</f>
        <v/>
      </c>
      <c r="H2371" s="27" t="str">
        <f aca="false">IF(G2371="","",IF(N(E2371)=0,1,E2371)*IFERROR(N(INDEX(Produtos!$G$5:$G$104,MATCH(D2371,Produtos!$B$5:$B$104,0))),0))</f>
        <v/>
      </c>
      <c r="I2371" s="27" t="str">
        <f aca="false">IF(G2371="","",G2371-H2371)</f>
        <v/>
      </c>
      <c r="J2371" s="42"/>
    </row>
    <row r="2372" customFormat="false" ht="21" hidden="false" customHeight="true" outlineLevel="0" collapsed="false">
      <c r="B2372" s="41"/>
      <c r="C2372" s="9"/>
      <c r="D2372" s="9"/>
      <c r="E2372" s="42"/>
      <c r="F2372" s="43"/>
      <c r="G2372" s="27" t="str">
        <f aca="false">IF(OR(C2372="",AND(D2372="",F2372="")),"",IF(N(E2372)=0,1,E2372)*IF(F2372="",IFERROR(N(INDEX(Produtos!$L$5:$L$104,MATCH(D2372,Produtos!$B$5:$B$104,0))),0),F2372))</f>
        <v/>
      </c>
      <c r="H2372" s="27" t="str">
        <f aca="false">IF(G2372="","",IF(N(E2372)=0,1,E2372)*IFERROR(N(INDEX(Produtos!$G$5:$G$104,MATCH(D2372,Produtos!$B$5:$B$104,0))),0))</f>
        <v/>
      </c>
      <c r="I2372" s="27" t="str">
        <f aca="false">IF(G2372="","",G2372-H2372)</f>
        <v/>
      </c>
      <c r="J2372" s="42"/>
    </row>
    <row r="2373" customFormat="false" ht="21" hidden="false" customHeight="true" outlineLevel="0" collapsed="false">
      <c r="B2373" s="41"/>
      <c r="C2373" s="9"/>
      <c r="D2373" s="9"/>
      <c r="E2373" s="42"/>
      <c r="F2373" s="43"/>
      <c r="G2373" s="27" t="str">
        <f aca="false">IF(OR(C2373="",AND(D2373="",F2373="")),"",IF(N(E2373)=0,1,E2373)*IF(F2373="",IFERROR(N(INDEX(Produtos!$L$5:$L$104,MATCH(D2373,Produtos!$B$5:$B$104,0))),0),F2373))</f>
        <v/>
      </c>
      <c r="H2373" s="27" t="str">
        <f aca="false">IF(G2373="","",IF(N(E2373)=0,1,E2373)*IFERROR(N(INDEX(Produtos!$G$5:$G$104,MATCH(D2373,Produtos!$B$5:$B$104,0))),0))</f>
        <v/>
      </c>
      <c r="I2373" s="27" t="str">
        <f aca="false">IF(G2373="","",G2373-H2373)</f>
        <v/>
      </c>
      <c r="J2373" s="42"/>
    </row>
    <row r="2374" customFormat="false" ht="21" hidden="false" customHeight="true" outlineLevel="0" collapsed="false">
      <c r="B2374" s="41"/>
      <c r="C2374" s="9"/>
      <c r="D2374" s="9"/>
      <c r="E2374" s="42"/>
      <c r="F2374" s="43"/>
      <c r="G2374" s="27" t="str">
        <f aca="false">IF(OR(C2374="",AND(D2374="",F2374="")),"",IF(N(E2374)=0,1,E2374)*IF(F2374="",IFERROR(N(INDEX(Produtos!$L$5:$L$104,MATCH(D2374,Produtos!$B$5:$B$104,0))),0),F2374))</f>
        <v/>
      </c>
      <c r="H2374" s="27" t="str">
        <f aca="false">IF(G2374="","",IF(N(E2374)=0,1,E2374)*IFERROR(N(INDEX(Produtos!$G$5:$G$104,MATCH(D2374,Produtos!$B$5:$B$104,0))),0))</f>
        <v/>
      </c>
      <c r="I2374" s="27" t="str">
        <f aca="false">IF(G2374="","",G2374-H2374)</f>
        <v/>
      </c>
      <c r="J2374" s="42"/>
    </row>
    <row r="2375" customFormat="false" ht="21" hidden="false" customHeight="true" outlineLevel="0" collapsed="false">
      <c r="B2375" s="41"/>
      <c r="C2375" s="9"/>
      <c r="D2375" s="9"/>
      <c r="E2375" s="42"/>
      <c r="F2375" s="43"/>
      <c r="G2375" s="27" t="str">
        <f aca="false">IF(OR(C2375="",AND(D2375="",F2375="")),"",IF(N(E2375)=0,1,E2375)*IF(F2375="",IFERROR(N(INDEX(Produtos!$L$5:$L$104,MATCH(D2375,Produtos!$B$5:$B$104,0))),0),F2375))</f>
        <v/>
      </c>
      <c r="H2375" s="27" t="str">
        <f aca="false">IF(G2375="","",IF(N(E2375)=0,1,E2375)*IFERROR(N(INDEX(Produtos!$G$5:$G$104,MATCH(D2375,Produtos!$B$5:$B$104,0))),0))</f>
        <v/>
      </c>
      <c r="I2375" s="27" t="str">
        <f aca="false">IF(G2375="","",G2375-H2375)</f>
        <v/>
      </c>
      <c r="J2375" s="42"/>
    </row>
    <row r="2376" customFormat="false" ht="21" hidden="false" customHeight="true" outlineLevel="0" collapsed="false">
      <c r="B2376" s="41"/>
      <c r="C2376" s="9"/>
      <c r="D2376" s="9"/>
      <c r="E2376" s="42"/>
      <c r="F2376" s="43"/>
      <c r="G2376" s="27" t="str">
        <f aca="false">IF(OR(C2376="",AND(D2376="",F2376="")),"",IF(N(E2376)=0,1,E2376)*IF(F2376="",IFERROR(N(INDEX(Produtos!$L$5:$L$104,MATCH(D2376,Produtos!$B$5:$B$104,0))),0),F2376))</f>
        <v/>
      </c>
      <c r="H2376" s="27" t="str">
        <f aca="false">IF(G2376="","",IF(N(E2376)=0,1,E2376)*IFERROR(N(INDEX(Produtos!$G$5:$G$104,MATCH(D2376,Produtos!$B$5:$B$104,0))),0))</f>
        <v/>
      </c>
      <c r="I2376" s="27" t="str">
        <f aca="false">IF(G2376="","",G2376-H2376)</f>
        <v/>
      </c>
      <c r="J2376" s="42"/>
    </row>
    <row r="2377" customFormat="false" ht="21" hidden="false" customHeight="true" outlineLevel="0" collapsed="false">
      <c r="B2377" s="41"/>
      <c r="C2377" s="9"/>
      <c r="D2377" s="9"/>
      <c r="E2377" s="42"/>
      <c r="F2377" s="43"/>
      <c r="G2377" s="27" t="str">
        <f aca="false">IF(OR(C2377="",AND(D2377="",F2377="")),"",IF(N(E2377)=0,1,E2377)*IF(F2377="",IFERROR(N(INDEX(Produtos!$L$5:$L$104,MATCH(D2377,Produtos!$B$5:$B$104,0))),0),F2377))</f>
        <v/>
      </c>
      <c r="H2377" s="27" t="str">
        <f aca="false">IF(G2377="","",IF(N(E2377)=0,1,E2377)*IFERROR(N(INDEX(Produtos!$G$5:$G$104,MATCH(D2377,Produtos!$B$5:$B$104,0))),0))</f>
        <v/>
      </c>
      <c r="I2377" s="27" t="str">
        <f aca="false">IF(G2377="","",G2377-H2377)</f>
        <v/>
      </c>
      <c r="J2377" s="42"/>
    </row>
    <row r="2378" customFormat="false" ht="21" hidden="false" customHeight="true" outlineLevel="0" collapsed="false">
      <c r="B2378" s="41"/>
      <c r="C2378" s="9"/>
      <c r="D2378" s="9"/>
      <c r="E2378" s="42"/>
      <c r="F2378" s="43"/>
      <c r="G2378" s="27" t="str">
        <f aca="false">IF(OR(C2378="",AND(D2378="",F2378="")),"",IF(N(E2378)=0,1,E2378)*IF(F2378="",IFERROR(N(INDEX(Produtos!$L$5:$L$104,MATCH(D2378,Produtos!$B$5:$B$104,0))),0),F2378))</f>
        <v/>
      </c>
      <c r="H2378" s="27" t="str">
        <f aca="false">IF(G2378="","",IF(N(E2378)=0,1,E2378)*IFERROR(N(INDEX(Produtos!$G$5:$G$104,MATCH(D2378,Produtos!$B$5:$B$104,0))),0))</f>
        <v/>
      </c>
      <c r="I2378" s="27" t="str">
        <f aca="false">IF(G2378="","",G2378-H2378)</f>
        <v/>
      </c>
      <c r="J2378" s="42"/>
    </row>
    <row r="2379" customFormat="false" ht="21" hidden="false" customHeight="true" outlineLevel="0" collapsed="false">
      <c r="B2379" s="41"/>
      <c r="C2379" s="9"/>
      <c r="D2379" s="9"/>
      <c r="E2379" s="42"/>
      <c r="F2379" s="43"/>
      <c r="G2379" s="27" t="str">
        <f aca="false">IF(OR(C2379="",AND(D2379="",F2379="")),"",IF(N(E2379)=0,1,E2379)*IF(F2379="",IFERROR(N(INDEX(Produtos!$L$5:$L$104,MATCH(D2379,Produtos!$B$5:$B$104,0))),0),F2379))</f>
        <v/>
      </c>
      <c r="H2379" s="27" t="str">
        <f aca="false">IF(G2379="","",IF(N(E2379)=0,1,E2379)*IFERROR(N(INDEX(Produtos!$G$5:$G$104,MATCH(D2379,Produtos!$B$5:$B$104,0))),0))</f>
        <v/>
      </c>
      <c r="I2379" s="27" t="str">
        <f aca="false">IF(G2379="","",G2379-H2379)</f>
        <v/>
      </c>
      <c r="J2379" s="42"/>
    </row>
    <row r="2380" customFormat="false" ht="21" hidden="false" customHeight="true" outlineLevel="0" collapsed="false">
      <c r="B2380" s="41"/>
      <c r="C2380" s="9"/>
      <c r="D2380" s="9"/>
      <c r="E2380" s="42"/>
      <c r="F2380" s="43"/>
      <c r="G2380" s="27" t="str">
        <f aca="false">IF(OR(C2380="",AND(D2380="",F2380="")),"",IF(N(E2380)=0,1,E2380)*IF(F2380="",IFERROR(N(INDEX(Produtos!$L$5:$L$104,MATCH(D2380,Produtos!$B$5:$B$104,0))),0),F2380))</f>
        <v/>
      </c>
      <c r="H2380" s="27" t="str">
        <f aca="false">IF(G2380="","",IF(N(E2380)=0,1,E2380)*IFERROR(N(INDEX(Produtos!$G$5:$G$104,MATCH(D2380,Produtos!$B$5:$B$104,0))),0))</f>
        <v/>
      </c>
      <c r="I2380" s="27" t="str">
        <f aca="false">IF(G2380="","",G2380-H2380)</f>
        <v/>
      </c>
      <c r="J2380" s="42"/>
    </row>
    <row r="2381" customFormat="false" ht="21" hidden="false" customHeight="true" outlineLevel="0" collapsed="false">
      <c r="B2381" s="41"/>
      <c r="C2381" s="9"/>
      <c r="D2381" s="9"/>
      <c r="E2381" s="42"/>
      <c r="F2381" s="43"/>
      <c r="G2381" s="27" t="str">
        <f aca="false">IF(OR(C2381="",AND(D2381="",F2381="")),"",IF(N(E2381)=0,1,E2381)*IF(F2381="",IFERROR(N(INDEX(Produtos!$L$5:$L$104,MATCH(D2381,Produtos!$B$5:$B$104,0))),0),F2381))</f>
        <v/>
      </c>
      <c r="H2381" s="27" t="str">
        <f aca="false">IF(G2381="","",IF(N(E2381)=0,1,E2381)*IFERROR(N(INDEX(Produtos!$G$5:$G$104,MATCH(D2381,Produtos!$B$5:$B$104,0))),0))</f>
        <v/>
      </c>
      <c r="I2381" s="27" t="str">
        <f aca="false">IF(G2381="","",G2381-H2381)</f>
        <v/>
      </c>
      <c r="J2381" s="42"/>
    </row>
    <row r="2382" customFormat="false" ht="21" hidden="false" customHeight="true" outlineLevel="0" collapsed="false">
      <c r="B2382" s="41"/>
      <c r="C2382" s="9"/>
      <c r="D2382" s="9"/>
      <c r="E2382" s="42"/>
      <c r="F2382" s="43"/>
      <c r="G2382" s="27" t="str">
        <f aca="false">IF(OR(C2382="",AND(D2382="",F2382="")),"",IF(N(E2382)=0,1,E2382)*IF(F2382="",IFERROR(N(INDEX(Produtos!$L$5:$L$104,MATCH(D2382,Produtos!$B$5:$B$104,0))),0),F2382))</f>
        <v/>
      </c>
      <c r="H2382" s="27" t="str">
        <f aca="false">IF(G2382="","",IF(N(E2382)=0,1,E2382)*IFERROR(N(INDEX(Produtos!$G$5:$G$104,MATCH(D2382,Produtos!$B$5:$B$104,0))),0))</f>
        <v/>
      </c>
      <c r="I2382" s="27" t="str">
        <f aca="false">IF(G2382="","",G2382-H2382)</f>
        <v/>
      </c>
      <c r="J2382" s="42"/>
    </row>
    <row r="2383" customFormat="false" ht="21" hidden="false" customHeight="true" outlineLevel="0" collapsed="false">
      <c r="B2383" s="41"/>
      <c r="C2383" s="9"/>
      <c r="D2383" s="9"/>
      <c r="E2383" s="42"/>
      <c r="F2383" s="43"/>
      <c r="G2383" s="27" t="str">
        <f aca="false">IF(OR(C2383="",AND(D2383="",F2383="")),"",IF(N(E2383)=0,1,E2383)*IF(F2383="",IFERROR(N(INDEX(Produtos!$L$5:$L$104,MATCH(D2383,Produtos!$B$5:$B$104,0))),0),F2383))</f>
        <v/>
      </c>
      <c r="H2383" s="27" t="str">
        <f aca="false">IF(G2383="","",IF(N(E2383)=0,1,E2383)*IFERROR(N(INDEX(Produtos!$G$5:$G$104,MATCH(D2383,Produtos!$B$5:$B$104,0))),0))</f>
        <v/>
      </c>
      <c r="I2383" s="27" t="str">
        <f aca="false">IF(G2383="","",G2383-H2383)</f>
        <v/>
      </c>
      <c r="J2383" s="42"/>
    </row>
    <row r="2384" customFormat="false" ht="21" hidden="false" customHeight="true" outlineLevel="0" collapsed="false">
      <c r="B2384" s="41"/>
      <c r="C2384" s="9"/>
      <c r="D2384" s="9"/>
      <c r="E2384" s="42"/>
      <c r="F2384" s="43"/>
      <c r="G2384" s="27" t="str">
        <f aca="false">IF(OR(C2384="",AND(D2384="",F2384="")),"",IF(N(E2384)=0,1,E2384)*IF(F2384="",IFERROR(N(INDEX(Produtos!$L$5:$L$104,MATCH(D2384,Produtos!$B$5:$B$104,0))),0),F2384))</f>
        <v/>
      </c>
      <c r="H2384" s="27" t="str">
        <f aca="false">IF(G2384="","",IF(N(E2384)=0,1,E2384)*IFERROR(N(INDEX(Produtos!$G$5:$G$104,MATCH(D2384,Produtos!$B$5:$B$104,0))),0))</f>
        <v/>
      </c>
      <c r="I2384" s="27" t="str">
        <f aca="false">IF(G2384="","",G2384-H2384)</f>
        <v/>
      </c>
      <c r="J2384" s="42"/>
    </row>
    <row r="2385" customFormat="false" ht="21" hidden="false" customHeight="true" outlineLevel="0" collapsed="false">
      <c r="B2385" s="41"/>
      <c r="C2385" s="9"/>
      <c r="D2385" s="9"/>
      <c r="E2385" s="42"/>
      <c r="F2385" s="43"/>
      <c r="G2385" s="27" t="str">
        <f aca="false">IF(OR(C2385="",AND(D2385="",F2385="")),"",IF(N(E2385)=0,1,E2385)*IF(F2385="",IFERROR(N(INDEX(Produtos!$L$5:$L$104,MATCH(D2385,Produtos!$B$5:$B$104,0))),0),F2385))</f>
        <v/>
      </c>
      <c r="H2385" s="27" t="str">
        <f aca="false">IF(G2385="","",IF(N(E2385)=0,1,E2385)*IFERROR(N(INDEX(Produtos!$G$5:$G$104,MATCH(D2385,Produtos!$B$5:$B$104,0))),0))</f>
        <v/>
      </c>
      <c r="I2385" s="27" t="str">
        <f aca="false">IF(G2385="","",G2385-H2385)</f>
        <v/>
      </c>
      <c r="J2385" s="42"/>
    </row>
    <row r="2386" customFormat="false" ht="21" hidden="false" customHeight="true" outlineLevel="0" collapsed="false">
      <c r="B2386" s="41"/>
      <c r="C2386" s="9"/>
      <c r="D2386" s="9"/>
      <c r="E2386" s="42"/>
      <c r="F2386" s="43"/>
      <c r="G2386" s="27" t="str">
        <f aca="false">IF(OR(C2386="",AND(D2386="",F2386="")),"",IF(N(E2386)=0,1,E2386)*IF(F2386="",IFERROR(N(INDEX(Produtos!$L$5:$L$104,MATCH(D2386,Produtos!$B$5:$B$104,0))),0),F2386))</f>
        <v/>
      </c>
      <c r="H2386" s="27" t="str">
        <f aca="false">IF(G2386="","",IF(N(E2386)=0,1,E2386)*IFERROR(N(INDEX(Produtos!$G$5:$G$104,MATCH(D2386,Produtos!$B$5:$B$104,0))),0))</f>
        <v/>
      </c>
      <c r="I2386" s="27" t="str">
        <f aca="false">IF(G2386="","",G2386-H2386)</f>
        <v/>
      </c>
      <c r="J2386" s="42"/>
    </row>
    <row r="2387" customFormat="false" ht="21" hidden="false" customHeight="true" outlineLevel="0" collapsed="false">
      <c r="B2387" s="41"/>
      <c r="C2387" s="9"/>
      <c r="D2387" s="9"/>
      <c r="E2387" s="42"/>
      <c r="F2387" s="43"/>
      <c r="G2387" s="27" t="str">
        <f aca="false">IF(OR(C2387="",AND(D2387="",F2387="")),"",IF(N(E2387)=0,1,E2387)*IF(F2387="",IFERROR(N(INDEX(Produtos!$L$5:$L$104,MATCH(D2387,Produtos!$B$5:$B$104,0))),0),F2387))</f>
        <v/>
      </c>
      <c r="H2387" s="27" t="str">
        <f aca="false">IF(G2387="","",IF(N(E2387)=0,1,E2387)*IFERROR(N(INDEX(Produtos!$G$5:$G$104,MATCH(D2387,Produtos!$B$5:$B$104,0))),0))</f>
        <v/>
      </c>
      <c r="I2387" s="27" t="str">
        <f aca="false">IF(G2387="","",G2387-H2387)</f>
        <v/>
      </c>
      <c r="J2387" s="42"/>
    </row>
    <row r="2388" customFormat="false" ht="21" hidden="false" customHeight="true" outlineLevel="0" collapsed="false">
      <c r="B2388" s="41"/>
      <c r="C2388" s="9"/>
      <c r="D2388" s="9"/>
      <c r="E2388" s="42"/>
      <c r="F2388" s="43"/>
      <c r="G2388" s="27" t="str">
        <f aca="false">IF(OR(C2388="",AND(D2388="",F2388="")),"",IF(N(E2388)=0,1,E2388)*IF(F2388="",IFERROR(N(INDEX(Produtos!$L$5:$L$104,MATCH(D2388,Produtos!$B$5:$B$104,0))),0),F2388))</f>
        <v/>
      </c>
      <c r="H2388" s="27" t="str">
        <f aca="false">IF(G2388="","",IF(N(E2388)=0,1,E2388)*IFERROR(N(INDEX(Produtos!$G$5:$G$104,MATCH(D2388,Produtos!$B$5:$B$104,0))),0))</f>
        <v/>
      </c>
      <c r="I2388" s="27" t="str">
        <f aca="false">IF(G2388="","",G2388-H2388)</f>
        <v/>
      </c>
      <c r="J2388" s="42"/>
    </row>
    <row r="2389" customFormat="false" ht="21" hidden="false" customHeight="true" outlineLevel="0" collapsed="false">
      <c r="B2389" s="41"/>
      <c r="C2389" s="9"/>
      <c r="D2389" s="9"/>
      <c r="E2389" s="42"/>
      <c r="F2389" s="43"/>
      <c r="G2389" s="27" t="str">
        <f aca="false">IF(OR(C2389="",AND(D2389="",F2389="")),"",IF(N(E2389)=0,1,E2389)*IF(F2389="",IFERROR(N(INDEX(Produtos!$L$5:$L$104,MATCH(D2389,Produtos!$B$5:$B$104,0))),0),F2389))</f>
        <v/>
      </c>
      <c r="H2389" s="27" t="str">
        <f aca="false">IF(G2389="","",IF(N(E2389)=0,1,E2389)*IFERROR(N(INDEX(Produtos!$G$5:$G$104,MATCH(D2389,Produtos!$B$5:$B$104,0))),0))</f>
        <v/>
      </c>
      <c r="I2389" s="27" t="str">
        <f aca="false">IF(G2389="","",G2389-H2389)</f>
        <v/>
      </c>
      <c r="J2389" s="42"/>
    </row>
    <row r="2390" customFormat="false" ht="21" hidden="false" customHeight="true" outlineLevel="0" collapsed="false">
      <c r="B2390" s="41"/>
      <c r="C2390" s="9"/>
      <c r="D2390" s="9"/>
      <c r="E2390" s="42"/>
      <c r="F2390" s="43"/>
      <c r="G2390" s="27" t="str">
        <f aca="false">IF(OR(C2390="",AND(D2390="",F2390="")),"",IF(N(E2390)=0,1,E2390)*IF(F2390="",IFERROR(N(INDEX(Produtos!$L$5:$L$104,MATCH(D2390,Produtos!$B$5:$B$104,0))),0),F2390))</f>
        <v/>
      </c>
      <c r="H2390" s="27" t="str">
        <f aca="false">IF(G2390="","",IF(N(E2390)=0,1,E2390)*IFERROR(N(INDEX(Produtos!$G$5:$G$104,MATCH(D2390,Produtos!$B$5:$B$104,0))),0))</f>
        <v/>
      </c>
      <c r="I2390" s="27" t="str">
        <f aca="false">IF(G2390="","",G2390-H2390)</f>
        <v/>
      </c>
      <c r="J2390" s="42"/>
    </row>
    <row r="2391" customFormat="false" ht="21" hidden="false" customHeight="true" outlineLevel="0" collapsed="false">
      <c r="B2391" s="41"/>
      <c r="C2391" s="9"/>
      <c r="D2391" s="9"/>
      <c r="E2391" s="42"/>
      <c r="F2391" s="43"/>
      <c r="G2391" s="27" t="str">
        <f aca="false">IF(OR(C2391="",AND(D2391="",F2391="")),"",IF(N(E2391)=0,1,E2391)*IF(F2391="",IFERROR(N(INDEX(Produtos!$L$5:$L$104,MATCH(D2391,Produtos!$B$5:$B$104,0))),0),F2391))</f>
        <v/>
      </c>
      <c r="H2391" s="27" t="str">
        <f aca="false">IF(G2391="","",IF(N(E2391)=0,1,E2391)*IFERROR(N(INDEX(Produtos!$G$5:$G$104,MATCH(D2391,Produtos!$B$5:$B$104,0))),0))</f>
        <v/>
      </c>
      <c r="I2391" s="27" t="str">
        <f aca="false">IF(G2391="","",G2391-H2391)</f>
        <v/>
      </c>
      <c r="J2391" s="42"/>
    </row>
    <row r="2392" customFormat="false" ht="21" hidden="false" customHeight="true" outlineLevel="0" collapsed="false">
      <c r="B2392" s="41"/>
      <c r="C2392" s="9"/>
      <c r="D2392" s="9"/>
      <c r="E2392" s="42"/>
      <c r="F2392" s="43"/>
      <c r="G2392" s="27" t="str">
        <f aca="false">IF(OR(C2392="",AND(D2392="",F2392="")),"",IF(N(E2392)=0,1,E2392)*IF(F2392="",IFERROR(N(INDEX(Produtos!$L$5:$L$104,MATCH(D2392,Produtos!$B$5:$B$104,0))),0),F2392))</f>
        <v/>
      </c>
      <c r="H2392" s="27" t="str">
        <f aca="false">IF(G2392="","",IF(N(E2392)=0,1,E2392)*IFERROR(N(INDEX(Produtos!$G$5:$G$104,MATCH(D2392,Produtos!$B$5:$B$104,0))),0))</f>
        <v/>
      </c>
      <c r="I2392" s="27" t="str">
        <f aca="false">IF(G2392="","",G2392-H2392)</f>
        <v/>
      </c>
      <c r="J2392" s="42"/>
    </row>
    <row r="2393" customFormat="false" ht="21" hidden="false" customHeight="true" outlineLevel="0" collapsed="false">
      <c r="B2393" s="41"/>
      <c r="C2393" s="9"/>
      <c r="D2393" s="9"/>
      <c r="E2393" s="42"/>
      <c r="F2393" s="43"/>
      <c r="G2393" s="27" t="str">
        <f aca="false">IF(OR(C2393="",AND(D2393="",F2393="")),"",IF(N(E2393)=0,1,E2393)*IF(F2393="",IFERROR(N(INDEX(Produtos!$L$5:$L$104,MATCH(D2393,Produtos!$B$5:$B$104,0))),0),F2393))</f>
        <v/>
      </c>
      <c r="H2393" s="27" t="str">
        <f aca="false">IF(G2393="","",IF(N(E2393)=0,1,E2393)*IFERROR(N(INDEX(Produtos!$G$5:$G$104,MATCH(D2393,Produtos!$B$5:$B$104,0))),0))</f>
        <v/>
      </c>
      <c r="I2393" s="27" t="str">
        <f aca="false">IF(G2393="","",G2393-H2393)</f>
        <v/>
      </c>
      <c r="J2393" s="42"/>
    </row>
    <row r="2394" customFormat="false" ht="21" hidden="false" customHeight="true" outlineLevel="0" collapsed="false">
      <c r="B2394" s="41"/>
      <c r="C2394" s="9"/>
      <c r="D2394" s="9"/>
      <c r="E2394" s="42"/>
      <c r="F2394" s="43"/>
      <c r="G2394" s="27" t="str">
        <f aca="false">IF(OR(C2394="",AND(D2394="",F2394="")),"",IF(N(E2394)=0,1,E2394)*IF(F2394="",IFERROR(N(INDEX(Produtos!$L$5:$L$104,MATCH(D2394,Produtos!$B$5:$B$104,0))),0),F2394))</f>
        <v/>
      </c>
      <c r="H2394" s="27" t="str">
        <f aca="false">IF(G2394="","",IF(N(E2394)=0,1,E2394)*IFERROR(N(INDEX(Produtos!$G$5:$G$104,MATCH(D2394,Produtos!$B$5:$B$104,0))),0))</f>
        <v/>
      </c>
      <c r="I2394" s="27" t="str">
        <f aca="false">IF(G2394="","",G2394-H2394)</f>
        <v/>
      </c>
      <c r="J2394" s="42"/>
    </row>
    <row r="2395" customFormat="false" ht="21" hidden="false" customHeight="true" outlineLevel="0" collapsed="false">
      <c r="B2395" s="41"/>
      <c r="C2395" s="9"/>
      <c r="D2395" s="9"/>
      <c r="E2395" s="42"/>
      <c r="F2395" s="43"/>
      <c r="G2395" s="27" t="str">
        <f aca="false">IF(OR(C2395="",AND(D2395="",F2395="")),"",IF(N(E2395)=0,1,E2395)*IF(F2395="",IFERROR(N(INDEX(Produtos!$L$5:$L$104,MATCH(D2395,Produtos!$B$5:$B$104,0))),0),F2395))</f>
        <v/>
      </c>
      <c r="H2395" s="27" t="str">
        <f aca="false">IF(G2395="","",IF(N(E2395)=0,1,E2395)*IFERROR(N(INDEX(Produtos!$G$5:$G$104,MATCH(D2395,Produtos!$B$5:$B$104,0))),0))</f>
        <v/>
      </c>
      <c r="I2395" s="27" t="str">
        <f aca="false">IF(G2395="","",G2395-H2395)</f>
        <v/>
      </c>
      <c r="J2395" s="42"/>
    </row>
    <row r="2396" customFormat="false" ht="21" hidden="false" customHeight="true" outlineLevel="0" collapsed="false">
      <c r="B2396" s="41"/>
      <c r="C2396" s="9"/>
      <c r="D2396" s="9"/>
      <c r="E2396" s="42"/>
      <c r="F2396" s="43"/>
      <c r="G2396" s="27" t="str">
        <f aca="false">IF(OR(C2396="",AND(D2396="",F2396="")),"",IF(N(E2396)=0,1,E2396)*IF(F2396="",IFERROR(N(INDEX(Produtos!$L$5:$L$104,MATCH(D2396,Produtos!$B$5:$B$104,0))),0),F2396))</f>
        <v/>
      </c>
      <c r="H2396" s="27" t="str">
        <f aca="false">IF(G2396="","",IF(N(E2396)=0,1,E2396)*IFERROR(N(INDEX(Produtos!$G$5:$G$104,MATCH(D2396,Produtos!$B$5:$B$104,0))),0))</f>
        <v/>
      </c>
      <c r="I2396" s="27" t="str">
        <f aca="false">IF(G2396="","",G2396-H2396)</f>
        <v/>
      </c>
      <c r="J2396" s="42"/>
    </row>
    <row r="2397" customFormat="false" ht="21" hidden="false" customHeight="true" outlineLevel="0" collapsed="false">
      <c r="B2397" s="41"/>
      <c r="C2397" s="9"/>
      <c r="D2397" s="9"/>
      <c r="E2397" s="42"/>
      <c r="F2397" s="43"/>
      <c r="G2397" s="27" t="str">
        <f aca="false">IF(OR(C2397="",AND(D2397="",F2397="")),"",IF(N(E2397)=0,1,E2397)*IF(F2397="",IFERROR(N(INDEX(Produtos!$L$5:$L$104,MATCH(D2397,Produtos!$B$5:$B$104,0))),0),F2397))</f>
        <v/>
      </c>
      <c r="H2397" s="27" t="str">
        <f aca="false">IF(G2397="","",IF(N(E2397)=0,1,E2397)*IFERROR(N(INDEX(Produtos!$G$5:$G$104,MATCH(D2397,Produtos!$B$5:$B$104,0))),0))</f>
        <v/>
      </c>
      <c r="I2397" s="27" t="str">
        <f aca="false">IF(G2397="","",G2397-H2397)</f>
        <v/>
      </c>
      <c r="J2397" s="42"/>
    </row>
    <row r="2398" customFormat="false" ht="21" hidden="false" customHeight="true" outlineLevel="0" collapsed="false">
      <c r="B2398" s="41"/>
      <c r="C2398" s="9"/>
      <c r="D2398" s="9"/>
      <c r="E2398" s="42"/>
      <c r="F2398" s="43"/>
      <c r="G2398" s="27" t="str">
        <f aca="false">IF(OR(C2398="",AND(D2398="",F2398="")),"",IF(N(E2398)=0,1,E2398)*IF(F2398="",IFERROR(N(INDEX(Produtos!$L$5:$L$104,MATCH(D2398,Produtos!$B$5:$B$104,0))),0),F2398))</f>
        <v/>
      </c>
      <c r="H2398" s="27" t="str">
        <f aca="false">IF(G2398="","",IF(N(E2398)=0,1,E2398)*IFERROR(N(INDEX(Produtos!$G$5:$G$104,MATCH(D2398,Produtos!$B$5:$B$104,0))),0))</f>
        <v/>
      </c>
      <c r="I2398" s="27" t="str">
        <f aca="false">IF(G2398="","",G2398-H2398)</f>
        <v/>
      </c>
      <c r="J2398" s="42"/>
    </row>
    <row r="2399" customFormat="false" ht="21" hidden="false" customHeight="true" outlineLevel="0" collapsed="false">
      <c r="B2399" s="41"/>
      <c r="C2399" s="9"/>
      <c r="D2399" s="9"/>
      <c r="E2399" s="42"/>
      <c r="F2399" s="43"/>
      <c r="G2399" s="27" t="str">
        <f aca="false">IF(OR(C2399="",AND(D2399="",F2399="")),"",IF(N(E2399)=0,1,E2399)*IF(F2399="",IFERROR(N(INDEX(Produtos!$L$5:$L$104,MATCH(D2399,Produtos!$B$5:$B$104,0))),0),F2399))</f>
        <v/>
      </c>
      <c r="H2399" s="27" t="str">
        <f aca="false">IF(G2399="","",IF(N(E2399)=0,1,E2399)*IFERROR(N(INDEX(Produtos!$G$5:$G$104,MATCH(D2399,Produtos!$B$5:$B$104,0))),0))</f>
        <v/>
      </c>
      <c r="I2399" s="27" t="str">
        <f aca="false">IF(G2399="","",G2399-H2399)</f>
        <v/>
      </c>
      <c r="J2399" s="42"/>
    </row>
    <row r="2400" customFormat="false" ht="21" hidden="false" customHeight="true" outlineLevel="0" collapsed="false">
      <c r="B2400" s="41"/>
      <c r="C2400" s="9"/>
      <c r="D2400" s="9"/>
      <c r="E2400" s="42"/>
      <c r="F2400" s="43"/>
      <c r="G2400" s="27" t="str">
        <f aca="false">IF(OR(C2400="",AND(D2400="",F2400="")),"",IF(N(E2400)=0,1,E2400)*IF(F2400="",IFERROR(N(INDEX(Produtos!$L$5:$L$104,MATCH(D2400,Produtos!$B$5:$B$104,0))),0),F2400))</f>
        <v/>
      </c>
      <c r="H2400" s="27" t="str">
        <f aca="false">IF(G2400="","",IF(N(E2400)=0,1,E2400)*IFERROR(N(INDEX(Produtos!$G$5:$G$104,MATCH(D2400,Produtos!$B$5:$B$104,0))),0))</f>
        <v/>
      </c>
      <c r="I2400" s="27" t="str">
        <f aca="false">IF(G2400="","",G2400-H2400)</f>
        <v/>
      </c>
      <c r="J2400" s="42"/>
    </row>
    <row r="2401" customFormat="false" ht="21" hidden="false" customHeight="true" outlineLevel="0" collapsed="false">
      <c r="B2401" s="41"/>
      <c r="C2401" s="9"/>
      <c r="D2401" s="9"/>
      <c r="E2401" s="42"/>
      <c r="F2401" s="43"/>
      <c r="G2401" s="27" t="str">
        <f aca="false">IF(OR(C2401="",AND(D2401="",F2401="")),"",IF(N(E2401)=0,1,E2401)*IF(F2401="",IFERROR(N(INDEX(Produtos!$L$5:$L$104,MATCH(D2401,Produtos!$B$5:$B$104,0))),0),F2401))</f>
        <v/>
      </c>
      <c r="H2401" s="27" t="str">
        <f aca="false">IF(G2401="","",IF(N(E2401)=0,1,E2401)*IFERROR(N(INDEX(Produtos!$G$5:$G$104,MATCH(D2401,Produtos!$B$5:$B$104,0))),0))</f>
        <v/>
      </c>
      <c r="I2401" s="27" t="str">
        <f aca="false">IF(G2401="","",G2401-H2401)</f>
        <v/>
      </c>
      <c r="J2401" s="42"/>
    </row>
    <row r="2402" customFormat="false" ht="21" hidden="false" customHeight="true" outlineLevel="0" collapsed="false">
      <c r="B2402" s="41"/>
      <c r="C2402" s="9"/>
      <c r="D2402" s="9"/>
      <c r="E2402" s="42"/>
      <c r="F2402" s="43"/>
      <c r="G2402" s="27" t="str">
        <f aca="false">IF(OR(C2402="",AND(D2402="",F2402="")),"",IF(N(E2402)=0,1,E2402)*IF(F2402="",IFERROR(N(INDEX(Produtos!$L$5:$L$104,MATCH(D2402,Produtos!$B$5:$B$104,0))),0),F2402))</f>
        <v/>
      </c>
      <c r="H2402" s="27" t="str">
        <f aca="false">IF(G2402="","",IF(N(E2402)=0,1,E2402)*IFERROR(N(INDEX(Produtos!$G$5:$G$104,MATCH(D2402,Produtos!$B$5:$B$104,0))),0))</f>
        <v/>
      </c>
      <c r="I2402" s="27" t="str">
        <f aca="false">IF(G2402="","",G2402-H2402)</f>
        <v/>
      </c>
      <c r="J2402" s="42"/>
    </row>
    <row r="2403" customFormat="false" ht="21" hidden="false" customHeight="true" outlineLevel="0" collapsed="false">
      <c r="B2403" s="41"/>
      <c r="C2403" s="9"/>
      <c r="D2403" s="9"/>
      <c r="E2403" s="42"/>
      <c r="F2403" s="43"/>
      <c r="G2403" s="27" t="str">
        <f aca="false">IF(OR(C2403="",AND(D2403="",F2403="")),"",IF(N(E2403)=0,1,E2403)*IF(F2403="",IFERROR(N(INDEX(Produtos!$L$5:$L$104,MATCH(D2403,Produtos!$B$5:$B$104,0))),0),F2403))</f>
        <v/>
      </c>
      <c r="H2403" s="27" t="str">
        <f aca="false">IF(G2403="","",IF(N(E2403)=0,1,E2403)*IFERROR(N(INDEX(Produtos!$G$5:$G$104,MATCH(D2403,Produtos!$B$5:$B$104,0))),0))</f>
        <v/>
      </c>
      <c r="I2403" s="27" t="str">
        <f aca="false">IF(G2403="","",G2403-H2403)</f>
        <v/>
      </c>
      <c r="J2403" s="42"/>
    </row>
    <row r="2404" customFormat="false" ht="21" hidden="false" customHeight="true" outlineLevel="0" collapsed="false">
      <c r="B2404" s="41"/>
      <c r="C2404" s="9"/>
      <c r="D2404" s="9"/>
      <c r="E2404" s="42"/>
      <c r="F2404" s="43"/>
      <c r="G2404" s="27" t="str">
        <f aca="false">IF(OR(C2404="",AND(D2404="",F2404="")),"",IF(N(E2404)=0,1,E2404)*IF(F2404="",IFERROR(N(INDEX(Produtos!$L$5:$L$104,MATCH(D2404,Produtos!$B$5:$B$104,0))),0),F2404))</f>
        <v/>
      </c>
      <c r="H2404" s="27" t="str">
        <f aca="false">IF(G2404="","",IF(N(E2404)=0,1,E2404)*IFERROR(N(INDEX(Produtos!$G$5:$G$104,MATCH(D2404,Produtos!$B$5:$B$104,0))),0))</f>
        <v/>
      </c>
      <c r="I2404" s="27" t="str">
        <f aca="false">IF(G2404="","",G2404-H2404)</f>
        <v/>
      </c>
      <c r="J2404" s="42"/>
    </row>
    <row r="2405" customFormat="false" ht="21" hidden="false" customHeight="true" outlineLevel="0" collapsed="false">
      <c r="B2405" s="41"/>
      <c r="C2405" s="9"/>
      <c r="D2405" s="9"/>
      <c r="E2405" s="42"/>
      <c r="F2405" s="43"/>
      <c r="G2405" s="27" t="str">
        <f aca="false">IF(OR(C2405="",AND(D2405="",F2405="")),"",IF(N(E2405)=0,1,E2405)*IF(F2405="",IFERROR(N(INDEX(Produtos!$L$5:$L$104,MATCH(D2405,Produtos!$B$5:$B$104,0))),0),F2405))</f>
        <v/>
      </c>
      <c r="H2405" s="27" t="str">
        <f aca="false">IF(G2405="","",IF(N(E2405)=0,1,E2405)*IFERROR(N(INDEX(Produtos!$G$5:$G$104,MATCH(D2405,Produtos!$B$5:$B$104,0))),0))</f>
        <v/>
      </c>
      <c r="I2405" s="27" t="str">
        <f aca="false">IF(G2405="","",G2405-H2405)</f>
        <v/>
      </c>
      <c r="J2405" s="42"/>
    </row>
    <row r="2406" customFormat="false" ht="21" hidden="false" customHeight="true" outlineLevel="0" collapsed="false">
      <c r="B2406" s="41"/>
      <c r="C2406" s="9"/>
      <c r="D2406" s="9"/>
      <c r="E2406" s="42"/>
      <c r="F2406" s="43"/>
      <c r="G2406" s="27" t="str">
        <f aca="false">IF(OR(C2406="",AND(D2406="",F2406="")),"",IF(N(E2406)=0,1,E2406)*IF(F2406="",IFERROR(N(INDEX(Produtos!$L$5:$L$104,MATCH(D2406,Produtos!$B$5:$B$104,0))),0),F2406))</f>
        <v/>
      </c>
      <c r="H2406" s="27" t="str">
        <f aca="false">IF(G2406="","",IF(N(E2406)=0,1,E2406)*IFERROR(N(INDEX(Produtos!$G$5:$G$104,MATCH(D2406,Produtos!$B$5:$B$104,0))),0))</f>
        <v/>
      </c>
      <c r="I2406" s="27" t="str">
        <f aca="false">IF(G2406="","",G2406-H2406)</f>
        <v/>
      </c>
      <c r="J2406" s="42"/>
    </row>
    <row r="2407" customFormat="false" ht="21" hidden="false" customHeight="true" outlineLevel="0" collapsed="false">
      <c r="B2407" s="41"/>
      <c r="C2407" s="9"/>
      <c r="D2407" s="9"/>
      <c r="E2407" s="42"/>
      <c r="F2407" s="43"/>
      <c r="G2407" s="27" t="str">
        <f aca="false">IF(OR(C2407="",AND(D2407="",F2407="")),"",IF(N(E2407)=0,1,E2407)*IF(F2407="",IFERROR(N(INDEX(Produtos!$L$5:$L$104,MATCH(D2407,Produtos!$B$5:$B$104,0))),0),F2407))</f>
        <v/>
      </c>
      <c r="H2407" s="27" t="str">
        <f aca="false">IF(G2407="","",IF(N(E2407)=0,1,E2407)*IFERROR(N(INDEX(Produtos!$G$5:$G$104,MATCH(D2407,Produtos!$B$5:$B$104,0))),0))</f>
        <v/>
      </c>
      <c r="I2407" s="27" t="str">
        <f aca="false">IF(G2407="","",G2407-H2407)</f>
        <v/>
      </c>
      <c r="J2407" s="42"/>
    </row>
    <row r="2408" customFormat="false" ht="21" hidden="false" customHeight="true" outlineLevel="0" collapsed="false">
      <c r="B2408" s="41"/>
      <c r="C2408" s="9"/>
      <c r="D2408" s="9"/>
      <c r="E2408" s="42"/>
      <c r="F2408" s="43"/>
      <c r="G2408" s="27" t="str">
        <f aca="false">IF(OR(C2408="",AND(D2408="",F2408="")),"",IF(N(E2408)=0,1,E2408)*IF(F2408="",IFERROR(N(INDEX(Produtos!$L$5:$L$104,MATCH(D2408,Produtos!$B$5:$B$104,0))),0),F2408))</f>
        <v/>
      </c>
      <c r="H2408" s="27" t="str">
        <f aca="false">IF(G2408="","",IF(N(E2408)=0,1,E2408)*IFERROR(N(INDEX(Produtos!$G$5:$G$104,MATCH(D2408,Produtos!$B$5:$B$104,0))),0))</f>
        <v/>
      </c>
      <c r="I2408" s="27" t="str">
        <f aca="false">IF(G2408="","",G2408-H2408)</f>
        <v/>
      </c>
      <c r="J2408" s="42"/>
    </row>
    <row r="2409" customFormat="false" ht="21" hidden="false" customHeight="true" outlineLevel="0" collapsed="false">
      <c r="B2409" s="41"/>
      <c r="C2409" s="9"/>
      <c r="D2409" s="9"/>
      <c r="E2409" s="42"/>
      <c r="F2409" s="43"/>
      <c r="G2409" s="27" t="str">
        <f aca="false">IF(OR(C2409="",AND(D2409="",F2409="")),"",IF(N(E2409)=0,1,E2409)*IF(F2409="",IFERROR(N(INDEX(Produtos!$L$5:$L$104,MATCH(D2409,Produtos!$B$5:$B$104,0))),0),F2409))</f>
        <v/>
      </c>
      <c r="H2409" s="27" t="str">
        <f aca="false">IF(G2409="","",IF(N(E2409)=0,1,E2409)*IFERROR(N(INDEX(Produtos!$G$5:$G$104,MATCH(D2409,Produtos!$B$5:$B$104,0))),0))</f>
        <v/>
      </c>
      <c r="I2409" s="27" t="str">
        <f aca="false">IF(G2409="","",G2409-H2409)</f>
        <v/>
      </c>
      <c r="J2409" s="42"/>
    </row>
    <row r="2410" customFormat="false" ht="21" hidden="false" customHeight="true" outlineLevel="0" collapsed="false">
      <c r="B2410" s="41"/>
      <c r="C2410" s="9"/>
      <c r="D2410" s="9"/>
      <c r="E2410" s="42"/>
      <c r="F2410" s="43"/>
      <c r="G2410" s="27" t="str">
        <f aca="false">IF(OR(C2410="",AND(D2410="",F2410="")),"",IF(N(E2410)=0,1,E2410)*IF(F2410="",IFERROR(N(INDEX(Produtos!$L$5:$L$104,MATCH(D2410,Produtos!$B$5:$B$104,0))),0),F2410))</f>
        <v/>
      </c>
      <c r="H2410" s="27" t="str">
        <f aca="false">IF(G2410="","",IF(N(E2410)=0,1,E2410)*IFERROR(N(INDEX(Produtos!$G$5:$G$104,MATCH(D2410,Produtos!$B$5:$B$104,0))),0))</f>
        <v/>
      </c>
      <c r="I2410" s="27" t="str">
        <f aca="false">IF(G2410="","",G2410-H2410)</f>
        <v/>
      </c>
      <c r="J2410" s="42"/>
    </row>
    <row r="2411" customFormat="false" ht="21" hidden="false" customHeight="true" outlineLevel="0" collapsed="false">
      <c r="B2411" s="41"/>
      <c r="C2411" s="9"/>
      <c r="D2411" s="9"/>
      <c r="E2411" s="42"/>
      <c r="F2411" s="43"/>
      <c r="G2411" s="27" t="str">
        <f aca="false">IF(OR(C2411="",AND(D2411="",F2411="")),"",IF(N(E2411)=0,1,E2411)*IF(F2411="",IFERROR(N(INDEX(Produtos!$L$5:$L$104,MATCH(D2411,Produtos!$B$5:$B$104,0))),0),F2411))</f>
        <v/>
      </c>
      <c r="H2411" s="27" t="str">
        <f aca="false">IF(G2411="","",IF(N(E2411)=0,1,E2411)*IFERROR(N(INDEX(Produtos!$G$5:$G$104,MATCH(D2411,Produtos!$B$5:$B$104,0))),0))</f>
        <v/>
      </c>
      <c r="I2411" s="27" t="str">
        <f aca="false">IF(G2411="","",G2411-H2411)</f>
        <v/>
      </c>
      <c r="J2411" s="42"/>
    </row>
    <row r="2412" customFormat="false" ht="21" hidden="false" customHeight="true" outlineLevel="0" collapsed="false">
      <c r="B2412" s="41"/>
      <c r="C2412" s="9"/>
      <c r="D2412" s="9"/>
      <c r="E2412" s="42"/>
      <c r="F2412" s="43"/>
      <c r="G2412" s="27" t="str">
        <f aca="false">IF(OR(C2412="",AND(D2412="",F2412="")),"",IF(N(E2412)=0,1,E2412)*IF(F2412="",IFERROR(N(INDEX(Produtos!$L$5:$L$104,MATCH(D2412,Produtos!$B$5:$B$104,0))),0),F2412))</f>
        <v/>
      </c>
      <c r="H2412" s="27" t="str">
        <f aca="false">IF(G2412="","",IF(N(E2412)=0,1,E2412)*IFERROR(N(INDEX(Produtos!$G$5:$G$104,MATCH(D2412,Produtos!$B$5:$B$104,0))),0))</f>
        <v/>
      </c>
      <c r="I2412" s="27" t="str">
        <f aca="false">IF(G2412="","",G2412-H2412)</f>
        <v/>
      </c>
      <c r="J2412" s="42"/>
    </row>
    <row r="2413" customFormat="false" ht="21" hidden="false" customHeight="true" outlineLevel="0" collapsed="false">
      <c r="B2413" s="41"/>
      <c r="C2413" s="9"/>
      <c r="D2413" s="9"/>
      <c r="E2413" s="42"/>
      <c r="F2413" s="43"/>
      <c r="G2413" s="27" t="str">
        <f aca="false">IF(OR(C2413="",AND(D2413="",F2413="")),"",IF(N(E2413)=0,1,E2413)*IF(F2413="",IFERROR(N(INDEX(Produtos!$L$5:$L$104,MATCH(D2413,Produtos!$B$5:$B$104,0))),0),F2413))</f>
        <v/>
      </c>
      <c r="H2413" s="27" t="str">
        <f aca="false">IF(G2413="","",IF(N(E2413)=0,1,E2413)*IFERROR(N(INDEX(Produtos!$G$5:$G$104,MATCH(D2413,Produtos!$B$5:$B$104,0))),0))</f>
        <v/>
      </c>
      <c r="I2413" s="27" t="str">
        <f aca="false">IF(G2413="","",G2413-H2413)</f>
        <v/>
      </c>
      <c r="J2413" s="42"/>
    </row>
    <row r="2414" customFormat="false" ht="21" hidden="false" customHeight="true" outlineLevel="0" collapsed="false">
      <c r="B2414" s="41"/>
      <c r="C2414" s="9"/>
      <c r="D2414" s="9"/>
      <c r="E2414" s="42"/>
      <c r="F2414" s="43"/>
      <c r="G2414" s="27" t="str">
        <f aca="false">IF(OR(C2414="",AND(D2414="",F2414="")),"",IF(N(E2414)=0,1,E2414)*IF(F2414="",IFERROR(N(INDEX(Produtos!$L$5:$L$104,MATCH(D2414,Produtos!$B$5:$B$104,0))),0),F2414))</f>
        <v/>
      </c>
      <c r="H2414" s="27" t="str">
        <f aca="false">IF(G2414="","",IF(N(E2414)=0,1,E2414)*IFERROR(N(INDEX(Produtos!$G$5:$G$104,MATCH(D2414,Produtos!$B$5:$B$104,0))),0))</f>
        <v/>
      </c>
      <c r="I2414" s="27" t="str">
        <f aca="false">IF(G2414="","",G2414-H2414)</f>
        <v/>
      </c>
      <c r="J2414" s="42"/>
    </row>
    <row r="2415" customFormat="false" ht="21" hidden="false" customHeight="true" outlineLevel="0" collapsed="false">
      <c r="B2415" s="41"/>
      <c r="C2415" s="9"/>
      <c r="D2415" s="9"/>
      <c r="E2415" s="42"/>
      <c r="F2415" s="43"/>
      <c r="G2415" s="27" t="str">
        <f aca="false">IF(OR(C2415="",AND(D2415="",F2415="")),"",IF(N(E2415)=0,1,E2415)*IF(F2415="",IFERROR(N(INDEX(Produtos!$L$5:$L$104,MATCH(D2415,Produtos!$B$5:$B$104,0))),0),F2415))</f>
        <v/>
      </c>
      <c r="H2415" s="27" t="str">
        <f aca="false">IF(G2415="","",IF(N(E2415)=0,1,E2415)*IFERROR(N(INDEX(Produtos!$G$5:$G$104,MATCH(D2415,Produtos!$B$5:$B$104,0))),0))</f>
        <v/>
      </c>
      <c r="I2415" s="27" t="str">
        <f aca="false">IF(G2415="","",G2415-H2415)</f>
        <v/>
      </c>
      <c r="J2415" s="42"/>
    </row>
    <row r="2416" customFormat="false" ht="21" hidden="false" customHeight="true" outlineLevel="0" collapsed="false">
      <c r="B2416" s="41"/>
      <c r="C2416" s="9"/>
      <c r="D2416" s="9"/>
      <c r="E2416" s="42"/>
      <c r="F2416" s="43"/>
      <c r="G2416" s="27" t="str">
        <f aca="false">IF(OR(C2416="",AND(D2416="",F2416="")),"",IF(N(E2416)=0,1,E2416)*IF(F2416="",IFERROR(N(INDEX(Produtos!$L$5:$L$104,MATCH(D2416,Produtos!$B$5:$B$104,0))),0),F2416))</f>
        <v/>
      </c>
      <c r="H2416" s="27" t="str">
        <f aca="false">IF(G2416="","",IF(N(E2416)=0,1,E2416)*IFERROR(N(INDEX(Produtos!$G$5:$G$104,MATCH(D2416,Produtos!$B$5:$B$104,0))),0))</f>
        <v/>
      </c>
      <c r="I2416" s="27" t="str">
        <f aca="false">IF(G2416="","",G2416-H2416)</f>
        <v/>
      </c>
      <c r="J2416" s="42"/>
    </row>
    <row r="2417" customFormat="false" ht="21" hidden="false" customHeight="true" outlineLevel="0" collapsed="false">
      <c r="B2417" s="41"/>
      <c r="C2417" s="9"/>
      <c r="D2417" s="9"/>
      <c r="E2417" s="42"/>
      <c r="F2417" s="43"/>
      <c r="G2417" s="27" t="str">
        <f aca="false">IF(OR(C2417="",AND(D2417="",F2417="")),"",IF(N(E2417)=0,1,E2417)*IF(F2417="",IFERROR(N(INDEX(Produtos!$L$5:$L$104,MATCH(D2417,Produtos!$B$5:$B$104,0))),0),F2417))</f>
        <v/>
      </c>
      <c r="H2417" s="27" t="str">
        <f aca="false">IF(G2417="","",IF(N(E2417)=0,1,E2417)*IFERROR(N(INDEX(Produtos!$G$5:$G$104,MATCH(D2417,Produtos!$B$5:$B$104,0))),0))</f>
        <v/>
      </c>
      <c r="I2417" s="27" t="str">
        <f aca="false">IF(G2417="","",G2417-H2417)</f>
        <v/>
      </c>
      <c r="J2417" s="42"/>
    </row>
    <row r="2418" customFormat="false" ht="21" hidden="false" customHeight="true" outlineLevel="0" collapsed="false">
      <c r="B2418" s="41"/>
      <c r="C2418" s="9"/>
      <c r="D2418" s="9"/>
      <c r="E2418" s="42"/>
      <c r="F2418" s="43"/>
      <c r="G2418" s="27" t="str">
        <f aca="false">IF(OR(C2418="",AND(D2418="",F2418="")),"",IF(N(E2418)=0,1,E2418)*IF(F2418="",IFERROR(N(INDEX(Produtos!$L$5:$L$104,MATCH(D2418,Produtos!$B$5:$B$104,0))),0),F2418))</f>
        <v/>
      </c>
      <c r="H2418" s="27" t="str">
        <f aca="false">IF(G2418="","",IF(N(E2418)=0,1,E2418)*IFERROR(N(INDEX(Produtos!$G$5:$G$104,MATCH(D2418,Produtos!$B$5:$B$104,0))),0))</f>
        <v/>
      </c>
      <c r="I2418" s="27" t="str">
        <f aca="false">IF(G2418="","",G2418-H2418)</f>
        <v/>
      </c>
      <c r="J2418" s="42"/>
    </row>
    <row r="2419" customFormat="false" ht="21" hidden="false" customHeight="true" outlineLevel="0" collapsed="false">
      <c r="B2419" s="41"/>
      <c r="C2419" s="9"/>
      <c r="D2419" s="9"/>
      <c r="E2419" s="42"/>
      <c r="F2419" s="43"/>
      <c r="G2419" s="27" t="str">
        <f aca="false">IF(OR(C2419="",AND(D2419="",F2419="")),"",IF(N(E2419)=0,1,E2419)*IF(F2419="",IFERROR(N(INDEX(Produtos!$L$5:$L$104,MATCH(D2419,Produtos!$B$5:$B$104,0))),0),F2419))</f>
        <v/>
      </c>
      <c r="H2419" s="27" t="str">
        <f aca="false">IF(G2419="","",IF(N(E2419)=0,1,E2419)*IFERROR(N(INDEX(Produtos!$G$5:$G$104,MATCH(D2419,Produtos!$B$5:$B$104,0))),0))</f>
        <v/>
      </c>
      <c r="I2419" s="27" t="str">
        <f aca="false">IF(G2419="","",G2419-H2419)</f>
        <v/>
      </c>
      <c r="J2419" s="42"/>
    </row>
    <row r="2420" customFormat="false" ht="21" hidden="false" customHeight="true" outlineLevel="0" collapsed="false">
      <c r="B2420" s="41"/>
      <c r="C2420" s="9"/>
      <c r="D2420" s="9"/>
      <c r="E2420" s="42"/>
      <c r="F2420" s="43"/>
      <c r="G2420" s="27" t="str">
        <f aca="false">IF(OR(C2420="",AND(D2420="",F2420="")),"",IF(N(E2420)=0,1,E2420)*IF(F2420="",IFERROR(N(INDEX(Produtos!$L$5:$L$104,MATCH(D2420,Produtos!$B$5:$B$104,0))),0),F2420))</f>
        <v/>
      </c>
      <c r="H2420" s="27" t="str">
        <f aca="false">IF(G2420="","",IF(N(E2420)=0,1,E2420)*IFERROR(N(INDEX(Produtos!$G$5:$G$104,MATCH(D2420,Produtos!$B$5:$B$104,0))),0))</f>
        <v/>
      </c>
      <c r="I2420" s="27" t="str">
        <f aca="false">IF(G2420="","",G2420-H2420)</f>
        <v/>
      </c>
      <c r="J2420" s="42"/>
    </row>
    <row r="2421" customFormat="false" ht="21" hidden="false" customHeight="true" outlineLevel="0" collapsed="false">
      <c r="B2421" s="41"/>
      <c r="C2421" s="9"/>
      <c r="D2421" s="9"/>
      <c r="E2421" s="42"/>
      <c r="F2421" s="43"/>
      <c r="G2421" s="27" t="str">
        <f aca="false">IF(OR(C2421="",AND(D2421="",F2421="")),"",IF(N(E2421)=0,1,E2421)*IF(F2421="",IFERROR(N(INDEX(Produtos!$L$5:$L$104,MATCH(D2421,Produtos!$B$5:$B$104,0))),0),F2421))</f>
        <v/>
      </c>
      <c r="H2421" s="27" t="str">
        <f aca="false">IF(G2421="","",IF(N(E2421)=0,1,E2421)*IFERROR(N(INDEX(Produtos!$G$5:$G$104,MATCH(D2421,Produtos!$B$5:$B$104,0))),0))</f>
        <v/>
      </c>
      <c r="I2421" s="27" t="str">
        <f aca="false">IF(G2421="","",G2421-H2421)</f>
        <v/>
      </c>
      <c r="J2421" s="42"/>
    </row>
    <row r="2422" customFormat="false" ht="21" hidden="false" customHeight="true" outlineLevel="0" collapsed="false">
      <c r="B2422" s="41"/>
      <c r="C2422" s="9"/>
      <c r="D2422" s="9"/>
      <c r="E2422" s="42"/>
      <c r="F2422" s="43"/>
      <c r="G2422" s="27" t="str">
        <f aca="false">IF(OR(C2422="",AND(D2422="",F2422="")),"",IF(N(E2422)=0,1,E2422)*IF(F2422="",IFERROR(N(INDEX(Produtos!$L$5:$L$104,MATCH(D2422,Produtos!$B$5:$B$104,0))),0),F2422))</f>
        <v/>
      </c>
      <c r="H2422" s="27" t="str">
        <f aca="false">IF(G2422="","",IF(N(E2422)=0,1,E2422)*IFERROR(N(INDEX(Produtos!$G$5:$G$104,MATCH(D2422,Produtos!$B$5:$B$104,0))),0))</f>
        <v/>
      </c>
      <c r="I2422" s="27" t="str">
        <f aca="false">IF(G2422="","",G2422-H2422)</f>
        <v/>
      </c>
      <c r="J2422" s="42"/>
    </row>
    <row r="2423" customFormat="false" ht="21" hidden="false" customHeight="true" outlineLevel="0" collapsed="false">
      <c r="B2423" s="41"/>
      <c r="C2423" s="9"/>
      <c r="D2423" s="9"/>
      <c r="E2423" s="42"/>
      <c r="F2423" s="43"/>
      <c r="G2423" s="27" t="str">
        <f aca="false">IF(OR(C2423="",AND(D2423="",F2423="")),"",IF(N(E2423)=0,1,E2423)*IF(F2423="",IFERROR(N(INDEX(Produtos!$L$5:$L$104,MATCH(D2423,Produtos!$B$5:$B$104,0))),0),F2423))</f>
        <v/>
      </c>
      <c r="H2423" s="27" t="str">
        <f aca="false">IF(G2423="","",IF(N(E2423)=0,1,E2423)*IFERROR(N(INDEX(Produtos!$G$5:$G$104,MATCH(D2423,Produtos!$B$5:$B$104,0))),0))</f>
        <v/>
      </c>
      <c r="I2423" s="27" t="str">
        <f aca="false">IF(G2423="","",G2423-H2423)</f>
        <v/>
      </c>
      <c r="J2423" s="42"/>
    </row>
    <row r="2424" customFormat="false" ht="21" hidden="false" customHeight="true" outlineLevel="0" collapsed="false">
      <c r="B2424" s="41"/>
      <c r="C2424" s="9"/>
      <c r="D2424" s="9"/>
      <c r="E2424" s="42"/>
      <c r="F2424" s="43"/>
      <c r="G2424" s="27" t="str">
        <f aca="false">IF(OR(C2424="",AND(D2424="",F2424="")),"",IF(N(E2424)=0,1,E2424)*IF(F2424="",IFERROR(N(INDEX(Produtos!$L$5:$L$104,MATCH(D2424,Produtos!$B$5:$B$104,0))),0),F2424))</f>
        <v/>
      </c>
      <c r="H2424" s="27" t="str">
        <f aca="false">IF(G2424="","",IF(N(E2424)=0,1,E2424)*IFERROR(N(INDEX(Produtos!$G$5:$G$104,MATCH(D2424,Produtos!$B$5:$B$104,0))),0))</f>
        <v/>
      </c>
      <c r="I2424" s="27" t="str">
        <f aca="false">IF(G2424="","",G2424-H2424)</f>
        <v/>
      </c>
      <c r="J2424" s="42"/>
    </row>
    <row r="2425" customFormat="false" ht="21" hidden="false" customHeight="true" outlineLevel="0" collapsed="false">
      <c r="B2425" s="41"/>
      <c r="C2425" s="9"/>
      <c r="D2425" s="9"/>
      <c r="E2425" s="42"/>
      <c r="F2425" s="43"/>
      <c r="G2425" s="27" t="str">
        <f aca="false">IF(OR(C2425="",AND(D2425="",F2425="")),"",IF(N(E2425)=0,1,E2425)*IF(F2425="",IFERROR(N(INDEX(Produtos!$L$5:$L$104,MATCH(D2425,Produtos!$B$5:$B$104,0))),0),F2425))</f>
        <v/>
      </c>
      <c r="H2425" s="27" t="str">
        <f aca="false">IF(G2425="","",IF(N(E2425)=0,1,E2425)*IFERROR(N(INDEX(Produtos!$G$5:$G$104,MATCH(D2425,Produtos!$B$5:$B$104,0))),0))</f>
        <v/>
      </c>
      <c r="I2425" s="27" t="str">
        <f aca="false">IF(G2425="","",G2425-H2425)</f>
        <v/>
      </c>
      <c r="J2425" s="42"/>
    </row>
    <row r="2426" customFormat="false" ht="21" hidden="false" customHeight="true" outlineLevel="0" collapsed="false">
      <c r="B2426" s="41"/>
      <c r="C2426" s="9"/>
      <c r="D2426" s="9"/>
      <c r="E2426" s="42"/>
      <c r="F2426" s="43"/>
      <c r="G2426" s="27" t="str">
        <f aca="false">IF(OR(C2426="",AND(D2426="",F2426="")),"",IF(N(E2426)=0,1,E2426)*IF(F2426="",IFERROR(N(INDEX(Produtos!$L$5:$L$104,MATCH(D2426,Produtos!$B$5:$B$104,0))),0),F2426))</f>
        <v/>
      </c>
      <c r="H2426" s="27" t="str">
        <f aca="false">IF(G2426="","",IF(N(E2426)=0,1,E2426)*IFERROR(N(INDEX(Produtos!$G$5:$G$104,MATCH(D2426,Produtos!$B$5:$B$104,0))),0))</f>
        <v/>
      </c>
      <c r="I2426" s="27" t="str">
        <f aca="false">IF(G2426="","",G2426-H2426)</f>
        <v/>
      </c>
      <c r="J2426" s="42"/>
    </row>
    <row r="2427" customFormat="false" ht="21" hidden="false" customHeight="true" outlineLevel="0" collapsed="false">
      <c r="B2427" s="41"/>
      <c r="C2427" s="9"/>
      <c r="D2427" s="9"/>
      <c r="E2427" s="42"/>
      <c r="F2427" s="43"/>
      <c r="G2427" s="27" t="str">
        <f aca="false">IF(OR(C2427="",AND(D2427="",F2427="")),"",IF(N(E2427)=0,1,E2427)*IF(F2427="",IFERROR(N(INDEX(Produtos!$L$5:$L$104,MATCH(D2427,Produtos!$B$5:$B$104,0))),0),F2427))</f>
        <v/>
      </c>
      <c r="H2427" s="27" t="str">
        <f aca="false">IF(G2427="","",IF(N(E2427)=0,1,E2427)*IFERROR(N(INDEX(Produtos!$G$5:$G$104,MATCH(D2427,Produtos!$B$5:$B$104,0))),0))</f>
        <v/>
      </c>
      <c r="I2427" s="27" t="str">
        <f aca="false">IF(G2427="","",G2427-H2427)</f>
        <v/>
      </c>
      <c r="J2427" s="42"/>
    </row>
    <row r="2428" customFormat="false" ht="21" hidden="false" customHeight="true" outlineLevel="0" collapsed="false">
      <c r="B2428" s="41"/>
      <c r="C2428" s="9"/>
      <c r="D2428" s="9"/>
      <c r="E2428" s="42"/>
      <c r="F2428" s="43"/>
      <c r="G2428" s="27" t="str">
        <f aca="false">IF(OR(C2428="",AND(D2428="",F2428="")),"",IF(N(E2428)=0,1,E2428)*IF(F2428="",IFERROR(N(INDEX(Produtos!$L$5:$L$104,MATCH(D2428,Produtos!$B$5:$B$104,0))),0),F2428))</f>
        <v/>
      </c>
      <c r="H2428" s="27" t="str">
        <f aca="false">IF(G2428="","",IF(N(E2428)=0,1,E2428)*IFERROR(N(INDEX(Produtos!$G$5:$G$104,MATCH(D2428,Produtos!$B$5:$B$104,0))),0))</f>
        <v/>
      </c>
      <c r="I2428" s="27" t="str">
        <f aca="false">IF(G2428="","",G2428-H2428)</f>
        <v/>
      </c>
      <c r="J2428" s="42"/>
    </row>
    <row r="2429" customFormat="false" ht="21" hidden="false" customHeight="true" outlineLevel="0" collapsed="false">
      <c r="B2429" s="41"/>
      <c r="C2429" s="9"/>
      <c r="D2429" s="9"/>
      <c r="E2429" s="42"/>
      <c r="F2429" s="43"/>
      <c r="G2429" s="27" t="str">
        <f aca="false">IF(OR(C2429="",AND(D2429="",F2429="")),"",IF(N(E2429)=0,1,E2429)*IF(F2429="",IFERROR(N(INDEX(Produtos!$L$5:$L$104,MATCH(D2429,Produtos!$B$5:$B$104,0))),0),F2429))</f>
        <v/>
      </c>
      <c r="H2429" s="27" t="str">
        <f aca="false">IF(G2429="","",IF(N(E2429)=0,1,E2429)*IFERROR(N(INDEX(Produtos!$G$5:$G$104,MATCH(D2429,Produtos!$B$5:$B$104,0))),0))</f>
        <v/>
      </c>
      <c r="I2429" s="27" t="str">
        <f aca="false">IF(G2429="","",G2429-H2429)</f>
        <v/>
      </c>
      <c r="J2429" s="42"/>
    </row>
    <row r="2430" customFormat="false" ht="21" hidden="false" customHeight="true" outlineLevel="0" collapsed="false">
      <c r="B2430" s="41"/>
      <c r="C2430" s="9"/>
      <c r="D2430" s="9"/>
      <c r="E2430" s="42"/>
      <c r="F2430" s="43"/>
      <c r="G2430" s="27" t="str">
        <f aca="false">IF(OR(C2430="",AND(D2430="",F2430="")),"",IF(N(E2430)=0,1,E2430)*IF(F2430="",IFERROR(N(INDEX(Produtos!$L$5:$L$104,MATCH(D2430,Produtos!$B$5:$B$104,0))),0),F2430))</f>
        <v/>
      </c>
      <c r="H2430" s="27" t="str">
        <f aca="false">IF(G2430="","",IF(N(E2430)=0,1,E2430)*IFERROR(N(INDEX(Produtos!$G$5:$G$104,MATCH(D2430,Produtos!$B$5:$B$104,0))),0))</f>
        <v/>
      </c>
      <c r="I2430" s="27" t="str">
        <f aca="false">IF(G2430="","",G2430-H2430)</f>
        <v/>
      </c>
      <c r="J2430" s="42"/>
    </row>
    <row r="2431" customFormat="false" ht="21" hidden="false" customHeight="true" outlineLevel="0" collapsed="false">
      <c r="B2431" s="41"/>
      <c r="C2431" s="9"/>
      <c r="D2431" s="9"/>
      <c r="E2431" s="42"/>
      <c r="F2431" s="43"/>
      <c r="G2431" s="27" t="str">
        <f aca="false">IF(OR(C2431="",AND(D2431="",F2431="")),"",IF(N(E2431)=0,1,E2431)*IF(F2431="",IFERROR(N(INDEX(Produtos!$L$5:$L$104,MATCH(D2431,Produtos!$B$5:$B$104,0))),0),F2431))</f>
        <v/>
      </c>
      <c r="H2431" s="27" t="str">
        <f aca="false">IF(G2431="","",IF(N(E2431)=0,1,E2431)*IFERROR(N(INDEX(Produtos!$G$5:$G$104,MATCH(D2431,Produtos!$B$5:$B$104,0))),0))</f>
        <v/>
      </c>
      <c r="I2431" s="27" t="str">
        <f aca="false">IF(G2431="","",G2431-H2431)</f>
        <v/>
      </c>
      <c r="J2431" s="42"/>
    </row>
    <row r="2432" customFormat="false" ht="21" hidden="false" customHeight="true" outlineLevel="0" collapsed="false">
      <c r="B2432" s="41"/>
      <c r="C2432" s="9"/>
      <c r="D2432" s="9"/>
      <c r="E2432" s="42"/>
      <c r="F2432" s="43"/>
      <c r="G2432" s="27" t="str">
        <f aca="false">IF(OR(C2432="",AND(D2432="",F2432="")),"",IF(N(E2432)=0,1,E2432)*IF(F2432="",IFERROR(N(INDEX(Produtos!$L$5:$L$104,MATCH(D2432,Produtos!$B$5:$B$104,0))),0),F2432))</f>
        <v/>
      </c>
      <c r="H2432" s="27" t="str">
        <f aca="false">IF(G2432="","",IF(N(E2432)=0,1,E2432)*IFERROR(N(INDEX(Produtos!$G$5:$G$104,MATCH(D2432,Produtos!$B$5:$B$104,0))),0))</f>
        <v/>
      </c>
      <c r="I2432" s="27" t="str">
        <f aca="false">IF(G2432="","",G2432-H2432)</f>
        <v/>
      </c>
      <c r="J2432" s="42"/>
    </row>
    <row r="2433" customFormat="false" ht="21" hidden="false" customHeight="true" outlineLevel="0" collapsed="false">
      <c r="B2433" s="41"/>
      <c r="C2433" s="9"/>
      <c r="D2433" s="9"/>
      <c r="E2433" s="42"/>
      <c r="F2433" s="43"/>
      <c r="G2433" s="27" t="str">
        <f aca="false">IF(OR(C2433="",AND(D2433="",F2433="")),"",IF(N(E2433)=0,1,E2433)*IF(F2433="",IFERROR(N(INDEX(Produtos!$L$5:$L$104,MATCH(D2433,Produtos!$B$5:$B$104,0))),0),F2433))</f>
        <v/>
      </c>
      <c r="H2433" s="27" t="str">
        <f aca="false">IF(G2433="","",IF(N(E2433)=0,1,E2433)*IFERROR(N(INDEX(Produtos!$G$5:$G$104,MATCH(D2433,Produtos!$B$5:$B$104,0))),0))</f>
        <v/>
      </c>
      <c r="I2433" s="27" t="str">
        <f aca="false">IF(G2433="","",G2433-H2433)</f>
        <v/>
      </c>
      <c r="J2433" s="42"/>
    </row>
    <row r="2434" customFormat="false" ht="21" hidden="false" customHeight="true" outlineLevel="0" collapsed="false">
      <c r="B2434" s="41"/>
      <c r="C2434" s="9"/>
      <c r="D2434" s="9"/>
      <c r="E2434" s="42"/>
      <c r="F2434" s="43"/>
      <c r="G2434" s="27" t="str">
        <f aca="false">IF(OR(C2434="",AND(D2434="",F2434="")),"",IF(N(E2434)=0,1,E2434)*IF(F2434="",IFERROR(N(INDEX(Produtos!$L$5:$L$104,MATCH(D2434,Produtos!$B$5:$B$104,0))),0),F2434))</f>
        <v/>
      </c>
      <c r="H2434" s="27" t="str">
        <f aca="false">IF(G2434="","",IF(N(E2434)=0,1,E2434)*IFERROR(N(INDEX(Produtos!$G$5:$G$104,MATCH(D2434,Produtos!$B$5:$B$104,0))),0))</f>
        <v/>
      </c>
      <c r="I2434" s="27" t="str">
        <f aca="false">IF(G2434="","",G2434-H2434)</f>
        <v/>
      </c>
      <c r="J2434" s="42"/>
    </row>
    <row r="2435" customFormat="false" ht="21" hidden="false" customHeight="true" outlineLevel="0" collapsed="false">
      <c r="B2435" s="41"/>
      <c r="C2435" s="9"/>
      <c r="D2435" s="9"/>
      <c r="E2435" s="42"/>
      <c r="F2435" s="43"/>
      <c r="G2435" s="27" t="str">
        <f aca="false">IF(OR(C2435="",AND(D2435="",F2435="")),"",IF(N(E2435)=0,1,E2435)*IF(F2435="",IFERROR(N(INDEX(Produtos!$L$5:$L$104,MATCH(D2435,Produtos!$B$5:$B$104,0))),0),F2435))</f>
        <v/>
      </c>
      <c r="H2435" s="27" t="str">
        <f aca="false">IF(G2435="","",IF(N(E2435)=0,1,E2435)*IFERROR(N(INDEX(Produtos!$G$5:$G$104,MATCH(D2435,Produtos!$B$5:$B$104,0))),0))</f>
        <v/>
      </c>
      <c r="I2435" s="27" t="str">
        <f aca="false">IF(G2435="","",G2435-H2435)</f>
        <v/>
      </c>
      <c r="J2435" s="42"/>
    </row>
    <row r="2436" customFormat="false" ht="21" hidden="false" customHeight="true" outlineLevel="0" collapsed="false">
      <c r="B2436" s="41"/>
      <c r="C2436" s="9"/>
      <c r="D2436" s="9"/>
      <c r="E2436" s="42"/>
      <c r="F2436" s="43"/>
      <c r="G2436" s="27" t="str">
        <f aca="false">IF(OR(C2436="",AND(D2436="",F2436="")),"",IF(N(E2436)=0,1,E2436)*IF(F2436="",IFERROR(N(INDEX(Produtos!$L$5:$L$104,MATCH(D2436,Produtos!$B$5:$B$104,0))),0),F2436))</f>
        <v/>
      </c>
      <c r="H2436" s="27" t="str">
        <f aca="false">IF(G2436="","",IF(N(E2436)=0,1,E2436)*IFERROR(N(INDEX(Produtos!$G$5:$G$104,MATCH(D2436,Produtos!$B$5:$B$104,0))),0))</f>
        <v/>
      </c>
      <c r="I2436" s="27" t="str">
        <f aca="false">IF(G2436="","",G2436-H2436)</f>
        <v/>
      </c>
      <c r="J2436" s="42"/>
    </row>
    <row r="2437" customFormat="false" ht="21" hidden="false" customHeight="true" outlineLevel="0" collapsed="false">
      <c r="B2437" s="41"/>
      <c r="C2437" s="9"/>
      <c r="D2437" s="9"/>
      <c r="E2437" s="42"/>
      <c r="F2437" s="43"/>
      <c r="G2437" s="27" t="str">
        <f aca="false">IF(OR(C2437="",AND(D2437="",F2437="")),"",IF(N(E2437)=0,1,E2437)*IF(F2437="",IFERROR(N(INDEX(Produtos!$L$5:$L$104,MATCH(D2437,Produtos!$B$5:$B$104,0))),0),F2437))</f>
        <v/>
      </c>
      <c r="H2437" s="27" t="str">
        <f aca="false">IF(G2437="","",IF(N(E2437)=0,1,E2437)*IFERROR(N(INDEX(Produtos!$G$5:$G$104,MATCH(D2437,Produtos!$B$5:$B$104,0))),0))</f>
        <v/>
      </c>
      <c r="I2437" s="27" t="str">
        <f aca="false">IF(G2437="","",G2437-H2437)</f>
        <v/>
      </c>
      <c r="J2437" s="42"/>
    </row>
    <row r="2438" customFormat="false" ht="21" hidden="false" customHeight="true" outlineLevel="0" collapsed="false">
      <c r="B2438" s="41"/>
      <c r="C2438" s="9"/>
      <c r="D2438" s="9"/>
      <c r="E2438" s="42"/>
      <c r="F2438" s="43"/>
      <c r="G2438" s="27" t="str">
        <f aca="false">IF(OR(C2438="",AND(D2438="",F2438="")),"",IF(N(E2438)=0,1,E2438)*IF(F2438="",IFERROR(N(INDEX(Produtos!$L$5:$L$104,MATCH(D2438,Produtos!$B$5:$B$104,0))),0),F2438))</f>
        <v/>
      </c>
      <c r="H2438" s="27" t="str">
        <f aca="false">IF(G2438="","",IF(N(E2438)=0,1,E2438)*IFERROR(N(INDEX(Produtos!$G$5:$G$104,MATCH(D2438,Produtos!$B$5:$B$104,0))),0))</f>
        <v/>
      </c>
      <c r="I2438" s="27" t="str">
        <f aca="false">IF(G2438="","",G2438-H2438)</f>
        <v/>
      </c>
      <c r="J2438" s="42"/>
    </row>
    <row r="2439" customFormat="false" ht="21" hidden="false" customHeight="true" outlineLevel="0" collapsed="false">
      <c r="B2439" s="41"/>
      <c r="C2439" s="9"/>
      <c r="D2439" s="9"/>
      <c r="E2439" s="42"/>
      <c r="F2439" s="43"/>
      <c r="G2439" s="27" t="str">
        <f aca="false">IF(OR(C2439="",AND(D2439="",F2439="")),"",IF(N(E2439)=0,1,E2439)*IF(F2439="",IFERROR(N(INDEX(Produtos!$L$5:$L$104,MATCH(D2439,Produtos!$B$5:$B$104,0))),0),F2439))</f>
        <v/>
      </c>
      <c r="H2439" s="27" t="str">
        <f aca="false">IF(G2439="","",IF(N(E2439)=0,1,E2439)*IFERROR(N(INDEX(Produtos!$G$5:$G$104,MATCH(D2439,Produtos!$B$5:$B$104,0))),0))</f>
        <v/>
      </c>
      <c r="I2439" s="27" t="str">
        <f aca="false">IF(G2439="","",G2439-H2439)</f>
        <v/>
      </c>
      <c r="J2439" s="42"/>
    </row>
    <row r="2440" customFormat="false" ht="21" hidden="false" customHeight="true" outlineLevel="0" collapsed="false">
      <c r="B2440" s="41"/>
      <c r="C2440" s="9"/>
      <c r="D2440" s="9"/>
      <c r="E2440" s="42"/>
      <c r="F2440" s="43"/>
      <c r="G2440" s="27" t="str">
        <f aca="false">IF(OR(C2440="",AND(D2440="",F2440="")),"",IF(N(E2440)=0,1,E2440)*IF(F2440="",IFERROR(N(INDEX(Produtos!$L$5:$L$104,MATCH(D2440,Produtos!$B$5:$B$104,0))),0),F2440))</f>
        <v/>
      </c>
      <c r="H2440" s="27" t="str">
        <f aca="false">IF(G2440="","",IF(N(E2440)=0,1,E2440)*IFERROR(N(INDEX(Produtos!$G$5:$G$104,MATCH(D2440,Produtos!$B$5:$B$104,0))),0))</f>
        <v/>
      </c>
      <c r="I2440" s="27" t="str">
        <f aca="false">IF(G2440="","",G2440-H2440)</f>
        <v/>
      </c>
      <c r="J2440" s="42"/>
    </row>
    <row r="2441" customFormat="false" ht="21" hidden="false" customHeight="true" outlineLevel="0" collapsed="false">
      <c r="B2441" s="41"/>
      <c r="C2441" s="9"/>
      <c r="D2441" s="9"/>
      <c r="E2441" s="42"/>
      <c r="F2441" s="43"/>
      <c r="G2441" s="27" t="str">
        <f aca="false">IF(OR(C2441="",AND(D2441="",F2441="")),"",IF(N(E2441)=0,1,E2441)*IF(F2441="",IFERROR(N(INDEX(Produtos!$L$5:$L$104,MATCH(D2441,Produtos!$B$5:$B$104,0))),0),F2441))</f>
        <v/>
      </c>
      <c r="H2441" s="27" t="str">
        <f aca="false">IF(G2441="","",IF(N(E2441)=0,1,E2441)*IFERROR(N(INDEX(Produtos!$G$5:$G$104,MATCH(D2441,Produtos!$B$5:$B$104,0))),0))</f>
        <v/>
      </c>
      <c r="I2441" s="27" t="str">
        <f aca="false">IF(G2441="","",G2441-H2441)</f>
        <v/>
      </c>
      <c r="J2441" s="42"/>
    </row>
    <row r="2442" customFormat="false" ht="21" hidden="false" customHeight="true" outlineLevel="0" collapsed="false">
      <c r="B2442" s="41"/>
      <c r="C2442" s="9"/>
      <c r="D2442" s="9"/>
      <c r="E2442" s="42"/>
      <c r="F2442" s="43"/>
      <c r="G2442" s="27" t="str">
        <f aca="false">IF(OR(C2442="",AND(D2442="",F2442="")),"",IF(N(E2442)=0,1,E2442)*IF(F2442="",IFERROR(N(INDEX(Produtos!$L$5:$L$104,MATCH(D2442,Produtos!$B$5:$B$104,0))),0),F2442))</f>
        <v/>
      </c>
      <c r="H2442" s="27" t="str">
        <f aca="false">IF(G2442="","",IF(N(E2442)=0,1,E2442)*IFERROR(N(INDEX(Produtos!$G$5:$G$104,MATCH(D2442,Produtos!$B$5:$B$104,0))),0))</f>
        <v/>
      </c>
      <c r="I2442" s="27" t="str">
        <f aca="false">IF(G2442="","",G2442-H2442)</f>
        <v/>
      </c>
      <c r="J2442" s="42"/>
    </row>
    <row r="2443" customFormat="false" ht="21" hidden="false" customHeight="true" outlineLevel="0" collapsed="false">
      <c r="B2443" s="41"/>
      <c r="C2443" s="9"/>
      <c r="D2443" s="9"/>
      <c r="E2443" s="42"/>
      <c r="F2443" s="43"/>
      <c r="G2443" s="27" t="str">
        <f aca="false">IF(OR(C2443="",AND(D2443="",F2443="")),"",IF(N(E2443)=0,1,E2443)*IF(F2443="",IFERROR(N(INDEX(Produtos!$L$5:$L$104,MATCH(D2443,Produtos!$B$5:$B$104,0))),0),F2443))</f>
        <v/>
      </c>
      <c r="H2443" s="27" t="str">
        <f aca="false">IF(G2443="","",IF(N(E2443)=0,1,E2443)*IFERROR(N(INDEX(Produtos!$G$5:$G$104,MATCH(D2443,Produtos!$B$5:$B$104,0))),0))</f>
        <v/>
      </c>
      <c r="I2443" s="27" t="str">
        <f aca="false">IF(G2443="","",G2443-H2443)</f>
        <v/>
      </c>
      <c r="J2443" s="42"/>
    </row>
    <row r="2444" customFormat="false" ht="21" hidden="false" customHeight="true" outlineLevel="0" collapsed="false">
      <c r="B2444" s="41"/>
      <c r="C2444" s="9"/>
      <c r="D2444" s="9"/>
      <c r="E2444" s="42"/>
      <c r="F2444" s="43"/>
      <c r="G2444" s="27" t="str">
        <f aca="false">IF(OR(C2444="",AND(D2444="",F2444="")),"",IF(N(E2444)=0,1,E2444)*IF(F2444="",IFERROR(N(INDEX(Produtos!$L$5:$L$104,MATCH(D2444,Produtos!$B$5:$B$104,0))),0),F2444))</f>
        <v/>
      </c>
      <c r="H2444" s="27" t="str">
        <f aca="false">IF(G2444="","",IF(N(E2444)=0,1,E2444)*IFERROR(N(INDEX(Produtos!$G$5:$G$104,MATCH(D2444,Produtos!$B$5:$B$104,0))),0))</f>
        <v/>
      </c>
      <c r="I2444" s="27" t="str">
        <f aca="false">IF(G2444="","",G2444-H2444)</f>
        <v/>
      </c>
      <c r="J2444" s="42"/>
    </row>
    <row r="2445" customFormat="false" ht="21" hidden="false" customHeight="true" outlineLevel="0" collapsed="false">
      <c r="B2445" s="41"/>
      <c r="C2445" s="9"/>
      <c r="D2445" s="9"/>
      <c r="E2445" s="42"/>
      <c r="F2445" s="43"/>
      <c r="G2445" s="27" t="str">
        <f aca="false">IF(OR(C2445="",AND(D2445="",F2445="")),"",IF(N(E2445)=0,1,E2445)*IF(F2445="",IFERROR(N(INDEX(Produtos!$L$5:$L$104,MATCH(D2445,Produtos!$B$5:$B$104,0))),0),F2445))</f>
        <v/>
      </c>
      <c r="H2445" s="27" t="str">
        <f aca="false">IF(G2445="","",IF(N(E2445)=0,1,E2445)*IFERROR(N(INDEX(Produtos!$G$5:$G$104,MATCH(D2445,Produtos!$B$5:$B$104,0))),0))</f>
        <v/>
      </c>
      <c r="I2445" s="27" t="str">
        <f aca="false">IF(G2445="","",G2445-H2445)</f>
        <v/>
      </c>
      <c r="J2445" s="42"/>
    </row>
    <row r="2446" customFormat="false" ht="21" hidden="false" customHeight="true" outlineLevel="0" collapsed="false">
      <c r="B2446" s="41"/>
      <c r="C2446" s="9"/>
      <c r="D2446" s="9"/>
      <c r="E2446" s="42"/>
      <c r="F2446" s="43"/>
      <c r="G2446" s="27" t="str">
        <f aca="false">IF(OR(C2446="",AND(D2446="",F2446="")),"",IF(N(E2446)=0,1,E2446)*IF(F2446="",IFERROR(N(INDEX(Produtos!$L$5:$L$104,MATCH(D2446,Produtos!$B$5:$B$104,0))),0),F2446))</f>
        <v/>
      </c>
      <c r="H2446" s="27" t="str">
        <f aca="false">IF(G2446="","",IF(N(E2446)=0,1,E2446)*IFERROR(N(INDEX(Produtos!$G$5:$G$104,MATCH(D2446,Produtos!$B$5:$B$104,0))),0))</f>
        <v/>
      </c>
      <c r="I2446" s="27" t="str">
        <f aca="false">IF(G2446="","",G2446-H2446)</f>
        <v/>
      </c>
      <c r="J2446" s="42"/>
    </row>
    <row r="2447" customFormat="false" ht="21" hidden="false" customHeight="true" outlineLevel="0" collapsed="false">
      <c r="B2447" s="41"/>
      <c r="C2447" s="9"/>
      <c r="D2447" s="9"/>
      <c r="E2447" s="42"/>
      <c r="F2447" s="43"/>
      <c r="G2447" s="27" t="str">
        <f aca="false">IF(OR(C2447="",AND(D2447="",F2447="")),"",IF(N(E2447)=0,1,E2447)*IF(F2447="",IFERROR(N(INDEX(Produtos!$L$5:$L$104,MATCH(D2447,Produtos!$B$5:$B$104,0))),0),F2447))</f>
        <v/>
      </c>
      <c r="H2447" s="27" t="str">
        <f aca="false">IF(G2447="","",IF(N(E2447)=0,1,E2447)*IFERROR(N(INDEX(Produtos!$G$5:$G$104,MATCH(D2447,Produtos!$B$5:$B$104,0))),0))</f>
        <v/>
      </c>
      <c r="I2447" s="27" t="str">
        <f aca="false">IF(G2447="","",G2447-H2447)</f>
        <v/>
      </c>
      <c r="J2447" s="42"/>
    </row>
    <row r="2448" customFormat="false" ht="21" hidden="false" customHeight="true" outlineLevel="0" collapsed="false">
      <c r="B2448" s="41"/>
      <c r="C2448" s="9"/>
      <c r="D2448" s="9"/>
      <c r="E2448" s="42"/>
      <c r="F2448" s="43"/>
      <c r="G2448" s="27" t="str">
        <f aca="false">IF(OR(C2448="",AND(D2448="",F2448="")),"",IF(N(E2448)=0,1,E2448)*IF(F2448="",IFERROR(N(INDEX(Produtos!$L$5:$L$104,MATCH(D2448,Produtos!$B$5:$B$104,0))),0),F2448))</f>
        <v/>
      </c>
      <c r="H2448" s="27" t="str">
        <f aca="false">IF(G2448="","",IF(N(E2448)=0,1,E2448)*IFERROR(N(INDEX(Produtos!$G$5:$G$104,MATCH(D2448,Produtos!$B$5:$B$104,0))),0))</f>
        <v/>
      </c>
      <c r="I2448" s="27" t="str">
        <f aca="false">IF(G2448="","",G2448-H2448)</f>
        <v/>
      </c>
      <c r="J2448" s="42"/>
    </row>
    <row r="2449" customFormat="false" ht="21" hidden="false" customHeight="true" outlineLevel="0" collapsed="false">
      <c r="B2449" s="41"/>
      <c r="C2449" s="9"/>
      <c r="D2449" s="9"/>
      <c r="E2449" s="42"/>
      <c r="F2449" s="43"/>
      <c r="G2449" s="27" t="str">
        <f aca="false">IF(OR(C2449="",AND(D2449="",F2449="")),"",IF(N(E2449)=0,1,E2449)*IF(F2449="",IFERROR(N(INDEX(Produtos!$L$5:$L$104,MATCH(D2449,Produtos!$B$5:$B$104,0))),0),F2449))</f>
        <v/>
      </c>
      <c r="H2449" s="27" t="str">
        <f aca="false">IF(G2449="","",IF(N(E2449)=0,1,E2449)*IFERROR(N(INDEX(Produtos!$G$5:$G$104,MATCH(D2449,Produtos!$B$5:$B$104,0))),0))</f>
        <v/>
      </c>
      <c r="I2449" s="27" t="str">
        <f aca="false">IF(G2449="","",G2449-H2449)</f>
        <v/>
      </c>
      <c r="J2449" s="42"/>
    </row>
    <row r="2450" customFormat="false" ht="21" hidden="false" customHeight="true" outlineLevel="0" collapsed="false">
      <c r="B2450" s="41"/>
      <c r="C2450" s="9"/>
      <c r="D2450" s="9"/>
      <c r="E2450" s="42"/>
      <c r="F2450" s="43"/>
      <c r="G2450" s="27" t="str">
        <f aca="false">IF(OR(C2450="",AND(D2450="",F2450="")),"",IF(N(E2450)=0,1,E2450)*IF(F2450="",IFERROR(N(INDEX(Produtos!$L$5:$L$104,MATCH(D2450,Produtos!$B$5:$B$104,0))),0),F2450))</f>
        <v/>
      </c>
      <c r="H2450" s="27" t="str">
        <f aca="false">IF(G2450="","",IF(N(E2450)=0,1,E2450)*IFERROR(N(INDEX(Produtos!$G$5:$G$104,MATCH(D2450,Produtos!$B$5:$B$104,0))),0))</f>
        <v/>
      </c>
      <c r="I2450" s="27" t="str">
        <f aca="false">IF(G2450="","",G2450-H2450)</f>
        <v/>
      </c>
      <c r="J2450" s="42"/>
    </row>
    <row r="2451" customFormat="false" ht="21" hidden="false" customHeight="true" outlineLevel="0" collapsed="false">
      <c r="B2451" s="41"/>
      <c r="C2451" s="9"/>
      <c r="D2451" s="9"/>
      <c r="E2451" s="42"/>
      <c r="F2451" s="43"/>
      <c r="G2451" s="27" t="str">
        <f aca="false">IF(OR(C2451="",AND(D2451="",F2451="")),"",IF(N(E2451)=0,1,E2451)*IF(F2451="",IFERROR(N(INDEX(Produtos!$L$5:$L$104,MATCH(D2451,Produtos!$B$5:$B$104,0))),0),F2451))</f>
        <v/>
      </c>
      <c r="H2451" s="27" t="str">
        <f aca="false">IF(G2451="","",IF(N(E2451)=0,1,E2451)*IFERROR(N(INDEX(Produtos!$G$5:$G$104,MATCH(D2451,Produtos!$B$5:$B$104,0))),0))</f>
        <v/>
      </c>
      <c r="I2451" s="27" t="str">
        <f aca="false">IF(G2451="","",G2451-H2451)</f>
        <v/>
      </c>
      <c r="J2451" s="42"/>
    </row>
    <row r="2452" customFormat="false" ht="21" hidden="false" customHeight="true" outlineLevel="0" collapsed="false">
      <c r="B2452" s="41"/>
      <c r="C2452" s="9"/>
      <c r="D2452" s="9"/>
      <c r="E2452" s="42"/>
      <c r="F2452" s="43"/>
      <c r="G2452" s="27" t="str">
        <f aca="false">IF(OR(C2452="",AND(D2452="",F2452="")),"",IF(N(E2452)=0,1,E2452)*IF(F2452="",IFERROR(N(INDEX(Produtos!$L$5:$L$104,MATCH(D2452,Produtos!$B$5:$B$104,0))),0),F2452))</f>
        <v/>
      </c>
      <c r="H2452" s="27" t="str">
        <f aca="false">IF(G2452="","",IF(N(E2452)=0,1,E2452)*IFERROR(N(INDEX(Produtos!$G$5:$G$104,MATCH(D2452,Produtos!$B$5:$B$104,0))),0))</f>
        <v/>
      </c>
      <c r="I2452" s="27" t="str">
        <f aca="false">IF(G2452="","",G2452-H2452)</f>
        <v/>
      </c>
      <c r="J2452" s="42"/>
    </row>
    <row r="2453" customFormat="false" ht="21" hidden="false" customHeight="true" outlineLevel="0" collapsed="false">
      <c r="B2453" s="41"/>
      <c r="C2453" s="9"/>
      <c r="D2453" s="9"/>
      <c r="E2453" s="42"/>
      <c r="F2453" s="43"/>
      <c r="G2453" s="27" t="str">
        <f aca="false">IF(OR(C2453="",AND(D2453="",F2453="")),"",IF(N(E2453)=0,1,E2453)*IF(F2453="",IFERROR(N(INDEX(Produtos!$L$5:$L$104,MATCH(D2453,Produtos!$B$5:$B$104,0))),0),F2453))</f>
        <v/>
      </c>
      <c r="H2453" s="27" t="str">
        <f aca="false">IF(G2453="","",IF(N(E2453)=0,1,E2453)*IFERROR(N(INDEX(Produtos!$G$5:$G$104,MATCH(D2453,Produtos!$B$5:$B$104,0))),0))</f>
        <v/>
      </c>
      <c r="I2453" s="27" t="str">
        <f aca="false">IF(G2453="","",G2453-H2453)</f>
        <v/>
      </c>
      <c r="J2453" s="42"/>
    </row>
    <row r="2454" customFormat="false" ht="21" hidden="false" customHeight="true" outlineLevel="0" collapsed="false">
      <c r="B2454" s="41"/>
      <c r="C2454" s="9"/>
      <c r="D2454" s="9"/>
      <c r="E2454" s="42"/>
      <c r="F2454" s="43"/>
      <c r="G2454" s="27" t="str">
        <f aca="false">IF(OR(C2454="",AND(D2454="",F2454="")),"",IF(N(E2454)=0,1,E2454)*IF(F2454="",IFERROR(N(INDEX(Produtos!$L$5:$L$104,MATCH(D2454,Produtos!$B$5:$B$104,0))),0),F2454))</f>
        <v/>
      </c>
      <c r="H2454" s="27" t="str">
        <f aca="false">IF(G2454="","",IF(N(E2454)=0,1,E2454)*IFERROR(N(INDEX(Produtos!$G$5:$G$104,MATCH(D2454,Produtos!$B$5:$B$104,0))),0))</f>
        <v/>
      </c>
      <c r="I2454" s="27" t="str">
        <f aca="false">IF(G2454="","",G2454-H2454)</f>
        <v/>
      </c>
      <c r="J2454" s="42"/>
    </row>
    <row r="2455" customFormat="false" ht="21" hidden="false" customHeight="true" outlineLevel="0" collapsed="false">
      <c r="B2455" s="41"/>
      <c r="C2455" s="9"/>
      <c r="D2455" s="9"/>
      <c r="E2455" s="42"/>
      <c r="F2455" s="43"/>
      <c r="G2455" s="27" t="str">
        <f aca="false">IF(OR(C2455="",AND(D2455="",F2455="")),"",IF(N(E2455)=0,1,E2455)*IF(F2455="",IFERROR(N(INDEX(Produtos!$L$5:$L$104,MATCH(D2455,Produtos!$B$5:$B$104,0))),0),F2455))</f>
        <v/>
      </c>
      <c r="H2455" s="27" t="str">
        <f aca="false">IF(G2455="","",IF(N(E2455)=0,1,E2455)*IFERROR(N(INDEX(Produtos!$G$5:$G$104,MATCH(D2455,Produtos!$B$5:$B$104,0))),0))</f>
        <v/>
      </c>
      <c r="I2455" s="27" t="str">
        <f aca="false">IF(G2455="","",G2455-H2455)</f>
        <v/>
      </c>
      <c r="J2455" s="42"/>
    </row>
    <row r="2456" customFormat="false" ht="21" hidden="false" customHeight="true" outlineLevel="0" collapsed="false">
      <c r="B2456" s="41"/>
      <c r="C2456" s="9"/>
      <c r="D2456" s="9"/>
      <c r="E2456" s="42"/>
      <c r="F2456" s="43"/>
      <c r="G2456" s="27" t="str">
        <f aca="false">IF(OR(C2456="",AND(D2456="",F2456="")),"",IF(N(E2456)=0,1,E2456)*IF(F2456="",IFERROR(N(INDEX(Produtos!$L$5:$L$104,MATCH(D2456,Produtos!$B$5:$B$104,0))),0),F2456))</f>
        <v/>
      </c>
      <c r="H2456" s="27" t="str">
        <f aca="false">IF(G2456="","",IF(N(E2456)=0,1,E2456)*IFERROR(N(INDEX(Produtos!$G$5:$G$104,MATCH(D2456,Produtos!$B$5:$B$104,0))),0))</f>
        <v/>
      </c>
      <c r="I2456" s="27" t="str">
        <f aca="false">IF(G2456="","",G2456-H2456)</f>
        <v/>
      </c>
      <c r="J2456" s="42"/>
    </row>
    <row r="2457" customFormat="false" ht="21" hidden="false" customHeight="true" outlineLevel="0" collapsed="false">
      <c r="B2457" s="41"/>
      <c r="C2457" s="9"/>
      <c r="D2457" s="9"/>
      <c r="E2457" s="42"/>
      <c r="F2457" s="43"/>
      <c r="G2457" s="27" t="str">
        <f aca="false">IF(OR(C2457="",AND(D2457="",F2457="")),"",IF(N(E2457)=0,1,E2457)*IF(F2457="",IFERROR(N(INDEX(Produtos!$L$5:$L$104,MATCH(D2457,Produtos!$B$5:$B$104,0))),0),F2457))</f>
        <v/>
      </c>
      <c r="H2457" s="27" t="str">
        <f aca="false">IF(G2457="","",IF(N(E2457)=0,1,E2457)*IFERROR(N(INDEX(Produtos!$G$5:$G$104,MATCH(D2457,Produtos!$B$5:$B$104,0))),0))</f>
        <v/>
      </c>
      <c r="I2457" s="27" t="str">
        <f aca="false">IF(G2457="","",G2457-H2457)</f>
        <v/>
      </c>
      <c r="J2457" s="42"/>
    </row>
    <row r="2458" customFormat="false" ht="21" hidden="false" customHeight="true" outlineLevel="0" collapsed="false">
      <c r="B2458" s="41"/>
      <c r="C2458" s="9"/>
      <c r="D2458" s="9"/>
      <c r="E2458" s="42"/>
      <c r="F2458" s="43"/>
      <c r="G2458" s="27" t="str">
        <f aca="false">IF(OR(C2458="",AND(D2458="",F2458="")),"",IF(N(E2458)=0,1,E2458)*IF(F2458="",IFERROR(N(INDEX(Produtos!$L$5:$L$104,MATCH(D2458,Produtos!$B$5:$B$104,0))),0),F2458))</f>
        <v/>
      </c>
      <c r="H2458" s="27" t="str">
        <f aca="false">IF(G2458="","",IF(N(E2458)=0,1,E2458)*IFERROR(N(INDEX(Produtos!$G$5:$G$104,MATCH(D2458,Produtos!$B$5:$B$104,0))),0))</f>
        <v/>
      </c>
      <c r="I2458" s="27" t="str">
        <f aca="false">IF(G2458="","",G2458-H2458)</f>
        <v/>
      </c>
      <c r="J2458" s="42"/>
    </row>
    <row r="2459" customFormat="false" ht="21" hidden="false" customHeight="true" outlineLevel="0" collapsed="false">
      <c r="B2459" s="41"/>
      <c r="C2459" s="9"/>
      <c r="D2459" s="9"/>
      <c r="E2459" s="42"/>
      <c r="F2459" s="43"/>
      <c r="G2459" s="27" t="str">
        <f aca="false">IF(OR(C2459="",AND(D2459="",F2459="")),"",IF(N(E2459)=0,1,E2459)*IF(F2459="",IFERROR(N(INDEX(Produtos!$L$5:$L$104,MATCH(D2459,Produtos!$B$5:$B$104,0))),0),F2459))</f>
        <v/>
      </c>
      <c r="H2459" s="27" t="str">
        <f aca="false">IF(G2459="","",IF(N(E2459)=0,1,E2459)*IFERROR(N(INDEX(Produtos!$G$5:$G$104,MATCH(D2459,Produtos!$B$5:$B$104,0))),0))</f>
        <v/>
      </c>
      <c r="I2459" s="27" t="str">
        <f aca="false">IF(G2459="","",G2459-H2459)</f>
        <v/>
      </c>
      <c r="J2459" s="42"/>
    </row>
    <row r="2460" customFormat="false" ht="21" hidden="false" customHeight="true" outlineLevel="0" collapsed="false">
      <c r="B2460" s="41"/>
      <c r="C2460" s="9"/>
      <c r="D2460" s="9"/>
      <c r="E2460" s="42"/>
      <c r="F2460" s="43"/>
      <c r="G2460" s="27" t="str">
        <f aca="false">IF(OR(C2460="",AND(D2460="",F2460="")),"",IF(N(E2460)=0,1,E2460)*IF(F2460="",IFERROR(N(INDEX(Produtos!$L$5:$L$104,MATCH(D2460,Produtos!$B$5:$B$104,0))),0),F2460))</f>
        <v/>
      </c>
      <c r="H2460" s="27" t="str">
        <f aca="false">IF(G2460="","",IF(N(E2460)=0,1,E2460)*IFERROR(N(INDEX(Produtos!$G$5:$G$104,MATCH(D2460,Produtos!$B$5:$B$104,0))),0))</f>
        <v/>
      </c>
      <c r="I2460" s="27" t="str">
        <f aca="false">IF(G2460="","",G2460-H2460)</f>
        <v/>
      </c>
      <c r="J2460" s="42"/>
    </row>
    <row r="2461" customFormat="false" ht="21" hidden="false" customHeight="true" outlineLevel="0" collapsed="false">
      <c r="B2461" s="41"/>
      <c r="C2461" s="9"/>
      <c r="D2461" s="9"/>
      <c r="E2461" s="42"/>
      <c r="F2461" s="43"/>
      <c r="G2461" s="27" t="str">
        <f aca="false">IF(OR(C2461="",AND(D2461="",F2461="")),"",IF(N(E2461)=0,1,E2461)*IF(F2461="",IFERROR(N(INDEX(Produtos!$L$5:$L$104,MATCH(D2461,Produtos!$B$5:$B$104,0))),0),F2461))</f>
        <v/>
      </c>
      <c r="H2461" s="27" t="str">
        <f aca="false">IF(G2461="","",IF(N(E2461)=0,1,E2461)*IFERROR(N(INDEX(Produtos!$G$5:$G$104,MATCH(D2461,Produtos!$B$5:$B$104,0))),0))</f>
        <v/>
      </c>
      <c r="I2461" s="27" t="str">
        <f aca="false">IF(G2461="","",G2461-H2461)</f>
        <v/>
      </c>
      <c r="J2461" s="42"/>
    </row>
    <row r="2462" customFormat="false" ht="21" hidden="false" customHeight="true" outlineLevel="0" collapsed="false">
      <c r="B2462" s="41"/>
      <c r="C2462" s="9"/>
      <c r="D2462" s="9"/>
      <c r="E2462" s="42"/>
      <c r="F2462" s="43"/>
      <c r="G2462" s="27" t="str">
        <f aca="false">IF(OR(C2462="",AND(D2462="",F2462="")),"",IF(N(E2462)=0,1,E2462)*IF(F2462="",IFERROR(N(INDEX(Produtos!$L$5:$L$104,MATCH(D2462,Produtos!$B$5:$B$104,0))),0),F2462))</f>
        <v/>
      </c>
      <c r="H2462" s="27" t="str">
        <f aca="false">IF(G2462="","",IF(N(E2462)=0,1,E2462)*IFERROR(N(INDEX(Produtos!$G$5:$G$104,MATCH(D2462,Produtos!$B$5:$B$104,0))),0))</f>
        <v/>
      </c>
      <c r="I2462" s="27" t="str">
        <f aca="false">IF(G2462="","",G2462-H2462)</f>
        <v/>
      </c>
      <c r="J2462" s="42"/>
    </row>
    <row r="2463" customFormat="false" ht="21" hidden="false" customHeight="true" outlineLevel="0" collapsed="false">
      <c r="B2463" s="41"/>
      <c r="C2463" s="9"/>
      <c r="D2463" s="9"/>
      <c r="E2463" s="42"/>
      <c r="F2463" s="43"/>
      <c r="G2463" s="27" t="str">
        <f aca="false">IF(OR(C2463="",AND(D2463="",F2463="")),"",IF(N(E2463)=0,1,E2463)*IF(F2463="",IFERROR(N(INDEX(Produtos!$L$5:$L$104,MATCH(D2463,Produtos!$B$5:$B$104,0))),0),F2463))</f>
        <v/>
      </c>
      <c r="H2463" s="27" t="str">
        <f aca="false">IF(G2463="","",IF(N(E2463)=0,1,E2463)*IFERROR(N(INDEX(Produtos!$G$5:$G$104,MATCH(D2463,Produtos!$B$5:$B$104,0))),0))</f>
        <v/>
      </c>
      <c r="I2463" s="27" t="str">
        <f aca="false">IF(G2463="","",G2463-H2463)</f>
        <v/>
      </c>
      <c r="J2463" s="42"/>
    </row>
    <row r="2464" customFormat="false" ht="21" hidden="false" customHeight="true" outlineLevel="0" collapsed="false">
      <c r="B2464" s="41"/>
      <c r="C2464" s="9"/>
      <c r="D2464" s="9"/>
      <c r="E2464" s="42"/>
      <c r="F2464" s="43"/>
      <c r="G2464" s="27" t="str">
        <f aca="false">IF(OR(C2464="",AND(D2464="",F2464="")),"",IF(N(E2464)=0,1,E2464)*IF(F2464="",IFERROR(N(INDEX(Produtos!$L$5:$L$104,MATCH(D2464,Produtos!$B$5:$B$104,0))),0),F2464))</f>
        <v/>
      </c>
      <c r="H2464" s="27" t="str">
        <f aca="false">IF(G2464="","",IF(N(E2464)=0,1,E2464)*IFERROR(N(INDEX(Produtos!$G$5:$G$104,MATCH(D2464,Produtos!$B$5:$B$104,0))),0))</f>
        <v/>
      </c>
      <c r="I2464" s="27" t="str">
        <f aca="false">IF(G2464="","",G2464-H2464)</f>
        <v/>
      </c>
      <c r="J2464" s="42"/>
    </row>
    <row r="2465" customFormat="false" ht="21" hidden="false" customHeight="true" outlineLevel="0" collapsed="false">
      <c r="B2465" s="41"/>
      <c r="C2465" s="9"/>
      <c r="D2465" s="9"/>
      <c r="E2465" s="42"/>
      <c r="F2465" s="43"/>
      <c r="G2465" s="27" t="str">
        <f aca="false">IF(OR(C2465="",AND(D2465="",F2465="")),"",IF(N(E2465)=0,1,E2465)*IF(F2465="",IFERROR(N(INDEX(Produtos!$L$5:$L$104,MATCH(D2465,Produtos!$B$5:$B$104,0))),0),F2465))</f>
        <v/>
      </c>
      <c r="H2465" s="27" t="str">
        <f aca="false">IF(G2465="","",IF(N(E2465)=0,1,E2465)*IFERROR(N(INDEX(Produtos!$G$5:$G$104,MATCH(D2465,Produtos!$B$5:$B$104,0))),0))</f>
        <v/>
      </c>
      <c r="I2465" s="27" t="str">
        <f aca="false">IF(G2465="","",G2465-H2465)</f>
        <v/>
      </c>
      <c r="J2465" s="42"/>
    </row>
    <row r="2466" customFormat="false" ht="21" hidden="false" customHeight="true" outlineLevel="0" collapsed="false">
      <c r="B2466" s="41"/>
      <c r="C2466" s="9"/>
      <c r="D2466" s="9"/>
      <c r="E2466" s="42"/>
      <c r="F2466" s="43"/>
      <c r="G2466" s="27" t="str">
        <f aca="false">IF(OR(C2466="",AND(D2466="",F2466="")),"",IF(N(E2466)=0,1,E2466)*IF(F2466="",IFERROR(N(INDEX(Produtos!$L$5:$L$104,MATCH(D2466,Produtos!$B$5:$B$104,0))),0),F2466))</f>
        <v/>
      </c>
      <c r="H2466" s="27" t="str">
        <f aca="false">IF(G2466="","",IF(N(E2466)=0,1,E2466)*IFERROR(N(INDEX(Produtos!$G$5:$G$104,MATCH(D2466,Produtos!$B$5:$B$104,0))),0))</f>
        <v/>
      </c>
      <c r="I2466" s="27" t="str">
        <f aca="false">IF(G2466="","",G2466-H2466)</f>
        <v/>
      </c>
      <c r="J2466" s="42"/>
    </row>
    <row r="2467" customFormat="false" ht="21" hidden="false" customHeight="true" outlineLevel="0" collapsed="false">
      <c r="B2467" s="41"/>
      <c r="C2467" s="9"/>
      <c r="D2467" s="9"/>
      <c r="E2467" s="42"/>
      <c r="F2467" s="43"/>
      <c r="G2467" s="27" t="str">
        <f aca="false">IF(OR(C2467="",AND(D2467="",F2467="")),"",IF(N(E2467)=0,1,E2467)*IF(F2467="",IFERROR(N(INDEX(Produtos!$L$5:$L$104,MATCH(D2467,Produtos!$B$5:$B$104,0))),0),F2467))</f>
        <v/>
      </c>
      <c r="H2467" s="27" t="str">
        <f aca="false">IF(G2467="","",IF(N(E2467)=0,1,E2467)*IFERROR(N(INDEX(Produtos!$G$5:$G$104,MATCH(D2467,Produtos!$B$5:$B$104,0))),0))</f>
        <v/>
      </c>
      <c r="I2467" s="27" t="str">
        <f aca="false">IF(G2467="","",G2467-H2467)</f>
        <v/>
      </c>
      <c r="J2467" s="42"/>
    </row>
    <row r="2468" customFormat="false" ht="21" hidden="false" customHeight="true" outlineLevel="0" collapsed="false">
      <c r="B2468" s="41"/>
      <c r="C2468" s="9"/>
      <c r="D2468" s="9"/>
      <c r="E2468" s="42"/>
      <c r="F2468" s="43"/>
      <c r="G2468" s="27" t="str">
        <f aca="false">IF(OR(C2468="",AND(D2468="",F2468="")),"",IF(N(E2468)=0,1,E2468)*IF(F2468="",IFERROR(N(INDEX(Produtos!$L$5:$L$104,MATCH(D2468,Produtos!$B$5:$B$104,0))),0),F2468))</f>
        <v/>
      </c>
      <c r="H2468" s="27" t="str">
        <f aca="false">IF(G2468="","",IF(N(E2468)=0,1,E2468)*IFERROR(N(INDEX(Produtos!$G$5:$G$104,MATCH(D2468,Produtos!$B$5:$B$104,0))),0))</f>
        <v/>
      </c>
      <c r="I2468" s="27" t="str">
        <f aca="false">IF(G2468="","",G2468-H2468)</f>
        <v/>
      </c>
      <c r="J2468" s="42"/>
    </row>
    <row r="2469" customFormat="false" ht="21" hidden="false" customHeight="true" outlineLevel="0" collapsed="false">
      <c r="B2469" s="41"/>
      <c r="C2469" s="9"/>
      <c r="D2469" s="9"/>
      <c r="E2469" s="42"/>
      <c r="F2469" s="43"/>
      <c r="G2469" s="27" t="str">
        <f aca="false">IF(OR(C2469="",AND(D2469="",F2469="")),"",IF(N(E2469)=0,1,E2469)*IF(F2469="",IFERROR(N(INDEX(Produtos!$L$5:$L$104,MATCH(D2469,Produtos!$B$5:$B$104,0))),0),F2469))</f>
        <v/>
      </c>
      <c r="H2469" s="27" t="str">
        <f aca="false">IF(G2469="","",IF(N(E2469)=0,1,E2469)*IFERROR(N(INDEX(Produtos!$G$5:$G$104,MATCH(D2469,Produtos!$B$5:$B$104,0))),0))</f>
        <v/>
      </c>
      <c r="I2469" s="27" t="str">
        <f aca="false">IF(G2469="","",G2469-H2469)</f>
        <v/>
      </c>
      <c r="J2469" s="42"/>
    </row>
    <row r="2470" customFormat="false" ht="21" hidden="false" customHeight="true" outlineLevel="0" collapsed="false">
      <c r="B2470" s="41"/>
      <c r="C2470" s="9"/>
      <c r="D2470" s="9"/>
      <c r="E2470" s="42"/>
      <c r="F2470" s="43"/>
      <c r="G2470" s="27" t="str">
        <f aca="false">IF(OR(C2470="",AND(D2470="",F2470="")),"",IF(N(E2470)=0,1,E2470)*IF(F2470="",IFERROR(N(INDEX(Produtos!$L$5:$L$104,MATCH(D2470,Produtos!$B$5:$B$104,0))),0),F2470))</f>
        <v/>
      </c>
      <c r="H2470" s="27" t="str">
        <f aca="false">IF(G2470="","",IF(N(E2470)=0,1,E2470)*IFERROR(N(INDEX(Produtos!$G$5:$G$104,MATCH(D2470,Produtos!$B$5:$B$104,0))),0))</f>
        <v/>
      </c>
      <c r="I2470" s="27" t="str">
        <f aca="false">IF(G2470="","",G2470-H2470)</f>
        <v/>
      </c>
      <c r="J2470" s="42"/>
    </row>
    <row r="2471" customFormat="false" ht="21" hidden="false" customHeight="true" outlineLevel="0" collapsed="false">
      <c r="B2471" s="41"/>
      <c r="C2471" s="9"/>
      <c r="D2471" s="9"/>
      <c r="E2471" s="42"/>
      <c r="F2471" s="43"/>
      <c r="G2471" s="27" t="str">
        <f aca="false">IF(OR(C2471="",AND(D2471="",F2471="")),"",IF(N(E2471)=0,1,E2471)*IF(F2471="",IFERROR(N(INDEX(Produtos!$L$5:$L$104,MATCH(D2471,Produtos!$B$5:$B$104,0))),0),F2471))</f>
        <v/>
      </c>
      <c r="H2471" s="27" t="str">
        <f aca="false">IF(G2471="","",IF(N(E2471)=0,1,E2471)*IFERROR(N(INDEX(Produtos!$G$5:$G$104,MATCH(D2471,Produtos!$B$5:$B$104,0))),0))</f>
        <v/>
      </c>
      <c r="I2471" s="27" t="str">
        <f aca="false">IF(G2471="","",G2471-H2471)</f>
        <v/>
      </c>
      <c r="J2471" s="42"/>
    </row>
    <row r="2472" customFormat="false" ht="21" hidden="false" customHeight="true" outlineLevel="0" collapsed="false">
      <c r="B2472" s="41"/>
      <c r="C2472" s="9"/>
      <c r="D2472" s="9"/>
      <c r="E2472" s="42"/>
      <c r="F2472" s="43"/>
      <c r="G2472" s="27" t="str">
        <f aca="false">IF(OR(C2472="",AND(D2472="",F2472="")),"",IF(N(E2472)=0,1,E2472)*IF(F2472="",IFERROR(N(INDEX(Produtos!$L$5:$L$104,MATCH(D2472,Produtos!$B$5:$B$104,0))),0),F2472))</f>
        <v/>
      </c>
      <c r="H2472" s="27" t="str">
        <f aca="false">IF(G2472="","",IF(N(E2472)=0,1,E2472)*IFERROR(N(INDEX(Produtos!$G$5:$G$104,MATCH(D2472,Produtos!$B$5:$B$104,0))),0))</f>
        <v/>
      </c>
      <c r="I2472" s="27" t="str">
        <f aca="false">IF(G2472="","",G2472-H2472)</f>
        <v/>
      </c>
      <c r="J2472" s="42"/>
    </row>
    <row r="2473" customFormat="false" ht="21" hidden="false" customHeight="true" outlineLevel="0" collapsed="false">
      <c r="B2473" s="41"/>
      <c r="C2473" s="9"/>
      <c r="D2473" s="9"/>
      <c r="E2473" s="42"/>
      <c r="F2473" s="43"/>
      <c r="G2473" s="27" t="str">
        <f aca="false">IF(OR(C2473="",AND(D2473="",F2473="")),"",IF(N(E2473)=0,1,E2473)*IF(F2473="",IFERROR(N(INDEX(Produtos!$L$5:$L$104,MATCH(D2473,Produtos!$B$5:$B$104,0))),0),F2473))</f>
        <v/>
      </c>
      <c r="H2473" s="27" t="str">
        <f aca="false">IF(G2473="","",IF(N(E2473)=0,1,E2473)*IFERROR(N(INDEX(Produtos!$G$5:$G$104,MATCH(D2473,Produtos!$B$5:$B$104,0))),0))</f>
        <v/>
      </c>
      <c r="I2473" s="27" t="str">
        <f aca="false">IF(G2473="","",G2473-H2473)</f>
        <v/>
      </c>
      <c r="J2473" s="42"/>
    </row>
    <row r="2474" customFormat="false" ht="21" hidden="false" customHeight="true" outlineLevel="0" collapsed="false">
      <c r="B2474" s="41"/>
      <c r="C2474" s="9"/>
      <c r="D2474" s="9"/>
      <c r="E2474" s="42"/>
      <c r="F2474" s="43"/>
      <c r="G2474" s="27" t="str">
        <f aca="false">IF(OR(C2474="",AND(D2474="",F2474="")),"",IF(N(E2474)=0,1,E2474)*IF(F2474="",IFERROR(N(INDEX(Produtos!$L$5:$L$104,MATCH(D2474,Produtos!$B$5:$B$104,0))),0),F2474))</f>
        <v/>
      </c>
      <c r="H2474" s="27" t="str">
        <f aca="false">IF(G2474="","",IF(N(E2474)=0,1,E2474)*IFERROR(N(INDEX(Produtos!$G$5:$G$104,MATCH(D2474,Produtos!$B$5:$B$104,0))),0))</f>
        <v/>
      </c>
      <c r="I2474" s="27" t="str">
        <f aca="false">IF(G2474="","",G2474-H2474)</f>
        <v/>
      </c>
      <c r="J2474" s="42"/>
    </row>
    <row r="2475" customFormat="false" ht="21" hidden="false" customHeight="true" outlineLevel="0" collapsed="false">
      <c r="B2475" s="41"/>
      <c r="C2475" s="9"/>
      <c r="D2475" s="9"/>
      <c r="E2475" s="42"/>
      <c r="F2475" s="43"/>
      <c r="G2475" s="27" t="str">
        <f aca="false">IF(OR(C2475="",AND(D2475="",F2475="")),"",IF(N(E2475)=0,1,E2475)*IF(F2475="",IFERROR(N(INDEX(Produtos!$L$5:$L$104,MATCH(D2475,Produtos!$B$5:$B$104,0))),0),F2475))</f>
        <v/>
      </c>
      <c r="H2475" s="27" t="str">
        <f aca="false">IF(G2475="","",IF(N(E2475)=0,1,E2475)*IFERROR(N(INDEX(Produtos!$G$5:$G$104,MATCH(D2475,Produtos!$B$5:$B$104,0))),0))</f>
        <v/>
      </c>
      <c r="I2475" s="27" t="str">
        <f aca="false">IF(G2475="","",G2475-H2475)</f>
        <v/>
      </c>
      <c r="J2475" s="42"/>
    </row>
    <row r="2476" customFormat="false" ht="21" hidden="false" customHeight="true" outlineLevel="0" collapsed="false">
      <c r="B2476" s="41"/>
      <c r="C2476" s="9"/>
      <c r="D2476" s="9"/>
      <c r="E2476" s="42"/>
      <c r="F2476" s="43"/>
      <c r="G2476" s="27" t="str">
        <f aca="false">IF(OR(C2476="",AND(D2476="",F2476="")),"",IF(N(E2476)=0,1,E2476)*IF(F2476="",IFERROR(N(INDEX(Produtos!$L$5:$L$104,MATCH(D2476,Produtos!$B$5:$B$104,0))),0),F2476))</f>
        <v/>
      </c>
      <c r="H2476" s="27" t="str">
        <f aca="false">IF(G2476="","",IF(N(E2476)=0,1,E2476)*IFERROR(N(INDEX(Produtos!$G$5:$G$104,MATCH(D2476,Produtos!$B$5:$B$104,0))),0))</f>
        <v/>
      </c>
      <c r="I2476" s="27" t="str">
        <f aca="false">IF(G2476="","",G2476-H2476)</f>
        <v/>
      </c>
      <c r="J2476" s="42"/>
    </row>
    <row r="2477" customFormat="false" ht="21" hidden="false" customHeight="true" outlineLevel="0" collapsed="false">
      <c r="B2477" s="41"/>
      <c r="C2477" s="9"/>
      <c r="D2477" s="9"/>
      <c r="E2477" s="42"/>
      <c r="F2477" s="43"/>
      <c r="G2477" s="27" t="str">
        <f aca="false">IF(OR(C2477="",AND(D2477="",F2477="")),"",IF(N(E2477)=0,1,E2477)*IF(F2477="",IFERROR(N(INDEX(Produtos!$L$5:$L$104,MATCH(D2477,Produtos!$B$5:$B$104,0))),0),F2477))</f>
        <v/>
      </c>
      <c r="H2477" s="27" t="str">
        <f aca="false">IF(G2477="","",IF(N(E2477)=0,1,E2477)*IFERROR(N(INDEX(Produtos!$G$5:$G$104,MATCH(D2477,Produtos!$B$5:$B$104,0))),0))</f>
        <v/>
      </c>
      <c r="I2477" s="27" t="str">
        <f aca="false">IF(G2477="","",G2477-H2477)</f>
        <v/>
      </c>
      <c r="J2477" s="42"/>
    </row>
    <row r="2478" customFormat="false" ht="21" hidden="false" customHeight="true" outlineLevel="0" collapsed="false">
      <c r="B2478" s="41"/>
      <c r="C2478" s="9"/>
      <c r="D2478" s="9"/>
      <c r="E2478" s="42"/>
      <c r="F2478" s="43"/>
      <c r="G2478" s="27" t="str">
        <f aca="false">IF(OR(C2478="",AND(D2478="",F2478="")),"",IF(N(E2478)=0,1,E2478)*IF(F2478="",IFERROR(N(INDEX(Produtos!$L$5:$L$104,MATCH(D2478,Produtos!$B$5:$B$104,0))),0),F2478))</f>
        <v/>
      </c>
      <c r="H2478" s="27" t="str">
        <f aca="false">IF(G2478="","",IF(N(E2478)=0,1,E2478)*IFERROR(N(INDEX(Produtos!$G$5:$G$104,MATCH(D2478,Produtos!$B$5:$B$104,0))),0))</f>
        <v/>
      </c>
      <c r="I2478" s="27" t="str">
        <f aca="false">IF(G2478="","",G2478-H2478)</f>
        <v/>
      </c>
      <c r="J2478" s="42"/>
    </row>
    <row r="2479" customFormat="false" ht="21" hidden="false" customHeight="true" outlineLevel="0" collapsed="false">
      <c r="B2479" s="41"/>
      <c r="C2479" s="9"/>
      <c r="D2479" s="9"/>
      <c r="E2479" s="42"/>
      <c r="F2479" s="43"/>
      <c r="G2479" s="27" t="str">
        <f aca="false">IF(OR(C2479="",AND(D2479="",F2479="")),"",IF(N(E2479)=0,1,E2479)*IF(F2479="",IFERROR(N(INDEX(Produtos!$L$5:$L$104,MATCH(D2479,Produtos!$B$5:$B$104,0))),0),F2479))</f>
        <v/>
      </c>
      <c r="H2479" s="27" t="str">
        <f aca="false">IF(G2479="","",IF(N(E2479)=0,1,E2479)*IFERROR(N(INDEX(Produtos!$G$5:$G$104,MATCH(D2479,Produtos!$B$5:$B$104,0))),0))</f>
        <v/>
      </c>
      <c r="I2479" s="27" t="str">
        <f aca="false">IF(G2479="","",G2479-H2479)</f>
        <v/>
      </c>
      <c r="J2479" s="42"/>
    </row>
    <row r="2480" customFormat="false" ht="21" hidden="false" customHeight="true" outlineLevel="0" collapsed="false">
      <c r="B2480" s="41"/>
      <c r="C2480" s="9"/>
      <c r="D2480" s="9"/>
      <c r="E2480" s="42"/>
      <c r="F2480" s="43"/>
      <c r="G2480" s="27" t="str">
        <f aca="false">IF(OR(C2480="",AND(D2480="",F2480="")),"",IF(N(E2480)=0,1,E2480)*IF(F2480="",IFERROR(N(INDEX(Produtos!$L$5:$L$104,MATCH(D2480,Produtos!$B$5:$B$104,0))),0),F2480))</f>
        <v/>
      </c>
      <c r="H2480" s="27" t="str">
        <f aca="false">IF(G2480="","",IF(N(E2480)=0,1,E2480)*IFERROR(N(INDEX(Produtos!$G$5:$G$104,MATCH(D2480,Produtos!$B$5:$B$104,0))),0))</f>
        <v/>
      </c>
      <c r="I2480" s="27" t="str">
        <f aca="false">IF(G2480="","",G2480-H2480)</f>
        <v/>
      </c>
      <c r="J2480" s="42"/>
    </row>
    <row r="2481" customFormat="false" ht="21" hidden="false" customHeight="true" outlineLevel="0" collapsed="false">
      <c r="B2481" s="41"/>
      <c r="C2481" s="9"/>
      <c r="D2481" s="9"/>
      <c r="E2481" s="42"/>
      <c r="F2481" s="43"/>
      <c r="G2481" s="27" t="str">
        <f aca="false">IF(OR(C2481="",AND(D2481="",F2481="")),"",IF(N(E2481)=0,1,E2481)*IF(F2481="",IFERROR(N(INDEX(Produtos!$L$5:$L$104,MATCH(D2481,Produtos!$B$5:$B$104,0))),0),F2481))</f>
        <v/>
      </c>
      <c r="H2481" s="27" t="str">
        <f aca="false">IF(G2481="","",IF(N(E2481)=0,1,E2481)*IFERROR(N(INDEX(Produtos!$G$5:$G$104,MATCH(D2481,Produtos!$B$5:$B$104,0))),0))</f>
        <v/>
      </c>
      <c r="I2481" s="27" t="str">
        <f aca="false">IF(G2481="","",G2481-H2481)</f>
        <v/>
      </c>
      <c r="J2481" s="42"/>
    </row>
    <row r="2482" customFormat="false" ht="21" hidden="false" customHeight="true" outlineLevel="0" collapsed="false">
      <c r="B2482" s="41"/>
      <c r="C2482" s="9"/>
      <c r="D2482" s="9"/>
      <c r="E2482" s="42"/>
      <c r="F2482" s="43"/>
      <c r="G2482" s="27" t="str">
        <f aca="false">IF(OR(C2482="",AND(D2482="",F2482="")),"",IF(N(E2482)=0,1,E2482)*IF(F2482="",IFERROR(N(INDEX(Produtos!$L$5:$L$104,MATCH(D2482,Produtos!$B$5:$B$104,0))),0),F2482))</f>
        <v/>
      </c>
      <c r="H2482" s="27" t="str">
        <f aca="false">IF(G2482="","",IF(N(E2482)=0,1,E2482)*IFERROR(N(INDEX(Produtos!$G$5:$G$104,MATCH(D2482,Produtos!$B$5:$B$104,0))),0))</f>
        <v/>
      </c>
      <c r="I2482" s="27" t="str">
        <f aca="false">IF(G2482="","",G2482-H2482)</f>
        <v/>
      </c>
      <c r="J2482" s="42"/>
    </row>
    <row r="2483" customFormat="false" ht="21" hidden="false" customHeight="true" outlineLevel="0" collapsed="false">
      <c r="B2483" s="41"/>
      <c r="C2483" s="9"/>
      <c r="D2483" s="9"/>
      <c r="E2483" s="42"/>
      <c r="F2483" s="43"/>
      <c r="G2483" s="27" t="str">
        <f aca="false">IF(OR(C2483="",AND(D2483="",F2483="")),"",IF(N(E2483)=0,1,E2483)*IF(F2483="",IFERROR(N(INDEX(Produtos!$L$5:$L$104,MATCH(D2483,Produtos!$B$5:$B$104,0))),0),F2483))</f>
        <v/>
      </c>
      <c r="H2483" s="27" t="str">
        <f aca="false">IF(G2483="","",IF(N(E2483)=0,1,E2483)*IFERROR(N(INDEX(Produtos!$G$5:$G$104,MATCH(D2483,Produtos!$B$5:$B$104,0))),0))</f>
        <v/>
      </c>
      <c r="I2483" s="27" t="str">
        <f aca="false">IF(G2483="","",G2483-H2483)</f>
        <v/>
      </c>
      <c r="J2483" s="42"/>
    </row>
    <row r="2484" customFormat="false" ht="21" hidden="false" customHeight="true" outlineLevel="0" collapsed="false">
      <c r="B2484" s="41"/>
      <c r="C2484" s="9"/>
      <c r="D2484" s="9"/>
      <c r="E2484" s="42"/>
      <c r="F2484" s="43"/>
      <c r="G2484" s="27" t="str">
        <f aca="false">IF(OR(C2484="",AND(D2484="",F2484="")),"",IF(N(E2484)=0,1,E2484)*IF(F2484="",IFERROR(N(INDEX(Produtos!$L$5:$L$104,MATCH(D2484,Produtos!$B$5:$B$104,0))),0),F2484))</f>
        <v/>
      </c>
      <c r="H2484" s="27" t="str">
        <f aca="false">IF(G2484="","",IF(N(E2484)=0,1,E2484)*IFERROR(N(INDEX(Produtos!$G$5:$G$104,MATCH(D2484,Produtos!$B$5:$B$104,0))),0))</f>
        <v/>
      </c>
      <c r="I2484" s="27" t="str">
        <f aca="false">IF(G2484="","",G2484-H2484)</f>
        <v/>
      </c>
      <c r="J2484" s="42"/>
    </row>
    <row r="2485" customFormat="false" ht="21" hidden="false" customHeight="true" outlineLevel="0" collapsed="false">
      <c r="B2485" s="41"/>
      <c r="C2485" s="9"/>
      <c r="D2485" s="9"/>
      <c r="E2485" s="42"/>
      <c r="F2485" s="43"/>
      <c r="G2485" s="27" t="str">
        <f aca="false">IF(OR(C2485="",AND(D2485="",F2485="")),"",IF(N(E2485)=0,1,E2485)*IF(F2485="",IFERROR(N(INDEX(Produtos!$L$5:$L$104,MATCH(D2485,Produtos!$B$5:$B$104,0))),0),F2485))</f>
        <v/>
      </c>
      <c r="H2485" s="27" t="str">
        <f aca="false">IF(G2485="","",IF(N(E2485)=0,1,E2485)*IFERROR(N(INDEX(Produtos!$G$5:$G$104,MATCH(D2485,Produtos!$B$5:$B$104,0))),0))</f>
        <v/>
      </c>
      <c r="I2485" s="27" t="str">
        <f aca="false">IF(G2485="","",G2485-H2485)</f>
        <v/>
      </c>
      <c r="J2485" s="42"/>
    </row>
    <row r="2486" customFormat="false" ht="21" hidden="false" customHeight="true" outlineLevel="0" collapsed="false">
      <c r="B2486" s="41"/>
      <c r="C2486" s="9"/>
      <c r="D2486" s="9"/>
      <c r="E2486" s="42"/>
      <c r="F2486" s="43"/>
      <c r="G2486" s="27" t="str">
        <f aca="false">IF(OR(C2486="",AND(D2486="",F2486="")),"",IF(N(E2486)=0,1,E2486)*IF(F2486="",IFERROR(N(INDEX(Produtos!$L$5:$L$104,MATCH(D2486,Produtos!$B$5:$B$104,0))),0),F2486))</f>
        <v/>
      </c>
      <c r="H2486" s="27" t="str">
        <f aca="false">IF(G2486="","",IF(N(E2486)=0,1,E2486)*IFERROR(N(INDEX(Produtos!$G$5:$G$104,MATCH(D2486,Produtos!$B$5:$B$104,0))),0))</f>
        <v/>
      </c>
      <c r="I2486" s="27" t="str">
        <f aca="false">IF(G2486="","",G2486-H2486)</f>
        <v/>
      </c>
      <c r="J2486" s="42"/>
    </row>
    <row r="2487" customFormat="false" ht="21" hidden="false" customHeight="true" outlineLevel="0" collapsed="false">
      <c r="B2487" s="41"/>
      <c r="C2487" s="9"/>
      <c r="D2487" s="9"/>
      <c r="E2487" s="42"/>
      <c r="F2487" s="43"/>
      <c r="G2487" s="27" t="str">
        <f aca="false">IF(OR(C2487="",AND(D2487="",F2487="")),"",IF(N(E2487)=0,1,E2487)*IF(F2487="",IFERROR(N(INDEX(Produtos!$L$5:$L$104,MATCH(D2487,Produtos!$B$5:$B$104,0))),0),F2487))</f>
        <v/>
      </c>
      <c r="H2487" s="27" t="str">
        <f aca="false">IF(G2487="","",IF(N(E2487)=0,1,E2487)*IFERROR(N(INDEX(Produtos!$G$5:$G$104,MATCH(D2487,Produtos!$B$5:$B$104,0))),0))</f>
        <v/>
      </c>
      <c r="I2487" s="27" t="str">
        <f aca="false">IF(G2487="","",G2487-H2487)</f>
        <v/>
      </c>
      <c r="J2487" s="42"/>
    </row>
    <row r="2488" customFormat="false" ht="21" hidden="false" customHeight="true" outlineLevel="0" collapsed="false">
      <c r="B2488" s="41"/>
      <c r="C2488" s="9"/>
      <c r="D2488" s="9"/>
      <c r="E2488" s="42"/>
      <c r="F2488" s="43"/>
      <c r="G2488" s="27" t="str">
        <f aca="false">IF(OR(C2488="",AND(D2488="",F2488="")),"",IF(N(E2488)=0,1,E2488)*IF(F2488="",IFERROR(N(INDEX(Produtos!$L$5:$L$104,MATCH(D2488,Produtos!$B$5:$B$104,0))),0),F2488))</f>
        <v/>
      </c>
      <c r="H2488" s="27" t="str">
        <f aca="false">IF(G2488="","",IF(N(E2488)=0,1,E2488)*IFERROR(N(INDEX(Produtos!$G$5:$G$104,MATCH(D2488,Produtos!$B$5:$B$104,0))),0))</f>
        <v/>
      </c>
      <c r="I2488" s="27" t="str">
        <f aca="false">IF(G2488="","",G2488-H2488)</f>
        <v/>
      </c>
      <c r="J2488" s="42"/>
    </row>
    <row r="2489" customFormat="false" ht="21" hidden="false" customHeight="true" outlineLevel="0" collapsed="false">
      <c r="B2489" s="41"/>
      <c r="C2489" s="9"/>
      <c r="D2489" s="9"/>
      <c r="E2489" s="42"/>
      <c r="F2489" s="43"/>
      <c r="G2489" s="27" t="str">
        <f aca="false">IF(OR(C2489="",AND(D2489="",F2489="")),"",IF(N(E2489)=0,1,E2489)*IF(F2489="",IFERROR(N(INDEX(Produtos!$L$5:$L$104,MATCH(D2489,Produtos!$B$5:$B$104,0))),0),F2489))</f>
        <v/>
      </c>
      <c r="H2489" s="27" t="str">
        <f aca="false">IF(G2489="","",IF(N(E2489)=0,1,E2489)*IFERROR(N(INDEX(Produtos!$G$5:$G$104,MATCH(D2489,Produtos!$B$5:$B$104,0))),0))</f>
        <v/>
      </c>
      <c r="I2489" s="27" t="str">
        <f aca="false">IF(G2489="","",G2489-H2489)</f>
        <v/>
      </c>
      <c r="J2489" s="42"/>
    </row>
    <row r="2490" customFormat="false" ht="21" hidden="false" customHeight="true" outlineLevel="0" collapsed="false">
      <c r="B2490" s="41"/>
      <c r="C2490" s="9"/>
      <c r="D2490" s="9"/>
      <c r="E2490" s="42"/>
      <c r="F2490" s="43"/>
      <c r="G2490" s="27" t="str">
        <f aca="false">IF(OR(C2490="",AND(D2490="",F2490="")),"",IF(N(E2490)=0,1,E2490)*IF(F2490="",IFERROR(N(INDEX(Produtos!$L$5:$L$104,MATCH(D2490,Produtos!$B$5:$B$104,0))),0),F2490))</f>
        <v/>
      </c>
      <c r="H2490" s="27" t="str">
        <f aca="false">IF(G2490="","",IF(N(E2490)=0,1,E2490)*IFERROR(N(INDEX(Produtos!$G$5:$G$104,MATCH(D2490,Produtos!$B$5:$B$104,0))),0))</f>
        <v/>
      </c>
      <c r="I2490" s="27" t="str">
        <f aca="false">IF(G2490="","",G2490-H2490)</f>
        <v/>
      </c>
      <c r="J2490" s="42"/>
    </row>
    <row r="2491" customFormat="false" ht="21" hidden="false" customHeight="true" outlineLevel="0" collapsed="false">
      <c r="B2491" s="41"/>
      <c r="C2491" s="9"/>
      <c r="D2491" s="9"/>
      <c r="E2491" s="42"/>
      <c r="F2491" s="43"/>
      <c r="G2491" s="27" t="str">
        <f aca="false">IF(OR(C2491="",AND(D2491="",F2491="")),"",IF(N(E2491)=0,1,E2491)*IF(F2491="",IFERROR(N(INDEX(Produtos!$L$5:$L$104,MATCH(D2491,Produtos!$B$5:$B$104,0))),0),F2491))</f>
        <v/>
      </c>
      <c r="H2491" s="27" t="str">
        <f aca="false">IF(G2491="","",IF(N(E2491)=0,1,E2491)*IFERROR(N(INDEX(Produtos!$G$5:$G$104,MATCH(D2491,Produtos!$B$5:$B$104,0))),0))</f>
        <v/>
      </c>
      <c r="I2491" s="27" t="str">
        <f aca="false">IF(G2491="","",G2491-H2491)</f>
        <v/>
      </c>
      <c r="J2491" s="42"/>
    </row>
    <row r="2492" customFormat="false" ht="21" hidden="false" customHeight="true" outlineLevel="0" collapsed="false">
      <c r="B2492" s="41"/>
      <c r="C2492" s="9"/>
      <c r="D2492" s="9"/>
      <c r="E2492" s="42"/>
      <c r="F2492" s="43"/>
      <c r="G2492" s="27" t="str">
        <f aca="false">IF(OR(C2492="",AND(D2492="",F2492="")),"",IF(N(E2492)=0,1,E2492)*IF(F2492="",IFERROR(N(INDEX(Produtos!$L$5:$L$104,MATCH(D2492,Produtos!$B$5:$B$104,0))),0),F2492))</f>
        <v/>
      </c>
      <c r="H2492" s="27" t="str">
        <f aca="false">IF(G2492="","",IF(N(E2492)=0,1,E2492)*IFERROR(N(INDEX(Produtos!$G$5:$G$104,MATCH(D2492,Produtos!$B$5:$B$104,0))),0))</f>
        <v/>
      </c>
      <c r="I2492" s="27" t="str">
        <f aca="false">IF(G2492="","",G2492-H2492)</f>
        <v/>
      </c>
      <c r="J2492" s="42"/>
    </row>
    <row r="2493" customFormat="false" ht="21" hidden="false" customHeight="true" outlineLevel="0" collapsed="false">
      <c r="B2493" s="41"/>
      <c r="C2493" s="9"/>
      <c r="D2493" s="9"/>
      <c r="E2493" s="42"/>
      <c r="F2493" s="43"/>
      <c r="G2493" s="27" t="str">
        <f aca="false">IF(OR(C2493="",AND(D2493="",F2493="")),"",IF(N(E2493)=0,1,E2493)*IF(F2493="",IFERROR(N(INDEX(Produtos!$L$5:$L$104,MATCH(D2493,Produtos!$B$5:$B$104,0))),0),F2493))</f>
        <v/>
      </c>
      <c r="H2493" s="27" t="str">
        <f aca="false">IF(G2493="","",IF(N(E2493)=0,1,E2493)*IFERROR(N(INDEX(Produtos!$G$5:$G$104,MATCH(D2493,Produtos!$B$5:$B$104,0))),0))</f>
        <v/>
      </c>
      <c r="I2493" s="27" t="str">
        <f aca="false">IF(G2493="","",G2493-H2493)</f>
        <v/>
      </c>
      <c r="J2493" s="42"/>
    </row>
    <row r="2494" customFormat="false" ht="21" hidden="false" customHeight="true" outlineLevel="0" collapsed="false">
      <c r="B2494" s="41"/>
      <c r="C2494" s="9"/>
      <c r="D2494" s="9"/>
      <c r="E2494" s="42"/>
      <c r="F2494" s="43"/>
      <c r="G2494" s="27" t="str">
        <f aca="false">IF(OR(C2494="",AND(D2494="",F2494="")),"",IF(N(E2494)=0,1,E2494)*IF(F2494="",IFERROR(N(INDEX(Produtos!$L$5:$L$104,MATCH(D2494,Produtos!$B$5:$B$104,0))),0),F2494))</f>
        <v/>
      </c>
      <c r="H2494" s="27" t="str">
        <f aca="false">IF(G2494="","",IF(N(E2494)=0,1,E2494)*IFERROR(N(INDEX(Produtos!$G$5:$G$104,MATCH(D2494,Produtos!$B$5:$B$104,0))),0))</f>
        <v/>
      </c>
      <c r="I2494" s="27" t="str">
        <f aca="false">IF(G2494="","",G2494-H2494)</f>
        <v/>
      </c>
      <c r="J2494" s="42"/>
    </row>
    <row r="2495" customFormat="false" ht="21" hidden="false" customHeight="true" outlineLevel="0" collapsed="false">
      <c r="B2495" s="41"/>
      <c r="C2495" s="9"/>
      <c r="D2495" s="9"/>
      <c r="E2495" s="42"/>
      <c r="F2495" s="43"/>
      <c r="G2495" s="27" t="str">
        <f aca="false">IF(OR(C2495="",AND(D2495="",F2495="")),"",IF(N(E2495)=0,1,E2495)*IF(F2495="",IFERROR(N(INDEX(Produtos!$L$5:$L$104,MATCH(D2495,Produtos!$B$5:$B$104,0))),0),F2495))</f>
        <v/>
      </c>
      <c r="H2495" s="27" t="str">
        <f aca="false">IF(G2495="","",IF(N(E2495)=0,1,E2495)*IFERROR(N(INDEX(Produtos!$G$5:$G$104,MATCH(D2495,Produtos!$B$5:$B$104,0))),0))</f>
        <v/>
      </c>
      <c r="I2495" s="27" t="str">
        <f aca="false">IF(G2495="","",G2495-H2495)</f>
        <v/>
      </c>
      <c r="J2495" s="42"/>
    </row>
    <row r="2496" customFormat="false" ht="21" hidden="false" customHeight="true" outlineLevel="0" collapsed="false">
      <c r="B2496" s="41"/>
      <c r="C2496" s="9"/>
      <c r="D2496" s="9"/>
      <c r="E2496" s="42"/>
      <c r="F2496" s="43"/>
      <c r="G2496" s="27" t="str">
        <f aca="false">IF(OR(C2496="",AND(D2496="",F2496="")),"",IF(N(E2496)=0,1,E2496)*IF(F2496="",IFERROR(N(INDEX(Produtos!$L$5:$L$104,MATCH(D2496,Produtos!$B$5:$B$104,0))),0),F2496))</f>
        <v/>
      </c>
      <c r="H2496" s="27" t="str">
        <f aca="false">IF(G2496="","",IF(N(E2496)=0,1,E2496)*IFERROR(N(INDEX(Produtos!$G$5:$G$104,MATCH(D2496,Produtos!$B$5:$B$104,0))),0))</f>
        <v/>
      </c>
      <c r="I2496" s="27" t="str">
        <f aca="false">IF(G2496="","",G2496-H2496)</f>
        <v/>
      </c>
      <c r="J2496" s="42"/>
    </row>
    <row r="2497" customFormat="false" ht="21" hidden="false" customHeight="true" outlineLevel="0" collapsed="false">
      <c r="B2497" s="41"/>
      <c r="C2497" s="9"/>
      <c r="D2497" s="9"/>
      <c r="E2497" s="42"/>
      <c r="F2497" s="43"/>
      <c r="G2497" s="27" t="str">
        <f aca="false">IF(OR(C2497="",AND(D2497="",F2497="")),"",IF(N(E2497)=0,1,E2497)*IF(F2497="",IFERROR(N(INDEX(Produtos!$L$5:$L$104,MATCH(D2497,Produtos!$B$5:$B$104,0))),0),F2497))</f>
        <v/>
      </c>
      <c r="H2497" s="27" t="str">
        <f aca="false">IF(G2497="","",IF(N(E2497)=0,1,E2497)*IFERROR(N(INDEX(Produtos!$G$5:$G$104,MATCH(D2497,Produtos!$B$5:$B$104,0))),0))</f>
        <v/>
      </c>
      <c r="I2497" s="27" t="str">
        <f aca="false">IF(G2497="","",G2497-H2497)</f>
        <v/>
      </c>
      <c r="J2497" s="42"/>
    </row>
    <row r="2498" customFormat="false" ht="21" hidden="false" customHeight="true" outlineLevel="0" collapsed="false">
      <c r="B2498" s="41"/>
      <c r="C2498" s="9"/>
      <c r="D2498" s="9"/>
      <c r="E2498" s="42"/>
      <c r="F2498" s="43"/>
      <c r="G2498" s="27" t="str">
        <f aca="false">IF(OR(C2498="",AND(D2498="",F2498="")),"",IF(N(E2498)=0,1,E2498)*IF(F2498="",IFERROR(N(INDEX(Produtos!$L$5:$L$104,MATCH(D2498,Produtos!$B$5:$B$104,0))),0),F2498))</f>
        <v/>
      </c>
      <c r="H2498" s="27" t="str">
        <f aca="false">IF(G2498="","",IF(N(E2498)=0,1,E2498)*IFERROR(N(INDEX(Produtos!$G$5:$G$104,MATCH(D2498,Produtos!$B$5:$B$104,0))),0))</f>
        <v/>
      </c>
      <c r="I2498" s="27" t="str">
        <f aca="false">IF(G2498="","",G2498-H2498)</f>
        <v/>
      </c>
      <c r="J2498" s="42"/>
    </row>
    <row r="2499" customFormat="false" ht="21" hidden="false" customHeight="true" outlineLevel="0" collapsed="false">
      <c r="B2499" s="41"/>
      <c r="C2499" s="9"/>
      <c r="D2499" s="9"/>
      <c r="E2499" s="42"/>
      <c r="F2499" s="43"/>
      <c r="G2499" s="27" t="str">
        <f aca="false">IF(OR(C2499="",AND(D2499="",F2499="")),"",IF(N(E2499)=0,1,E2499)*IF(F2499="",IFERROR(N(INDEX(Produtos!$L$5:$L$104,MATCH(D2499,Produtos!$B$5:$B$104,0))),0),F2499))</f>
        <v/>
      </c>
      <c r="H2499" s="27" t="str">
        <f aca="false">IF(G2499="","",IF(N(E2499)=0,1,E2499)*IFERROR(N(INDEX(Produtos!$G$5:$G$104,MATCH(D2499,Produtos!$B$5:$B$104,0))),0))</f>
        <v/>
      </c>
      <c r="I2499" s="27" t="str">
        <f aca="false">IF(G2499="","",G2499-H2499)</f>
        <v/>
      </c>
      <c r="J2499" s="42"/>
    </row>
    <row r="2500" customFormat="false" ht="21" hidden="false" customHeight="true" outlineLevel="0" collapsed="false">
      <c r="B2500" s="41"/>
      <c r="C2500" s="9"/>
      <c r="D2500" s="9"/>
      <c r="E2500" s="42"/>
      <c r="F2500" s="43"/>
      <c r="G2500" s="27" t="str">
        <f aca="false">IF(OR(C2500="",AND(D2500="",F2500="")),"",IF(N(E2500)=0,1,E2500)*IF(F2500="",IFERROR(N(INDEX(Produtos!$L$5:$L$104,MATCH(D2500,Produtos!$B$5:$B$104,0))),0),F2500))</f>
        <v/>
      </c>
      <c r="H2500" s="27" t="str">
        <f aca="false">IF(G2500="","",IF(N(E2500)=0,1,E2500)*IFERROR(N(INDEX(Produtos!$G$5:$G$104,MATCH(D2500,Produtos!$B$5:$B$104,0))),0))</f>
        <v/>
      </c>
      <c r="I2500" s="27" t="str">
        <f aca="false">IF(G2500="","",G2500-H2500)</f>
        <v/>
      </c>
      <c r="J2500" s="42"/>
    </row>
    <row r="2501" customFormat="false" ht="21" hidden="false" customHeight="true" outlineLevel="0" collapsed="false">
      <c r="B2501" s="41"/>
      <c r="C2501" s="9"/>
      <c r="D2501" s="9"/>
      <c r="E2501" s="42"/>
      <c r="F2501" s="43"/>
      <c r="G2501" s="27" t="str">
        <f aca="false">IF(OR(C2501="",AND(D2501="",F2501="")),"",IF(N(E2501)=0,1,E2501)*IF(F2501="",IFERROR(N(INDEX(Produtos!$L$5:$L$104,MATCH(D2501,Produtos!$B$5:$B$104,0))),0),F2501))</f>
        <v/>
      </c>
      <c r="H2501" s="27" t="str">
        <f aca="false">IF(G2501="","",IF(N(E2501)=0,1,E2501)*IFERROR(N(INDEX(Produtos!$G$5:$G$104,MATCH(D2501,Produtos!$B$5:$B$104,0))),0))</f>
        <v/>
      </c>
      <c r="I2501" s="27" t="str">
        <f aca="false">IF(G2501="","",G2501-H2501)</f>
        <v/>
      </c>
      <c r="J2501" s="42"/>
    </row>
    <row r="2502" customFormat="false" ht="21" hidden="false" customHeight="true" outlineLevel="0" collapsed="false">
      <c r="B2502" s="41"/>
      <c r="C2502" s="9"/>
      <c r="D2502" s="9"/>
      <c r="E2502" s="42"/>
      <c r="F2502" s="43"/>
      <c r="G2502" s="27" t="str">
        <f aca="false">IF(OR(C2502="",AND(D2502="",F2502="")),"",IF(N(E2502)=0,1,E2502)*IF(F2502="",IFERROR(N(INDEX(Produtos!$L$5:$L$104,MATCH(D2502,Produtos!$B$5:$B$104,0))),0),F2502))</f>
        <v/>
      </c>
      <c r="H2502" s="27" t="str">
        <f aca="false">IF(G2502="","",IF(N(E2502)=0,1,E2502)*IFERROR(N(INDEX(Produtos!$G$5:$G$104,MATCH(D2502,Produtos!$B$5:$B$104,0))),0))</f>
        <v/>
      </c>
      <c r="I2502" s="27" t="str">
        <f aca="false">IF(G2502="","",G2502-H2502)</f>
        <v/>
      </c>
      <c r="J2502" s="42"/>
    </row>
    <row r="2503" customFormat="false" ht="21" hidden="false" customHeight="true" outlineLevel="0" collapsed="false">
      <c r="B2503" s="41"/>
      <c r="C2503" s="9"/>
      <c r="D2503" s="9"/>
      <c r="E2503" s="42"/>
      <c r="F2503" s="43"/>
      <c r="G2503" s="27" t="str">
        <f aca="false">IF(OR(C2503="",AND(D2503="",F2503="")),"",IF(N(E2503)=0,1,E2503)*IF(F2503="",IFERROR(N(INDEX(Produtos!$L$5:$L$104,MATCH(D2503,Produtos!$B$5:$B$104,0))),0),F2503))</f>
        <v/>
      </c>
      <c r="H2503" s="27" t="str">
        <f aca="false">IF(G2503="","",IF(N(E2503)=0,1,E2503)*IFERROR(N(INDEX(Produtos!$G$5:$G$104,MATCH(D2503,Produtos!$B$5:$B$104,0))),0))</f>
        <v/>
      </c>
      <c r="I2503" s="27" t="str">
        <f aca="false">IF(G2503="","",G2503-H2503)</f>
        <v/>
      </c>
      <c r="J2503" s="42"/>
    </row>
    <row r="2504" customFormat="false" ht="21" hidden="false" customHeight="true" outlineLevel="0" collapsed="false">
      <c r="B2504" s="41"/>
      <c r="C2504" s="9"/>
      <c r="D2504" s="9"/>
      <c r="E2504" s="42"/>
      <c r="F2504" s="43"/>
      <c r="G2504" s="27" t="str">
        <f aca="false">IF(OR(C2504="",AND(D2504="",F2504="")),"",IF(N(E2504)=0,1,E2504)*IF(F2504="",IFERROR(N(INDEX(Produtos!$L$5:$L$104,MATCH(D2504,Produtos!$B$5:$B$104,0))),0),F2504))</f>
        <v/>
      </c>
      <c r="H2504" s="27" t="str">
        <f aca="false">IF(G2504="","",IF(N(E2504)=0,1,E2504)*IFERROR(N(INDEX(Produtos!$G$5:$G$104,MATCH(D2504,Produtos!$B$5:$B$104,0))),0))</f>
        <v/>
      </c>
      <c r="I2504" s="27" t="str">
        <f aca="false">IF(G2504="","",G2504-H2504)</f>
        <v/>
      </c>
      <c r="J2504" s="42"/>
    </row>
    <row r="2505" customFormat="false" ht="21" hidden="false" customHeight="true" outlineLevel="0" collapsed="false">
      <c r="B2505" s="41"/>
      <c r="C2505" s="9"/>
      <c r="D2505" s="9"/>
      <c r="E2505" s="42"/>
      <c r="F2505" s="43"/>
      <c r="G2505" s="27" t="str">
        <f aca="false">IF(OR(C2505="",AND(D2505="",F2505="")),"",IF(N(E2505)=0,1,E2505)*IF(F2505="",IFERROR(N(INDEX(Produtos!$L$5:$L$104,MATCH(D2505,Produtos!$B$5:$B$104,0))),0),F2505))</f>
        <v/>
      </c>
      <c r="H2505" s="27" t="str">
        <f aca="false">IF(G2505="","",IF(N(E2505)=0,1,E2505)*IFERROR(N(INDEX(Produtos!$G$5:$G$104,MATCH(D2505,Produtos!$B$5:$B$104,0))),0))</f>
        <v/>
      </c>
      <c r="I2505" s="27" t="str">
        <f aca="false">IF(G2505="","",G2505-H2505)</f>
        <v/>
      </c>
      <c r="J2505" s="42"/>
    </row>
    <row r="2506" customFormat="false" ht="21" hidden="false" customHeight="true" outlineLevel="0" collapsed="false">
      <c r="B2506" s="41"/>
      <c r="C2506" s="9"/>
      <c r="D2506" s="9"/>
      <c r="E2506" s="42"/>
      <c r="F2506" s="43"/>
      <c r="G2506" s="27" t="str">
        <f aca="false">IF(OR(C2506="",AND(D2506="",F2506="")),"",IF(N(E2506)=0,1,E2506)*IF(F2506="",IFERROR(N(INDEX(Produtos!$L$5:$L$104,MATCH(D2506,Produtos!$B$5:$B$104,0))),0),F2506))</f>
        <v/>
      </c>
      <c r="H2506" s="27" t="str">
        <f aca="false">IF(G2506="","",IF(N(E2506)=0,1,E2506)*IFERROR(N(INDEX(Produtos!$G$5:$G$104,MATCH(D2506,Produtos!$B$5:$B$104,0))),0))</f>
        <v/>
      </c>
      <c r="I2506" s="27" t="str">
        <f aca="false">IF(G2506="","",G2506-H2506)</f>
        <v/>
      </c>
      <c r="J2506" s="42"/>
    </row>
    <row r="2507" customFormat="false" ht="21" hidden="false" customHeight="true" outlineLevel="0" collapsed="false">
      <c r="B2507" s="41"/>
      <c r="C2507" s="9"/>
      <c r="D2507" s="9"/>
      <c r="E2507" s="42"/>
      <c r="F2507" s="43"/>
      <c r="G2507" s="27" t="str">
        <f aca="false">IF(OR(C2507="",AND(D2507="",F2507="")),"",IF(N(E2507)=0,1,E2507)*IF(F2507="",IFERROR(N(INDEX(Produtos!$L$5:$L$104,MATCH(D2507,Produtos!$B$5:$B$104,0))),0),F2507))</f>
        <v/>
      </c>
      <c r="H2507" s="27" t="str">
        <f aca="false">IF(G2507="","",IF(N(E2507)=0,1,E2507)*IFERROR(N(INDEX(Produtos!$G$5:$G$104,MATCH(D2507,Produtos!$B$5:$B$104,0))),0))</f>
        <v/>
      </c>
      <c r="I2507" s="27" t="str">
        <f aca="false">IF(G2507="","",G2507-H2507)</f>
        <v/>
      </c>
      <c r="J2507" s="42"/>
    </row>
    <row r="2508" customFormat="false" ht="21" hidden="false" customHeight="true" outlineLevel="0" collapsed="false">
      <c r="B2508" s="41"/>
      <c r="C2508" s="9"/>
      <c r="D2508" s="9"/>
      <c r="E2508" s="42"/>
      <c r="F2508" s="43"/>
      <c r="G2508" s="27" t="str">
        <f aca="false">IF(OR(C2508="",AND(D2508="",F2508="")),"",IF(N(E2508)=0,1,E2508)*IF(F2508="",IFERROR(N(INDEX(Produtos!$L$5:$L$104,MATCH(D2508,Produtos!$B$5:$B$104,0))),0),F2508))</f>
        <v/>
      </c>
      <c r="H2508" s="27" t="str">
        <f aca="false">IF(G2508="","",IF(N(E2508)=0,1,E2508)*IFERROR(N(INDEX(Produtos!$G$5:$G$104,MATCH(D2508,Produtos!$B$5:$B$104,0))),0))</f>
        <v/>
      </c>
      <c r="I2508" s="27" t="str">
        <f aca="false">IF(G2508="","",G2508-H2508)</f>
        <v/>
      </c>
      <c r="J2508" s="42"/>
    </row>
    <row r="2509" customFormat="false" ht="21" hidden="false" customHeight="true" outlineLevel="0" collapsed="false">
      <c r="B2509" s="41"/>
      <c r="C2509" s="9"/>
      <c r="D2509" s="9"/>
      <c r="E2509" s="42"/>
      <c r="F2509" s="43"/>
      <c r="G2509" s="27" t="str">
        <f aca="false">IF(OR(C2509="",AND(D2509="",F2509="")),"",IF(N(E2509)=0,1,E2509)*IF(F2509="",IFERROR(N(INDEX(Produtos!$L$5:$L$104,MATCH(D2509,Produtos!$B$5:$B$104,0))),0),F2509))</f>
        <v/>
      </c>
      <c r="H2509" s="27" t="str">
        <f aca="false">IF(G2509="","",IF(N(E2509)=0,1,E2509)*IFERROR(N(INDEX(Produtos!$G$5:$G$104,MATCH(D2509,Produtos!$B$5:$B$104,0))),0))</f>
        <v/>
      </c>
      <c r="I2509" s="27" t="str">
        <f aca="false">IF(G2509="","",G2509-H2509)</f>
        <v/>
      </c>
      <c r="J2509" s="42"/>
    </row>
    <row r="2510" customFormat="false" ht="21" hidden="false" customHeight="true" outlineLevel="0" collapsed="false">
      <c r="B2510" s="41"/>
      <c r="C2510" s="9"/>
      <c r="D2510" s="9"/>
      <c r="E2510" s="42"/>
      <c r="F2510" s="43"/>
      <c r="G2510" s="27" t="str">
        <f aca="false">IF(OR(C2510="",AND(D2510="",F2510="")),"",IF(N(E2510)=0,1,E2510)*IF(F2510="",IFERROR(N(INDEX(Produtos!$L$5:$L$104,MATCH(D2510,Produtos!$B$5:$B$104,0))),0),F2510))</f>
        <v/>
      </c>
      <c r="H2510" s="27" t="str">
        <f aca="false">IF(G2510="","",IF(N(E2510)=0,1,E2510)*IFERROR(N(INDEX(Produtos!$G$5:$G$104,MATCH(D2510,Produtos!$B$5:$B$104,0))),0))</f>
        <v/>
      </c>
      <c r="I2510" s="27" t="str">
        <f aca="false">IF(G2510="","",G2510-H2510)</f>
        <v/>
      </c>
      <c r="J2510" s="42"/>
    </row>
    <row r="2511" customFormat="false" ht="21" hidden="false" customHeight="true" outlineLevel="0" collapsed="false">
      <c r="B2511" s="41"/>
      <c r="C2511" s="9"/>
      <c r="D2511" s="9"/>
      <c r="E2511" s="42"/>
      <c r="F2511" s="43"/>
      <c r="G2511" s="27" t="str">
        <f aca="false">IF(OR(C2511="",AND(D2511="",F2511="")),"",IF(N(E2511)=0,1,E2511)*IF(F2511="",IFERROR(N(INDEX(Produtos!$L$5:$L$104,MATCH(D2511,Produtos!$B$5:$B$104,0))),0),F2511))</f>
        <v/>
      </c>
      <c r="H2511" s="27" t="str">
        <f aca="false">IF(G2511="","",IF(N(E2511)=0,1,E2511)*IFERROR(N(INDEX(Produtos!$G$5:$G$104,MATCH(D2511,Produtos!$B$5:$B$104,0))),0))</f>
        <v/>
      </c>
      <c r="I2511" s="27" t="str">
        <f aca="false">IF(G2511="","",G2511-H2511)</f>
        <v/>
      </c>
      <c r="J2511" s="42"/>
    </row>
    <row r="2512" customFormat="false" ht="21" hidden="false" customHeight="true" outlineLevel="0" collapsed="false">
      <c r="B2512" s="41"/>
      <c r="C2512" s="9"/>
      <c r="D2512" s="9"/>
      <c r="E2512" s="42"/>
      <c r="F2512" s="43"/>
      <c r="G2512" s="27" t="str">
        <f aca="false">IF(OR(C2512="",AND(D2512="",F2512="")),"",IF(N(E2512)=0,1,E2512)*IF(F2512="",IFERROR(N(INDEX(Produtos!$L$5:$L$104,MATCH(D2512,Produtos!$B$5:$B$104,0))),0),F2512))</f>
        <v/>
      </c>
      <c r="H2512" s="27" t="str">
        <f aca="false">IF(G2512="","",IF(N(E2512)=0,1,E2512)*IFERROR(N(INDEX(Produtos!$G$5:$G$104,MATCH(D2512,Produtos!$B$5:$B$104,0))),0))</f>
        <v/>
      </c>
      <c r="I2512" s="27" t="str">
        <f aca="false">IF(G2512="","",G2512-H2512)</f>
        <v/>
      </c>
      <c r="J2512" s="42"/>
    </row>
    <row r="2513" customFormat="false" ht="21" hidden="false" customHeight="true" outlineLevel="0" collapsed="false">
      <c r="B2513" s="41"/>
      <c r="C2513" s="9"/>
      <c r="D2513" s="9"/>
      <c r="E2513" s="42"/>
      <c r="F2513" s="43"/>
      <c r="G2513" s="27" t="str">
        <f aca="false">IF(OR(C2513="",AND(D2513="",F2513="")),"",IF(N(E2513)=0,1,E2513)*IF(F2513="",IFERROR(N(INDEX(Produtos!$L$5:$L$104,MATCH(D2513,Produtos!$B$5:$B$104,0))),0),F2513))</f>
        <v/>
      </c>
      <c r="H2513" s="27" t="str">
        <f aca="false">IF(G2513="","",IF(N(E2513)=0,1,E2513)*IFERROR(N(INDEX(Produtos!$G$5:$G$104,MATCH(D2513,Produtos!$B$5:$B$104,0))),0))</f>
        <v/>
      </c>
      <c r="I2513" s="27" t="str">
        <f aca="false">IF(G2513="","",G2513-H2513)</f>
        <v/>
      </c>
      <c r="J2513" s="42"/>
    </row>
    <row r="2514" customFormat="false" ht="21" hidden="false" customHeight="true" outlineLevel="0" collapsed="false">
      <c r="B2514" s="41"/>
      <c r="C2514" s="9"/>
      <c r="D2514" s="9"/>
      <c r="E2514" s="42"/>
      <c r="F2514" s="43"/>
      <c r="G2514" s="27" t="str">
        <f aca="false">IF(OR(C2514="",AND(D2514="",F2514="")),"",IF(N(E2514)=0,1,E2514)*IF(F2514="",IFERROR(N(INDEX(Produtos!$L$5:$L$104,MATCH(D2514,Produtos!$B$5:$B$104,0))),0),F2514))</f>
        <v/>
      </c>
      <c r="H2514" s="27" t="str">
        <f aca="false">IF(G2514="","",IF(N(E2514)=0,1,E2514)*IFERROR(N(INDEX(Produtos!$G$5:$G$104,MATCH(D2514,Produtos!$B$5:$B$104,0))),0))</f>
        <v/>
      </c>
      <c r="I2514" s="27" t="str">
        <f aca="false">IF(G2514="","",G2514-H2514)</f>
        <v/>
      </c>
      <c r="J2514" s="42"/>
    </row>
    <row r="2515" customFormat="false" ht="21" hidden="false" customHeight="true" outlineLevel="0" collapsed="false">
      <c r="B2515" s="41"/>
      <c r="C2515" s="9"/>
      <c r="D2515" s="9"/>
      <c r="E2515" s="42"/>
      <c r="F2515" s="43"/>
      <c r="G2515" s="27" t="str">
        <f aca="false">IF(OR(C2515="",AND(D2515="",F2515="")),"",IF(N(E2515)=0,1,E2515)*IF(F2515="",IFERROR(N(INDEX(Produtos!$L$5:$L$104,MATCH(D2515,Produtos!$B$5:$B$104,0))),0),F2515))</f>
        <v/>
      </c>
      <c r="H2515" s="27" t="str">
        <f aca="false">IF(G2515="","",IF(N(E2515)=0,1,E2515)*IFERROR(N(INDEX(Produtos!$G$5:$G$104,MATCH(D2515,Produtos!$B$5:$B$104,0))),0))</f>
        <v/>
      </c>
      <c r="I2515" s="27" t="str">
        <f aca="false">IF(G2515="","",G2515-H2515)</f>
        <v/>
      </c>
      <c r="J2515" s="42"/>
    </row>
    <row r="2516" customFormat="false" ht="21" hidden="false" customHeight="true" outlineLevel="0" collapsed="false">
      <c r="B2516" s="41"/>
      <c r="C2516" s="9"/>
      <c r="D2516" s="9"/>
      <c r="E2516" s="42"/>
      <c r="F2516" s="43"/>
      <c r="G2516" s="27" t="str">
        <f aca="false">IF(OR(C2516="",AND(D2516="",F2516="")),"",IF(N(E2516)=0,1,E2516)*IF(F2516="",IFERROR(N(INDEX(Produtos!$L$5:$L$104,MATCH(D2516,Produtos!$B$5:$B$104,0))),0),F2516))</f>
        <v/>
      </c>
      <c r="H2516" s="27" t="str">
        <f aca="false">IF(G2516="","",IF(N(E2516)=0,1,E2516)*IFERROR(N(INDEX(Produtos!$G$5:$G$104,MATCH(D2516,Produtos!$B$5:$B$104,0))),0))</f>
        <v/>
      </c>
      <c r="I2516" s="27" t="str">
        <f aca="false">IF(G2516="","",G2516-H2516)</f>
        <v/>
      </c>
      <c r="J2516" s="42"/>
    </row>
    <row r="2517" customFormat="false" ht="21" hidden="false" customHeight="true" outlineLevel="0" collapsed="false">
      <c r="B2517" s="41"/>
      <c r="C2517" s="9"/>
      <c r="D2517" s="9"/>
      <c r="E2517" s="42"/>
      <c r="F2517" s="43"/>
      <c r="G2517" s="27" t="str">
        <f aca="false">IF(OR(C2517="",AND(D2517="",F2517="")),"",IF(N(E2517)=0,1,E2517)*IF(F2517="",IFERROR(N(INDEX(Produtos!$L$5:$L$104,MATCH(D2517,Produtos!$B$5:$B$104,0))),0),F2517))</f>
        <v/>
      </c>
      <c r="H2517" s="27" t="str">
        <f aca="false">IF(G2517="","",IF(N(E2517)=0,1,E2517)*IFERROR(N(INDEX(Produtos!$G$5:$G$104,MATCH(D2517,Produtos!$B$5:$B$104,0))),0))</f>
        <v/>
      </c>
      <c r="I2517" s="27" t="str">
        <f aca="false">IF(G2517="","",G2517-H2517)</f>
        <v/>
      </c>
      <c r="J2517" s="42"/>
    </row>
    <row r="2518" customFormat="false" ht="21" hidden="false" customHeight="true" outlineLevel="0" collapsed="false">
      <c r="B2518" s="41"/>
      <c r="C2518" s="9"/>
      <c r="D2518" s="9"/>
      <c r="E2518" s="42"/>
      <c r="F2518" s="43"/>
      <c r="G2518" s="27" t="str">
        <f aca="false">IF(OR(C2518="",AND(D2518="",F2518="")),"",IF(N(E2518)=0,1,E2518)*IF(F2518="",IFERROR(N(INDEX(Produtos!$L$5:$L$104,MATCH(D2518,Produtos!$B$5:$B$104,0))),0),F2518))</f>
        <v/>
      </c>
      <c r="H2518" s="27" t="str">
        <f aca="false">IF(G2518="","",IF(N(E2518)=0,1,E2518)*IFERROR(N(INDEX(Produtos!$G$5:$G$104,MATCH(D2518,Produtos!$B$5:$B$104,0))),0))</f>
        <v/>
      </c>
      <c r="I2518" s="27" t="str">
        <f aca="false">IF(G2518="","",G2518-H2518)</f>
        <v/>
      </c>
      <c r="J2518" s="42"/>
    </row>
    <row r="2519" customFormat="false" ht="21" hidden="false" customHeight="true" outlineLevel="0" collapsed="false">
      <c r="B2519" s="41"/>
      <c r="C2519" s="9"/>
      <c r="D2519" s="9"/>
      <c r="E2519" s="42"/>
      <c r="F2519" s="43"/>
      <c r="G2519" s="27" t="str">
        <f aca="false">IF(OR(C2519="",AND(D2519="",F2519="")),"",IF(N(E2519)=0,1,E2519)*IF(F2519="",IFERROR(N(INDEX(Produtos!$L$5:$L$104,MATCH(D2519,Produtos!$B$5:$B$104,0))),0),F2519))</f>
        <v/>
      </c>
      <c r="H2519" s="27" t="str">
        <f aca="false">IF(G2519="","",IF(N(E2519)=0,1,E2519)*IFERROR(N(INDEX(Produtos!$G$5:$G$104,MATCH(D2519,Produtos!$B$5:$B$104,0))),0))</f>
        <v/>
      </c>
      <c r="I2519" s="27" t="str">
        <f aca="false">IF(G2519="","",G2519-H2519)</f>
        <v/>
      </c>
      <c r="J2519" s="42"/>
    </row>
    <row r="2520" customFormat="false" ht="21" hidden="false" customHeight="true" outlineLevel="0" collapsed="false">
      <c r="B2520" s="41"/>
      <c r="C2520" s="9"/>
      <c r="D2520" s="9"/>
      <c r="E2520" s="42"/>
      <c r="F2520" s="43"/>
      <c r="G2520" s="27" t="str">
        <f aca="false">IF(OR(C2520="",AND(D2520="",F2520="")),"",IF(N(E2520)=0,1,E2520)*IF(F2520="",IFERROR(N(INDEX(Produtos!$L$5:$L$104,MATCH(D2520,Produtos!$B$5:$B$104,0))),0),F2520))</f>
        <v/>
      </c>
      <c r="H2520" s="27" t="str">
        <f aca="false">IF(G2520="","",IF(N(E2520)=0,1,E2520)*IFERROR(N(INDEX(Produtos!$G$5:$G$104,MATCH(D2520,Produtos!$B$5:$B$104,0))),0))</f>
        <v/>
      </c>
      <c r="I2520" s="27" t="str">
        <f aca="false">IF(G2520="","",G2520-H2520)</f>
        <v/>
      </c>
      <c r="J2520" s="42"/>
    </row>
    <row r="2521" customFormat="false" ht="21" hidden="false" customHeight="true" outlineLevel="0" collapsed="false">
      <c r="B2521" s="41"/>
      <c r="C2521" s="9"/>
      <c r="D2521" s="9"/>
      <c r="E2521" s="42"/>
      <c r="F2521" s="43"/>
      <c r="G2521" s="27" t="str">
        <f aca="false">IF(OR(C2521="",AND(D2521="",F2521="")),"",IF(N(E2521)=0,1,E2521)*IF(F2521="",IFERROR(N(INDEX(Produtos!$L$5:$L$104,MATCH(D2521,Produtos!$B$5:$B$104,0))),0),F2521))</f>
        <v/>
      </c>
      <c r="H2521" s="27" t="str">
        <f aca="false">IF(G2521="","",IF(N(E2521)=0,1,E2521)*IFERROR(N(INDEX(Produtos!$G$5:$G$104,MATCH(D2521,Produtos!$B$5:$B$104,0))),0))</f>
        <v/>
      </c>
      <c r="I2521" s="27" t="str">
        <f aca="false">IF(G2521="","",G2521-H2521)</f>
        <v/>
      </c>
      <c r="J2521" s="42"/>
    </row>
    <row r="2522" customFormat="false" ht="21" hidden="false" customHeight="true" outlineLevel="0" collapsed="false">
      <c r="B2522" s="41"/>
      <c r="C2522" s="9"/>
      <c r="D2522" s="9"/>
      <c r="E2522" s="42"/>
      <c r="F2522" s="43"/>
      <c r="G2522" s="27" t="str">
        <f aca="false">IF(OR(C2522="",AND(D2522="",F2522="")),"",IF(N(E2522)=0,1,E2522)*IF(F2522="",IFERROR(N(INDEX(Produtos!$L$5:$L$104,MATCH(D2522,Produtos!$B$5:$B$104,0))),0),F2522))</f>
        <v/>
      </c>
      <c r="H2522" s="27" t="str">
        <f aca="false">IF(G2522="","",IF(N(E2522)=0,1,E2522)*IFERROR(N(INDEX(Produtos!$G$5:$G$104,MATCH(D2522,Produtos!$B$5:$B$104,0))),0))</f>
        <v/>
      </c>
      <c r="I2522" s="27" t="str">
        <f aca="false">IF(G2522="","",G2522-H2522)</f>
        <v/>
      </c>
      <c r="J2522" s="42"/>
    </row>
    <row r="2523" customFormat="false" ht="21" hidden="false" customHeight="true" outlineLevel="0" collapsed="false">
      <c r="B2523" s="41"/>
      <c r="C2523" s="9"/>
      <c r="D2523" s="9"/>
      <c r="E2523" s="42"/>
      <c r="F2523" s="43"/>
      <c r="G2523" s="27" t="str">
        <f aca="false">IF(OR(C2523="",AND(D2523="",F2523="")),"",IF(N(E2523)=0,1,E2523)*IF(F2523="",IFERROR(N(INDEX(Produtos!$L$5:$L$104,MATCH(D2523,Produtos!$B$5:$B$104,0))),0),F2523))</f>
        <v/>
      </c>
      <c r="H2523" s="27" t="str">
        <f aca="false">IF(G2523="","",IF(N(E2523)=0,1,E2523)*IFERROR(N(INDEX(Produtos!$G$5:$G$104,MATCH(D2523,Produtos!$B$5:$B$104,0))),0))</f>
        <v/>
      </c>
      <c r="I2523" s="27" t="str">
        <f aca="false">IF(G2523="","",G2523-H2523)</f>
        <v/>
      </c>
      <c r="J2523" s="42"/>
    </row>
    <row r="2524" customFormat="false" ht="21" hidden="false" customHeight="true" outlineLevel="0" collapsed="false">
      <c r="B2524" s="41"/>
      <c r="C2524" s="9"/>
      <c r="D2524" s="9"/>
      <c r="E2524" s="42"/>
      <c r="F2524" s="43"/>
      <c r="G2524" s="27" t="str">
        <f aca="false">IF(OR(C2524="",AND(D2524="",F2524="")),"",IF(N(E2524)=0,1,E2524)*IF(F2524="",IFERROR(N(INDEX(Produtos!$L$5:$L$104,MATCH(D2524,Produtos!$B$5:$B$104,0))),0),F2524))</f>
        <v/>
      </c>
      <c r="H2524" s="27" t="str">
        <f aca="false">IF(G2524="","",IF(N(E2524)=0,1,E2524)*IFERROR(N(INDEX(Produtos!$G$5:$G$104,MATCH(D2524,Produtos!$B$5:$B$104,0))),0))</f>
        <v/>
      </c>
      <c r="I2524" s="27" t="str">
        <f aca="false">IF(G2524="","",G2524-H2524)</f>
        <v/>
      </c>
      <c r="J2524" s="42"/>
    </row>
    <row r="2525" customFormat="false" ht="21" hidden="false" customHeight="true" outlineLevel="0" collapsed="false">
      <c r="B2525" s="41"/>
      <c r="C2525" s="9"/>
      <c r="D2525" s="9"/>
      <c r="E2525" s="42"/>
      <c r="F2525" s="43"/>
      <c r="G2525" s="27" t="str">
        <f aca="false">IF(OR(C2525="",AND(D2525="",F2525="")),"",IF(N(E2525)=0,1,E2525)*IF(F2525="",IFERROR(N(INDEX(Produtos!$L$5:$L$104,MATCH(D2525,Produtos!$B$5:$B$104,0))),0),F2525))</f>
        <v/>
      </c>
      <c r="H2525" s="27" t="str">
        <f aca="false">IF(G2525="","",IF(N(E2525)=0,1,E2525)*IFERROR(N(INDEX(Produtos!$G$5:$G$104,MATCH(D2525,Produtos!$B$5:$B$104,0))),0))</f>
        <v/>
      </c>
      <c r="I2525" s="27" t="str">
        <f aca="false">IF(G2525="","",G2525-H2525)</f>
        <v/>
      </c>
      <c r="J2525" s="42"/>
    </row>
    <row r="2526" customFormat="false" ht="21" hidden="false" customHeight="true" outlineLevel="0" collapsed="false">
      <c r="B2526" s="41"/>
      <c r="C2526" s="9"/>
      <c r="D2526" s="9"/>
      <c r="E2526" s="42"/>
      <c r="F2526" s="43"/>
      <c r="G2526" s="27" t="str">
        <f aca="false">IF(OR(C2526="",AND(D2526="",F2526="")),"",IF(N(E2526)=0,1,E2526)*IF(F2526="",IFERROR(N(INDEX(Produtos!$L$5:$L$104,MATCH(D2526,Produtos!$B$5:$B$104,0))),0),F2526))</f>
        <v/>
      </c>
      <c r="H2526" s="27" t="str">
        <f aca="false">IF(G2526="","",IF(N(E2526)=0,1,E2526)*IFERROR(N(INDEX(Produtos!$G$5:$G$104,MATCH(D2526,Produtos!$B$5:$B$104,0))),0))</f>
        <v/>
      </c>
      <c r="I2526" s="27" t="str">
        <f aca="false">IF(G2526="","",G2526-H2526)</f>
        <v/>
      </c>
      <c r="J2526" s="42"/>
    </row>
    <row r="2527" customFormat="false" ht="21" hidden="false" customHeight="true" outlineLevel="0" collapsed="false">
      <c r="B2527" s="41"/>
      <c r="C2527" s="9"/>
      <c r="D2527" s="9"/>
      <c r="E2527" s="42"/>
      <c r="F2527" s="43"/>
      <c r="G2527" s="27" t="str">
        <f aca="false">IF(OR(C2527="",AND(D2527="",F2527="")),"",IF(N(E2527)=0,1,E2527)*IF(F2527="",IFERROR(N(INDEX(Produtos!$L$5:$L$104,MATCH(D2527,Produtos!$B$5:$B$104,0))),0),F2527))</f>
        <v/>
      </c>
      <c r="H2527" s="27" t="str">
        <f aca="false">IF(G2527="","",IF(N(E2527)=0,1,E2527)*IFERROR(N(INDEX(Produtos!$G$5:$G$104,MATCH(D2527,Produtos!$B$5:$B$104,0))),0))</f>
        <v/>
      </c>
      <c r="I2527" s="27" t="str">
        <f aca="false">IF(G2527="","",G2527-H2527)</f>
        <v/>
      </c>
      <c r="J2527" s="42"/>
    </row>
    <row r="2528" customFormat="false" ht="21" hidden="false" customHeight="true" outlineLevel="0" collapsed="false">
      <c r="B2528" s="41"/>
      <c r="C2528" s="9"/>
      <c r="D2528" s="9"/>
      <c r="E2528" s="42"/>
      <c r="F2528" s="43"/>
      <c r="G2528" s="27" t="str">
        <f aca="false">IF(OR(C2528="",AND(D2528="",F2528="")),"",IF(N(E2528)=0,1,E2528)*IF(F2528="",IFERROR(N(INDEX(Produtos!$L$5:$L$104,MATCH(D2528,Produtos!$B$5:$B$104,0))),0),F2528))</f>
        <v/>
      </c>
      <c r="H2528" s="27" t="str">
        <f aca="false">IF(G2528="","",IF(N(E2528)=0,1,E2528)*IFERROR(N(INDEX(Produtos!$G$5:$G$104,MATCH(D2528,Produtos!$B$5:$B$104,0))),0))</f>
        <v/>
      </c>
      <c r="I2528" s="27" t="str">
        <f aca="false">IF(G2528="","",G2528-H2528)</f>
        <v/>
      </c>
      <c r="J2528" s="42"/>
    </row>
    <row r="2529" customFormat="false" ht="21" hidden="false" customHeight="true" outlineLevel="0" collapsed="false">
      <c r="B2529" s="41"/>
      <c r="C2529" s="9"/>
      <c r="D2529" s="9"/>
      <c r="E2529" s="42"/>
      <c r="F2529" s="43"/>
      <c r="G2529" s="27" t="str">
        <f aca="false">IF(OR(C2529="",AND(D2529="",F2529="")),"",IF(N(E2529)=0,1,E2529)*IF(F2529="",IFERROR(N(INDEX(Produtos!$L$5:$L$104,MATCH(D2529,Produtos!$B$5:$B$104,0))),0),F2529))</f>
        <v/>
      </c>
      <c r="H2529" s="27" t="str">
        <f aca="false">IF(G2529="","",IF(N(E2529)=0,1,E2529)*IFERROR(N(INDEX(Produtos!$G$5:$G$104,MATCH(D2529,Produtos!$B$5:$B$104,0))),0))</f>
        <v/>
      </c>
      <c r="I2529" s="27" t="str">
        <f aca="false">IF(G2529="","",G2529-H2529)</f>
        <v/>
      </c>
      <c r="J2529" s="42"/>
    </row>
    <row r="2530" customFormat="false" ht="21" hidden="false" customHeight="true" outlineLevel="0" collapsed="false">
      <c r="B2530" s="41"/>
      <c r="C2530" s="9"/>
      <c r="D2530" s="9"/>
      <c r="E2530" s="42"/>
      <c r="F2530" s="43"/>
      <c r="G2530" s="27" t="str">
        <f aca="false">IF(OR(C2530="",AND(D2530="",F2530="")),"",IF(N(E2530)=0,1,E2530)*IF(F2530="",IFERROR(N(INDEX(Produtos!$L$5:$L$104,MATCH(D2530,Produtos!$B$5:$B$104,0))),0),F2530))</f>
        <v/>
      </c>
      <c r="H2530" s="27" t="str">
        <f aca="false">IF(G2530="","",IF(N(E2530)=0,1,E2530)*IFERROR(N(INDEX(Produtos!$G$5:$G$104,MATCH(D2530,Produtos!$B$5:$B$104,0))),0))</f>
        <v/>
      </c>
      <c r="I2530" s="27" t="str">
        <f aca="false">IF(G2530="","",G2530-H2530)</f>
        <v/>
      </c>
      <c r="J2530" s="42"/>
    </row>
    <row r="2531" customFormat="false" ht="21" hidden="false" customHeight="true" outlineLevel="0" collapsed="false">
      <c r="B2531" s="41"/>
      <c r="C2531" s="9"/>
      <c r="D2531" s="9"/>
      <c r="E2531" s="42"/>
      <c r="F2531" s="43"/>
      <c r="G2531" s="27" t="str">
        <f aca="false">IF(OR(C2531="",AND(D2531="",F2531="")),"",IF(N(E2531)=0,1,E2531)*IF(F2531="",IFERROR(N(INDEX(Produtos!$L$5:$L$104,MATCH(D2531,Produtos!$B$5:$B$104,0))),0),F2531))</f>
        <v/>
      </c>
      <c r="H2531" s="27" t="str">
        <f aca="false">IF(G2531="","",IF(N(E2531)=0,1,E2531)*IFERROR(N(INDEX(Produtos!$G$5:$G$104,MATCH(D2531,Produtos!$B$5:$B$104,0))),0))</f>
        <v/>
      </c>
      <c r="I2531" s="27" t="str">
        <f aca="false">IF(G2531="","",G2531-H2531)</f>
        <v/>
      </c>
      <c r="J2531" s="42"/>
    </row>
    <row r="2532" customFormat="false" ht="21" hidden="false" customHeight="true" outlineLevel="0" collapsed="false">
      <c r="B2532" s="41"/>
      <c r="C2532" s="9"/>
      <c r="D2532" s="9"/>
      <c r="E2532" s="42"/>
      <c r="F2532" s="43"/>
      <c r="G2532" s="27" t="str">
        <f aca="false">IF(OR(C2532="",AND(D2532="",F2532="")),"",IF(N(E2532)=0,1,E2532)*IF(F2532="",IFERROR(N(INDEX(Produtos!$L$5:$L$104,MATCH(D2532,Produtos!$B$5:$B$104,0))),0),F2532))</f>
        <v/>
      </c>
      <c r="H2532" s="27" t="str">
        <f aca="false">IF(G2532="","",IF(N(E2532)=0,1,E2532)*IFERROR(N(INDEX(Produtos!$G$5:$G$104,MATCH(D2532,Produtos!$B$5:$B$104,0))),0))</f>
        <v/>
      </c>
      <c r="I2532" s="27" t="str">
        <f aca="false">IF(G2532="","",G2532-H2532)</f>
        <v/>
      </c>
      <c r="J2532" s="42"/>
    </row>
    <row r="2533" customFormat="false" ht="21" hidden="false" customHeight="true" outlineLevel="0" collapsed="false">
      <c r="B2533" s="41"/>
      <c r="C2533" s="9"/>
      <c r="D2533" s="9"/>
      <c r="E2533" s="42"/>
      <c r="F2533" s="43"/>
      <c r="G2533" s="27" t="str">
        <f aca="false">IF(OR(C2533="",AND(D2533="",F2533="")),"",IF(N(E2533)=0,1,E2533)*IF(F2533="",IFERROR(N(INDEX(Produtos!$L$5:$L$104,MATCH(D2533,Produtos!$B$5:$B$104,0))),0),F2533))</f>
        <v/>
      </c>
      <c r="H2533" s="27" t="str">
        <f aca="false">IF(G2533="","",IF(N(E2533)=0,1,E2533)*IFERROR(N(INDEX(Produtos!$G$5:$G$104,MATCH(D2533,Produtos!$B$5:$B$104,0))),0))</f>
        <v/>
      </c>
      <c r="I2533" s="27" t="str">
        <f aca="false">IF(G2533="","",G2533-H2533)</f>
        <v/>
      </c>
      <c r="J2533" s="42"/>
    </row>
    <row r="2534" customFormat="false" ht="21" hidden="false" customHeight="true" outlineLevel="0" collapsed="false">
      <c r="B2534" s="41"/>
      <c r="C2534" s="9"/>
      <c r="D2534" s="9"/>
      <c r="E2534" s="42"/>
      <c r="F2534" s="43"/>
      <c r="G2534" s="27" t="str">
        <f aca="false">IF(OR(C2534="",AND(D2534="",F2534="")),"",IF(N(E2534)=0,1,E2534)*IF(F2534="",IFERROR(N(INDEX(Produtos!$L$5:$L$104,MATCH(D2534,Produtos!$B$5:$B$104,0))),0),F2534))</f>
        <v/>
      </c>
      <c r="H2534" s="27" t="str">
        <f aca="false">IF(G2534="","",IF(N(E2534)=0,1,E2534)*IFERROR(N(INDEX(Produtos!$G$5:$G$104,MATCH(D2534,Produtos!$B$5:$B$104,0))),0))</f>
        <v/>
      </c>
      <c r="I2534" s="27" t="str">
        <f aca="false">IF(G2534="","",G2534-H2534)</f>
        <v/>
      </c>
      <c r="J2534" s="42"/>
    </row>
    <row r="2535" customFormat="false" ht="21" hidden="false" customHeight="true" outlineLevel="0" collapsed="false">
      <c r="B2535" s="41"/>
      <c r="C2535" s="9"/>
      <c r="D2535" s="9"/>
      <c r="E2535" s="42"/>
      <c r="F2535" s="43"/>
      <c r="G2535" s="27" t="str">
        <f aca="false">IF(OR(C2535="",AND(D2535="",F2535="")),"",IF(N(E2535)=0,1,E2535)*IF(F2535="",IFERROR(N(INDEX(Produtos!$L$5:$L$104,MATCH(D2535,Produtos!$B$5:$B$104,0))),0),F2535))</f>
        <v/>
      </c>
      <c r="H2535" s="27" t="str">
        <f aca="false">IF(G2535="","",IF(N(E2535)=0,1,E2535)*IFERROR(N(INDEX(Produtos!$G$5:$G$104,MATCH(D2535,Produtos!$B$5:$B$104,0))),0))</f>
        <v/>
      </c>
      <c r="I2535" s="27" t="str">
        <f aca="false">IF(G2535="","",G2535-H2535)</f>
        <v/>
      </c>
      <c r="J2535" s="42"/>
    </row>
    <row r="2536" customFormat="false" ht="21" hidden="false" customHeight="true" outlineLevel="0" collapsed="false">
      <c r="B2536" s="41"/>
      <c r="C2536" s="9"/>
      <c r="D2536" s="9"/>
      <c r="E2536" s="42"/>
      <c r="F2536" s="43"/>
      <c r="G2536" s="27" t="str">
        <f aca="false">IF(OR(C2536="",AND(D2536="",F2536="")),"",IF(N(E2536)=0,1,E2536)*IF(F2536="",IFERROR(N(INDEX(Produtos!$L$5:$L$104,MATCH(D2536,Produtos!$B$5:$B$104,0))),0),F2536))</f>
        <v/>
      </c>
      <c r="H2536" s="27" t="str">
        <f aca="false">IF(G2536="","",IF(N(E2536)=0,1,E2536)*IFERROR(N(INDEX(Produtos!$G$5:$G$104,MATCH(D2536,Produtos!$B$5:$B$104,0))),0))</f>
        <v/>
      </c>
      <c r="I2536" s="27" t="str">
        <f aca="false">IF(G2536="","",G2536-H2536)</f>
        <v/>
      </c>
      <c r="J2536" s="42"/>
    </row>
    <row r="2537" customFormat="false" ht="21" hidden="false" customHeight="true" outlineLevel="0" collapsed="false">
      <c r="B2537" s="41"/>
      <c r="C2537" s="9"/>
      <c r="D2537" s="9"/>
      <c r="E2537" s="42"/>
      <c r="F2537" s="43"/>
      <c r="G2537" s="27" t="str">
        <f aca="false">IF(OR(C2537="",AND(D2537="",F2537="")),"",IF(N(E2537)=0,1,E2537)*IF(F2537="",IFERROR(N(INDEX(Produtos!$L$5:$L$104,MATCH(D2537,Produtos!$B$5:$B$104,0))),0),F2537))</f>
        <v/>
      </c>
      <c r="H2537" s="27" t="str">
        <f aca="false">IF(G2537="","",IF(N(E2537)=0,1,E2537)*IFERROR(N(INDEX(Produtos!$G$5:$G$104,MATCH(D2537,Produtos!$B$5:$B$104,0))),0))</f>
        <v/>
      </c>
      <c r="I2537" s="27" t="str">
        <f aca="false">IF(G2537="","",G2537-H2537)</f>
        <v/>
      </c>
      <c r="J2537" s="42"/>
    </row>
    <row r="2538" customFormat="false" ht="21" hidden="false" customHeight="true" outlineLevel="0" collapsed="false">
      <c r="B2538" s="41"/>
      <c r="C2538" s="9"/>
      <c r="D2538" s="9"/>
      <c r="E2538" s="42"/>
      <c r="F2538" s="43"/>
      <c r="G2538" s="27" t="str">
        <f aca="false">IF(OR(C2538="",AND(D2538="",F2538="")),"",IF(N(E2538)=0,1,E2538)*IF(F2538="",IFERROR(N(INDEX(Produtos!$L$5:$L$104,MATCH(D2538,Produtos!$B$5:$B$104,0))),0),F2538))</f>
        <v/>
      </c>
      <c r="H2538" s="27" t="str">
        <f aca="false">IF(G2538="","",IF(N(E2538)=0,1,E2538)*IFERROR(N(INDEX(Produtos!$G$5:$G$104,MATCH(D2538,Produtos!$B$5:$B$104,0))),0))</f>
        <v/>
      </c>
      <c r="I2538" s="27" t="str">
        <f aca="false">IF(G2538="","",G2538-H2538)</f>
        <v/>
      </c>
      <c r="J2538" s="42"/>
    </row>
    <row r="2539" customFormat="false" ht="21" hidden="false" customHeight="true" outlineLevel="0" collapsed="false">
      <c r="B2539" s="41"/>
      <c r="C2539" s="9"/>
      <c r="D2539" s="9"/>
      <c r="E2539" s="42"/>
      <c r="F2539" s="43"/>
      <c r="G2539" s="27" t="str">
        <f aca="false">IF(OR(C2539="",AND(D2539="",F2539="")),"",IF(N(E2539)=0,1,E2539)*IF(F2539="",IFERROR(N(INDEX(Produtos!$L$5:$L$104,MATCH(D2539,Produtos!$B$5:$B$104,0))),0),F2539))</f>
        <v/>
      </c>
      <c r="H2539" s="27" t="str">
        <f aca="false">IF(G2539="","",IF(N(E2539)=0,1,E2539)*IFERROR(N(INDEX(Produtos!$G$5:$G$104,MATCH(D2539,Produtos!$B$5:$B$104,0))),0))</f>
        <v/>
      </c>
      <c r="I2539" s="27" t="str">
        <f aca="false">IF(G2539="","",G2539-H2539)</f>
        <v/>
      </c>
      <c r="J2539" s="42"/>
    </row>
    <row r="2540" customFormat="false" ht="21" hidden="false" customHeight="true" outlineLevel="0" collapsed="false">
      <c r="B2540" s="41"/>
      <c r="C2540" s="9"/>
      <c r="D2540" s="9"/>
      <c r="E2540" s="42"/>
      <c r="F2540" s="43"/>
      <c r="G2540" s="27" t="str">
        <f aca="false">IF(OR(C2540="",AND(D2540="",F2540="")),"",IF(N(E2540)=0,1,E2540)*IF(F2540="",IFERROR(N(INDEX(Produtos!$L$5:$L$104,MATCH(D2540,Produtos!$B$5:$B$104,0))),0),F2540))</f>
        <v/>
      </c>
      <c r="H2540" s="27" t="str">
        <f aca="false">IF(G2540="","",IF(N(E2540)=0,1,E2540)*IFERROR(N(INDEX(Produtos!$G$5:$G$104,MATCH(D2540,Produtos!$B$5:$B$104,0))),0))</f>
        <v/>
      </c>
      <c r="I2540" s="27" t="str">
        <f aca="false">IF(G2540="","",G2540-H2540)</f>
        <v/>
      </c>
      <c r="J2540" s="42"/>
    </row>
    <row r="2541" customFormat="false" ht="21" hidden="false" customHeight="true" outlineLevel="0" collapsed="false">
      <c r="B2541" s="41"/>
      <c r="C2541" s="9"/>
      <c r="D2541" s="9"/>
      <c r="E2541" s="42"/>
      <c r="F2541" s="43"/>
      <c r="G2541" s="27" t="str">
        <f aca="false">IF(OR(C2541="",AND(D2541="",F2541="")),"",IF(N(E2541)=0,1,E2541)*IF(F2541="",IFERROR(N(INDEX(Produtos!$L$5:$L$104,MATCH(D2541,Produtos!$B$5:$B$104,0))),0),F2541))</f>
        <v/>
      </c>
      <c r="H2541" s="27" t="str">
        <f aca="false">IF(G2541="","",IF(N(E2541)=0,1,E2541)*IFERROR(N(INDEX(Produtos!$G$5:$G$104,MATCH(D2541,Produtos!$B$5:$B$104,0))),0))</f>
        <v/>
      </c>
      <c r="I2541" s="27" t="str">
        <f aca="false">IF(G2541="","",G2541-H2541)</f>
        <v/>
      </c>
      <c r="J2541" s="42"/>
    </row>
    <row r="2542" customFormat="false" ht="21" hidden="false" customHeight="true" outlineLevel="0" collapsed="false">
      <c r="B2542" s="41"/>
      <c r="C2542" s="9"/>
      <c r="D2542" s="9"/>
      <c r="E2542" s="42"/>
      <c r="F2542" s="43"/>
      <c r="G2542" s="27" t="str">
        <f aca="false">IF(OR(C2542="",AND(D2542="",F2542="")),"",IF(N(E2542)=0,1,E2542)*IF(F2542="",IFERROR(N(INDEX(Produtos!$L$5:$L$104,MATCH(D2542,Produtos!$B$5:$B$104,0))),0),F2542))</f>
        <v/>
      </c>
      <c r="H2542" s="27" t="str">
        <f aca="false">IF(G2542="","",IF(N(E2542)=0,1,E2542)*IFERROR(N(INDEX(Produtos!$G$5:$G$104,MATCH(D2542,Produtos!$B$5:$B$104,0))),0))</f>
        <v/>
      </c>
      <c r="I2542" s="27" t="str">
        <f aca="false">IF(G2542="","",G2542-H2542)</f>
        <v/>
      </c>
      <c r="J2542" s="42"/>
    </row>
    <row r="2543" customFormat="false" ht="21" hidden="false" customHeight="true" outlineLevel="0" collapsed="false">
      <c r="B2543" s="41"/>
      <c r="C2543" s="9"/>
      <c r="D2543" s="9"/>
      <c r="E2543" s="42"/>
      <c r="F2543" s="43"/>
      <c r="G2543" s="27" t="str">
        <f aca="false">IF(OR(C2543="",AND(D2543="",F2543="")),"",IF(N(E2543)=0,1,E2543)*IF(F2543="",IFERROR(N(INDEX(Produtos!$L$5:$L$104,MATCH(D2543,Produtos!$B$5:$B$104,0))),0),F2543))</f>
        <v/>
      </c>
      <c r="H2543" s="27" t="str">
        <f aca="false">IF(G2543="","",IF(N(E2543)=0,1,E2543)*IFERROR(N(INDEX(Produtos!$G$5:$G$104,MATCH(D2543,Produtos!$B$5:$B$104,0))),0))</f>
        <v/>
      </c>
      <c r="I2543" s="27" t="str">
        <f aca="false">IF(G2543="","",G2543-H2543)</f>
        <v/>
      </c>
      <c r="J2543" s="42"/>
    </row>
    <row r="2544" customFormat="false" ht="21" hidden="false" customHeight="true" outlineLevel="0" collapsed="false">
      <c r="B2544" s="41"/>
      <c r="C2544" s="9"/>
      <c r="D2544" s="9"/>
      <c r="E2544" s="42"/>
      <c r="F2544" s="43"/>
      <c r="G2544" s="27" t="str">
        <f aca="false">IF(OR(C2544="",AND(D2544="",F2544="")),"",IF(N(E2544)=0,1,E2544)*IF(F2544="",IFERROR(N(INDEX(Produtos!$L$5:$L$104,MATCH(D2544,Produtos!$B$5:$B$104,0))),0),F2544))</f>
        <v/>
      </c>
      <c r="H2544" s="27" t="str">
        <f aca="false">IF(G2544="","",IF(N(E2544)=0,1,E2544)*IFERROR(N(INDEX(Produtos!$G$5:$G$104,MATCH(D2544,Produtos!$B$5:$B$104,0))),0))</f>
        <v/>
      </c>
      <c r="I2544" s="27" t="str">
        <f aca="false">IF(G2544="","",G2544-H2544)</f>
        <v/>
      </c>
      <c r="J2544" s="42"/>
    </row>
    <row r="2545" customFormat="false" ht="21" hidden="false" customHeight="true" outlineLevel="0" collapsed="false">
      <c r="B2545" s="41"/>
      <c r="C2545" s="9"/>
      <c r="D2545" s="9"/>
      <c r="E2545" s="42"/>
      <c r="F2545" s="43"/>
      <c r="G2545" s="27" t="str">
        <f aca="false">IF(OR(C2545="",AND(D2545="",F2545="")),"",IF(N(E2545)=0,1,E2545)*IF(F2545="",IFERROR(N(INDEX(Produtos!$L$5:$L$104,MATCH(D2545,Produtos!$B$5:$B$104,0))),0),F2545))</f>
        <v/>
      </c>
      <c r="H2545" s="27" t="str">
        <f aca="false">IF(G2545="","",IF(N(E2545)=0,1,E2545)*IFERROR(N(INDEX(Produtos!$G$5:$G$104,MATCH(D2545,Produtos!$B$5:$B$104,0))),0))</f>
        <v/>
      </c>
      <c r="I2545" s="27" t="str">
        <f aca="false">IF(G2545="","",G2545-H2545)</f>
        <v/>
      </c>
      <c r="J2545" s="42"/>
    </row>
    <row r="2546" customFormat="false" ht="21" hidden="false" customHeight="true" outlineLevel="0" collapsed="false">
      <c r="B2546" s="41"/>
      <c r="C2546" s="9"/>
      <c r="D2546" s="9"/>
      <c r="E2546" s="42"/>
      <c r="F2546" s="43"/>
      <c r="G2546" s="27" t="str">
        <f aca="false">IF(OR(C2546="",AND(D2546="",F2546="")),"",IF(N(E2546)=0,1,E2546)*IF(F2546="",IFERROR(N(INDEX(Produtos!$L$5:$L$104,MATCH(D2546,Produtos!$B$5:$B$104,0))),0),F2546))</f>
        <v/>
      </c>
      <c r="H2546" s="27" t="str">
        <f aca="false">IF(G2546="","",IF(N(E2546)=0,1,E2546)*IFERROR(N(INDEX(Produtos!$G$5:$G$104,MATCH(D2546,Produtos!$B$5:$B$104,0))),0))</f>
        <v/>
      </c>
      <c r="I2546" s="27" t="str">
        <f aca="false">IF(G2546="","",G2546-H2546)</f>
        <v/>
      </c>
      <c r="J2546" s="42"/>
    </row>
    <row r="2547" customFormat="false" ht="21" hidden="false" customHeight="true" outlineLevel="0" collapsed="false">
      <c r="B2547" s="41"/>
      <c r="C2547" s="9"/>
      <c r="D2547" s="9"/>
      <c r="E2547" s="42"/>
      <c r="F2547" s="43"/>
      <c r="G2547" s="27" t="str">
        <f aca="false">IF(OR(C2547="",AND(D2547="",F2547="")),"",IF(N(E2547)=0,1,E2547)*IF(F2547="",IFERROR(N(INDEX(Produtos!$L$5:$L$104,MATCH(D2547,Produtos!$B$5:$B$104,0))),0),F2547))</f>
        <v/>
      </c>
      <c r="H2547" s="27" t="str">
        <f aca="false">IF(G2547="","",IF(N(E2547)=0,1,E2547)*IFERROR(N(INDEX(Produtos!$G$5:$G$104,MATCH(D2547,Produtos!$B$5:$B$104,0))),0))</f>
        <v/>
      </c>
      <c r="I2547" s="27" t="str">
        <f aca="false">IF(G2547="","",G2547-H2547)</f>
        <v/>
      </c>
      <c r="J2547" s="42"/>
    </row>
    <row r="2548" customFormat="false" ht="21" hidden="false" customHeight="true" outlineLevel="0" collapsed="false">
      <c r="B2548" s="41"/>
      <c r="C2548" s="9"/>
      <c r="D2548" s="9"/>
      <c r="E2548" s="42"/>
      <c r="F2548" s="43"/>
      <c r="G2548" s="27" t="str">
        <f aca="false">IF(OR(C2548="",AND(D2548="",F2548="")),"",IF(N(E2548)=0,1,E2548)*IF(F2548="",IFERROR(N(INDEX(Produtos!$L$5:$L$104,MATCH(D2548,Produtos!$B$5:$B$104,0))),0),F2548))</f>
        <v/>
      </c>
      <c r="H2548" s="27" t="str">
        <f aca="false">IF(G2548="","",IF(N(E2548)=0,1,E2548)*IFERROR(N(INDEX(Produtos!$G$5:$G$104,MATCH(D2548,Produtos!$B$5:$B$104,0))),0))</f>
        <v/>
      </c>
      <c r="I2548" s="27" t="str">
        <f aca="false">IF(G2548="","",G2548-H2548)</f>
        <v/>
      </c>
      <c r="J2548" s="42"/>
    </row>
    <row r="2549" customFormat="false" ht="21" hidden="false" customHeight="true" outlineLevel="0" collapsed="false">
      <c r="B2549" s="41"/>
      <c r="C2549" s="9"/>
      <c r="D2549" s="9"/>
      <c r="E2549" s="42"/>
      <c r="F2549" s="43"/>
      <c r="G2549" s="27" t="str">
        <f aca="false">IF(OR(C2549="",AND(D2549="",F2549="")),"",IF(N(E2549)=0,1,E2549)*IF(F2549="",IFERROR(N(INDEX(Produtos!$L$5:$L$104,MATCH(D2549,Produtos!$B$5:$B$104,0))),0),F2549))</f>
        <v/>
      </c>
      <c r="H2549" s="27" t="str">
        <f aca="false">IF(G2549="","",IF(N(E2549)=0,1,E2549)*IFERROR(N(INDEX(Produtos!$G$5:$G$104,MATCH(D2549,Produtos!$B$5:$B$104,0))),0))</f>
        <v/>
      </c>
      <c r="I2549" s="27" t="str">
        <f aca="false">IF(G2549="","",G2549-H2549)</f>
        <v/>
      </c>
      <c r="J2549" s="42"/>
    </row>
    <row r="2550" customFormat="false" ht="21" hidden="false" customHeight="true" outlineLevel="0" collapsed="false">
      <c r="B2550" s="41"/>
      <c r="C2550" s="9"/>
      <c r="D2550" s="9"/>
      <c r="E2550" s="42"/>
      <c r="F2550" s="43"/>
      <c r="G2550" s="27" t="str">
        <f aca="false">IF(OR(C2550="",AND(D2550="",F2550="")),"",IF(N(E2550)=0,1,E2550)*IF(F2550="",IFERROR(N(INDEX(Produtos!$L$5:$L$104,MATCH(D2550,Produtos!$B$5:$B$104,0))),0),F2550))</f>
        <v/>
      </c>
      <c r="H2550" s="27" t="str">
        <f aca="false">IF(G2550="","",IF(N(E2550)=0,1,E2550)*IFERROR(N(INDEX(Produtos!$G$5:$G$104,MATCH(D2550,Produtos!$B$5:$B$104,0))),0))</f>
        <v/>
      </c>
      <c r="I2550" s="27" t="str">
        <f aca="false">IF(G2550="","",G2550-H2550)</f>
        <v/>
      </c>
      <c r="J2550" s="42"/>
    </row>
    <row r="2551" customFormat="false" ht="21" hidden="false" customHeight="true" outlineLevel="0" collapsed="false">
      <c r="B2551" s="41"/>
      <c r="C2551" s="9"/>
      <c r="D2551" s="9"/>
      <c r="E2551" s="42"/>
      <c r="F2551" s="43"/>
      <c r="G2551" s="27" t="str">
        <f aca="false">IF(OR(C2551="",AND(D2551="",F2551="")),"",IF(N(E2551)=0,1,E2551)*IF(F2551="",IFERROR(N(INDEX(Produtos!$L$5:$L$104,MATCH(D2551,Produtos!$B$5:$B$104,0))),0),F2551))</f>
        <v/>
      </c>
      <c r="H2551" s="27" t="str">
        <f aca="false">IF(G2551="","",IF(N(E2551)=0,1,E2551)*IFERROR(N(INDEX(Produtos!$G$5:$G$104,MATCH(D2551,Produtos!$B$5:$B$104,0))),0))</f>
        <v/>
      </c>
      <c r="I2551" s="27" t="str">
        <f aca="false">IF(G2551="","",G2551-H2551)</f>
        <v/>
      </c>
      <c r="J2551" s="42"/>
    </row>
    <row r="2552" customFormat="false" ht="21" hidden="false" customHeight="true" outlineLevel="0" collapsed="false">
      <c r="B2552" s="41"/>
      <c r="C2552" s="9"/>
      <c r="D2552" s="9"/>
      <c r="E2552" s="42"/>
      <c r="F2552" s="43"/>
      <c r="G2552" s="27" t="str">
        <f aca="false">IF(OR(C2552="",AND(D2552="",F2552="")),"",IF(N(E2552)=0,1,E2552)*IF(F2552="",IFERROR(N(INDEX(Produtos!$L$5:$L$104,MATCH(D2552,Produtos!$B$5:$B$104,0))),0),F2552))</f>
        <v/>
      </c>
      <c r="H2552" s="27" t="str">
        <f aca="false">IF(G2552="","",IF(N(E2552)=0,1,E2552)*IFERROR(N(INDEX(Produtos!$G$5:$G$104,MATCH(D2552,Produtos!$B$5:$B$104,0))),0))</f>
        <v/>
      </c>
      <c r="I2552" s="27" t="str">
        <f aca="false">IF(G2552="","",G2552-H2552)</f>
        <v/>
      </c>
      <c r="J2552" s="42"/>
    </row>
    <row r="2553" customFormat="false" ht="21" hidden="false" customHeight="true" outlineLevel="0" collapsed="false">
      <c r="B2553" s="41"/>
      <c r="C2553" s="9"/>
      <c r="D2553" s="9"/>
      <c r="E2553" s="42"/>
      <c r="F2553" s="43"/>
      <c r="G2553" s="27" t="str">
        <f aca="false">IF(OR(C2553="",AND(D2553="",F2553="")),"",IF(N(E2553)=0,1,E2553)*IF(F2553="",IFERROR(N(INDEX(Produtos!$L$5:$L$104,MATCH(D2553,Produtos!$B$5:$B$104,0))),0),F2553))</f>
        <v/>
      </c>
      <c r="H2553" s="27" t="str">
        <f aca="false">IF(G2553="","",IF(N(E2553)=0,1,E2553)*IFERROR(N(INDEX(Produtos!$G$5:$G$104,MATCH(D2553,Produtos!$B$5:$B$104,0))),0))</f>
        <v/>
      </c>
      <c r="I2553" s="27" t="str">
        <f aca="false">IF(G2553="","",G2553-H2553)</f>
        <v/>
      </c>
      <c r="J2553" s="42"/>
    </row>
    <row r="2554" customFormat="false" ht="21" hidden="false" customHeight="true" outlineLevel="0" collapsed="false">
      <c r="B2554" s="41"/>
      <c r="C2554" s="9"/>
      <c r="D2554" s="9"/>
      <c r="E2554" s="42"/>
      <c r="F2554" s="43"/>
      <c r="G2554" s="27" t="str">
        <f aca="false">IF(OR(C2554="",AND(D2554="",F2554="")),"",IF(N(E2554)=0,1,E2554)*IF(F2554="",IFERROR(N(INDEX(Produtos!$L$5:$L$104,MATCH(D2554,Produtos!$B$5:$B$104,0))),0),F2554))</f>
        <v/>
      </c>
      <c r="H2554" s="27" t="str">
        <f aca="false">IF(G2554="","",IF(N(E2554)=0,1,E2554)*IFERROR(N(INDEX(Produtos!$G$5:$G$104,MATCH(D2554,Produtos!$B$5:$B$104,0))),0))</f>
        <v/>
      </c>
      <c r="I2554" s="27" t="str">
        <f aca="false">IF(G2554="","",G2554-H2554)</f>
        <v/>
      </c>
      <c r="J2554" s="42"/>
    </row>
    <row r="2555" customFormat="false" ht="21" hidden="false" customHeight="true" outlineLevel="0" collapsed="false">
      <c r="B2555" s="41"/>
      <c r="C2555" s="9"/>
      <c r="D2555" s="9"/>
      <c r="E2555" s="42"/>
      <c r="F2555" s="43"/>
      <c r="G2555" s="27" t="str">
        <f aca="false">IF(OR(C2555="",AND(D2555="",F2555="")),"",IF(N(E2555)=0,1,E2555)*IF(F2555="",IFERROR(N(INDEX(Produtos!$L$5:$L$104,MATCH(D2555,Produtos!$B$5:$B$104,0))),0),F2555))</f>
        <v/>
      </c>
      <c r="H2555" s="27" t="str">
        <f aca="false">IF(G2555="","",IF(N(E2555)=0,1,E2555)*IFERROR(N(INDEX(Produtos!$G$5:$G$104,MATCH(D2555,Produtos!$B$5:$B$104,0))),0))</f>
        <v/>
      </c>
      <c r="I2555" s="27" t="str">
        <f aca="false">IF(G2555="","",G2555-H2555)</f>
        <v/>
      </c>
      <c r="J2555" s="42"/>
    </row>
    <row r="2556" customFormat="false" ht="21" hidden="false" customHeight="true" outlineLevel="0" collapsed="false">
      <c r="B2556" s="41"/>
      <c r="C2556" s="9"/>
      <c r="D2556" s="9"/>
      <c r="E2556" s="42"/>
      <c r="F2556" s="43"/>
      <c r="G2556" s="27" t="str">
        <f aca="false">IF(OR(C2556="",AND(D2556="",F2556="")),"",IF(N(E2556)=0,1,E2556)*IF(F2556="",IFERROR(N(INDEX(Produtos!$L$5:$L$104,MATCH(D2556,Produtos!$B$5:$B$104,0))),0),F2556))</f>
        <v/>
      </c>
      <c r="H2556" s="27" t="str">
        <f aca="false">IF(G2556="","",IF(N(E2556)=0,1,E2556)*IFERROR(N(INDEX(Produtos!$G$5:$G$104,MATCH(D2556,Produtos!$B$5:$B$104,0))),0))</f>
        <v/>
      </c>
      <c r="I2556" s="27" t="str">
        <f aca="false">IF(G2556="","",G2556-H2556)</f>
        <v/>
      </c>
      <c r="J2556" s="42"/>
    </row>
    <row r="2557" customFormat="false" ht="21" hidden="false" customHeight="true" outlineLevel="0" collapsed="false">
      <c r="B2557" s="41"/>
      <c r="C2557" s="9"/>
      <c r="D2557" s="9"/>
      <c r="E2557" s="42"/>
      <c r="F2557" s="43"/>
      <c r="G2557" s="27" t="str">
        <f aca="false">IF(OR(C2557="",AND(D2557="",F2557="")),"",IF(N(E2557)=0,1,E2557)*IF(F2557="",IFERROR(N(INDEX(Produtos!$L$5:$L$104,MATCH(D2557,Produtos!$B$5:$B$104,0))),0),F2557))</f>
        <v/>
      </c>
      <c r="H2557" s="27" t="str">
        <f aca="false">IF(G2557="","",IF(N(E2557)=0,1,E2557)*IFERROR(N(INDEX(Produtos!$G$5:$G$104,MATCH(D2557,Produtos!$B$5:$B$104,0))),0))</f>
        <v/>
      </c>
      <c r="I2557" s="27" t="str">
        <f aca="false">IF(G2557="","",G2557-H2557)</f>
        <v/>
      </c>
      <c r="J2557" s="42"/>
    </row>
    <row r="2558" customFormat="false" ht="21" hidden="false" customHeight="true" outlineLevel="0" collapsed="false">
      <c r="B2558" s="41"/>
      <c r="C2558" s="9"/>
      <c r="D2558" s="9"/>
      <c r="E2558" s="42"/>
      <c r="F2558" s="43"/>
      <c r="G2558" s="27" t="str">
        <f aca="false">IF(OR(C2558="",AND(D2558="",F2558="")),"",IF(N(E2558)=0,1,E2558)*IF(F2558="",IFERROR(N(INDEX(Produtos!$L$5:$L$104,MATCH(D2558,Produtos!$B$5:$B$104,0))),0),F2558))</f>
        <v/>
      </c>
      <c r="H2558" s="27" t="str">
        <f aca="false">IF(G2558="","",IF(N(E2558)=0,1,E2558)*IFERROR(N(INDEX(Produtos!$G$5:$G$104,MATCH(D2558,Produtos!$B$5:$B$104,0))),0))</f>
        <v/>
      </c>
      <c r="I2558" s="27" t="str">
        <f aca="false">IF(G2558="","",G2558-H2558)</f>
        <v/>
      </c>
      <c r="J2558" s="42"/>
    </row>
    <row r="2559" customFormat="false" ht="21" hidden="false" customHeight="true" outlineLevel="0" collapsed="false">
      <c r="B2559" s="41"/>
      <c r="C2559" s="9"/>
      <c r="D2559" s="9"/>
      <c r="E2559" s="42"/>
      <c r="F2559" s="43"/>
      <c r="G2559" s="27" t="str">
        <f aca="false">IF(OR(C2559="",AND(D2559="",F2559="")),"",IF(N(E2559)=0,1,E2559)*IF(F2559="",IFERROR(N(INDEX(Produtos!$L$5:$L$104,MATCH(D2559,Produtos!$B$5:$B$104,0))),0),F2559))</f>
        <v/>
      </c>
      <c r="H2559" s="27" t="str">
        <f aca="false">IF(G2559="","",IF(N(E2559)=0,1,E2559)*IFERROR(N(INDEX(Produtos!$G$5:$G$104,MATCH(D2559,Produtos!$B$5:$B$104,0))),0))</f>
        <v/>
      </c>
      <c r="I2559" s="27" t="str">
        <f aca="false">IF(G2559="","",G2559-H2559)</f>
        <v/>
      </c>
      <c r="J2559" s="42"/>
    </row>
    <row r="2560" customFormat="false" ht="21" hidden="false" customHeight="true" outlineLevel="0" collapsed="false">
      <c r="B2560" s="41"/>
      <c r="C2560" s="9"/>
      <c r="D2560" s="9"/>
      <c r="E2560" s="42"/>
      <c r="F2560" s="43"/>
      <c r="G2560" s="27" t="str">
        <f aca="false">IF(OR(C2560="",AND(D2560="",F2560="")),"",IF(N(E2560)=0,1,E2560)*IF(F2560="",IFERROR(N(INDEX(Produtos!$L$5:$L$104,MATCH(D2560,Produtos!$B$5:$B$104,0))),0),F2560))</f>
        <v/>
      </c>
      <c r="H2560" s="27" t="str">
        <f aca="false">IF(G2560="","",IF(N(E2560)=0,1,E2560)*IFERROR(N(INDEX(Produtos!$G$5:$G$104,MATCH(D2560,Produtos!$B$5:$B$104,0))),0))</f>
        <v/>
      </c>
      <c r="I2560" s="27" t="str">
        <f aca="false">IF(G2560="","",G2560-H2560)</f>
        <v/>
      </c>
      <c r="J2560" s="42"/>
    </row>
    <row r="2561" customFormat="false" ht="21" hidden="false" customHeight="true" outlineLevel="0" collapsed="false">
      <c r="B2561" s="41"/>
      <c r="C2561" s="9"/>
      <c r="D2561" s="9"/>
      <c r="E2561" s="42"/>
      <c r="F2561" s="43"/>
      <c r="G2561" s="27" t="str">
        <f aca="false">IF(OR(C2561="",AND(D2561="",F2561="")),"",IF(N(E2561)=0,1,E2561)*IF(F2561="",IFERROR(N(INDEX(Produtos!$L$5:$L$104,MATCH(D2561,Produtos!$B$5:$B$104,0))),0),F2561))</f>
        <v/>
      </c>
      <c r="H2561" s="27" t="str">
        <f aca="false">IF(G2561="","",IF(N(E2561)=0,1,E2561)*IFERROR(N(INDEX(Produtos!$G$5:$G$104,MATCH(D2561,Produtos!$B$5:$B$104,0))),0))</f>
        <v/>
      </c>
      <c r="I2561" s="27" t="str">
        <f aca="false">IF(G2561="","",G2561-H2561)</f>
        <v/>
      </c>
      <c r="J2561" s="42"/>
    </row>
    <row r="2562" customFormat="false" ht="21" hidden="false" customHeight="true" outlineLevel="0" collapsed="false">
      <c r="B2562" s="41"/>
      <c r="C2562" s="9"/>
      <c r="D2562" s="9"/>
      <c r="E2562" s="42"/>
      <c r="F2562" s="43"/>
      <c r="G2562" s="27" t="str">
        <f aca="false">IF(OR(C2562="",AND(D2562="",F2562="")),"",IF(N(E2562)=0,1,E2562)*IF(F2562="",IFERROR(N(INDEX(Produtos!$L$5:$L$104,MATCH(D2562,Produtos!$B$5:$B$104,0))),0),F2562))</f>
        <v/>
      </c>
      <c r="H2562" s="27" t="str">
        <f aca="false">IF(G2562="","",IF(N(E2562)=0,1,E2562)*IFERROR(N(INDEX(Produtos!$G$5:$G$104,MATCH(D2562,Produtos!$B$5:$B$104,0))),0))</f>
        <v/>
      </c>
      <c r="I2562" s="27" t="str">
        <f aca="false">IF(G2562="","",G2562-H2562)</f>
        <v/>
      </c>
      <c r="J2562" s="42"/>
    </row>
    <row r="2563" customFormat="false" ht="21" hidden="false" customHeight="true" outlineLevel="0" collapsed="false">
      <c r="B2563" s="41"/>
      <c r="C2563" s="9"/>
      <c r="D2563" s="9"/>
      <c r="E2563" s="42"/>
      <c r="F2563" s="43"/>
      <c r="G2563" s="27" t="str">
        <f aca="false">IF(OR(C2563="",AND(D2563="",F2563="")),"",IF(N(E2563)=0,1,E2563)*IF(F2563="",IFERROR(N(INDEX(Produtos!$L$5:$L$104,MATCH(D2563,Produtos!$B$5:$B$104,0))),0),F2563))</f>
        <v/>
      </c>
      <c r="H2563" s="27" t="str">
        <f aca="false">IF(G2563="","",IF(N(E2563)=0,1,E2563)*IFERROR(N(INDEX(Produtos!$G$5:$G$104,MATCH(D2563,Produtos!$B$5:$B$104,0))),0))</f>
        <v/>
      </c>
      <c r="I2563" s="27" t="str">
        <f aca="false">IF(G2563="","",G2563-H2563)</f>
        <v/>
      </c>
      <c r="J2563" s="42"/>
    </row>
    <row r="2564" customFormat="false" ht="21" hidden="false" customHeight="true" outlineLevel="0" collapsed="false">
      <c r="B2564" s="41"/>
      <c r="C2564" s="9"/>
      <c r="D2564" s="9"/>
      <c r="E2564" s="42"/>
      <c r="F2564" s="43"/>
      <c r="G2564" s="27" t="str">
        <f aca="false">IF(OR(C2564="",AND(D2564="",F2564="")),"",IF(N(E2564)=0,1,E2564)*IF(F2564="",IFERROR(N(INDEX(Produtos!$L$5:$L$104,MATCH(D2564,Produtos!$B$5:$B$104,0))),0),F2564))</f>
        <v/>
      </c>
      <c r="H2564" s="27" t="str">
        <f aca="false">IF(G2564="","",IF(N(E2564)=0,1,E2564)*IFERROR(N(INDEX(Produtos!$G$5:$G$104,MATCH(D2564,Produtos!$B$5:$B$104,0))),0))</f>
        <v/>
      </c>
      <c r="I2564" s="27" t="str">
        <f aca="false">IF(G2564="","",G2564-H2564)</f>
        <v/>
      </c>
      <c r="J2564" s="42"/>
    </row>
    <row r="2565" customFormat="false" ht="21" hidden="false" customHeight="true" outlineLevel="0" collapsed="false">
      <c r="B2565" s="41"/>
      <c r="C2565" s="9"/>
      <c r="D2565" s="9"/>
      <c r="E2565" s="42"/>
      <c r="F2565" s="43"/>
      <c r="G2565" s="27" t="str">
        <f aca="false">IF(OR(C2565="",AND(D2565="",F2565="")),"",IF(N(E2565)=0,1,E2565)*IF(F2565="",IFERROR(N(INDEX(Produtos!$L$5:$L$104,MATCH(D2565,Produtos!$B$5:$B$104,0))),0),F2565))</f>
        <v/>
      </c>
      <c r="H2565" s="27" t="str">
        <f aca="false">IF(G2565="","",IF(N(E2565)=0,1,E2565)*IFERROR(N(INDEX(Produtos!$G$5:$G$104,MATCH(D2565,Produtos!$B$5:$B$104,0))),0))</f>
        <v/>
      </c>
      <c r="I2565" s="27" t="str">
        <f aca="false">IF(G2565="","",G2565-H2565)</f>
        <v/>
      </c>
      <c r="J2565" s="42"/>
    </row>
    <row r="2566" customFormat="false" ht="21" hidden="false" customHeight="true" outlineLevel="0" collapsed="false">
      <c r="B2566" s="41"/>
      <c r="C2566" s="9"/>
      <c r="D2566" s="9"/>
      <c r="E2566" s="42"/>
      <c r="F2566" s="43"/>
      <c r="G2566" s="27" t="str">
        <f aca="false">IF(OR(C2566="",AND(D2566="",F2566="")),"",IF(N(E2566)=0,1,E2566)*IF(F2566="",IFERROR(N(INDEX(Produtos!$L$5:$L$104,MATCH(D2566,Produtos!$B$5:$B$104,0))),0),F2566))</f>
        <v/>
      </c>
      <c r="H2566" s="27" t="str">
        <f aca="false">IF(G2566="","",IF(N(E2566)=0,1,E2566)*IFERROR(N(INDEX(Produtos!$G$5:$G$104,MATCH(D2566,Produtos!$B$5:$B$104,0))),0))</f>
        <v/>
      </c>
      <c r="I2566" s="27" t="str">
        <f aca="false">IF(G2566="","",G2566-H2566)</f>
        <v/>
      </c>
      <c r="J2566" s="42"/>
    </row>
    <row r="2567" customFormat="false" ht="21" hidden="false" customHeight="true" outlineLevel="0" collapsed="false">
      <c r="B2567" s="41"/>
      <c r="C2567" s="9"/>
      <c r="D2567" s="9"/>
      <c r="E2567" s="42"/>
      <c r="F2567" s="43"/>
      <c r="G2567" s="27" t="str">
        <f aca="false">IF(OR(C2567="",AND(D2567="",F2567="")),"",IF(N(E2567)=0,1,E2567)*IF(F2567="",IFERROR(N(INDEX(Produtos!$L$5:$L$104,MATCH(D2567,Produtos!$B$5:$B$104,0))),0),F2567))</f>
        <v/>
      </c>
      <c r="H2567" s="27" t="str">
        <f aca="false">IF(G2567="","",IF(N(E2567)=0,1,E2567)*IFERROR(N(INDEX(Produtos!$G$5:$G$104,MATCH(D2567,Produtos!$B$5:$B$104,0))),0))</f>
        <v/>
      </c>
      <c r="I2567" s="27" t="str">
        <f aca="false">IF(G2567="","",G2567-H2567)</f>
        <v/>
      </c>
      <c r="J2567" s="42"/>
    </row>
    <row r="2568" customFormat="false" ht="21" hidden="false" customHeight="true" outlineLevel="0" collapsed="false">
      <c r="B2568" s="41"/>
      <c r="C2568" s="9"/>
      <c r="D2568" s="9"/>
      <c r="E2568" s="42"/>
      <c r="F2568" s="43"/>
      <c r="G2568" s="27" t="str">
        <f aca="false">IF(OR(C2568="",AND(D2568="",F2568="")),"",IF(N(E2568)=0,1,E2568)*IF(F2568="",IFERROR(N(INDEX(Produtos!$L$5:$L$104,MATCH(D2568,Produtos!$B$5:$B$104,0))),0),F2568))</f>
        <v/>
      </c>
      <c r="H2568" s="27" t="str">
        <f aca="false">IF(G2568="","",IF(N(E2568)=0,1,E2568)*IFERROR(N(INDEX(Produtos!$G$5:$G$104,MATCH(D2568,Produtos!$B$5:$B$104,0))),0))</f>
        <v/>
      </c>
      <c r="I2568" s="27" t="str">
        <f aca="false">IF(G2568="","",G2568-H2568)</f>
        <v/>
      </c>
      <c r="J2568" s="42"/>
    </row>
    <row r="2569" customFormat="false" ht="21" hidden="false" customHeight="true" outlineLevel="0" collapsed="false">
      <c r="B2569" s="41"/>
      <c r="C2569" s="9"/>
      <c r="D2569" s="9"/>
      <c r="E2569" s="42"/>
      <c r="F2569" s="43"/>
      <c r="G2569" s="27" t="str">
        <f aca="false">IF(OR(C2569="",AND(D2569="",F2569="")),"",IF(N(E2569)=0,1,E2569)*IF(F2569="",IFERROR(N(INDEX(Produtos!$L$5:$L$104,MATCH(D2569,Produtos!$B$5:$B$104,0))),0),F2569))</f>
        <v/>
      </c>
      <c r="H2569" s="27" t="str">
        <f aca="false">IF(G2569="","",IF(N(E2569)=0,1,E2569)*IFERROR(N(INDEX(Produtos!$G$5:$G$104,MATCH(D2569,Produtos!$B$5:$B$104,0))),0))</f>
        <v/>
      </c>
      <c r="I2569" s="27" t="str">
        <f aca="false">IF(G2569="","",G2569-H2569)</f>
        <v/>
      </c>
      <c r="J2569" s="42"/>
    </row>
    <row r="2570" customFormat="false" ht="21" hidden="false" customHeight="true" outlineLevel="0" collapsed="false">
      <c r="B2570" s="41"/>
      <c r="C2570" s="9"/>
      <c r="D2570" s="9"/>
      <c r="E2570" s="42"/>
      <c r="F2570" s="43"/>
      <c r="G2570" s="27" t="str">
        <f aca="false">IF(OR(C2570="",AND(D2570="",F2570="")),"",IF(N(E2570)=0,1,E2570)*IF(F2570="",IFERROR(N(INDEX(Produtos!$L$5:$L$104,MATCH(D2570,Produtos!$B$5:$B$104,0))),0),F2570))</f>
        <v/>
      </c>
      <c r="H2570" s="27" t="str">
        <f aca="false">IF(G2570="","",IF(N(E2570)=0,1,E2570)*IFERROR(N(INDEX(Produtos!$G$5:$G$104,MATCH(D2570,Produtos!$B$5:$B$104,0))),0))</f>
        <v/>
      </c>
      <c r="I2570" s="27" t="str">
        <f aca="false">IF(G2570="","",G2570-H2570)</f>
        <v/>
      </c>
      <c r="J2570" s="42"/>
    </row>
    <row r="2571" customFormat="false" ht="21" hidden="false" customHeight="true" outlineLevel="0" collapsed="false">
      <c r="B2571" s="41"/>
      <c r="C2571" s="9"/>
      <c r="D2571" s="9"/>
      <c r="E2571" s="42"/>
      <c r="F2571" s="43"/>
      <c r="G2571" s="27" t="str">
        <f aca="false">IF(OR(C2571="",AND(D2571="",F2571="")),"",IF(N(E2571)=0,1,E2571)*IF(F2571="",IFERROR(N(INDEX(Produtos!$L$5:$L$104,MATCH(D2571,Produtos!$B$5:$B$104,0))),0),F2571))</f>
        <v/>
      </c>
      <c r="H2571" s="27" t="str">
        <f aca="false">IF(G2571="","",IF(N(E2571)=0,1,E2571)*IFERROR(N(INDEX(Produtos!$G$5:$G$104,MATCH(D2571,Produtos!$B$5:$B$104,0))),0))</f>
        <v/>
      </c>
      <c r="I2571" s="27" t="str">
        <f aca="false">IF(G2571="","",G2571-H2571)</f>
        <v/>
      </c>
      <c r="J2571" s="42"/>
    </row>
    <row r="2572" customFormat="false" ht="21" hidden="false" customHeight="true" outlineLevel="0" collapsed="false">
      <c r="B2572" s="41"/>
      <c r="C2572" s="9"/>
      <c r="D2572" s="9"/>
      <c r="E2572" s="42"/>
      <c r="F2572" s="43"/>
      <c r="G2572" s="27" t="str">
        <f aca="false">IF(OR(C2572="",AND(D2572="",F2572="")),"",IF(N(E2572)=0,1,E2572)*IF(F2572="",IFERROR(N(INDEX(Produtos!$L$5:$L$104,MATCH(D2572,Produtos!$B$5:$B$104,0))),0),F2572))</f>
        <v/>
      </c>
      <c r="H2572" s="27" t="str">
        <f aca="false">IF(G2572="","",IF(N(E2572)=0,1,E2572)*IFERROR(N(INDEX(Produtos!$G$5:$G$104,MATCH(D2572,Produtos!$B$5:$B$104,0))),0))</f>
        <v/>
      </c>
      <c r="I2572" s="27" t="str">
        <f aca="false">IF(G2572="","",G2572-H2572)</f>
        <v/>
      </c>
      <c r="J2572" s="42"/>
    </row>
    <row r="2573" customFormat="false" ht="21" hidden="false" customHeight="true" outlineLevel="0" collapsed="false">
      <c r="B2573" s="41"/>
      <c r="C2573" s="9"/>
      <c r="D2573" s="9"/>
      <c r="E2573" s="42"/>
      <c r="F2573" s="43"/>
      <c r="G2573" s="27" t="str">
        <f aca="false">IF(OR(C2573="",AND(D2573="",F2573="")),"",IF(N(E2573)=0,1,E2573)*IF(F2573="",IFERROR(N(INDEX(Produtos!$L$5:$L$104,MATCH(D2573,Produtos!$B$5:$B$104,0))),0),F2573))</f>
        <v/>
      </c>
      <c r="H2573" s="27" t="str">
        <f aca="false">IF(G2573="","",IF(N(E2573)=0,1,E2573)*IFERROR(N(INDEX(Produtos!$G$5:$G$104,MATCH(D2573,Produtos!$B$5:$B$104,0))),0))</f>
        <v/>
      </c>
      <c r="I2573" s="27" t="str">
        <f aca="false">IF(G2573="","",G2573-H2573)</f>
        <v/>
      </c>
      <c r="J2573" s="42"/>
    </row>
    <row r="2574" customFormat="false" ht="21" hidden="false" customHeight="true" outlineLevel="0" collapsed="false">
      <c r="B2574" s="41"/>
      <c r="C2574" s="9"/>
      <c r="D2574" s="9"/>
      <c r="E2574" s="42"/>
      <c r="F2574" s="43"/>
      <c r="G2574" s="27" t="str">
        <f aca="false">IF(OR(C2574="",AND(D2574="",F2574="")),"",IF(N(E2574)=0,1,E2574)*IF(F2574="",IFERROR(N(INDEX(Produtos!$L$5:$L$104,MATCH(D2574,Produtos!$B$5:$B$104,0))),0),F2574))</f>
        <v/>
      </c>
      <c r="H2574" s="27" t="str">
        <f aca="false">IF(G2574="","",IF(N(E2574)=0,1,E2574)*IFERROR(N(INDEX(Produtos!$G$5:$G$104,MATCH(D2574,Produtos!$B$5:$B$104,0))),0))</f>
        <v/>
      </c>
      <c r="I2574" s="27" t="str">
        <f aca="false">IF(G2574="","",G2574-H2574)</f>
        <v/>
      </c>
      <c r="J2574" s="42"/>
    </row>
    <row r="2575" customFormat="false" ht="21" hidden="false" customHeight="true" outlineLevel="0" collapsed="false">
      <c r="B2575" s="41"/>
      <c r="C2575" s="9"/>
      <c r="D2575" s="9"/>
      <c r="E2575" s="42"/>
      <c r="F2575" s="43"/>
      <c r="G2575" s="27" t="str">
        <f aca="false">IF(OR(C2575="",AND(D2575="",F2575="")),"",IF(N(E2575)=0,1,E2575)*IF(F2575="",IFERROR(N(INDEX(Produtos!$L$5:$L$104,MATCH(D2575,Produtos!$B$5:$B$104,0))),0),F2575))</f>
        <v/>
      </c>
      <c r="H2575" s="27" t="str">
        <f aca="false">IF(G2575="","",IF(N(E2575)=0,1,E2575)*IFERROR(N(INDEX(Produtos!$G$5:$G$104,MATCH(D2575,Produtos!$B$5:$B$104,0))),0))</f>
        <v/>
      </c>
      <c r="I2575" s="27" t="str">
        <f aca="false">IF(G2575="","",G2575-H2575)</f>
        <v/>
      </c>
      <c r="J2575" s="42"/>
    </row>
    <row r="2576" customFormat="false" ht="21" hidden="false" customHeight="true" outlineLevel="0" collapsed="false">
      <c r="B2576" s="41"/>
      <c r="C2576" s="9"/>
      <c r="D2576" s="9"/>
      <c r="E2576" s="42"/>
      <c r="F2576" s="43"/>
      <c r="G2576" s="27" t="str">
        <f aca="false">IF(OR(C2576="",AND(D2576="",F2576="")),"",IF(N(E2576)=0,1,E2576)*IF(F2576="",IFERROR(N(INDEX(Produtos!$L$5:$L$104,MATCH(D2576,Produtos!$B$5:$B$104,0))),0),F2576))</f>
        <v/>
      </c>
      <c r="H2576" s="27" t="str">
        <f aca="false">IF(G2576="","",IF(N(E2576)=0,1,E2576)*IFERROR(N(INDEX(Produtos!$G$5:$G$104,MATCH(D2576,Produtos!$B$5:$B$104,0))),0))</f>
        <v/>
      </c>
      <c r="I2576" s="27" t="str">
        <f aca="false">IF(G2576="","",G2576-H2576)</f>
        <v/>
      </c>
      <c r="J2576" s="42"/>
    </row>
    <row r="2577" customFormat="false" ht="21" hidden="false" customHeight="true" outlineLevel="0" collapsed="false">
      <c r="B2577" s="41"/>
      <c r="C2577" s="9"/>
      <c r="D2577" s="9"/>
      <c r="E2577" s="42"/>
      <c r="F2577" s="43"/>
      <c r="G2577" s="27" t="str">
        <f aca="false">IF(OR(C2577="",AND(D2577="",F2577="")),"",IF(N(E2577)=0,1,E2577)*IF(F2577="",IFERROR(N(INDEX(Produtos!$L$5:$L$104,MATCH(D2577,Produtos!$B$5:$B$104,0))),0),F2577))</f>
        <v/>
      </c>
      <c r="H2577" s="27" t="str">
        <f aca="false">IF(G2577="","",IF(N(E2577)=0,1,E2577)*IFERROR(N(INDEX(Produtos!$G$5:$G$104,MATCH(D2577,Produtos!$B$5:$B$104,0))),0))</f>
        <v/>
      </c>
      <c r="I2577" s="27" t="str">
        <f aca="false">IF(G2577="","",G2577-H2577)</f>
        <v/>
      </c>
      <c r="J2577" s="42"/>
    </row>
    <row r="2578" customFormat="false" ht="21" hidden="false" customHeight="true" outlineLevel="0" collapsed="false">
      <c r="B2578" s="41"/>
      <c r="C2578" s="9"/>
      <c r="D2578" s="9"/>
      <c r="E2578" s="42"/>
      <c r="F2578" s="43"/>
      <c r="G2578" s="27" t="str">
        <f aca="false">IF(OR(C2578="",AND(D2578="",F2578="")),"",IF(N(E2578)=0,1,E2578)*IF(F2578="",IFERROR(N(INDEX(Produtos!$L$5:$L$104,MATCH(D2578,Produtos!$B$5:$B$104,0))),0),F2578))</f>
        <v/>
      </c>
      <c r="H2578" s="27" t="str">
        <f aca="false">IF(G2578="","",IF(N(E2578)=0,1,E2578)*IFERROR(N(INDEX(Produtos!$G$5:$G$104,MATCH(D2578,Produtos!$B$5:$B$104,0))),0))</f>
        <v/>
      </c>
      <c r="I2578" s="27" t="str">
        <f aca="false">IF(G2578="","",G2578-H2578)</f>
        <v/>
      </c>
      <c r="J2578" s="42"/>
    </row>
    <row r="2579" customFormat="false" ht="21" hidden="false" customHeight="true" outlineLevel="0" collapsed="false">
      <c r="B2579" s="41"/>
      <c r="C2579" s="9"/>
      <c r="D2579" s="9"/>
      <c r="E2579" s="42"/>
      <c r="F2579" s="43"/>
      <c r="G2579" s="27" t="str">
        <f aca="false">IF(OR(C2579="",AND(D2579="",F2579="")),"",IF(N(E2579)=0,1,E2579)*IF(F2579="",IFERROR(N(INDEX(Produtos!$L$5:$L$104,MATCH(D2579,Produtos!$B$5:$B$104,0))),0),F2579))</f>
        <v/>
      </c>
      <c r="H2579" s="27" t="str">
        <f aca="false">IF(G2579="","",IF(N(E2579)=0,1,E2579)*IFERROR(N(INDEX(Produtos!$G$5:$G$104,MATCH(D2579,Produtos!$B$5:$B$104,0))),0))</f>
        <v/>
      </c>
      <c r="I2579" s="27" t="str">
        <f aca="false">IF(G2579="","",G2579-H2579)</f>
        <v/>
      </c>
      <c r="J2579" s="42"/>
    </row>
    <row r="2580" customFormat="false" ht="21" hidden="false" customHeight="true" outlineLevel="0" collapsed="false">
      <c r="B2580" s="41"/>
      <c r="C2580" s="9"/>
      <c r="D2580" s="9"/>
      <c r="E2580" s="42"/>
      <c r="F2580" s="43"/>
      <c r="G2580" s="27" t="str">
        <f aca="false">IF(OR(C2580="",AND(D2580="",F2580="")),"",IF(N(E2580)=0,1,E2580)*IF(F2580="",IFERROR(N(INDEX(Produtos!$L$5:$L$104,MATCH(D2580,Produtos!$B$5:$B$104,0))),0),F2580))</f>
        <v/>
      </c>
      <c r="H2580" s="27" t="str">
        <f aca="false">IF(G2580="","",IF(N(E2580)=0,1,E2580)*IFERROR(N(INDEX(Produtos!$G$5:$G$104,MATCH(D2580,Produtos!$B$5:$B$104,0))),0))</f>
        <v/>
      </c>
      <c r="I2580" s="27" t="str">
        <f aca="false">IF(G2580="","",G2580-H2580)</f>
        <v/>
      </c>
      <c r="J2580" s="42"/>
    </row>
    <row r="2581" customFormat="false" ht="21" hidden="false" customHeight="true" outlineLevel="0" collapsed="false">
      <c r="B2581" s="41"/>
      <c r="C2581" s="9"/>
      <c r="D2581" s="9"/>
      <c r="E2581" s="42"/>
      <c r="F2581" s="43"/>
      <c r="G2581" s="27" t="str">
        <f aca="false">IF(OR(C2581="",AND(D2581="",F2581="")),"",IF(N(E2581)=0,1,E2581)*IF(F2581="",IFERROR(N(INDEX(Produtos!$L$5:$L$104,MATCH(D2581,Produtos!$B$5:$B$104,0))),0),F2581))</f>
        <v/>
      </c>
      <c r="H2581" s="27" t="str">
        <f aca="false">IF(G2581="","",IF(N(E2581)=0,1,E2581)*IFERROR(N(INDEX(Produtos!$G$5:$G$104,MATCH(D2581,Produtos!$B$5:$B$104,0))),0))</f>
        <v/>
      </c>
      <c r="I2581" s="27" t="str">
        <f aca="false">IF(G2581="","",G2581-H2581)</f>
        <v/>
      </c>
      <c r="J2581" s="42"/>
    </row>
    <row r="2582" customFormat="false" ht="21" hidden="false" customHeight="true" outlineLevel="0" collapsed="false">
      <c r="B2582" s="41"/>
      <c r="C2582" s="9"/>
      <c r="D2582" s="9"/>
      <c r="E2582" s="42"/>
      <c r="F2582" s="43"/>
      <c r="G2582" s="27" t="str">
        <f aca="false">IF(OR(C2582="",AND(D2582="",F2582="")),"",IF(N(E2582)=0,1,E2582)*IF(F2582="",IFERROR(N(INDEX(Produtos!$L$5:$L$104,MATCH(D2582,Produtos!$B$5:$B$104,0))),0),F2582))</f>
        <v/>
      </c>
      <c r="H2582" s="27" t="str">
        <f aca="false">IF(G2582="","",IF(N(E2582)=0,1,E2582)*IFERROR(N(INDEX(Produtos!$G$5:$G$104,MATCH(D2582,Produtos!$B$5:$B$104,0))),0))</f>
        <v/>
      </c>
      <c r="I2582" s="27" t="str">
        <f aca="false">IF(G2582="","",G2582-H2582)</f>
        <v/>
      </c>
      <c r="J2582" s="42"/>
    </row>
    <row r="2583" customFormat="false" ht="21" hidden="false" customHeight="true" outlineLevel="0" collapsed="false">
      <c r="B2583" s="41"/>
      <c r="C2583" s="9"/>
      <c r="D2583" s="9"/>
      <c r="E2583" s="42"/>
      <c r="F2583" s="43"/>
      <c r="G2583" s="27" t="str">
        <f aca="false">IF(OR(C2583="",AND(D2583="",F2583="")),"",IF(N(E2583)=0,1,E2583)*IF(F2583="",IFERROR(N(INDEX(Produtos!$L$5:$L$104,MATCH(D2583,Produtos!$B$5:$B$104,0))),0),F2583))</f>
        <v/>
      </c>
      <c r="H2583" s="27" t="str">
        <f aca="false">IF(G2583="","",IF(N(E2583)=0,1,E2583)*IFERROR(N(INDEX(Produtos!$G$5:$G$104,MATCH(D2583,Produtos!$B$5:$B$104,0))),0))</f>
        <v/>
      </c>
      <c r="I2583" s="27" t="str">
        <f aca="false">IF(G2583="","",G2583-H2583)</f>
        <v/>
      </c>
      <c r="J2583" s="42"/>
    </row>
    <row r="2584" customFormat="false" ht="21" hidden="false" customHeight="true" outlineLevel="0" collapsed="false">
      <c r="B2584" s="41"/>
      <c r="C2584" s="9"/>
      <c r="D2584" s="9"/>
      <c r="E2584" s="42"/>
      <c r="F2584" s="43"/>
      <c r="G2584" s="27" t="str">
        <f aca="false">IF(OR(C2584="",AND(D2584="",F2584="")),"",IF(N(E2584)=0,1,E2584)*IF(F2584="",IFERROR(N(INDEX(Produtos!$L$5:$L$104,MATCH(D2584,Produtos!$B$5:$B$104,0))),0),F2584))</f>
        <v/>
      </c>
      <c r="H2584" s="27" t="str">
        <f aca="false">IF(G2584="","",IF(N(E2584)=0,1,E2584)*IFERROR(N(INDEX(Produtos!$G$5:$G$104,MATCH(D2584,Produtos!$B$5:$B$104,0))),0))</f>
        <v/>
      </c>
      <c r="I2584" s="27" t="str">
        <f aca="false">IF(G2584="","",G2584-H2584)</f>
        <v/>
      </c>
      <c r="J2584" s="42"/>
    </row>
    <row r="2585" customFormat="false" ht="21" hidden="false" customHeight="true" outlineLevel="0" collapsed="false">
      <c r="B2585" s="41"/>
      <c r="C2585" s="9"/>
      <c r="D2585" s="9"/>
      <c r="E2585" s="42"/>
      <c r="F2585" s="43"/>
      <c r="G2585" s="27" t="str">
        <f aca="false">IF(OR(C2585="",AND(D2585="",F2585="")),"",IF(N(E2585)=0,1,E2585)*IF(F2585="",IFERROR(N(INDEX(Produtos!$L$5:$L$104,MATCH(D2585,Produtos!$B$5:$B$104,0))),0),F2585))</f>
        <v/>
      </c>
      <c r="H2585" s="27" t="str">
        <f aca="false">IF(G2585="","",IF(N(E2585)=0,1,E2585)*IFERROR(N(INDEX(Produtos!$G$5:$G$104,MATCH(D2585,Produtos!$B$5:$B$104,0))),0))</f>
        <v/>
      </c>
      <c r="I2585" s="27" t="str">
        <f aca="false">IF(G2585="","",G2585-H2585)</f>
        <v/>
      </c>
      <c r="J2585" s="42"/>
    </row>
    <row r="2586" customFormat="false" ht="21" hidden="false" customHeight="true" outlineLevel="0" collapsed="false">
      <c r="B2586" s="41"/>
      <c r="C2586" s="9"/>
      <c r="D2586" s="9"/>
      <c r="E2586" s="42"/>
      <c r="F2586" s="43"/>
      <c r="G2586" s="27" t="str">
        <f aca="false">IF(OR(C2586="",AND(D2586="",F2586="")),"",IF(N(E2586)=0,1,E2586)*IF(F2586="",IFERROR(N(INDEX(Produtos!$L$5:$L$104,MATCH(D2586,Produtos!$B$5:$B$104,0))),0),F2586))</f>
        <v/>
      </c>
      <c r="H2586" s="27" t="str">
        <f aca="false">IF(G2586="","",IF(N(E2586)=0,1,E2586)*IFERROR(N(INDEX(Produtos!$G$5:$G$104,MATCH(D2586,Produtos!$B$5:$B$104,0))),0))</f>
        <v/>
      </c>
      <c r="I2586" s="27" t="str">
        <f aca="false">IF(G2586="","",G2586-H2586)</f>
        <v/>
      </c>
      <c r="J2586" s="42"/>
    </row>
    <row r="2587" customFormat="false" ht="21" hidden="false" customHeight="true" outlineLevel="0" collapsed="false">
      <c r="B2587" s="41"/>
      <c r="C2587" s="9"/>
      <c r="D2587" s="9"/>
      <c r="E2587" s="42"/>
      <c r="F2587" s="43"/>
      <c r="G2587" s="27" t="str">
        <f aca="false">IF(OR(C2587="",AND(D2587="",F2587="")),"",IF(N(E2587)=0,1,E2587)*IF(F2587="",IFERROR(N(INDEX(Produtos!$L$5:$L$104,MATCH(D2587,Produtos!$B$5:$B$104,0))),0),F2587))</f>
        <v/>
      </c>
      <c r="H2587" s="27" t="str">
        <f aca="false">IF(G2587="","",IF(N(E2587)=0,1,E2587)*IFERROR(N(INDEX(Produtos!$G$5:$G$104,MATCH(D2587,Produtos!$B$5:$B$104,0))),0))</f>
        <v/>
      </c>
      <c r="I2587" s="27" t="str">
        <f aca="false">IF(G2587="","",G2587-H2587)</f>
        <v/>
      </c>
      <c r="J2587" s="42"/>
    </row>
    <row r="2588" customFormat="false" ht="21" hidden="false" customHeight="true" outlineLevel="0" collapsed="false">
      <c r="B2588" s="41"/>
      <c r="C2588" s="9"/>
      <c r="D2588" s="9"/>
      <c r="E2588" s="42"/>
      <c r="F2588" s="43"/>
      <c r="G2588" s="27" t="str">
        <f aca="false">IF(OR(C2588="",AND(D2588="",F2588="")),"",IF(N(E2588)=0,1,E2588)*IF(F2588="",IFERROR(N(INDEX(Produtos!$L$5:$L$104,MATCH(D2588,Produtos!$B$5:$B$104,0))),0),F2588))</f>
        <v/>
      </c>
      <c r="H2588" s="27" t="str">
        <f aca="false">IF(G2588="","",IF(N(E2588)=0,1,E2588)*IFERROR(N(INDEX(Produtos!$G$5:$G$104,MATCH(D2588,Produtos!$B$5:$B$104,0))),0))</f>
        <v/>
      </c>
      <c r="I2588" s="27" t="str">
        <f aca="false">IF(G2588="","",G2588-H2588)</f>
        <v/>
      </c>
      <c r="J2588" s="42"/>
    </row>
    <row r="2589" customFormat="false" ht="21" hidden="false" customHeight="true" outlineLevel="0" collapsed="false">
      <c r="B2589" s="41"/>
      <c r="C2589" s="9"/>
      <c r="D2589" s="9"/>
      <c r="E2589" s="42"/>
      <c r="F2589" s="43"/>
      <c r="G2589" s="27" t="str">
        <f aca="false">IF(OR(C2589="",AND(D2589="",F2589="")),"",IF(N(E2589)=0,1,E2589)*IF(F2589="",IFERROR(N(INDEX(Produtos!$L$5:$L$104,MATCH(D2589,Produtos!$B$5:$B$104,0))),0),F2589))</f>
        <v/>
      </c>
      <c r="H2589" s="27" t="str">
        <f aca="false">IF(G2589="","",IF(N(E2589)=0,1,E2589)*IFERROR(N(INDEX(Produtos!$G$5:$G$104,MATCH(D2589,Produtos!$B$5:$B$104,0))),0))</f>
        <v/>
      </c>
      <c r="I2589" s="27" t="str">
        <f aca="false">IF(G2589="","",G2589-H2589)</f>
        <v/>
      </c>
      <c r="J2589" s="42"/>
    </row>
    <row r="2590" customFormat="false" ht="21" hidden="false" customHeight="true" outlineLevel="0" collapsed="false">
      <c r="B2590" s="41"/>
      <c r="C2590" s="9"/>
      <c r="D2590" s="9"/>
      <c r="E2590" s="42"/>
      <c r="F2590" s="43"/>
      <c r="G2590" s="27" t="str">
        <f aca="false">IF(OR(C2590="",AND(D2590="",F2590="")),"",IF(N(E2590)=0,1,E2590)*IF(F2590="",IFERROR(N(INDEX(Produtos!$L$5:$L$104,MATCH(D2590,Produtos!$B$5:$B$104,0))),0),F2590))</f>
        <v/>
      </c>
      <c r="H2590" s="27" t="str">
        <f aca="false">IF(G2590="","",IF(N(E2590)=0,1,E2590)*IFERROR(N(INDEX(Produtos!$G$5:$G$104,MATCH(D2590,Produtos!$B$5:$B$104,0))),0))</f>
        <v/>
      </c>
      <c r="I2590" s="27" t="str">
        <f aca="false">IF(G2590="","",G2590-H2590)</f>
        <v/>
      </c>
      <c r="J2590" s="42"/>
    </row>
    <row r="2591" customFormat="false" ht="21" hidden="false" customHeight="true" outlineLevel="0" collapsed="false">
      <c r="B2591" s="41"/>
      <c r="C2591" s="9"/>
      <c r="D2591" s="9"/>
      <c r="E2591" s="42"/>
      <c r="F2591" s="43"/>
      <c r="G2591" s="27" t="str">
        <f aca="false">IF(OR(C2591="",AND(D2591="",F2591="")),"",IF(N(E2591)=0,1,E2591)*IF(F2591="",IFERROR(N(INDEX(Produtos!$L$5:$L$104,MATCH(D2591,Produtos!$B$5:$B$104,0))),0),F2591))</f>
        <v/>
      </c>
      <c r="H2591" s="27" t="str">
        <f aca="false">IF(G2591="","",IF(N(E2591)=0,1,E2591)*IFERROR(N(INDEX(Produtos!$G$5:$G$104,MATCH(D2591,Produtos!$B$5:$B$104,0))),0))</f>
        <v/>
      </c>
      <c r="I2591" s="27" t="str">
        <f aca="false">IF(G2591="","",G2591-H2591)</f>
        <v/>
      </c>
      <c r="J2591" s="42"/>
    </row>
    <row r="2592" customFormat="false" ht="21" hidden="false" customHeight="true" outlineLevel="0" collapsed="false">
      <c r="B2592" s="41"/>
      <c r="C2592" s="9"/>
      <c r="D2592" s="9"/>
      <c r="E2592" s="42"/>
      <c r="F2592" s="43"/>
      <c r="G2592" s="27" t="str">
        <f aca="false">IF(OR(C2592="",AND(D2592="",F2592="")),"",IF(N(E2592)=0,1,E2592)*IF(F2592="",IFERROR(N(INDEX(Produtos!$L$5:$L$104,MATCH(D2592,Produtos!$B$5:$B$104,0))),0),F2592))</f>
        <v/>
      </c>
      <c r="H2592" s="27" t="str">
        <f aca="false">IF(G2592="","",IF(N(E2592)=0,1,E2592)*IFERROR(N(INDEX(Produtos!$G$5:$G$104,MATCH(D2592,Produtos!$B$5:$B$104,0))),0))</f>
        <v/>
      </c>
      <c r="I2592" s="27" t="str">
        <f aca="false">IF(G2592="","",G2592-H2592)</f>
        <v/>
      </c>
      <c r="J2592" s="42"/>
    </row>
    <row r="2593" customFormat="false" ht="21" hidden="false" customHeight="true" outlineLevel="0" collapsed="false">
      <c r="B2593" s="41"/>
      <c r="C2593" s="9"/>
      <c r="D2593" s="9"/>
      <c r="E2593" s="42"/>
      <c r="F2593" s="43"/>
      <c r="G2593" s="27" t="str">
        <f aca="false">IF(OR(C2593="",AND(D2593="",F2593="")),"",IF(N(E2593)=0,1,E2593)*IF(F2593="",IFERROR(N(INDEX(Produtos!$L$5:$L$104,MATCH(D2593,Produtos!$B$5:$B$104,0))),0),F2593))</f>
        <v/>
      </c>
      <c r="H2593" s="27" t="str">
        <f aca="false">IF(G2593="","",IF(N(E2593)=0,1,E2593)*IFERROR(N(INDEX(Produtos!$G$5:$G$104,MATCH(D2593,Produtos!$B$5:$B$104,0))),0))</f>
        <v/>
      </c>
      <c r="I2593" s="27" t="str">
        <f aca="false">IF(G2593="","",G2593-H2593)</f>
        <v/>
      </c>
      <c r="J2593" s="42"/>
    </row>
    <row r="2594" customFormat="false" ht="21" hidden="false" customHeight="true" outlineLevel="0" collapsed="false">
      <c r="B2594" s="41"/>
      <c r="C2594" s="9"/>
      <c r="D2594" s="9"/>
      <c r="E2594" s="42"/>
      <c r="F2594" s="43"/>
      <c r="G2594" s="27" t="str">
        <f aca="false">IF(OR(C2594="",AND(D2594="",F2594="")),"",IF(N(E2594)=0,1,E2594)*IF(F2594="",IFERROR(N(INDEX(Produtos!$L$5:$L$104,MATCH(D2594,Produtos!$B$5:$B$104,0))),0),F2594))</f>
        <v/>
      </c>
      <c r="H2594" s="27" t="str">
        <f aca="false">IF(G2594="","",IF(N(E2594)=0,1,E2594)*IFERROR(N(INDEX(Produtos!$G$5:$G$104,MATCH(D2594,Produtos!$B$5:$B$104,0))),0))</f>
        <v/>
      </c>
      <c r="I2594" s="27" t="str">
        <f aca="false">IF(G2594="","",G2594-H2594)</f>
        <v/>
      </c>
      <c r="J2594" s="42"/>
    </row>
    <row r="2595" customFormat="false" ht="21" hidden="false" customHeight="true" outlineLevel="0" collapsed="false">
      <c r="B2595" s="41"/>
      <c r="C2595" s="9"/>
      <c r="D2595" s="9"/>
      <c r="E2595" s="42"/>
      <c r="F2595" s="43"/>
      <c r="G2595" s="27" t="str">
        <f aca="false">IF(OR(C2595="",AND(D2595="",F2595="")),"",IF(N(E2595)=0,1,E2595)*IF(F2595="",IFERROR(N(INDEX(Produtos!$L$5:$L$104,MATCH(D2595,Produtos!$B$5:$B$104,0))),0),F2595))</f>
        <v/>
      </c>
      <c r="H2595" s="27" t="str">
        <f aca="false">IF(G2595="","",IF(N(E2595)=0,1,E2595)*IFERROR(N(INDEX(Produtos!$G$5:$G$104,MATCH(D2595,Produtos!$B$5:$B$104,0))),0))</f>
        <v/>
      </c>
      <c r="I2595" s="27" t="str">
        <f aca="false">IF(G2595="","",G2595-H2595)</f>
        <v/>
      </c>
      <c r="J2595" s="42"/>
    </row>
    <row r="2596" customFormat="false" ht="21" hidden="false" customHeight="true" outlineLevel="0" collapsed="false">
      <c r="B2596" s="41"/>
      <c r="C2596" s="9"/>
      <c r="D2596" s="9"/>
      <c r="E2596" s="42"/>
      <c r="F2596" s="43"/>
      <c r="G2596" s="27" t="str">
        <f aca="false">IF(OR(C2596="",AND(D2596="",F2596="")),"",IF(N(E2596)=0,1,E2596)*IF(F2596="",IFERROR(N(INDEX(Produtos!$L$5:$L$104,MATCH(D2596,Produtos!$B$5:$B$104,0))),0),F2596))</f>
        <v/>
      </c>
      <c r="H2596" s="27" t="str">
        <f aca="false">IF(G2596="","",IF(N(E2596)=0,1,E2596)*IFERROR(N(INDEX(Produtos!$G$5:$G$104,MATCH(D2596,Produtos!$B$5:$B$104,0))),0))</f>
        <v/>
      </c>
      <c r="I2596" s="27" t="str">
        <f aca="false">IF(G2596="","",G2596-H2596)</f>
        <v/>
      </c>
      <c r="J2596" s="42"/>
    </row>
    <row r="2597" customFormat="false" ht="21" hidden="false" customHeight="true" outlineLevel="0" collapsed="false">
      <c r="B2597" s="41"/>
      <c r="C2597" s="9"/>
      <c r="D2597" s="9"/>
      <c r="E2597" s="42"/>
      <c r="F2597" s="43"/>
      <c r="G2597" s="27" t="str">
        <f aca="false">IF(OR(C2597="",AND(D2597="",F2597="")),"",IF(N(E2597)=0,1,E2597)*IF(F2597="",IFERROR(N(INDEX(Produtos!$L$5:$L$104,MATCH(D2597,Produtos!$B$5:$B$104,0))),0),F2597))</f>
        <v/>
      </c>
      <c r="H2597" s="27" t="str">
        <f aca="false">IF(G2597="","",IF(N(E2597)=0,1,E2597)*IFERROR(N(INDEX(Produtos!$G$5:$G$104,MATCH(D2597,Produtos!$B$5:$B$104,0))),0))</f>
        <v/>
      </c>
      <c r="I2597" s="27" t="str">
        <f aca="false">IF(G2597="","",G2597-H2597)</f>
        <v/>
      </c>
      <c r="J2597" s="42"/>
    </row>
    <row r="2598" customFormat="false" ht="21" hidden="false" customHeight="true" outlineLevel="0" collapsed="false">
      <c r="B2598" s="41"/>
      <c r="C2598" s="9"/>
      <c r="D2598" s="9"/>
      <c r="E2598" s="42"/>
      <c r="F2598" s="43"/>
      <c r="G2598" s="27" t="str">
        <f aca="false">IF(OR(C2598="",AND(D2598="",F2598="")),"",IF(N(E2598)=0,1,E2598)*IF(F2598="",IFERROR(N(INDEX(Produtos!$L$5:$L$104,MATCH(D2598,Produtos!$B$5:$B$104,0))),0),F2598))</f>
        <v/>
      </c>
      <c r="H2598" s="27" t="str">
        <f aca="false">IF(G2598="","",IF(N(E2598)=0,1,E2598)*IFERROR(N(INDEX(Produtos!$G$5:$G$104,MATCH(D2598,Produtos!$B$5:$B$104,0))),0))</f>
        <v/>
      </c>
      <c r="I2598" s="27" t="str">
        <f aca="false">IF(G2598="","",G2598-H2598)</f>
        <v/>
      </c>
      <c r="J2598" s="42"/>
    </row>
    <row r="2599" customFormat="false" ht="21" hidden="false" customHeight="true" outlineLevel="0" collapsed="false">
      <c r="B2599" s="41"/>
      <c r="C2599" s="9"/>
      <c r="D2599" s="9"/>
      <c r="E2599" s="42"/>
      <c r="F2599" s="43"/>
      <c r="G2599" s="27" t="str">
        <f aca="false">IF(OR(C2599="",AND(D2599="",F2599="")),"",IF(N(E2599)=0,1,E2599)*IF(F2599="",IFERROR(N(INDEX(Produtos!$L$5:$L$104,MATCH(D2599,Produtos!$B$5:$B$104,0))),0),F2599))</f>
        <v/>
      </c>
      <c r="H2599" s="27" t="str">
        <f aca="false">IF(G2599="","",IF(N(E2599)=0,1,E2599)*IFERROR(N(INDEX(Produtos!$G$5:$G$104,MATCH(D2599,Produtos!$B$5:$B$104,0))),0))</f>
        <v/>
      </c>
      <c r="I2599" s="27" t="str">
        <f aca="false">IF(G2599="","",G2599-H2599)</f>
        <v/>
      </c>
      <c r="J2599" s="42"/>
    </row>
    <row r="2600" customFormat="false" ht="21" hidden="false" customHeight="true" outlineLevel="0" collapsed="false">
      <c r="B2600" s="41"/>
      <c r="C2600" s="9"/>
      <c r="D2600" s="9"/>
      <c r="E2600" s="42"/>
      <c r="F2600" s="43"/>
      <c r="G2600" s="27" t="str">
        <f aca="false">IF(OR(C2600="",AND(D2600="",F2600="")),"",IF(N(E2600)=0,1,E2600)*IF(F2600="",IFERROR(N(INDEX(Produtos!$L$5:$L$104,MATCH(D2600,Produtos!$B$5:$B$104,0))),0),F2600))</f>
        <v/>
      </c>
      <c r="H2600" s="27" t="str">
        <f aca="false">IF(G2600="","",IF(N(E2600)=0,1,E2600)*IFERROR(N(INDEX(Produtos!$G$5:$G$104,MATCH(D2600,Produtos!$B$5:$B$104,0))),0))</f>
        <v/>
      </c>
      <c r="I2600" s="27" t="str">
        <f aca="false">IF(G2600="","",G2600-H2600)</f>
        <v/>
      </c>
      <c r="J2600" s="42"/>
    </row>
    <row r="2601" customFormat="false" ht="21" hidden="false" customHeight="true" outlineLevel="0" collapsed="false">
      <c r="B2601" s="41"/>
      <c r="C2601" s="9"/>
      <c r="D2601" s="9"/>
      <c r="E2601" s="42"/>
      <c r="F2601" s="43"/>
      <c r="G2601" s="27" t="str">
        <f aca="false">IF(OR(C2601="",AND(D2601="",F2601="")),"",IF(N(E2601)=0,1,E2601)*IF(F2601="",IFERROR(N(INDEX(Produtos!$L$5:$L$104,MATCH(D2601,Produtos!$B$5:$B$104,0))),0),F2601))</f>
        <v/>
      </c>
      <c r="H2601" s="27" t="str">
        <f aca="false">IF(G2601="","",IF(N(E2601)=0,1,E2601)*IFERROR(N(INDEX(Produtos!$G$5:$G$104,MATCH(D2601,Produtos!$B$5:$B$104,0))),0))</f>
        <v/>
      </c>
      <c r="I2601" s="27" t="str">
        <f aca="false">IF(G2601="","",G2601-H2601)</f>
        <v/>
      </c>
      <c r="J2601" s="42"/>
    </row>
    <row r="2602" customFormat="false" ht="21" hidden="false" customHeight="true" outlineLevel="0" collapsed="false">
      <c r="B2602" s="41"/>
      <c r="C2602" s="9"/>
      <c r="D2602" s="9"/>
      <c r="E2602" s="42"/>
      <c r="F2602" s="43"/>
      <c r="G2602" s="27" t="str">
        <f aca="false">IF(OR(C2602="",AND(D2602="",F2602="")),"",IF(N(E2602)=0,1,E2602)*IF(F2602="",IFERROR(N(INDEX(Produtos!$L$5:$L$104,MATCH(D2602,Produtos!$B$5:$B$104,0))),0),F2602))</f>
        <v/>
      </c>
      <c r="H2602" s="27" t="str">
        <f aca="false">IF(G2602="","",IF(N(E2602)=0,1,E2602)*IFERROR(N(INDEX(Produtos!$G$5:$G$104,MATCH(D2602,Produtos!$B$5:$B$104,0))),0))</f>
        <v/>
      </c>
      <c r="I2602" s="27" t="str">
        <f aca="false">IF(G2602="","",G2602-H2602)</f>
        <v/>
      </c>
      <c r="J2602" s="42"/>
    </row>
    <row r="2603" customFormat="false" ht="21" hidden="false" customHeight="true" outlineLevel="0" collapsed="false">
      <c r="B2603" s="41"/>
      <c r="C2603" s="9"/>
      <c r="D2603" s="9"/>
      <c r="E2603" s="42"/>
      <c r="F2603" s="43"/>
      <c r="G2603" s="27" t="str">
        <f aca="false">IF(OR(C2603="",AND(D2603="",F2603="")),"",IF(N(E2603)=0,1,E2603)*IF(F2603="",IFERROR(N(INDEX(Produtos!$L$5:$L$104,MATCH(D2603,Produtos!$B$5:$B$104,0))),0),F2603))</f>
        <v/>
      </c>
      <c r="H2603" s="27" t="str">
        <f aca="false">IF(G2603="","",IF(N(E2603)=0,1,E2603)*IFERROR(N(INDEX(Produtos!$G$5:$G$104,MATCH(D2603,Produtos!$B$5:$B$104,0))),0))</f>
        <v/>
      </c>
      <c r="I2603" s="27" t="str">
        <f aca="false">IF(G2603="","",G2603-H2603)</f>
        <v/>
      </c>
      <c r="J2603" s="42"/>
    </row>
    <row r="2604" customFormat="false" ht="21" hidden="false" customHeight="true" outlineLevel="0" collapsed="false">
      <c r="B2604" s="41"/>
      <c r="C2604" s="9"/>
      <c r="D2604" s="9"/>
      <c r="E2604" s="42"/>
      <c r="F2604" s="43"/>
      <c r="G2604" s="27" t="str">
        <f aca="false">IF(OR(C2604="",AND(D2604="",F2604="")),"",IF(N(E2604)=0,1,E2604)*IF(F2604="",IFERROR(N(INDEX(Produtos!$L$5:$L$104,MATCH(D2604,Produtos!$B$5:$B$104,0))),0),F2604))</f>
        <v/>
      </c>
      <c r="H2604" s="27" t="str">
        <f aca="false">IF(G2604="","",IF(N(E2604)=0,1,E2604)*IFERROR(N(INDEX(Produtos!$G$5:$G$104,MATCH(D2604,Produtos!$B$5:$B$104,0))),0))</f>
        <v/>
      </c>
      <c r="I2604" s="27" t="str">
        <f aca="false">IF(G2604="","",G2604-H2604)</f>
        <v/>
      </c>
      <c r="J2604" s="42"/>
    </row>
    <row r="2605" customFormat="false" ht="21" hidden="false" customHeight="true" outlineLevel="0" collapsed="false">
      <c r="B2605" s="41"/>
      <c r="C2605" s="9"/>
      <c r="D2605" s="9"/>
      <c r="E2605" s="42"/>
      <c r="F2605" s="43"/>
      <c r="G2605" s="27" t="str">
        <f aca="false">IF(OR(C2605="",AND(D2605="",F2605="")),"",IF(N(E2605)=0,1,E2605)*IF(F2605="",IFERROR(N(INDEX(Produtos!$L$5:$L$104,MATCH(D2605,Produtos!$B$5:$B$104,0))),0),F2605))</f>
        <v/>
      </c>
      <c r="H2605" s="27" t="str">
        <f aca="false">IF(G2605="","",IF(N(E2605)=0,1,E2605)*IFERROR(N(INDEX(Produtos!$G$5:$G$104,MATCH(D2605,Produtos!$B$5:$B$104,0))),0))</f>
        <v/>
      </c>
      <c r="I2605" s="27" t="str">
        <f aca="false">IF(G2605="","",G2605-H2605)</f>
        <v/>
      </c>
      <c r="J2605" s="42"/>
    </row>
    <row r="2606" customFormat="false" ht="21" hidden="false" customHeight="true" outlineLevel="0" collapsed="false">
      <c r="B2606" s="41"/>
      <c r="C2606" s="9"/>
      <c r="D2606" s="9"/>
      <c r="E2606" s="42"/>
      <c r="F2606" s="43"/>
      <c r="G2606" s="27" t="str">
        <f aca="false">IF(OR(C2606="",AND(D2606="",F2606="")),"",IF(N(E2606)=0,1,E2606)*IF(F2606="",IFERROR(N(INDEX(Produtos!$L$5:$L$104,MATCH(D2606,Produtos!$B$5:$B$104,0))),0),F2606))</f>
        <v/>
      </c>
      <c r="H2606" s="27" t="str">
        <f aca="false">IF(G2606="","",IF(N(E2606)=0,1,E2606)*IFERROR(N(INDEX(Produtos!$G$5:$G$104,MATCH(D2606,Produtos!$B$5:$B$104,0))),0))</f>
        <v/>
      </c>
      <c r="I2606" s="27" t="str">
        <f aca="false">IF(G2606="","",G2606-H2606)</f>
        <v/>
      </c>
      <c r="J2606" s="42"/>
    </row>
    <row r="2607" customFormat="false" ht="21" hidden="false" customHeight="true" outlineLevel="0" collapsed="false">
      <c r="B2607" s="41"/>
      <c r="C2607" s="9"/>
      <c r="D2607" s="9"/>
      <c r="E2607" s="42"/>
      <c r="F2607" s="43"/>
      <c r="G2607" s="27" t="str">
        <f aca="false">IF(OR(C2607="",AND(D2607="",F2607="")),"",IF(N(E2607)=0,1,E2607)*IF(F2607="",IFERROR(N(INDEX(Produtos!$L$5:$L$104,MATCH(D2607,Produtos!$B$5:$B$104,0))),0),F2607))</f>
        <v/>
      </c>
      <c r="H2607" s="27" t="str">
        <f aca="false">IF(G2607="","",IF(N(E2607)=0,1,E2607)*IFERROR(N(INDEX(Produtos!$G$5:$G$104,MATCH(D2607,Produtos!$B$5:$B$104,0))),0))</f>
        <v/>
      </c>
      <c r="I2607" s="27" t="str">
        <f aca="false">IF(G2607="","",G2607-H2607)</f>
        <v/>
      </c>
      <c r="J2607" s="42"/>
    </row>
    <row r="2608" customFormat="false" ht="21" hidden="false" customHeight="true" outlineLevel="0" collapsed="false">
      <c r="B2608" s="41"/>
      <c r="C2608" s="9"/>
      <c r="D2608" s="9"/>
      <c r="E2608" s="42"/>
      <c r="F2608" s="43"/>
      <c r="G2608" s="27" t="str">
        <f aca="false">IF(OR(C2608="",AND(D2608="",F2608="")),"",IF(N(E2608)=0,1,E2608)*IF(F2608="",IFERROR(N(INDEX(Produtos!$L$5:$L$104,MATCH(D2608,Produtos!$B$5:$B$104,0))),0),F2608))</f>
        <v/>
      </c>
      <c r="H2608" s="27" t="str">
        <f aca="false">IF(G2608="","",IF(N(E2608)=0,1,E2608)*IFERROR(N(INDEX(Produtos!$G$5:$G$104,MATCH(D2608,Produtos!$B$5:$B$104,0))),0))</f>
        <v/>
      </c>
      <c r="I2608" s="27" t="str">
        <f aca="false">IF(G2608="","",G2608-H2608)</f>
        <v/>
      </c>
      <c r="J2608" s="42"/>
    </row>
    <row r="2609" customFormat="false" ht="21" hidden="false" customHeight="true" outlineLevel="0" collapsed="false">
      <c r="B2609" s="41"/>
      <c r="C2609" s="9"/>
      <c r="D2609" s="9"/>
      <c r="E2609" s="42"/>
      <c r="F2609" s="43"/>
      <c r="G2609" s="27" t="str">
        <f aca="false">IF(OR(C2609="",AND(D2609="",F2609="")),"",IF(N(E2609)=0,1,E2609)*IF(F2609="",IFERROR(N(INDEX(Produtos!$L$5:$L$104,MATCH(D2609,Produtos!$B$5:$B$104,0))),0),F2609))</f>
        <v/>
      </c>
      <c r="H2609" s="27" t="str">
        <f aca="false">IF(G2609="","",IF(N(E2609)=0,1,E2609)*IFERROR(N(INDEX(Produtos!$G$5:$G$104,MATCH(D2609,Produtos!$B$5:$B$104,0))),0))</f>
        <v/>
      </c>
      <c r="I2609" s="27" t="str">
        <f aca="false">IF(G2609="","",G2609-H2609)</f>
        <v/>
      </c>
      <c r="J2609" s="42"/>
    </row>
    <row r="2610" customFormat="false" ht="21" hidden="false" customHeight="true" outlineLevel="0" collapsed="false">
      <c r="B2610" s="41"/>
      <c r="C2610" s="9"/>
      <c r="D2610" s="9"/>
      <c r="E2610" s="42"/>
      <c r="F2610" s="43"/>
      <c r="G2610" s="27" t="str">
        <f aca="false">IF(OR(C2610="",AND(D2610="",F2610="")),"",IF(N(E2610)=0,1,E2610)*IF(F2610="",IFERROR(N(INDEX(Produtos!$L$5:$L$104,MATCH(D2610,Produtos!$B$5:$B$104,0))),0),F2610))</f>
        <v/>
      </c>
      <c r="H2610" s="27" t="str">
        <f aca="false">IF(G2610="","",IF(N(E2610)=0,1,E2610)*IFERROR(N(INDEX(Produtos!$G$5:$G$104,MATCH(D2610,Produtos!$B$5:$B$104,0))),0))</f>
        <v/>
      </c>
      <c r="I2610" s="27" t="str">
        <f aca="false">IF(G2610="","",G2610-H2610)</f>
        <v/>
      </c>
      <c r="J2610" s="42"/>
    </row>
    <row r="2611" customFormat="false" ht="21" hidden="false" customHeight="true" outlineLevel="0" collapsed="false">
      <c r="B2611" s="41"/>
      <c r="C2611" s="9"/>
      <c r="D2611" s="9"/>
      <c r="E2611" s="42"/>
      <c r="F2611" s="43"/>
      <c r="G2611" s="27" t="str">
        <f aca="false">IF(OR(C2611="",AND(D2611="",F2611="")),"",IF(N(E2611)=0,1,E2611)*IF(F2611="",IFERROR(N(INDEX(Produtos!$L$5:$L$104,MATCH(D2611,Produtos!$B$5:$B$104,0))),0),F2611))</f>
        <v/>
      </c>
      <c r="H2611" s="27" t="str">
        <f aca="false">IF(G2611="","",IF(N(E2611)=0,1,E2611)*IFERROR(N(INDEX(Produtos!$G$5:$G$104,MATCH(D2611,Produtos!$B$5:$B$104,0))),0))</f>
        <v/>
      </c>
      <c r="I2611" s="27" t="str">
        <f aca="false">IF(G2611="","",G2611-H2611)</f>
        <v/>
      </c>
      <c r="J2611" s="42"/>
    </row>
    <row r="2612" customFormat="false" ht="21" hidden="false" customHeight="true" outlineLevel="0" collapsed="false">
      <c r="B2612" s="41"/>
      <c r="C2612" s="9"/>
      <c r="D2612" s="9"/>
      <c r="E2612" s="42"/>
      <c r="F2612" s="43"/>
      <c r="G2612" s="27" t="str">
        <f aca="false">IF(OR(C2612="",AND(D2612="",F2612="")),"",IF(N(E2612)=0,1,E2612)*IF(F2612="",IFERROR(N(INDEX(Produtos!$L$5:$L$104,MATCH(D2612,Produtos!$B$5:$B$104,0))),0),F2612))</f>
        <v/>
      </c>
      <c r="H2612" s="27" t="str">
        <f aca="false">IF(G2612="","",IF(N(E2612)=0,1,E2612)*IFERROR(N(INDEX(Produtos!$G$5:$G$104,MATCH(D2612,Produtos!$B$5:$B$104,0))),0))</f>
        <v/>
      </c>
      <c r="I2612" s="27" t="str">
        <f aca="false">IF(G2612="","",G2612-H2612)</f>
        <v/>
      </c>
      <c r="J2612" s="42"/>
    </row>
    <row r="2613" customFormat="false" ht="21" hidden="false" customHeight="true" outlineLevel="0" collapsed="false">
      <c r="B2613" s="41"/>
      <c r="C2613" s="9"/>
      <c r="D2613" s="9"/>
      <c r="E2613" s="42"/>
      <c r="F2613" s="43"/>
      <c r="G2613" s="27" t="str">
        <f aca="false">IF(OR(C2613="",AND(D2613="",F2613="")),"",IF(N(E2613)=0,1,E2613)*IF(F2613="",IFERROR(N(INDEX(Produtos!$L$5:$L$104,MATCH(D2613,Produtos!$B$5:$B$104,0))),0),F2613))</f>
        <v/>
      </c>
      <c r="H2613" s="27" t="str">
        <f aca="false">IF(G2613="","",IF(N(E2613)=0,1,E2613)*IFERROR(N(INDEX(Produtos!$G$5:$G$104,MATCH(D2613,Produtos!$B$5:$B$104,0))),0))</f>
        <v/>
      </c>
      <c r="I2613" s="27" t="str">
        <f aca="false">IF(G2613="","",G2613-H2613)</f>
        <v/>
      </c>
      <c r="J2613" s="42"/>
    </row>
    <row r="2614" customFormat="false" ht="21" hidden="false" customHeight="true" outlineLevel="0" collapsed="false">
      <c r="B2614" s="41"/>
      <c r="C2614" s="9"/>
      <c r="D2614" s="9"/>
      <c r="E2614" s="42"/>
      <c r="F2614" s="43"/>
      <c r="G2614" s="27" t="str">
        <f aca="false">IF(OR(C2614="",AND(D2614="",F2614="")),"",IF(N(E2614)=0,1,E2614)*IF(F2614="",IFERROR(N(INDEX(Produtos!$L$5:$L$104,MATCH(D2614,Produtos!$B$5:$B$104,0))),0),F2614))</f>
        <v/>
      </c>
      <c r="H2614" s="27" t="str">
        <f aca="false">IF(G2614="","",IF(N(E2614)=0,1,E2614)*IFERROR(N(INDEX(Produtos!$G$5:$G$104,MATCH(D2614,Produtos!$B$5:$B$104,0))),0))</f>
        <v/>
      </c>
      <c r="I2614" s="27" t="str">
        <f aca="false">IF(G2614="","",G2614-H2614)</f>
        <v/>
      </c>
      <c r="J2614" s="42"/>
    </row>
    <row r="2615" customFormat="false" ht="21" hidden="false" customHeight="true" outlineLevel="0" collapsed="false">
      <c r="B2615" s="41"/>
      <c r="C2615" s="9"/>
      <c r="D2615" s="9"/>
      <c r="E2615" s="42"/>
      <c r="F2615" s="43"/>
      <c r="G2615" s="27" t="str">
        <f aca="false">IF(OR(C2615="",AND(D2615="",F2615="")),"",IF(N(E2615)=0,1,E2615)*IF(F2615="",IFERROR(N(INDEX(Produtos!$L$5:$L$104,MATCH(D2615,Produtos!$B$5:$B$104,0))),0),F2615))</f>
        <v/>
      </c>
      <c r="H2615" s="27" t="str">
        <f aca="false">IF(G2615="","",IF(N(E2615)=0,1,E2615)*IFERROR(N(INDEX(Produtos!$G$5:$G$104,MATCH(D2615,Produtos!$B$5:$B$104,0))),0))</f>
        <v/>
      </c>
      <c r="I2615" s="27" t="str">
        <f aca="false">IF(G2615="","",G2615-H2615)</f>
        <v/>
      </c>
      <c r="J2615" s="42"/>
    </row>
    <row r="2616" customFormat="false" ht="21" hidden="false" customHeight="true" outlineLevel="0" collapsed="false">
      <c r="B2616" s="41"/>
      <c r="C2616" s="9"/>
      <c r="D2616" s="9"/>
      <c r="E2616" s="42"/>
      <c r="F2616" s="43"/>
      <c r="G2616" s="27" t="str">
        <f aca="false">IF(OR(C2616="",AND(D2616="",F2616="")),"",IF(N(E2616)=0,1,E2616)*IF(F2616="",IFERROR(N(INDEX(Produtos!$L$5:$L$104,MATCH(D2616,Produtos!$B$5:$B$104,0))),0),F2616))</f>
        <v/>
      </c>
      <c r="H2616" s="27" t="str">
        <f aca="false">IF(G2616="","",IF(N(E2616)=0,1,E2616)*IFERROR(N(INDEX(Produtos!$G$5:$G$104,MATCH(D2616,Produtos!$B$5:$B$104,0))),0))</f>
        <v/>
      </c>
      <c r="I2616" s="27" t="str">
        <f aca="false">IF(G2616="","",G2616-H2616)</f>
        <v/>
      </c>
      <c r="J2616" s="42"/>
    </row>
    <row r="2617" customFormat="false" ht="21" hidden="false" customHeight="true" outlineLevel="0" collapsed="false">
      <c r="B2617" s="41"/>
      <c r="C2617" s="9"/>
      <c r="D2617" s="9"/>
      <c r="E2617" s="42"/>
      <c r="F2617" s="43"/>
      <c r="G2617" s="27" t="str">
        <f aca="false">IF(OR(C2617="",AND(D2617="",F2617="")),"",IF(N(E2617)=0,1,E2617)*IF(F2617="",IFERROR(N(INDEX(Produtos!$L$5:$L$104,MATCH(D2617,Produtos!$B$5:$B$104,0))),0),F2617))</f>
        <v/>
      </c>
      <c r="H2617" s="27" t="str">
        <f aca="false">IF(G2617="","",IF(N(E2617)=0,1,E2617)*IFERROR(N(INDEX(Produtos!$G$5:$G$104,MATCH(D2617,Produtos!$B$5:$B$104,0))),0))</f>
        <v/>
      </c>
      <c r="I2617" s="27" t="str">
        <f aca="false">IF(G2617="","",G2617-H2617)</f>
        <v/>
      </c>
      <c r="J2617" s="42"/>
    </row>
    <row r="2618" customFormat="false" ht="21" hidden="false" customHeight="true" outlineLevel="0" collapsed="false">
      <c r="B2618" s="41"/>
      <c r="C2618" s="9"/>
      <c r="D2618" s="9"/>
      <c r="E2618" s="42"/>
      <c r="F2618" s="43"/>
      <c r="G2618" s="27" t="str">
        <f aca="false">IF(OR(C2618="",AND(D2618="",F2618="")),"",IF(N(E2618)=0,1,E2618)*IF(F2618="",IFERROR(N(INDEX(Produtos!$L$5:$L$104,MATCH(D2618,Produtos!$B$5:$B$104,0))),0),F2618))</f>
        <v/>
      </c>
      <c r="H2618" s="27" t="str">
        <f aca="false">IF(G2618="","",IF(N(E2618)=0,1,E2618)*IFERROR(N(INDEX(Produtos!$G$5:$G$104,MATCH(D2618,Produtos!$B$5:$B$104,0))),0))</f>
        <v/>
      </c>
      <c r="I2618" s="27" t="str">
        <f aca="false">IF(G2618="","",G2618-H2618)</f>
        <v/>
      </c>
      <c r="J2618" s="42"/>
    </row>
    <row r="2619" customFormat="false" ht="21" hidden="false" customHeight="true" outlineLevel="0" collapsed="false">
      <c r="B2619" s="41"/>
      <c r="C2619" s="9"/>
      <c r="D2619" s="9"/>
      <c r="E2619" s="42"/>
      <c r="F2619" s="43"/>
      <c r="G2619" s="27" t="str">
        <f aca="false">IF(OR(C2619="",AND(D2619="",F2619="")),"",IF(N(E2619)=0,1,E2619)*IF(F2619="",IFERROR(N(INDEX(Produtos!$L$5:$L$104,MATCH(D2619,Produtos!$B$5:$B$104,0))),0),F2619))</f>
        <v/>
      </c>
      <c r="H2619" s="27" t="str">
        <f aca="false">IF(G2619="","",IF(N(E2619)=0,1,E2619)*IFERROR(N(INDEX(Produtos!$G$5:$G$104,MATCH(D2619,Produtos!$B$5:$B$104,0))),0))</f>
        <v/>
      </c>
      <c r="I2619" s="27" t="str">
        <f aca="false">IF(G2619="","",G2619-H2619)</f>
        <v/>
      </c>
      <c r="J2619" s="42"/>
    </row>
    <row r="2620" customFormat="false" ht="21" hidden="false" customHeight="true" outlineLevel="0" collapsed="false">
      <c r="B2620" s="41"/>
      <c r="C2620" s="9"/>
      <c r="D2620" s="9"/>
      <c r="E2620" s="42"/>
      <c r="F2620" s="43"/>
      <c r="G2620" s="27" t="str">
        <f aca="false">IF(OR(C2620="",AND(D2620="",F2620="")),"",IF(N(E2620)=0,1,E2620)*IF(F2620="",IFERROR(N(INDEX(Produtos!$L$5:$L$104,MATCH(D2620,Produtos!$B$5:$B$104,0))),0),F2620))</f>
        <v/>
      </c>
      <c r="H2620" s="27" t="str">
        <f aca="false">IF(G2620="","",IF(N(E2620)=0,1,E2620)*IFERROR(N(INDEX(Produtos!$G$5:$G$104,MATCH(D2620,Produtos!$B$5:$B$104,0))),0))</f>
        <v/>
      </c>
      <c r="I2620" s="27" t="str">
        <f aca="false">IF(G2620="","",G2620-H2620)</f>
        <v/>
      </c>
      <c r="J2620" s="42"/>
    </row>
    <row r="2621" customFormat="false" ht="21" hidden="false" customHeight="true" outlineLevel="0" collapsed="false">
      <c r="B2621" s="41"/>
      <c r="C2621" s="9"/>
      <c r="D2621" s="9"/>
      <c r="E2621" s="42"/>
      <c r="F2621" s="43"/>
      <c r="G2621" s="27" t="str">
        <f aca="false">IF(OR(C2621="",AND(D2621="",F2621="")),"",IF(N(E2621)=0,1,E2621)*IF(F2621="",IFERROR(N(INDEX(Produtos!$L$5:$L$104,MATCH(D2621,Produtos!$B$5:$B$104,0))),0),F2621))</f>
        <v/>
      </c>
      <c r="H2621" s="27" t="str">
        <f aca="false">IF(G2621="","",IF(N(E2621)=0,1,E2621)*IFERROR(N(INDEX(Produtos!$G$5:$G$104,MATCH(D2621,Produtos!$B$5:$B$104,0))),0))</f>
        <v/>
      </c>
      <c r="I2621" s="27" t="str">
        <f aca="false">IF(G2621="","",G2621-H2621)</f>
        <v/>
      </c>
      <c r="J2621" s="42"/>
    </row>
    <row r="2622" customFormat="false" ht="21" hidden="false" customHeight="true" outlineLevel="0" collapsed="false">
      <c r="B2622" s="41"/>
      <c r="C2622" s="9"/>
      <c r="D2622" s="9"/>
      <c r="E2622" s="42"/>
      <c r="F2622" s="43"/>
      <c r="G2622" s="27" t="str">
        <f aca="false">IF(OR(C2622="",AND(D2622="",F2622="")),"",IF(N(E2622)=0,1,E2622)*IF(F2622="",IFERROR(N(INDEX(Produtos!$L$5:$L$104,MATCH(D2622,Produtos!$B$5:$B$104,0))),0),F2622))</f>
        <v/>
      </c>
      <c r="H2622" s="27" t="str">
        <f aca="false">IF(G2622="","",IF(N(E2622)=0,1,E2622)*IFERROR(N(INDEX(Produtos!$G$5:$G$104,MATCH(D2622,Produtos!$B$5:$B$104,0))),0))</f>
        <v/>
      </c>
      <c r="I2622" s="27" t="str">
        <f aca="false">IF(G2622="","",G2622-H2622)</f>
        <v/>
      </c>
      <c r="J2622" s="42"/>
    </row>
    <row r="2623" customFormat="false" ht="21" hidden="false" customHeight="true" outlineLevel="0" collapsed="false">
      <c r="B2623" s="41"/>
      <c r="C2623" s="9"/>
      <c r="D2623" s="9"/>
      <c r="E2623" s="42"/>
      <c r="F2623" s="43"/>
      <c r="G2623" s="27" t="str">
        <f aca="false">IF(OR(C2623="",AND(D2623="",F2623="")),"",IF(N(E2623)=0,1,E2623)*IF(F2623="",IFERROR(N(INDEX(Produtos!$L$5:$L$104,MATCH(D2623,Produtos!$B$5:$B$104,0))),0),F2623))</f>
        <v/>
      </c>
      <c r="H2623" s="27" t="str">
        <f aca="false">IF(G2623="","",IF(N(E2623)=0,1,E2623)*IFERROR(N(INDEX(Produtos!$G$5:$G$104,MATCH(D2623,Produtos!$B$5:$B$104,0))),0))</f>
        <v/>
      </c>
      <c r="I2623" s="27" t="str">
        <f aca="false">IF(G2623="","",G2623-H2623)</f>
        <v/>
      </c>
      <c r="J2623" s="42"/>
    </row>
    <row r="2624" customFormat="false" ht="21" hidden="false" customHeight="true" outlineLevel="0" collapsed="false">
      <c r="B2624" s="41"/>
      <c r="C2624" s="9"/>
      <c r="D2624" s="9"/>
      <c r="E2624" s="42"/>
      <c r="F2624" s="43"/>
      <c r="G2624" s="27" t="str">
        <f aca="false">IF(OR(C2624="",AND(D2624="",F2624="")),"",IF(N(E2624)=0,1,E2624)*IF(F2624="",IFERROR(N(INDEX(Produtos!$L$5:$L$104,MATCH(D2624,Produtos!$B$5:$B$104,0))),0),F2624))</f>
        <v/>
      </c>
      <c r="H2624" s="27" t="str">
        <f aca="false">IF(G2624="","",IF(N(E2624)=0,1,E2624)*IFERROR(N(INDEX(Produtos!$G$5:$G$104,MATCH(D2624,Produtos!$B$5:$B$104,0))),0))</f>
        <v/>
      </c>
      <c r="I2624" s="27" t="str">
        <f aca="false">IF(G2624="","",G2624-H2624)</f>
        <v/>
      </c>
      <c r="J2624" s="42"/>
    </row>
    <row r="2625" customFormat="false" ht="21" hidden="false" customHeight="true" outlineLevel="0" collapsed="false">
      <c r="B2625" s="41"/>
      <c r="C2625" s="9"/>
      <c r="D2625" s="9"/>
      <c r="E2625" s="42"/>
      <c r="F2625" s="43"/>
      <c r="G2625" s="27" t="str">
        <f aca="false">IF(OR(C2625="",AND(D2625="",F2625="")),"",IF(N(E2625)=0,1,E2625)*IF(F2625="",IFERROR(N(INDEX(Produtos!$L$5:$L$104,MATCH(D2625,Produtos!$B$5:$B$104,0))),0),F2625))</f>
        <v/>
      </c>
      <c r="H2625" s="27" t="str">
        <f aca="false">IF(G2625="","",IF(N(E2625)=0,1,E2625)*IFERROR(N(INDEX(Produtos!$G$5:$G$104,MATCH(D2625,Produtos!$B$5:$B$104,0))),0))</f>
        <v/>
      </c>
      <c r="I2625" s="27" t="str">
        <f aca="false">IF(G2625="","",G2625-H2625)</f>
        <v/>
      </c>
      <c r="J2625" s="42"/>
    </row>
    <row r="2626" customFormat="false" ht="21" hidden="false" customHeight="true" outlineLevel="0" collapsed="false">
      <c r="B2626" s="41"/>
      <c r="C2626" s="9"/>
      <c r="D2626" s="9"/>
      <c r="E2626" s="42"/>
      <c r="F2626" s="43"/>
      <c r="G2626" s="27" t="str">
        <f aca="false">IF(OR(C2626="",AND(D2626="",F2626="")),"",IF(N(E2626)=0,1,E2626)*IF(F2626="",IFERROR(N(INDEX(Produtos!$L$5:$L$104,MATCH(D2626,Produtos!$B$5:$B$104,0))),0),F2626))</f>
        <v/>
      </c>
      <c r="H2626" s="27" t="str">
        <f aca="false">IF(G2626="","",IF(N(E2626)=0,1,E2626)*IFERROR(N(INDEX(Produtos!$G$5:$G$104,MATCH(D2626,Produtos!$B$5:$B$104,0))),0))</f>
        <v/>
      </c>
      <c r="I2626" s="27" t="str">
        <f aca="false">IF(G2626="","",G2626-H2626)</f>
        <v/>
      </c>
      <c r="J2626" s="42"/>
    </row>
    <row r="2627" customFormat="false" ht="21" hidden="false" customHeight="true" outlineLevel="0" collapsed="false">
      <c r="B2627" s="41"/>
      <c r="C2627" s="9"/>
      <c r="D2627" s="9"/>
      <c r="E2627" s="42"/>
      <c r="F2627" s="43"/>
      <c r="G2627" s="27" t="str">
        <f aca="false">IF(OR(C2627="",AND(D2627="",F2627="")),"",IF(N(E2627)=0,1,E2627)*IF(F2627="",IFERROR(N(INDEX(Produtos!$L$5:$L$104,MATCH(D2627,Produtos!$B$5:$B$104,0))),0),F2627))</f>
        <v/>
      </c>
      <c r="H2627" s="27" t="str">
        <f aca="false">IF(G2627="","",IF(N(E2627)=0,1,E2627)*IFERROR(N(INDEX(Produtos!$G$5:$G$104,MATCH(D2627,Produtos!$B$5:$B$104,0))),0))</f>
        <v/>
      </c>
      <c r="I2627" s="27" t="str">
        <f aca="false">IF(G2627="","",G2627-H2627)</f>
        <v/>
      </c>
      <c r="J2627" s="42"/>
    </row>
    <row r="2628" customFormat="false" ht="21" hidden="false" customHeight="true" outlineLevel="0" collapsed="false">
      <c r="B2628" s="41"/>
      <c r="C2628" s="9"/>
      <c r="D2628" s="9"/>
      <c r="E2628" s="42"/>
      <c r="F2628" s="43"/>
      <c r="G2628" s="27" t="str">
        <f aca="false">IF(OR(C2628="",AND(D2628="",F2628="")),"",IF(N(E2628)=0,1,E2628)*IF(F2628="",IFERROR(N(INDEX(Produtos!$L$5:$L$104,MATCH(D2628,Produtos!$B$5:$B$104,0))),0),F2628))</f>
        <v/>
      </c>
      <c r="H2628" s="27" t="str">
        <f aca="false">IF(G2628="","",IF(N(E2628)=0,1,E2628)*IFERROR(N(INDEX(Produtos!$G$5:$G$104,MATCH(D2628,Produtos!$B$5:$B$104,0))),0))</f>
        <v/>
      </c>
      <c r="I2628" s="27" t="str">
        <f aca="false">IF(G2628="","",G2628-H2628)</f>
        <v/>
      </c>
      <c r="J2628" s="42"/>
    </row>
    <row r="2629" customFormat="false" ht="21" hidden="false" customHeight="true" outlineLevel="0" collapsed="false">
      <c r="B2629" s="41"/>
      <c r="C2629" s="9"/>
      <c r="D2629" s="9"/>
      <c r="E2629" s="42"/>
      <c r="F2629" s="43"/>
      <c r="G2629" s="27" t="str">
        <f aca="false">IF(OR(C2629="",AND(D2629="",F2629="")),"",IF(N(E2629)=0,1,E2629)*IF(F2629="",IFERROR(N(INDEX(Produtos!$L$5:$L$104,MATCH(D2629,Produtos!$B$5:$B$104,0))),0),F2629))</f>
        <v/>
      </c>
      <c r="H2629" s="27" t="str">
        <f aca="false">IF(G2629="","",IF(N(E2629)=0,1,E2629)*IFERROR(N(INDEX(Produtos!$G$5:$G$104,MATCH(D2629,Produtos!$B$5:$B$104,0))),0))</f>
        <v/>
      </c>
      <c r="I2629" s="27" t="str">
        <f aca="false">IF(G2629="","",G2629-H2629)</f>
        <v/>
      </c>
      <c r="J2629" s="42"/>
    </row>
    <row r="2630" customFormat="false" ht="21" hidden="false" customHeight="true" outlineLevel="0" collapsed="false">
      <c r="B2630" s="41"/>
      <c r="C2630" s="9"/>
      <c r="D2630" s="9"/>
      <c r="E2630" s="42"/>
      <c r="F2630" s="43"/>
      <c r="G2630" s="27" t="str">
        <f aca="false">IF(OR(C2630="",AND(D2630="",F2630="")),"",IF(N(E2630)=0,1,E2630)*IF(F2630="",IFERROR(N(INDEX(Produtos!$L$5:$L$104,MATCH(D2630,Produtos!$B$5:$B$104,0))),0),F2630))</f>
        <v/>
      </c>
      <c r="H2630" s="27" t="str">
        <f aca="false">IF(G2630="","",IF(N(E2630)=0,1,E2630)*IFERROR(N(INDEX(Produtos!$G$5:$G$104,MATCH(D2630,Produtos!$B$5:$B$104,0))),0))</f>
        <v/>
      </c>
      <c r="I2630" s="27" t="str">
        <f aca="false">IF(G2630="","",G2630-H2630)</f>
        <v/>
      </c>
      <c r="J2630" s="42"/>
    </row>
    <row r="2631" customFormat="false" ht="21" hidden="false" customHeight="true" outlineLevel="0" collapsed="false">
      <c r="B2631" s="41"/>
      <c r="C2631" s="9"/>
      <c r="D2631" s="9"/>
      <c r="E2631" s="42"/>
      <c r="F2631" s="43"/>
      <c r="G2631" s="27" t="str">
        <f aca="false">IF(OR(C2631="",AND(D2631="",F2631="")),"",IF(N(E2631)=0,1,E2631)*IF(F2631="",IFERROR(N(INDEX(Produtos!$L$5:$L$104,MATCH(D2631,Produtos!$B$5:$B$104,0))),0),F2631))</f>
        <v/>
      </c>
      <c r="H2631" s="27" t="str">
        <f aca="false">IF(G2631="","",IF(N(E2631)=0,1,E2631)*IFERROR(N(INDEX(Produtos!$G$5:$G$104,MATCH(D2631,Produtos!$B$5:$B$104,0))),0))</f>
        <v/>
      </c>
      <c r="I2631" s="27" t="str">
        <f aca="false">IF(G2631="","",G2631-H2631)</f>
        <v/>
      </c>
      <c r="J2631" s="42"/>
    </row>
    <row r="2632" customFormat="false" ht="21" hidden="false" customHeight="true" outlineLevel="0" collapsed="false">
      <c r="B2632" s="41"/>
      <c r="C2632" s="9"/>
      <c r="D2632" s="9"/>
      <c r="E2632" s="42"/>
      <c r="F2632" s="43"/>
      <c r="G2632" s="27" t="str">
        <f aca="false">IF(OR(C2632="",AND(D2632="",F2632="")),"",IF(N(E2632)=0,1,E2632)*IF(F2632="",IFERROR(N(INDEX(Produtos!$L$5:$L$104,MATCH(D2632,Produtos!$B$5:$B$104,0))),0),F2632))</f>
        <v/>
      </c>
      <c r="H2632" s="27" t="str">
        <f aca="false">IF(G2632="","",IF(N(E2632)=0,1,E2632)*IFERROR(N(INDEX(Produtos!$G$5:$G$104,MATCH(D2632,Produtos!$B$5:$B$104,0))),0))</f>
        <v/>
      </c>
      <c r="I2632" s="27" t="str">
        <f aca="false">IF(G2632="","",G2632-H2632)</f>
        <v/>
      </c>
      <c r="J2632" s="42"/>
    </row>
    <row r="2633" customFormat="false" ht="21" hidden="false" customHeight="true" outlineLevel="0" collapsed="false">
      <c r="B2633" s="41"/>
      <c r="C2633" s="9"/>
      <c r="D2633" s="9"/>
      <c r="E2633" s="42"/>
      <c r="F2633" s="43"/>
      <c r="G2633" s="27" t="str">
        <f aca="false">IF(OR(C2633="",AND(D2633="",F2633="")),"",IF(N(E2633)=0,1,E2633)*IF(F2633="",IFERROR(N(INDEX(Produtos!$L$5:$L$104,MATCH(D2633,Produtos!$B$5:$B$104,0))),0),F2633))</f>
        <v/>
      </c>
      <c r="H2633" s="27" t="str">
        <f aca="false">IF(G2633="","",IF(N(E2633)=0,1,E2633)*IFERROR(N(INDEX(Produtos!$G$5:$G$104,MATCH(D2633,Produtos!$B$5:$B$104,0))),0))</f>
        <v/>
      </c>
      <c r="I2633" s="27" t="str">
        <f aca="false">IF(G2633="","",G2633-H2633)</f>
        <v/>
      </c>
      <c r="J2633" s="42"/>
    </row>
    <row r="2634" customFormat="false" ht="21" hidden="false" customHeight="true" outlineLevel="0" collapsed="false">
      <c r="B2634" s="41"/>
      <c r="C2634" s="9"/>
      <c r="D2634" s="9"/>
      <c r="E2634" s="42"/>
      <c r="F2634" s="43"/>
      <c r="G2634" s="27" t="str">
        <f aca="false">IF(OR(C2634="",AND(D2634="",F2634="")),"",IF(N(E2634)=0,1,E2634)*IF(F2634="",IFERROR(N(INDEX(Produtos!$L$5:$L$104,MATCH(D2634,Produtos!$B$5:$B$104,0))),0),F2634))</f>
        <v/>
      </c>
      <c r="H2634" s="27" t="str">
        <f aca="false">IF(G2634="","",IF(N(E2634)=0,1,E2634)*IFERROR(N(INDEX(Produtos!$G$5:$G$104,MATCH(D2634,Produtos!$B$5:$B$104,0))),0))</f>
        <v/>
      </c>
      <c r="I2634" s="27" t="str">
        <f aca="false">IF(G2634="","",G2634-H2634)</f>
        <v/>
      </c>
      <c r="J2634" s="42"/>
    </row>
    <row r="2635" customFormat="false" ht="21" hidden="false" customHeight="true" outlineLevel="0" collapsed="false">
      <c r="B2635" s="41"/>
      <c r="C2635" s="9"/>
      <c r="D2635" s="9"/>
      <c r="E2635" s="42"/>
      <c r="F2635" s="43"/>
      <c r="G2635" s="27" t="str">
        <f aca="false">IF(OR(C2635="",AND(D2635="",F2635="")),"",IF(N(E2635)=0,1,E2635)*IF(F2635="",IFERROR(N(INDEX(Produtos!$L$5:$L$104,MATCH(D2635,Produtos!$B$5:$B$104,0))),0),F2635))</f>
        <v/>
      </c>
      <c r="H2635" s="27" t="str">
        <f aca="false">IF(G2635="","",IF(N(E2635)=0,1,E2635)*IFERROR(N(INDEX(Produtos!$G$5:$G$104,MATCH(D2635,Produtos!$B$5:$B$104,0))),0))</f>
        <v/>
      </c>
      <c r="I2635" s="27" t="str">
        <f aca="false">IF(G2635="","",G2635-H2635)</f>
        <v/>
      </c>
      <c r="J2635" s="42"/>
    </row>
    <row r="2636" customFormat="false" ht="21" hidden="false" customHeight="true" outlineLevel="0" collapsed="false">
      <c r="B2636" s="41"/>
      <c r="C2636" s="9"/>
      <c r="D2636" s="9"/>
      <c r="E2636" s="42"/>
      <c r="F2636" s="43"/>
      <c r="G2636" s="27" t="str">
        <f aca="false">IF(OR(C2636="",AND(D2636="",F2636="")),"",IF(N(E2636)=0,1,E2636)*IF(F2636="",IFERROR(N(INDEX(Produtos!$L$5:$L$104,MATCH(D2636,Produtos!$B$5:$B$104,0))),0),F2636))</f>
        <v/>
      </c>
      <c r="H2636" s="27" t="str">
        <f aca="false">IF(G2636="","",IF(N(E2636)=0,1,E2636)*IFERROR(N(INDEX(Produtos!$G$5:$G$104,MATCH(D2636,Produtos!$B$5:$B$104,0))),0))</f>
        <v/>
      </c>
      <c r="I2636" s="27" t="str">
        <f aca="false">IF(G2636="","",G2636-H2636)</f>
        <v/>
      </c>
      <c r="J2636" s="42"/>
    </row>
    <row r="2637" customFormat="false" ht="21" hidden="false" customHeight="true" outlineLevel="0" collapsed="false">
      <c r="B2637" s="41"/>
      <c r="C2637" s="9"/>
      <c r="D2637" s="9"/>
      <c r="E2637" s="42"/>
      <c r="F2637" s="43"/>
      <c r="G2637" s="27" t="str">
        <f aca="false">IF(OR(C2637="",AND(D2637="",F2637="")),"",IF(N(E2637)=0,1,E2637)*IF(F2637="",IFERROR(N(INDEX(Produtos!$L$5:$L$104,MATCH(D2637,Produtos!$B$5:$B$104,0))),0),F2637))</f>
        <v/>
      </c>
      <c r="H2637" s="27" t="str">
        <f aca="false">IF(G2637="","",IF(N(E2637)=0,1,E2637)*IFERROR(N(INDEX(Produtos!$G$5:$G$104,MATCH(D2637,Produtos!$B$5:$B$104,0))),0))</f>
        <v/>
      </c>
      <c r="I2637" s="27" t="str">
        <f aca="false">IF(G2637="","",G2637-H2637)</f>
        <v/>
      </c>
      <c r="J2637" s="42"/>
    </row>
    <row r="2638" customFormat="false" ht="21" hidden="false" customHeight="true" outlineLevel="0" collapsed="false">
      <c r="B2638" s="41"/>
      <c r="C2638" s="9"/>
      <c r="D2638" s="9"/>
      <c r="E2638" s="42"/>
      <c r="F2638" s="43"/>
      <c r="G2638" s="27" t="str">
        <f aca="false">IF(OR(C2638="",AND(D2638="",F2638="")),"",IF(N(E2638)=0,1,E2638)*IF(F2638="",IFERROR(N(INDEX(Produtos!$L$5:$L$104,MATCH(D2638,Produtos!$B$5:$B$104,0))),0),F2638))</f>
        <v/>
      </c>
      <c r="H2638" s="27" t="str">
        <f aca="false">IF(G2638="","",IF(N(E2638)=0,1,E2638)*IFERROR(N(INDEX(Produtos!$G$5:$G$104,MATCH(D2638,Produtos!$B$5:$B$104,0))),0))</f>
        <v/>
      </c>
      <c r="I2638" s="27" t="str">
        <f aca="false">IF(G2638="","",G2638-H2638)</f>
        <v/>
      </c>
      <c r="J2638" s="42"/>
    </row>
    <row r="2639" customFormat="false" ht="21" hidden="false" customHeight="true" outlineLevel="0" collapsed="false">
      <c r="B2639" s="41"/>
      <c r="C2639" s="9"/>
      <c r="D2639" s="9"/>
      <c r="E2639" s="42"/>
      <c r="F2639" s="43"/>
      <c r="G2639" s="27" t="str">
        <f aca="false">IF(OR(C2639="",AND(D2639="",F2639="")),"",IF(N(E2639)=0,1,E2639)*IF(F2639="",IFERROR(N(INDEX(Produtos!$L$5:$L$104,MATCH(D2639,Produtos!$B$5:$B$104,0))),0),F2639))</f>
        <v/>
      </c>
      <c r="H2639" s="27" t="str">
        <f aca="false">IF(G2639="","",IF(N(E2639)=0,1,E2639)*IFERROR(N(INDEX(Produtos!$G$5:$G$104,MATCH(D2639,Produtos!$B$5:$B$104,0))),0))</f>
        <v/>
      </c>
      <c r="I2639" s="27" t="str">
        <f aca="false">IF(G2639="","",G2639-H2639)</f>
        <v/>
      </c>
      <c r="J2639" s="42"/>
    </row>
    <row r="2640" customFormat="false" ht="21" hidden="false" customHeight="true" outlineLevel="0" collapsed="false">
      <c r="B2640" s="41"/>
      <c r="C2640" s="9"/>
      <c r="D2640" s="9"/>
      <c r="E2640" s="42"/>
      <c r="F2640" s="43"/>
      <c r="G2640" s="27" t="str">
        <f aca="false">IF(OR(C2640="",AND(D2640="",F2640="")),"",IF(N(E2640)=0,1,E2640)*IF(F2640="",IFERROR(N(INDEX(Produtos!$L$5:$L$104,MATCH(D2640,Produtos!$B$5:$B$104,0))),0),F2640))</f>
        <v/>
      </c>
      <c r="H2640" s="27" t="str">
        <f aca="false">IF(G2640="","",IF(N(E2640)=0,1,E2640)*IFERROR(N(INDEX(Produtos!$G$5:$G$104,MATCH(D2640,Produtos!$B$5:$B$104,0))),0))</f>
        <v/>
      </c>
      <c r="I2640" s="27" t="str">
        <f aca="false">IF(G2640="","",G2640-H2640)</f>
        <v/>
      </c>
      <c r="J2640" s="42"/>
    </row>
    <row r="2641" customFormat="false" ht="21" hidden="false" customHeight="true" outlineLevel="0" collapsed="false">
      <c r="B2641" s="41"/>
      <c r="C2641" s="9"/>
      <c r="D2641" s="9"/>
      <c r="E2641" s="42"/>
      <c r="F2641" s="43"/>
      <c r="G2641" s="27" t="str">
        <f aca="false">IF(OR(C2641="",AND(D2641="",F2641="")),"",IF(N(E2641)=0,1,E2641)*IF(F2641="",IFERROR(N(INDEX(Produtos!$L$5:$L$104,MATCH(D2641,Produtos!$B$5:$B$104,0))),0),F2641))</f>
        <v/>
      </c>
      <c r="H2641" s="27" t="str">
        <f aca="false">IF(G2641="","",IF(N(E2641)=0,1,E2641)*IFERROR(N(INDEX(Produtos!$G$5:$G$104,MATCH(D2641,Produtos!$B$5:$B$104,0))),0))</f>
        <v/>
      </c>
      <c r="I2641" s="27" t="str">
        <f aca="false">IF(G2641="","",G2641-H2641)</f>
        <v/>
      </c>
      <c r="J2641" s="42"/>
    </row>
    <row r="2642" customFormat="false" ht="21" hidden="false" customHeight="true" outlineLevel="0" collapsed="false">
      <c r="B2642" s="41"/>
      <c r="C2642" s="9"/>
      <c r="D2642" s="9"/>
      <c r="E2642" s="42"/>
      <c r="F2642" s="43"/>
      <c r="G2642" s="27" t="str">
        <f aca="false">IF(OR(C2642="",AND(D2642="",F2642="")),"",IF(N(E2642)=0,1,E2642)*IF(F2642="",IFERROR(N(INDEX(Produtos!$L$5:$L$104,MATCH(D2642,Produtos!$B$5:$B$104,0))),0),F2642))</f>
        <v/>
      </c>
      <c r="H2642" s="27" t="str">
        <f aca="false">IF(G2642="","",IF(N(E2642)=0,1,E2642)*IFERROR(N(INDEX(Produtos!$G$5:$G$104,MATCH(D2642,Produtos!$B$5:$B$104,0))),0))</f>
        <v/>
      </c>
      <c r="I2642" s="27" t="str">
        <f aca="false">IF(G2642="","",G2642-H2642)</f>
        <v/>
      </c>
      <c r="J2642" s="42"/>
    </row>
    <row r="2643" customFormat="false" ht="21" hidden="false" customHeight="true" outlineLevel="0" collapsed="false">
      <c r="B2643" s="41"/>
      <c r="C2643" s="9"/>
      <c r="D2643" s="9"/>
      <c r="E2643" s="42"/>
      <c r="F2643" s="43"/>
      <c r="G2643" s="27" t="str">
        <f aca="false">IF(OR(C2643="",AND(D2643="",F2643="")),"",IF(N(E2643)=0,1,E2643)*IF(F2643="",IFERROR(N(INDEX(Produtos!$L$5:$L$104,MATCH(D2643,Produtos!$B$5:$B$104,0))),0),F2643))</f>
        <v/>
      </c>
      <c r="H2643" s="27" t="str">
        <f aca="false">IF(G2643="","",IF(N(E2643)=0,1,E2643)*IFERROR(N(INDEX(Produtos!$G$5:$G$104,MATCH(D2643,Produtos!$B$5:$B$104,0))),0))</f>
        <v/>
      </c>
      <c r="I2643" s="27" t="str">
        <f aca="false">IF(G2643="","",G2643-H2643)</f>
        <v/>
      </c>
      <c r="J2643" s="42"/>
    </row>
    <row r="2644" customFormat="false" ht="21" hidden="false" customHeight="true" outlineLevel="0" collapsed="false">
      <c r="B2644" s="41"/>
      <c r="C2644" s="9"/>
      <c r="D2644" s="9"/>
      <c r="E2644" s="42"/>
      <c r="F2644" s="43"/>
      <c r="G2644" s="27" t="str">
        <f aca="false">IF(OR(C2644="",AND(D2644="",F2644="")),"",IF(N(E2644)=0,1,E2644)*IF(F2644="",IFERROR(N(INDEX(Produtos!$L$5:$L$104,MATCH(D2644,Produtos!$B$5:$B$104,0))),0),F2644))</f>
        <v/>
      </c>
      <c r="H2644" s="27" t="str">
        <f aca="false">IF(G2644="","",IF(N(E2644)=0,1,E2644)*IFERROR(N(INDEX(Produtos!$G$5:$G$104,MATCH(D2644,Produtos!$B$5:$B$104,0))),0))</f>
        <v/>
      </c>
      <c r="I2644" s="27" t="str">
        <f aca="false">IF(G2644="","",G2644-H2644)</f>
        <v/>
      </c>
      <c r="J2644" s="42"/>
    </row>
    <row r="2645" customFormat="false" ht="21" hidden="false" customHeight="true" outlineLevel="0" collapsed="false">
      <c r="B2645" s="41"/>
      <c r="C2645" s="9"/>
      <c r="D2645" s="9"/>
      <c r="E2645" s="42"/>
      <c r="F2645" s="43"/>
      <c r="G2645" s="27" t="str">
        <f aca="false">IF(OR(C2645="",AND(D2645="",F2645="")),"",IF(N(E2645)=0,1,E2645)*IF(F2645="",IFERROR(N(INDEX(Produtos!$L$5:$L$104,MATCH(D2645,Produtos!$B$5:$B$104,0))),0),F2645))</f>
        <v/>
      </c>
      <c r="H2645" s="27" t="str">
        <f aca="false">IF(G2645="","",IF(N(E2645)=0,1,E2645)*IFERROR(N(INDEX(Produtos!$G$5:$G$104,MATCH(D2645,Produtos!$B$5:$B$104,0))),0))</f>
        <v/>
      </c>
      <c r="I2645" s="27" t="str">
        <f aca="false">IF(G2645="","",G2645-H2645)</f>
        <v/>
      </c>
      <c r="J2645" s="42"/>
    </row>
    <row r="2646" customFormat="false" ht="21" hidden="false" customHeight="true" outlineLevel="0" collapsed="false">
      <c r="B2646" s="41"/>
      <c r="C2646" s="9"/>
      <c r="D2646" s="9"/>
      <c r="E2646" s="42"/>
      <c r="F2646" s="43"/>
      <c r="G2646" s="27" t="str">
        <f aca="false">IF(OR(C2646="",AND(D2646="",F2646="")),"",IF(N(E2646)=0,1,E2646)*IF(F2646="",IFERROR(N(INDEX(Produtos!$L$5:$L$104,MATCH(D2646,Produtos!$B$5:$B$104,0))),0),F2646))</f>
        <v/>
      </c>
      <c r="H2646" s="27" t="str">
        <f aca="false">IF(G2646="","",IF(N(E2646)=0,1,E2646)*IFERROR(N(INDEX(Produtos!$G$5:$G$104,MATCH(D2646,Produtos!$B$5:$B$104,0))),0))</f>
        <v/>
      </c>
      <c r="I2646" s="27" t="str">
        <f aca="false">IF(G2646="","",G2646-H2646)</f>
        <v/>
      </c>
      <c r="J2646" s="42"/>
    </row>
    <row r="2647" customFormat="false" ht="21" hidden="false" customHeight="true" outlineLevel="0" collapsed="false">
      <c r="B2647" s="41"/>
      <c r="C2647" s="9"/>
      <c r="D2647" s="9"/>
      <c r="E2647" s="42"/>
      <c r="F2647" s="43"/>
      <c r="G2647" s="27" t="str">
        <f aca="false">IF(OR(C2647="",AND(D2647="",F2647="")),"",IF(N(E2647)=0,1,E2647)*IF(F2647="",IFERROR(N(INDEX(Produtos!$L$5:$L$104,MATCH(D2647,Produtos!$B$5:$B$104,0))),0),F2647))</f>
        <v/>
      </c>
      <c r="H2647" s="27" t="str">
        <f aca="false">IF(G2647="","",IF(N(E2647)=0,1,E2647)*IFERROR(N(INDEX(Produtos!$G$5:$G$104,MATCH(D2647,Produtos!$B$5:$B$104,0))),0))</f>
        <v/>
      </c>
      <c r="I2647" s="27" t="str">
        <f aca="false">IF(G2647="","",G2647-H2647)</f>
        <v/>
      </c>
      <c r="J2647" s="42"/>
    </row>
    <row r="2648" customFormat="false" ht="21" hidden="false" customHeight="true" outlineLevel="0" collapsed="false">
      <c r="B2648" s="41"/>
      <c r="C2648" s="9"/>
      <c r="D2648" s="9"/>
      <c r="E2648" s="42"/>
      <c r="F2648" s="43"/>
      <c r="G2648" s="27" t="str">
        <f aca="false">IF(OR(C2648="",AND(D2648="",F2648="")),"",IF(N(E2648)=0,1,E2648)*IF(F2648="",IFERROR(N(INDEX(Produtos!$L$5:$L$104,MATCH(D2648,Produtos!$B$5:$B$104,0))),0),F2648))</f>
        <v/>
      </c>
      <c r="H2648" s="27" t="str">
        <f aca="false">IF(G2648="","",IF(N(E2648)=0,1,E2648)*IFERROR(N(INDEX(Produtos!$G$5:$G$104,MATCH(D2648,Produtos!$B$5:$B$104,0))),0))</f>
        <v/>
      </c>
      <c r="I2648" s="27" t="str">
        <f aca="false">IF(G2648="","",G2648-H2648)</f>
        <v/>
      </c>
      <c r="J2648" s="42"/>
    </row>
    <row r="2649" customFormat="false" ht="21" hidden="false" customHeight="true" outlineLevel="0" collapsed="false">
      <c r="B2649" s="41"/>
      <c r="C2649" s="9"/>
      <c r="D2649" s="9"/>
      <c r="E2649" s="42"/>
      <c r="F2649" s="43"/>
      <c r="G2649" s="27" t="str">
        <f aca="false">IF(OR(C2649="",AND(D2649="",F2649="")),"",IF(N(E2649)=0,1,E2649)*IF(F2649="",IFERROR(N(INDEX(Produtos!$L$5:$L$104,MATCH(D2649,Produtos!$B$5:$B$104,0))),0),F2649))</f>
        <v/>
      </c>
      <c r="H2649" s="27" t="str">
        <f aca="false">IF(G2649="","",IF(N(E2649)=0,1,E2649)*IFERROR(N(INDEX(Produtos!$G$5:$G$104,MATCH(D2649,Produtos!$B$5:$B$104,0))),0))</f>
        <v/>
      </c>
      <c r="I2649" s="27" t="str">
        <f aca="false">IF(G2649="","",G2649-H2649)</f>
        <v/>
      </c>
      <c r="J2649" s="42"/>
    </row>
    <row r="2650" customFormat="false" ht="21" hidden="false" customHeight="true" outlineLevel="0" collapsed="false">
      <c r="B2650" s="41"/>
      <c r="C2650" s="9"/>
      <c r="D2650" s="9"/>
      <c r="E2650" s="42"/>
      <c r="F2650" s="43"/>
      <c r="G2650" s="27" t="str">
        <f aca="false">IF(OR(C2650="",AND(D2650="",F2650="")),"",IF(N(E2650)=0,1,E2650)*IF(F2650="",IFERROR(N(INDEX(Produtos!$L$5:$L$104,MATCH(D2650,Produtos!$B$5:$B$104,0))),0),F2650))</f>
        <v/>
      </c>
      <c r="H2650" s="27" t="str">
        <f aca="false">IF(G2650="","",IF(N(E2650)=0,1,E2650)*IFERROR(N(INDEX(Produtos!$G$5:$G$104,MATCH(D2650,Produtos!$B$5:$B$104,0))),0))</f>
        <v/>
      </c>
      <c r="I2650" s="27" t="str">
        <f aca="false">IF(G2650="","",G2650-H2650)</f>
        <v/>
      </c>
      <c r="J2650" s="42"/>
    </row>
    <row r="2651" customFormat="false" ht="21" hidden="false" customHeight="true" outlineLevel="0" collapsed="false">
      <c r="B2651" s="41"/>
      <c r="C2651" s="9"/>
      <c r="D2651" s="9"/>
      <c r="E2651" s="42"/>
      <c r="F2651" s="43"/>
      <c r="G2651" s="27" t="str">
        <f aca="false">IF(OR(C2651="",AND(D2651="",F2651="")),"",IF(N(E2651)=0,1,E2651)*IF(F2651="",IFERROR(N(INDEX(Produtos!$L$5:$L$104,MATCH(D2651,Produtos!$B$5:$B$104,0))),0),F2651))</f>
        <v/>
      </c>
      <c r="H2651" s="27" t="str">
        <f aca="false">IF(G2651="","",IF(N(E2651)=0,1,E2651)*IFERROR(N(INDEX(Produtos!$G$5:$G$104,MATCH(D2651,Produtos!$B$5:$B$104,0))),0))</f>
        <v/>
      </c>
      <c r="I2651" s="27" t="str">
        <f aca="false">IF(G2651="","",G2651-H2651)</f>
        <v/>
      </c>
      <c r="J2651" s="42"/>
    </row>
    <row r="2652" customFormat="false" ht="21" hidden="false" customHeight="true" outlineLevel="0" collapsed="false">
      <c r="B2652" s="41"/>
      <c r="C2652" s="9"/>
      <c r="D2652" s="9"/>
      <c r="E2652" s="42"/>
      <c r="F2652" s="43"/>
      <c r="G2652" s="27" t="str">
        <f aca="false">IF(OR(C2652="",AND(D2652="",F2652="")),"",IF(N(E2652)=0,1,E2652)*IF(F2652="",IFERROR(N(INDEX(Produtos!$L$5:$L$104,MATCH(D2652,Produtos!$B$5:$B$104,0))),0),F2652))</f>
        <v/>
      </c>
      <c r="H2652" s="27" t="str">
        <f aca="false">IF(G2652="","",IF(N(E2652)=0,1,E2652)*IFERROR(N(INDEX(Produtos!$G$5:$G$104,MATCH(D2652,Produtos!$B$5:$B$104,0))),0))</f>
        <v/>
      </c>
      <c r="I2652" s="27" t="str">
        <f aca="false">IF(G2652="","",G2652-H2652)</f>
        <v/>
      </c>
      <c r="J2652" s="42"/>
    </row>
    <row r="2653" customFormat="false" ht="21" hidden="false" customHeight="true" outlineLevel="0" collapsed="false">
      <c r="B2653" s="41"/>
      <c r="C2653" s="9"/>
      <c r="D2653" s="9"/>
      <c r="E2653" s="42"/>
      <c r="F2653" s="43"/>
      <c r="G2653" s="27" t="str">
        <f aca="false">IF(OR(C2653="",AND(D2653="",F2653="")),"",IF(N(E2653)=0,1,E2653)*IF(F2653="",IFERROR(N(INDEX(Produtos!$L$5:$L$104,MATCH(D2653,Produtos!$B$5:$B$104,0))),0),F2653))</f>
        <v/>
      </c>
      <c r="H2653" s="27" t="str">
        <f aca="false">IF(G2653="","",IF(N(E2653)=0,1,E2653)*IFERROR(N(INDEX(Produtos!$G$5:$G$104,MATCH(D2653,Produtos!$B$5:$B$104,0))),0))</f>
        <v/>
      </c>
      <c r="I2653" s="27" t="str">
        <f aca="false">IF(G2653="","",G2653-H2653)</f>
        <v/>
      </c>
      <c r="J2653" s="42"/>
    </row>
    <row r="2654" customFormat="false" ht="21" hidden="false" customHeight="true" outlineLevel="0" collapsed="false">
      <c r="B2654" s="41"/>
      <c r="C2654" s="9"/>
      <c r="D2654" s="9"/>
      <c r="E2654" s="42"/>
      <c r="F2654" s="43"/>
      <c r="G2654" s="27" t="str">
        <f aca="false">IF(OR(C2654="",AND(D2654="",F2654="")),"",IF(N(E2654)=0,1,E2654)*IF(F2654="",IFERROR(N(INDEX(Produtos!$L$5:$L$104,MATCH(D2654,Produtos!$B$5:$B$104,0))),0),F2654))</f>
        <v/>
      </c>
      <c r="H2654" s="27" t="str">
        <f aca="false">IF(G2654="","",IF(N(E2654)=0,1,E2654)*IFERROR(N(INDEX(Produtos!$G$5:$G$104,MATCH(D2654,Produtos!$B$5:$B$104,0))),0))</f>
        <v/>
      </c>
      <c r="I2654" s="27" t="str">
        <f aca="false">IF(G2654="","",G2654-H2654)</f>
        <v/>
      </c>
      <c r="J2654" s="42"/>
    </row>
    <row r="2655" customFormat="false" ht="21" hidden="false" customHeight="true" outlineLevel="0" collapsed="false">
      <c r="B2655" s="41"/>
      <c r="C2655" s="9"/>
      <c r="D2655" s="9"/>
      <c r="E2655" s="42"/>
      <c r="F2655" s="43"/>
      <c r="G2655" s="27" t="str">
        <f aca="false">IF(OR(C2655="",AND(D2655="",F2655="")),"",IF(N(E2655)=0,1,E2655)*IF(F2655="",IFERROR(N(INDEX(Produtos!$L$5:$L$104,MATCH(D2655,Produtos!$B$5:$B$104,0))),0),F2655))</f>
        <v/>
      </c>
      <c r="H2655" s="27" t="str">
        <f aca="false">IF(G2655="","",IF(N(E2655)=0,1,E2655)*IFERROR(N(INDEX(Produtos!$G$5:$G$104,MATCH(D2655,Produtos!$B$5:$B$104,0))),0))</f>
        <v/>
      </c>
      <c r="I2655" s="27" t="str">
        <f aca="false">IF(G2655="","",G2655-H2655)</f>
        <v/>
      </c>
      <c r="J2655" s="42"/>
    </row>
    <row r="2656" customFormat="false" ht="21" hidden="false" customHeight="true" outlineLevel="0" collapsed="false">
      <c r="B2656" s="41"/>
      <c r="C2656" s="9"/>
      <c r="D2656" s="9"/>
      <c r="E2656" s="42"/>
      <c r="F2656" s="43"/>
      <c r="G2656" s="27" t="str">
        <f aca="false">IF(OR(C2656="",AND(D2656="",F2656="")),"",IF(N(E2656)=0,1,E2656)*IF(F2656="",IFERROR(N(INDEX(Produtos!$L$5:$L$104,MATCH(D2656,Produtos!$B$5:$B$104,0))),0),F2656))</f>
        <v/>
      </c>
      <c r="H2656" s="27" t="str">
        <f aca="false">IF(G2656="","",IF(N(E2656)=0,1,E2656)*IFERROR(N(INDEX(Produtos!$G$5:$G$104,MATCH(D2656,Produtos!$B$5:$B$104,0))),0))</f>
        <v/>
      </c>
      <c r="I2656" s="27" t="str">
        <f aca="false">IF(G2656="","",G2656-H2656)</f>
        <v/>
      </c>
      <c r="J2656" s="42"/>
    </row>
    <row r="2657" customFormat="false" ht="21" hidden="false" customHeight="true" outlineLevel="0" collapsed="false">
      <c r="B2657" s="41"/>
      <c r="C2657" s="9"/>
      <c r="D2657" s="9"/>
      <c r="E2657" s="42"/>
      <c r="F2657" s="43"/>
      <c r="G2657" s="27" t="str">
        <f aca="false">IF(OR(C2657="",AND(D2657="",F2657="")),"",IF(N(E2657)=0,1,E2657)*IF(F2657="",IFERROR(N(INDEX(Produtos!$L$5:$L$104,MATCH(D2657,Produtos!$B$5:$B$104,0))),0),F2657))</f>
        <v/>
      </c>
      <c r="H2657" s="27" t="str">
        <f aca="false">IF(G2657="","",IF(N(E2657)=0,1,E2657)*IFERROR(N(INDEX(Produtos!$G$5:$G$104,MATCH(D2657,Produtos!$B$5:$B$104,0))),0))</f>
        <v/>
      </c>
      <c r="I2657" s="27" t="str">
        <f aca="false">IF(G2657="","",G2657-H2657)</f>
        <v/>
      </c>
      <c r="J2657" s="42"/>
    </row>
    <row r="2658" customFormat="false" ht="21" hidden="false" customHeight="true" outlineLevel="0" collapsed="false">
      <c r="B2658" s="41"/>
      <c r="C2658" s="9"/>
      <c r="D2658" s="9"/>
      <c r="E2658" s="42"/>
      <c r="F2658" s="43"/>
      <c r="G2658" s="27" t="str">
        <f aca="false">IF(OR(C2658="",AND(D2658="",F2658="")),"",IF(N(E2658)=0,1,E2658)*IF(F2658="",IFERROR(N(INDEX(Produtos!$L$5:$L$104,MATCH(D2658,Produtos!$B$5:$B$104,0))),0),F2658))</f>
        <v/>
      </c>
      <c r="H2658" s="27" t="str">
        <f aca="false">IF(G2658="","",IF(N(E2658)=0,1,E2658)*IFERROR(N(INDEX(Produtos!$G$5:$G$104,MATCH(D2658,Produtos!$B$5:$B$104,0))),0))</f>
        <v/>
      </c>
      <c r="I2658" s="27" t="str">
        <f aca="false">IF(G2658="","",G2658-H2658)</f>
        <v/>
      </c>
      <c r="J2658" s="42"/>
    </row>
    <row r="2659" customFormat="false" ht="21" hidden="false" customHeight="true" outlineLevel="0" collapsed="false">
      <c r="B2659" s="41"/>
      <c r="C2659" s="9"/>
      <c r="D2659" s="9"/>
      <c r="E2659" s="42"/>
      <c r="F2659" s="43"/>
      <c r="G2659" s="27" t="str">
        <f aca="false">IF(OR(C2659="",AND(D2659="",F2659="")),"",IF(N(E2659)=0,1,E2659)*IF(F2659="",IFERROR(N(INDEX(Produtos!$L$5:$L$104,MATCH(D2659,Produtos!$B$5:$B$104,0))),0),F2659))</f>
        <v/>
      </c>
      <c r="H2659" s="27" t="str">
        <f aca="false">IF(G2659="","",IF(N(E2659)=0,1,E2659)*IFERROR(N(INDEX(Produtos!$G$5:$G$104,MATCH(D2659,Produtos!$B$5:$B$104,0))),0))</f>
        <v/>
      </c>
      <c r="I2659" s="27" t="str">
        <f aca="false">IF(G2659="","",G2659-H2659)</f>
        <v/>
      </c>
      <c r="J2659" s="42"/>
    </row>
    <row r="2660" customFormat="false" ht="21" hidden="false" customHeight="true" outlineLevel="0" collapsed="false">
      <c r="B2660" s="41"/>
      <c r="C2660" s="9"/>
      <c r="D2660" s="9"/>
      <c r="E2660" s="42"/>
      <c r="F2660" s="43"/>
      <c r="G2660" s="27" t="str">
        <f aca="false">IF(OR(C2660="",AND(D2660="",F2660="")),"",IF(N(E2660)=0,1,E2660)*IF(F2660="",IFERROR(N(INDEX(Produtos!$L$5:$L$104,MATCH(D2660,Produtos!$B$5:$B$104,0))),0),F2660))</f>
        <v/>
      </c>
      <c r="H2660" s="27" t="str">
        <f aca="false">IF(G2660="","",IF(N(E2660)=0,1,E2660)*IFERROR(N(INDEX(Produtos!$G$5:$G$104,MATCH(D2660,Produtos!$B$5:$B$104,0))),0))</f>
        <v/>
      </c>
      <c r="I2660" s="27" t="str">
        <f aca="false">IF(G2660="","",G2660-H2660)</f>
        <v/>
      </c>
      <c r="J2660" s="42"/>
    </row>
    <row r="2661" customFormat="false" ht="21" hidden="false" customHeight="true" outlineLevel="0" collapsed="false">
      <c r="B2661" s="41"/>
      <c r="C2661" s="9"/>
      <c r="D2661" s="9"/>
      <c r="E2661" s="42"/>
      <c r="F2661" s="43"/>
      <c r="G2661" s="27" t="str">
        <f aca="false">IF(OR(C2661="",AND(D2661="",F2661="")),"",IF(N(E2661)=0,1,E2661)*IF(F2661="",IFERROR(N(INDEX(Produtos!$L$5:$L$104,MATCH(D2661,Produtos!$B$5:$B$104,0))),0),F2661))</f>
        <v/>
      </c>
      <c r="H2661" s="27" t="str">
        <f aca="false">IF(G2661="","",IF(N(E2661)=0,1,E2661)*IFERROR(N(INDEX(Produtos!$G$5:$G$104,MATCH(D2661,Produtos!$B$5:$B$104,0))),0))</f>
        <v/>
      </c>
      <c r="I2661" s="27" t="str">
        <f aca="false">IF(G2661="","",G2661-H2661)</f>
        <v/>
      </c>
      <c r="J2661" s="42"/>
    </row>
    <row r="2662" customFormat="false" ht="21" hidden="false" customHeight="true" outlineLevel="0" collapsed="false">
      <c r="B2662" s="41"/>
      <c r="C2662" s="9"/>
      <c r="D2662" s="9"/>
      <c r="E2662" s="42"/>
      <c r="F2662" s="43"/>
      <c r="G2662" s="27" t="str">
        <f aca="false">IF(OR(C2662="",AND(D2662="",F2662="")),"",IF(N(E2662)=0,1,E2662)*IF(F2662="",IFERROR(N(INDEX(Produtos!$L$5:$L$104,MATCH(D2662,Produtos!$B$5:$B$104,0))),0),F2662))</f>
        <v/>
      </c>
      <c r="H2662" s="27" t="str">
        <f aca="false">IF(G2662="","",IF(N(E2662)=0,1,E2662)*IFERROR(N(INDEX(Produtos!$G$5:$G$104,MATCH(D2662,Produtos!$B$5:$B$104,0))),0))</f>
        <v/>
      </c>
      <c r="I2662" s="27" t="str">
        <f aca="false">IF(G2662="","",G2662-H2662)</f>
        <v/>
      </c>
      <c r="J2662" s="42"/>
    </row>
    <row r="2663" customFormat="false" ht="21" hidden="false" customHeight="true" outlineLevel="0" collapsed="false">
      <c r="B2663" s="41"/>
      <c r="C2663" s="9"/>
      <c r="D2663" s="9"/>
      <c r="E2663" s="42"/>
      <c r="F2663" s="43"/>
      <c r="G2663" s="27" t="str">
        <f aca="false">IF(OR(C2663="",AND(D2663="",F2663="")),"",IF(N(E2663)=0,1,E2663)*IF(F2663="",IFERROR(N(INDEX(Produtos!$L$5:$L$104,MATCH(D2663,Produtos!$B$5:$B$104,0))),0),F2663))</f>
        <v/>
      </c>
      <c r="H2663" s="27" t="str">
        <f aca="false">IF(G2663="","",IF(N(E2663)=0,1,E2663)*IFERROR(N(INDEX(Produtos!$G$5:$G$104,MATCH(D2663,Produtos!$B$5:$B$104,0))),0))</f>
        <v/>
      </c>
      <c r="I2663" s="27" t="str">
        <f aca="false">IF(G2663="","",G2663-H2663)</f>
        <v/>
      </c>
      <c r="J2663" s="42"/>
    </row>
    <row r="2664" customFormat="false" ht="21" hidden="false" customHeight="true" outlineLevel="0" collapsed="false">
      <c r="B2664" s="41"/>
      <c r="C2664" s="9"/>
      <c r="D2664" s="9"/>
      <c r="E2664" s="42"/>
      <c r="F2664" s="43"/>
      <c r="G2664" s="27" t="str">
        <f aca="false">IF(OR(C2664="",AND(D2664="",F2664="")),"",IF(N(E2664)=0,1,E2664)*IF(F2664="",IFERROR(N(INDEX(Produtos!$L$5:$L$104,MATCH(D2664,Produtos!$B$5:$B$104,0))),0),F2664))</f>
        <v/>
      </c>
      <c r="H2664" s="27" t="str">
        <f aca="false">IF(G2664="","",IF(N(E2664)=0,1,E2664)*IFERROR(N(INDEX(Produtos!$G$5:$G$104,MATCH(D2664,Produtos!$B$5:$B$104,0))),0))</f>
        <v/>
      </c>
      <c r="I2664" s="27" t="str">
        <f aca="false">IF(G2664="","",G2664-H2664)</f>
        <v/>
      </c>
      <c r="J2664" s="42"/>
    </row>
    <row r="2665" customFormat="false" ht="21" hidden="false" customHeight="true" outlineLevel="0" collapsed="false">
      <c r="B2665" s="41"/>
      <c r="C2665" s="9"/>
      <c r="D2665" s="9"/>
      <c r="E2665" s="42"/>
      <c r="F2665" s="43"/>
      <c r="G2665" s="27" t="str">
        <f aca="false">IF(OR(C2665="",AND(D2665="",F2665="")),"",IF(N(E2665)=0,1,E2665)*IF(F2665="",IFERROR(N(INDEX(Produtos!$L$5:$L$104,MATCH(D2665,Produtos!$B$5:$B$104,0))),0),F2665))</f>
        <v/>
      </c>
      <c r="H2665" s="27" t="str">
        <f aca="false">IF(G2665="","",IF(N(E2665)=0,1,E2665)*IFERROR(N(INDEX(Produtos!$G$5:$G$104,MATCH(D2665,Produtos!$B$5:$B$104,0))),0))</f>
        <v/>
      </c>
      <c r="I2665" s="27" t="str">
        <f aca="false">IF(G2665="","",G2665-H2665)</f>
        <v/>
      </c>
      <c r="J2665" s="42"/>
    </row>
    <row r="2666" customFormat="false" ht="21" hidden="false" customHeight="true" outlineLevel="0" collapsed="false">
      <c r="B2666" s="41"/>
      <c r="C2666" s="9"/>
      <c r="D2666" s="9"/>
      <c r="E2666" s="42"/>
      <c r="F2666" s="43"/>
      <c r="G2666" s="27" t="str">
        <f aca="false">IF(OR(C2666="",AND(D2666="",F2666="")),"",IF(N(E2666)=0,1,E2666)*IF(F2666="",IFERROR(N(INDEX(Produtos!$L$5:$L$104,MATCH(D2666,Produtos!$B$5:$B$104,0))),0),F2666))</f>
        <v/>
      </c>
      <c r="H2666" s="27" t="str">
        <f aca="false">IF(G2666="","",IF(N(E2666)=0,1,E2666)*IFERROR(N(INDEX(Produtos!$G$5:$G$104,MATCH(D2666,Produtos!$B$5:$B$104,0))),0))</f>
        <v/>
      </c>
      <c r="I2666" s="27" t="str">
        <f aca="false">IF(G2666="","",G2666-H2666)</f>
        <v/>
      </c>
      <c r="J2666" s="42"/>
    </row>
    <row r="2667" customFormat="false" ht="21" hidden="false" customHeight="true" outlineLevel="0" collapsed="false">
      <c r="B2667" s="41"/>
      <c r="C2667" s="9"/>
      <c r="D2667" s="9"/>
      <c r="E2667" s="42"/>
      <c r="F2667" s="43"/>
      <c r="G2667" s="27" t="str">
        <f aca="false">IF(OR(C2667="",AND(D2667="",F2667="")),"",IF(N(E2667)=0,1,E2667)*IF(F2667="",IFERROR(N(INDEX(Produtos!$L$5:$L$104,MATCH(D2667,Produtos!$B$5:$B$104,0))),0),F2667))</f>
        <v/>
      </c>
      <c r="H2667" s="27" t="str">
        <f aca="false">IF(G2667="","",IF(N(E2667)=0,1,E2667)*IFERROR(N(INDEX(Produtos!$G$5:$G$104,MATCH(D2667,Produtos!$B$5:$B$104,0))),0))</f>
        <v/>
      </c>
      <c r="I2667" s="27" t="str">
        <f aca="false">IF(G2667="","",G2667-H2667)</f>
        <v/>
      </c>
      <c r="J2667" s="42"/>
    </row>
    <row r="2668" customFormat="false" ht="21" hidden="false" customHeight="true" outlineLevel="0" collapsed="false">
      <c r="B2668" s="41"/>
      <c r="C2668" s="9"/>
      <c r="D2668" s="9"/>
      <c r="E2668" s="42"/>
      <c r="F2668" s="43"/>
      <c r="G2668" s="27" t="str">
        <f aca="false">IF(OR(C2668="",AND(D2668="",F2668="")),"",IF(N(E2668)=0,1,E2668)*IF(F2668="",IFERROR(N(INDEX(Produtos!$L$5:$L$104,MATCH(D2668,Produtos!$B$5:$B$104,0))),0),F2668))</f>
        <v/>
      </c>
      <c r="H2668" s="27" t="str">
        <f aca="false">IF(G2668="","",IF(N(E2668)=0,1,E2668)*IFERROR(N(INDEX(Produtos!$G$5:$G$104,MATCH(D2668,Produtos!$B$5:$B$104,0))),0))</f>
        <v/>
      </c>
      <c r="I2668" s="27" t="str">
        <f aca="false">IF(G2668="","",G2668-H2668)</f>
        <v/>
      </c>
      <c r="J2668" s="42"/>
    </row>
    <row r="2669" customFormat="false" ht="21" hidden="false" customHeight="true" outlineLevel="0" collapsed="false">
      <c r="B2669" s="41"/>
      <c r="C2669" s="9"/>
      <c r="D2669" s="9"/>
      <c r="E2669" s="42"/>
      <c r="F2669" s="43"/>
      <c r="G2669" s="27" t="str">
        <f aca="false">IF(OR(C2669="",AND(D2669="",F2669="")),"",IF(N(E2669)=0,1,E2669)*IF(F2669="",IFERROR(N(INDEX(Produtos!$L$5:$L$104,MATCH(D2669,Produtos!$B$5:$B$104,0))),0),F2669))</f>
        <v/>
      </c>
      <c r="H2669" s="27" t="str">
        <f aca="false">IF(G2669="","",IF(N(E2669)=0,1,E2669)*IFERROR(N(INDEX(Produtos!$G$5:$G$104,MATCH(D2669,Produtos!$B$5:$B$104,0))),0))</f>
        <v/>
      </c>
      <c r="I2669" s="27" t="str">
        <f aca="false">IF(G2669="","",G2669-H2669)</f>
        <v/>
      </c>
      <c r="J2669" s="42"/>
    </row>
    <row r="2670" customFormat="false" ht="21" hidden="false" customHeight="true" outlineLevel="0" collapsed="false">
      <c r="B2670" s="41"/>
      <c r="C2670" s="9"/>
      <c r="D2670" s="9"/>
      <c r="E2670" s="42"/>
      <c r="F2670" s="43"/>
      <c r="G2670" s="27" t="str">
        <f aca="false">IF(OR(C2670="",AND(D2670="",F2670="")),"",IF(N(E2670)=0,1,E2670)*IF(F2670="",IFERROR(N(INDEX(Produtos!$L$5:$L$104,MATCH(D2670,Produtos!$B$5:$B$104,0))),0),F2670))</f>
        <v/>
      </c>
      <c r="H2670" s="27" t="str">
        <f aca="false">IF(G2670="","",IF(N(E2670)=0,1,E2670)*IFERROR(N(INDEX(Produtos!$G$5:$G$104,MATCH(D2670,Produtos!$B$5:$B$104,0))),0))</f>
        <v/>
      </c>
      <c r="I2670" s="27" t="str">
        <f aca="false">IF(G2670="","",G2670-H2670)</f>
        <v/>
      </c>
      <c r="J2670" s="42"/>
    </row>
    <row r="2671" customFormat="false" ht="21" hidden="false" customHeight="true" outlineLevel="0" collapsed="false">
      <c r="B2671" s="41"/>
      <c r="C2671" s="9"/>
      <c r="D2671" s="9"/>
      <c r="E2671" s="42"/>
      <c r="F2671" s="43"/>
      <c r="G2671" s="27" t="str">
        <f aca="false">IF(OR(C2671="",AND(D2671="",F2671="")),"",IF(N(E2671)=0,1,E2671)*IF(F2671="",IFERROR(N(INDEX(Produtos!$L$5:$L$104,MATCH(D2671,Produtos!$B$5:$B$104,0))),0),F2671))</f>
        <v/>
      </c>
      <c r="H2671" s="27" t="str">
        <f aca="false">IF(G2671="","",IF(N(E2671)=0,1,E2671)*IFERROR(N(INDEX(Produtos!$G$5:$G$104,MATCH(D2671,Produtos!$B$5:$B$104,0))),0))</f>
        <v/>
      </c>
      <c r="I2671" s="27" t="str">
        <f aca="false">IF(G2671="","",G2671-H2671)</f>
        <v/>
      </c>
      <c r="J2671" s="42"/>
    </row>
    <row r="2672" customFormat="false" ht="21" hidden="false" customHeight="true" outlineLevel="0" collapsed="false">
      <c r="B2672" s="41"/>
      <c r="C2672" s="9"/>
      <c r="D2672" s="9"/>
      <c r="E2672" s="42"/>
      <c r="F2672" s="43"/>
      <c r="G2672" s="27" t="str">
        <f aca="false">IF(OR(C2672="",AND(D2672="",F2672="")),"",IF(N(E2672)=0,1,E2672)*IF(F2672="",IFERROR(N(INDEX(Produtos!$L$5:$L$104,MATCH(D2672,Produtos!$B$5:$B$104,0))),0),F2672))</f>
        <v/>
      </c>
      <c r="H2672" s="27" t="str">
        <f aca="false">IF(G2672="","",IF(N(E2672)=0,1,E2672)*IFERROR(N(INDEX(Produtos!$G$5:$G$104,MATCH(D2672,Produtos!$B$5:$B$104,0))),0))</f>
        <v/>
      </c>
      <c r="I2672" s="27" t="str">
        <f aca="false">IF(G2672="","",G2672-H2672)</f>
        <v/>
      </c>
      <c r="J2672" s="42"/>
    </row>
    <row r="2673" customFormat="false" ht="21" hidden="false" customHeight="true" outlineLevel="0" collapsed="false">
      <c r="B2673" s="41"/>
      <c r="C2673" s="9"/>
      <c r="D2673" s="9"/>
      <c r="E2673" s="42"/>
      <c r="F2673" s="43"/>
      <c r="G2673" s="27" t="str">
        <f aca="false">IF(OR(C2673="",AND(D2673="",F2673="")),"",IF(N(E2673)=0,1,E2673)*IF(F2673="",IFERROR(N(INDEX(Produtos!$L$5:$L$104,MATCH(D2673,Produtos!$B$5:$B$104,0))),0),F2673))</f>
        <v/>
      </c>
      <c r="H2673" s="27" t="str">
        <f aca="false">IF(G2673="","",IF(N(E2673)=0,1,E2673)*IFERROR(N(INDEX(Produtos!$G$5:$G$104,MATCH(D2673,Produtos!$B$5:$B$104,0))),0))</f>
        <v/>
      </c>
      <c r="I2673" s="27" t="str">
        <f aca="false">IF(G2673="","",G2673-H2673)</f>
        <v/>
      </c>
      <c r="J2673" s="42"/>
    </row>
    <row r="2674" customFormat="false" ht="21" hidden="false" customHeight="true" outlineLevel="0" collapsed="false">
      <c r="B2674" s="41"/>
      <c r="C2674" s="9"/>
      <c r="D2674" s="9"/>
      <c r="E2674" s="42"/>
      <c r="F2674" s="43"/>
      <c r="G2674" s="27" t="str">
        <f aca="false">IF(OR(C2674="",AND(D2674="",F2674="")),"",IF(N(E2674)=0,1,E2674)*IF(F2674="",IFERROR(N(INDEX(Produtos!$L$5:$L$104,MATCH(D2674,Produtos!$B$5:$B$104,0))),0),F2674))</f>
        <v/>
      </c>
      <c r="H2674" s="27" t="str">
        <f aca="false">IF(G2674="","",IF(N(E2674)=0,1,E2674)*IFERROR(N(INDEX(Produtos!$G$5:$G$104,MATCH(D2674,Produtos!$B$5:$B$104,0))),0))</f>
        <v/>
      </c>
      <c r="I2674" s="27" t="str">
        <f aca="false">IF(G2674="","",G2674-H2674)</f>
        <v/>
      </c>
      <c r="J2674" s="42"/>
    </row>
    <row r="2675" customFormat="false" ht="21" hidden="false" customHeight="true" outlineLevel="0" collapsed="false">
      <c r="B2675" s="41"/>
      <c r="C2675" s="9"/>
      <c r="D2675" s="9"/>
      <c r="E2675" s="42"/>
      <c r="F2675" s="43"/>
      <c r="G2675" s="27" t="str">
        <f aca="false">IF(OR(C2675="",AND(D2675="",F2675="")),"",IF(N(E2675)=0,1,E2675)*IF(F2675="",IFERROR(N(INDEX(Produtos!$L$5:$L$104,MATCH(D2675,Produtos!$B$5:$B$104,0))),0),F2675))</f>
        <v/>
      </c>
      <c r="H2675" s="27" t="str">
        <f aca="false">IF(G2675="","",IF(N(E2675)=0,1,E2675)*IFERROR(N(INDEX(Produtos!$G$5:$G$104,MATCH(D2675,Produtos!$B$5:$B$104,0))),0))</f>
        <v/>
      </c>
      <c r="I2675" s="27" t="str">
        <f aca="false">IF(G2675="","",G2675-H2675)</f>
        <v/>
      </c>
      <c r="J2675" s="42"/>
    </row>
    <row r="2676" customFormat="false" ht="21" hidden="false" customHeight="true" outlineLevel="0" collapsed="false">
      <c r="B2676" s="41"/>
      <c r="C2676" s="9"/>
      <c r="D2676" s="9"/>
      <c r="E2676" s="42"/>
      <c r="F2676" s="43"/>
      <c r="G2676" s="27" t="str">
        <f aca="false">IF(OR(C2676="",AND(D2676="",F2676="")),"",IF(N(E2676)=0,1,E2676)*IF(F2676="",IFERROR(N(INDEX(Produtos!$L$5:$L$104,MATCH(D2676,Produtos!$B$5:$B$104,0))),0),F2676))</f>
        <v/>
      </c>
      <c r="H2676" s="27" t="str">
        <f aca="false">IF(G2676="","",IF(N(E2676)=0,1,E2676)*IFERROR(N(INDEX(Produtos!$G$5:$G$104,MATCH(D2676,Produtos!$B$5:$B$104,0))),0))</f>
        <v/>
      </c>
      <c r="I2676" s="27" t="str">
        <f aca="false">IF(G2676="","",G2676-H2676)</f>
        <v/>
      </c>
      <c r="J2676" s="42"/>
    </row>
    <row r="2677" customFormat="false" ht="21" hidden="false" customHeight="true" outlineLevel="0" collapsed="false">
      <c r="B2677" s="41"/>
      <c r="C2677" s="9"/>
      <c r="D2677" s="9"/>
      <c r="E2677" s="42"/>
      <c r="F2677" s="43"/>
      <c r="G2677" s="27" t="str">
        <f aca="false">IF(OR(C2677="",AND(D2677="",F2677="")),"",IF(N(E2677)=0,1,E2677)*IF(F2677="",IFERROR(N(INDEX(Produtos!$L$5:$L$104,MATCH(D2677,Produtos!$B$5:$B$104,0))),0),F2677))</f>
        <v/>
      </c>
      <c r="H2677" s="27" t="str">
        <f aca="false">IF(G2677="","",IF(N(E2677)=0,1,E2677)*IFERROR(N(INDEX(Produtos!$G$5:$G$104,MATCH(D2677,Produtos!$B$5:$B$104,0))),0))</f>
        <v/>
      </c>
      <c r="I2677" s="27" t="str">
        <f aca="false">IF(G2677="","",G2677-H2677)</f>
        <v/>
      </c>
      <c r="J2677" s="42"/>
    </row>
    <row r="2678" customFormat="false" ht="21" hidden="false" customHeight="true" outlineLevel="0" collapsed="false">
      <c r="B2678" s="41"/>
      <c r="C2678" s="9"/>
      <c r="D2678" s="9"/>
      <c r="E2678" s="42"/>
      <c r="F2678" s="43"/>
      <c r="G2678" s="27" t="str">
        <f aca="false">IF(OR(C2678="",AND(D2678="",F2678="")),"",IF(N(E2678)=0,1,E2678)*IF(F2678="",IFERROR(N(INDEX(Produtos!$L$5:$L$104,MATCH(D2678,Produtos!$B$5:$B$104,0))),0),F2678))</f>
        <v/>
      </c>
      <c r="H2678" s="27" t="str">
        <f aca="false">IF(G2678="","",IF(N(E2678)=0,1,E2678)*IFERROR(N(INDEX(Produtos!$G$5:$G$104,MATCH(D2678,Produtos!$B$5:$B$104,0))),0))</f>
        <v/>
      </c>
      <c r="I2678" s="27" t="str">
        <f aca="false">IF(G2678="","",G2678-H2678)</f>
        <v/>
      </c>
      <c r="J2678" s="42"/>
    </row>
    <row r="2679" customFormat="false" ht="21" hidden="false" customHeight="true" outlineLevel="0" collapsed="false">
      <c r="B2679" s="41"/>
      <c r="C2679" s="9"/>
      <c r="D2679" s="9"/>
      <c r="E2679" s="42"/>
      <c r="F2679" s="43"/>
      <c r="G2679" s="27" t="str">
        <f aca="false">IF(OR(C2679="",AND(D2679="",F2679="")),"",IF(N(E2679)=0,1,E2679)*IF(F2679="",IFERROR(N(INDEX(Produtos!$L$5:$L$104,MATCH(D2679,Produtos!$B$5:$B$104,0))),0),F2679))</f>
        <v/>
      </c>
      <c r="H2679" s="27" t="str">
        <f aca="false">IF(G2679="","",IF(N(E2679)=0,1,E2679)*IFERROR(N(INDEX(Produtos!$G$5:$G$104,MATCH(D2679,Produtos!$B$5:$B$104,0))),0))</f>
        <v/>
      </c>
      <c r="I2679" s="27" t="str">
        <f aca="false">IF(G2679="","",G2679-H2679)</f>
        <v/>
      </c>
      <c r="J2679" s="42"/>
    </row>
    <row r="2680" customFormat="false" ht="21" hidden="false" customHeight="true" outlineLevel="0" collapsed="false">
      <c r="B2680" s="41"/>
      <c r="C2680" s="9"/>
      <c r="D2680" s="9"/>
      <c r="E2680" s="42"/>
      <c r="F2680" s="43"/>
      <c r="G2680" s="27" t="str">
        <f aca="false">IF(OR(C2680="",AND(D2680="",F2680="")),"",IF(N(E2680)=0,1,E2680)*IF(F2680="",IFERROR(N(INDEX(Produtos!$L$5:$L$104,MATCH(D2680,Produtos!$B$5:$B$104,0))),0),F2680))</f>
        <v/>
      </c>
      <c r="H2680" s="27" t="str">
        <f aca="false">IF(G2680="","",IF(N(E2680)=0,1,E2680)*IFERROR(N(INDEX(Produtos!$G$5:$G$104,MATCH(D2680,Produtos!$B$5:$B$104,0))),0))</f>
        <v/>
      </c>
      <c r="I2680" s="27" t="str">
        <f aca="false">IF(G2680="","",G2680-H2680)</f>
        <v/>
      </c>
      <c r="J2680" s="42"/>
    </row>
    <row r="2681" customFormat="false" ht="21" hidden="false" customHeight="true" outlineLevel="0" collapsed="false">
      <c r="B2681" s="41"/>
      <c r="C2681" s="9"/>
      <c r="D2681" s="9"/>
      <c r="E2681" s="42"/>
      <c r="F2681" s="43"/>
      <c r="G2681" s="27" t="str">
        <f aca="false">IF(OR(C2681="",AND(D2681="",F2681="")),"",IF(N(E2681)=0,1,E2681)*IF(F2681="",IFERROR(N(INDEX(Produtos!$L$5:$L$104,MATCH(D2681,Produtos!$B$5:$B$104,0))),0),F2681))</f>
        <v/>
      </c>
      <c r="H2681" s="27" t="str">
        <f aca="false">IF(G2681="","",IF(N(E2681)=0,1,E2681)*IFERROR(N(INDEX(Produtos!$G$5:$G$104,MATCH(D2681,Produtos!$B$5:$B$104,0))),0))</f>
        <v/>
      </c>
      <c r="I2681" s="27" t="str">
        <f aca="false">IF(G2681="","",G2681-H2681)</f>
        <v/>
      </c>
      <c r="J2681" s="42"/>
    </row>
    <row r="2682" customFormat="false" ht="21" hidden="false" customHeight="true" outlineLevel="0" collapsed="false">
      <c r="B2682" s="41"/>
      <c r="C2682" s="9"/>
      <c r="D2682" s="9"/>
      <c r="E2682" s="42"/>
      <c r="F2682" s="43"/>
      <c r="G2682" s="27" t="str">
        <f aca="false">IF(OR(C2682="",AND(D2682="",F2682="")),"",IF(N(E2682)=0,1,E2682)*IF(F2682="",IFERROR(N(INDEX(Produtos!$L$5:$L$104,MATCH(D2682,Produtos!$B$5:$B$104,0))),0),F2682))</f>
        <v/>
      </c>
      <c r="H2682" s="27" t="str">
        <f aca="false">IF(G2682="","",IF(N(E2682)=0,1,E2682)*IFERROR(N(INDEX(Produtos!$G$5:$G$104,MATCH(D2682,Produtos!$B$5:$B$104,0))),0))</f>
        <v/>
      </c>
      <c r="I2682" s="27" t="str">
        <f aca="false">IF(G2682="","",G2682-H2682)</f>
        <v/>
      </c>
      <c r="J2682" s="42"/>
    </row>
    <row r="2683" customFormat="false" ht="21" hidden="false" customHeight="true" outlineLevel="0" collapsed="false">
      <c r="B2683" s="41"/>
      <c r="C2683" s="9"/>
      <c r="D2683" s="9"/>
      <c r="E2683" s="42"/>
      <c r="F2683" s="43"/>
      <c r="G2683" s="27" t="str">
        <f aca="false">IF(OR(C2683="",AND(D2683="",F2683="")),"",IF(N(E2683)=0,1,E2683)*IF(F2683="",IFERROR(N(INDEX(Produtos!$L$5:$L$104,MATCH(D2683,Produtos!$B$5:$B$104,0))),0),F2683))</f>
        <v/>
      </c>
      <c r="H2683" s="27" t="str">
        <f aca="false">IF(G2683="","",IF(N(E2683)=0,1,E2683)*IFERROR(N(INDEX(Produtos!$G$5:$G$104,MATCH(D2683,Produtos!$B$5:$B$104,0))),0))</f>
        <v/>
      </c>
      <c r="I2683" s="27" t="str">
        <f aca="false">IF(G2683="","",G2683-H2683)</f>
        <v/>
      </c>
      <c r="J2683" s="42"/>
    </row>
    <row r="2684" customFormat="false" ht="21" hidden="false" customHeight="true" outlineLevel="0" collapsed="false">
      <c r="B2684" s="41"/>
      <c r="C2684" s="9"/>
      <c r="D2684" s="9"/>
      <c r="E2684" s="42"/>
      <c r="F2684" s="43"/>
      <c r="G2684" s="27" t="str">
        <f aca="false">IF(OR(C2684="",AND(D2684="",F2684="")),"",IF(N(E2684)=0,1,E2684)*IF(F2684="",IFERROR(N(INDEX(Produtos!$L$5:$L$104,MATCH(D2684,Produtos!$B$5:$B$104,0))),0),F2684))</f>
        <v/>
      </c>
      <c r="H2684" s="27" t="str">
        <f aca="false">IF(G2684="","",IF(N(E2684)=0,1,E2684)*IFERROR(N(INDEX(Produtos!$G$5:$G$104,MATCH(D2684,Produtos!$B$5:$B$104,0))),0))</f>
        <v/>
      </c>
      <c r="I2684" s="27" t="str">
        <f aca="false">IF(G2684="","",G2684-H2684)</f>
        <v/>
      </c>
      <c r="J2684" s="42"/>
    </row>
    <row r="2685" customFormat="false" ht="21" hidden="false" customHeight="true" outlineLevel="0" collapsed="false">
      <c r="B2685" s="41"/>
      <c r="C2685" s="9"/>
      <c r="D2685" s="9"/>
      <c r="E2685" s="42"/>
      <c r="F2685" s="43"/>
      <c r="G2685" s="27" t="str">
        <f aca="false">IF(OR(C2685="",AND(D2685="",F2685="")),"",IF(N(E2685)=0,1,E2685)*IF(F2685="",IFERROR(N(INDEX(Produtos!$L$5:$L$104,MATCH(D2685,Produtos!$B$5:$B$104,0))),0),F2685))</f>
        <v/>
      </c>
      <c r="H2685" s="27" t="str">
        <f aca="false">IF(G2685="","",IF(N(E2685)=0,1,E2685)*IFERROR(N(INDEX(Produtos!$G$5:$G$104,MATCH(D2685,Produtos!$B$5:$B$104,0))),0))</f>
        <v/>
      </c>
      <c r="I2685" s="27" t="str">
        <f aca="false">IF(G2685="","",G2685-H2685)</f>
        <v/>
      </c>
      <c r="J2685" s="42"/>
    </row>
    <row r="2686" customFormat="false" ht="21" hidden="false" customHeight="true" outlineLevel="0" collapsed="false">
      <c r="B2686" s="41"/>
      <c r="C2686" s="9"/>
      <c r="D2686" s="9"/>
      <c r="E2686" s="42"/>
      <c r="F2686" s="43"/>
      <c r="G2686" s="27" t="str">
        <f aca="false">IF(OR(C2686="",AND(D2686="",F2686="")),"",IF(N(E2686)=0,1,E2686)*IF(F2686="",IFERROR(N(INDEX(Produtos!$L$5:$L$104,MATCH(D2686,Produtos!$B$5:$B$104,0))),0),F2686))</f>
        <v/>
      </c>
      <c r="H2686" s="27" t="str">
        <f aca="false">IF(G2686="","",IF(N(E2686)=0,1,E2686)*IFERROR(N(INDEX(Produtos!$G$5:$G$104,MATCH(D2686,Produtos!$B$5:$B$104,0))),0))</f>
        <v/>
      </c>
      <c r="I2686" s="27" t="str">
        <f aca="false">IF(G2686="","",G2686-H2686)</f>
        <v/>
      </c>
      <c r="J2686" s="42"/>
    </row>
    <row r="2687" customFormat="false" ht="21" hidden="false" customHeight="true" outlineLevel="0" collapsed="false">
      <c r="B2687" s="41"/>
      <c r="C2687" s="9"/>
      <c r="D2687" s="9"/>
      <c r="E2687" s="42"/>
      <c r="F2687" s="43"/>
      <c r="G2687" s="27" t="str">
        <f aca="false">IF(OR(C2687="",AND(D2687="",F2687="")),"",IF(N(E2687)=0,1,E2687)*IF(F2687="",IFERROR(N(INDEX(Produtos!$L$5:$L$104,MATCH(D2687,Produtos!$B$5:$B$104,0))),0),F2687))</f>
        <v/>
      </c>
      <c r="H2687" s="27" t="str">
        <f aca="false">IF(G2687="","",IF(N(E2687)=0,1,E2687)*IFERROR(N(INDEX(Produtos!$G$5:$G$104,MATCH(D2687,Produtos!$B$5:$B$104,0))),0))</f>
        <v/>
      </c>
      <c r="I2687" s="27" t="str">
        <f aca="false">IF(G2687="","",G2687-H2687)</f>
        <v/>
      </c>
      <c r="J2687" s="42"/>
    </row>
    <row r="2688" customFormat="false" ht="21" hidden="false" customHeight="true" outlineLevel="0" collapsed="false">
      <c r="B2688" s="41"/>
      <c r="C2688" s="9"/>
      <c r="D2688" s="9"/>
      <c r="E2688" s="42"/>
      <c r="F2688" s="43"/>
      <c r="G2688" s="27" t="str">
        <f aca="false">IF(OR(C2688="",AND(D2688="",F2688="")),"",IF(N(E2688)=0,1,E2688)*IF(F2688="",IFERROR(N(INDEX(Produtos!$L$5:$L$104,MATCH(D2688,Produtos!$B$5:$B$104,0))),0),F2688))</f>
        <v/>
      </c>
      <c r="H2688" s="27" t="str">
        <f aca="false">IF(G2688="","",IF(N(E2688)=0,1,E2688)*IFERROR(N(INDEX(Produtos!$G$5:$G$104,MATCH(D2688,Produtos!$B$5:$B$104,0))),0))</f>
        <v/>
      </c>
      <c r="I2688" s="27" t="str">
        <f aca="false">IF(G2688="","",G2688-H2688)</f>
        <v/>
      </c>
      <c r="J2688" s="42"/>
    </row>
    <row r="2689" customFormat="false" ht="21" hidden="false" customHeight="true" outlineLevel="0" collapsed="false">
      <c r="B2689" s="41"/>
      <c r="C2689" s="9"/>
      <c r="D2689" s="9"/>
      <c r="E2689" s="42"/>
      <c r="F2689" s="43"/>
      <c r="G2689" s="27" t="str">
        <f aca="false">IF(OR(C2689="",AND(D2689="",F2689="")),"",IF(N(E2689)=0,1,E2689)*IF(F2689="",IFERROR(N(INDEX(Produtos!$L$5:$L$104,MATCH(D2689,Produtos!$B$5:$B$104,0))),0),F2689))</f>
        <v/>
      </c>
      <c r="H2689" s="27" t="str">
        <f aca="false">IF(G2689="","",IF(N(E2689)=0,1,E2689)*IFERROR(N(INDEX(Produtos!$G$5:$G$104,MATCH(D2689,Produtos!$B$5:$B$104,0))),0))</f>
        <v/>
      </c>
      <c r="I2689" s="27" t="str">
        <f aca="false">IF(G2689="","",G2689-H2689)</f>
        <v/>
      </c>
      <c r="J2689" s="42"/>
    </row>
    <row r="2690" customFormat="false" ht="21" hidden="false" customHeight="true" outlineLevel="0" collapsed="false">
      <c r="B2690" s="41"/>
      <c r="C2690" s="9"/>
      <c r="D2690" s="9"/>
      <c r="E2690" s="42"/>
      <c r="F2690" s="43"/>
      <c r="G2690" s="27" t="str">
        <f aca="false">IF(OR(C2690="",AND(D2690="",F2690="")),"",IF(N(E2690)=0,1,E2690)*IF(F2690="",IFERROR(N(INDEX(Produtos!$L$5:$L$104,MATCH(D2690,Produtos!$B$5:$B$104,0))),0),F2690))</f>
        <v/>
      </c>
      <c r="H2690" s="27" t="str">
        <f aca="false">IF(G2690="","",IF(N(E2690)=0,1,E2690)*IFERROR(N(INDEX(Produtos!$G$5:$G$104,MATCH(D2690,Produtos!$B$5:$B$104,0))),0))</f>
        <v/>
      </c>
      <c r="I2690" s="27" t="str">
        <f aca="false">IF(G2690="","",G2690-H2690)</f>
        <v/>
      </c>
      <c r="J2690" s="42"/>
    </row>
    <row r="2691" customFormat="false" ht="21" hidden="false" customHeight="true" outlineLevel="0" collapsed="false">
      <c r="B2691" s="41"/>
      <c r="C2691" s="9"/>
      <c r="D2691" s="9"/>
      <c r="E2691" s="42"/>
      <c r="F2691" s="43"/>
      <c r="G2691" s="27" t="str">
        <f aca="false">IF(OR(C2691="",AND(D2691="",F2691="")),"",IF(N(E2691)=0,1,E2691)*IF(F2691="",IFERROR(N(INDEX(Produtos!$L$5:$L$104,MATCH(D2691,Produtos!$B$5:$B$104,0))),0),F2691))</f>
        <v/>
      </c>
      <c r="H2691" s="27" t="str">
        <f aca="false">IF(G2691="","",IF(N(E2691)=0,1,E2691)*IFERROR(N(INDEX(Produtos!$G$5:$G$104,MATCH(D2691,Produtos!$B$5:$B$104,0))),0))</f>
        <v/>
      </c>
      <c r="I2691" s="27" t="str">
        <f aca="false">IF(G2691="","",G2691-H2691)</f>
        <v/>
      </c>
      <c r="J2691" s="42"/>
    </row>
    <row r="2692" customFormat="false" ht="21" hidden="false" customHeight="true" outlineLevel="0" collapsed="false">
      <c r="B2692" s="41"/>
      <c r="C2692" s="9"/>
      <c r="D2692" s="9"/>
      <c r="E2692" s="42"/>
      <c r="F2692" s="43"/>
      <c r="G2692" s="27" t="str">
        <f aca="false">IF(OR(C2692="",AND(D2692="",F2692="")),"",IF(N(E2692)=0,1,E2692)*IF(F2692="",IFERROR(N(INDEX(Produtos!$L$5:$L$104,MATCH(D2692,Produtos!$B$5:$B$104,0))),0),F2692))</f>
        <v/>
      </c>
      <c r="H2692" s="27" t="str">
        <f aca="false">IF(G2692="","",IF(N(E2692)=0,1,E2692)*IFERROR(N(INDEX(Produtos!$G$5:$G$104,MATCH(D2692,Produtos!$B$5:$B$104,0))),0))</f>
        <v/>
      </c>
      <c r="I2692" s="27" t="str">
        <f aca="false">IF(G2692="","",G2692-H2692)</f>
        <v/>
      </c>
      <c r="J2692" s="42"/>
    </row>
    <row r="2693" customFormat="false" ht="21" hidden="false" customHeight="true" outlineLevel="0" collapsed="false">
      <c r="B2693" s="41"/>
      <c r="C2693" s="9"/>
      <c r="D2693" s="9"/>
      <c r="E2693" s="42"/>
      <c r="F2693" s="43"/>
      <c r="G2693" s="27" t="str">
        <f aca="false">IF(OR(C2693="",AND(D2693="",F2693="")),"",IF(N(E2693)=0,1,E2693)*IF(F2693="",IFERROR(N(INDEX(Produtos!$L$5:$L$104,MATCH(D2693,Produtos!$B$5:$B$104,0))),0),F2693))</f>
        <v/>
      </c>
      <c r="H2693" s="27" t="str">
        <f aca="false">IF(G2693="","",IF(N(E2693)=0,1,E2693)*IFERROR(N(INDEX(Produtos!$G$5:$G$104,MATCH(D2693,Produtos!$B$5:$B$104,0))),0))</f>
        <v/>
      </c>
      <c r="I2693" s="27" t="str">
        <f aca="false">IF(G2693="","",G2693-H2693)</f>
        <v/>
      </c>
      <c r="J2693" s="42"/>
    </row>
    <row r="2694" customFormat="false" ht="21" hidden="false" customHeight="true" outlineLevel="0" collapsed="false">
      <c r="B2694" s="41"/>
      <c r="C2694" s="9"/>
      <c r="D2694" s="9"/>
      <c r="E2694" s="42"/>
      <c r="F2694" s="43"/>
      <c r="G2694" s="27" t="str">
        <f aca="false">IF(OR(C2694="",AND(D2694="",F2694="")),"",IF(N(E2694)=0,1,E2694)*IF(F2694="",IFERROR(N(INDEX(Produtos!$L$5:$L$104,MATCH(D2694,Produtos!$B$5:$B$104,0))),0),F2694))</f>
        <v/>
      </c>
      <c r="H2694" s="27" t="str">
        <f aca="false">IF(G2694="","",IF(N(E2694)=0,1,E2694)*IFERROR(N(INDEX(Produtos!$G$5:$G$104,MATCH(D2694,Produtos!$B$5:$B$104,0))),0))</f>
        <v/>
      </c>
      <c r="I2694" s="27" t="str">
        <f aca="false">IF(G2694="","",G2694-H2694)</f>
        <v/>
      </c>
      <c r="J2694" s="42"/>
    </row>
    <row r="2695" customFormat="false" ht="21" hidden="false" customHeight="true" outlineLevel="0" collapsed="false">
      <c r="B2695" s="41"/>
      <c r="C2695" s="9"/>
      <c r="D2695" s="9"/>
      <c r="E2695" s="42"/>
      <c r="F2695" s="43"/>
      <c r="G2695" s="27" t="str">
        <f aca="false">IF(OR(C2695="",AND(D2695="",F2695="")),"",IF(N(E2695)=0,1,E2695)*IF(F2695="",IFERROR(N(INDEX(Produtos!$L$5:$L$104,MATCH(D2695,Produtos!$B$5:$B$104,0))),0),F2695))</f>
        <v/>
      </c>
      <c r="H2695" s="27" t="str">
        <f aca="false">IF(G2695="","",IF(N(E2695)=0,1,E2695)*IFERROR(N(INDEX(Produtos!$G$5:$G$104,MATCH(D2695,Produtos!$B$5:$B$104,0))),0))</f>
        <v/>
      </c>
      <c r="I2695" s="27" t="str">
        <f aca="false">IF(G2695="","",G2695-H2695)</f>
        <v/>
      </c>
      <c r="J2695" s="42"/>
    </row>
    <row r="2696" customFormat="false" ht="21" hidden="false" customHeight="true" outlineLevel="0" collapsed="false">
      <c r="B2696" s="41"/>
      <c r="C2696" s="9"/>
      <c r="D2696" s="9"/>
      <c r="E2696" s="42"/>
      <c r="F2696" s="43"/>
      <c r="G2696" s="27" t="str">
        <f aca="false">IF(OR(C2696="",AND(D2696="",F2696="")),"",IF(N(E2696)=0,1,E2696)*IF(F2696="",IFERROR(N(INDEX(Produtos!$L$5:$L$104,MATCH(D2696,Produtos!$B$5:$B$104,0))),0),F2696))</f>
        <v/>
      </c>
      <c r="H2696" s="27" t="str">
        <f aca="false">IF(G2696="","",IF(N(E2696)=0,1,E2696)*IFERROR(N(INDEX(Produtos!$G$5:$G$104,MATCH(D2696,Produtos!$B$5:$B$104,0))),0))</f>
        <v/>
      </c>
      <c r="I2696" s="27" t="str">
        <f aca="false">IF(G2696="","",G2696-H2696)</f>
        <v/>
      </c>
      <c r="J2696" s="42"/>
    </row>
    <row r="2697" customFormat="false" ht="21" hidden="false" customHeight="true" outlineLevel="0" collapsed="false">
      <c r="B2697" s="41"/>
      <c r="C2697" s="9"/>
      <c r="D2697" s="9"/>
      <c r="E2697" s="42"/>
      <c r="F2697" s="43"/>
      <c r="G2697" s="27" t="str">
        <f aca="false">IF(OR(C2697="",AND(D2697="",F2697="")),"",IF(N(E2697)=0,1,E2697)*IF(F2697="",IFERROR(N(INDEX(Produtos!$L$5:$L$104,MATCH(D2697,Produtos!$B$5:$B$104,0))),0),F2697))</f>
        <v/>
      </c>
      <c r="H2697" s="27" t="str">
        <f aca="false">IF(G2697="","",IF(N(E2697)=0,1,E2697)*IFERROR(N(INDEX(Produtos!$G$5:$G$104,MATCH(D2697,Produtos!$B$5:$B$104,0))),0))</f>
        <v/>
      </c>
      <c r="I2697" s="27" t="str">
        <f aca="false">IF(G2697="","",G2697-H2697)</f>
        <v/>
      </c>
      <c r="J2697" s="42"/>
    </row>
    <row r="2698" customFormat="false" ht="21" hidden="false" customHeight="true" outlineLevel="0" collapsed="false">
      <c r="B2698" s="41"/>
      <c r="C2698" s="9"/>
      <c r="D2698" s="9"/>
      <c r="E2698" s="42"/>
      <c r="F2698" s="43"/>
      <c r="G2698" s="27" t="str">
        <f aca="false">IF(OR(C2698="",AND(D2698="",F2698="")),"",IF(N(E2698)=0,1,E2698)*IF(F2698="",IFERROR(N(INDEX(Produtos!$L$5:$L$104,MATCH(D2698,Produtos!$B$5:$B$104,0))),0),F2698))</f>
        <v/>
      </c>
      <c r="H2698" s="27" t="str">
        <f aca="false">IF(G2698="","",IF(N(E2698)=0,1,E2698)*IFERROR(N(INDEX(Produtos!$G$5:$G$104,MATCH(D2698,Produtos!$B$5:$B$104,0))),0))</f>
        <v/>
      </c>
      <c r="I2698" s="27" t="str">
        <f aca="false">IF(G2698="","",G2698-H2698)</f>
        <v/>
      </c>
      <c r="J2698" s="42"/>
    </row>
    <row r="2699" customFormat="false" ht="21" hidden="false" customHeight="true" outlineLevel="0" collapsed="false">
      <c r="B2699" s="41"/>
      <c r="C2699" s="9"/>
      <c r="D2699" s="9"/>
      <c r="E2699" s="42"/>
      <c r="F2699" s="43"/>
      <c r="G2699" s="27" t="str">
        <f aca="false">IF(OR(C2699="",AND(D2699="",F2699="")),"",IF(N(E2699)=0,1,E2699)*IF(F2699="",IFERROR(N(INDEX(Produtos!$L$5:$L$104,MATCH(D2699,Produtos!$B$5:$B$104,0))),0),F2699))</f>
        <v/>
      </c>
      <c r="H2699" s="27" t="str">
        <f aca="false">IF(G2699="","",IF(N(E2699)=0,1,E2699)*IFERROR(N(INDEX(Produtos!$G$5:$G$104,MATCH(D2699,Produtos!$B$5:$B$104,0))),0))</f>
        <v/>
      </c>
      <c r="I2699" s="27" t="str">
        <f aca="false">IF(G2699="","",G2699-H2699)</f>
        <v/>
      </c>
      <c r="J2699" s="42"/>
    </row>
    <row r="2700" customFormat="false" ht="21" hidden="false" customHeight="true" outlineLevel="0" collapsed="false">
      <c r="B2700" s="41"/>
      <c r="C2700" s="9"/>
      <c r="D2700" s="9"/>
      <c r="E2700" s="42"/>
      <c r="F2700" s="43"/>
      <c r="G2700" s="27" t="str">
        <f aca="false">IF(OR(C2700="",AND(D2700="",F2700="")),"",IF(N(E2700)=0,1,E2700)*IF(F2700="",IFERROR(N(INDEX(Produtos!$L$5:$L$104,MATCH(D2700,Produtos!$B$5:$B$104,0))),0),F2700))</f>
        <v/>
      </c>
      <c r="H2700" s="27" t="str">
        <f aca="false">IF(G2700="","",IF(N(E2700)=0,1,E2700)*IFERROR(N(INDEX(Produtos!$G$5:$G$104,MATCH(D2700,Produtos!$B$5:$B$104,0))),0))</f>
        <v/>
      </c>
      <c r="I2700" s="27" t="str">
        <f aca="false">IF(G2700="","",G2700-H2700)</f>
        <v/>
      </c>
      <c r="J2700" s="42"/>
    </row>
    <row r="2701" customFormat="false" ht="21" hidden="false" customHeight="true" outlineLevel="0" collapsed="false">
      <c r="B2701" s="41"/>
      <c r="C2701" s="9"/>
      <c r="D2701" s="9"/>
      <c r="E2701" s="42"/>
      <c r="F2701" s="43"/>
      <c r="G2701" s="27" t="str">
        <f aca="false">IF(OR(C2701="",AND(D2701="",F2701="")),"",IF(N(E2701)=0,1,E2701)*IF(F2701="",IFERROR(N(INDEX(Produtos!$L$5:$L$104,MATCH(D2701,Produtos!$B$5:$B$104,0))),0),F2701))</f>
        <v/>
      </c>
      <c r="H2701" s="27" t="str">
        <f aca="false">IF(G2701="","",IF(N(E2701)=0,1,E2701)*IFERROR(N(INDEX(Produtos!$G$5:$G$104,MATCH(D2701,Produtos!$B$5:$B$104,0))),0))</f>
        <v/>
      </c>
      <c r="I2701" s="27" t="str">
        <f aca="false">IF(G2701="","",G2701-H2701)</f>
        <v/>
      </c>
      <c r="J2701" s="42"/>
    </row>
    <row r="2702" customFormat="false" ht="21" hidden="false" customHeight="true" outlineLevel="0" collapsed="false">
      <c r="B2702" s="41"/>
      <c r="C2702" s="9"/>
      <c r="D2702" s="9"/>
      <c r="E2702" s="42"/>
      <c r="F2702" s="43"/>
      <c r="G2702" s="27" t="str">
        <f aca="false">IF(OR(C2702="",AND(D2702="",F2702="")),"",IF(N(E2702)=0,1,E2702)*IF(F2702="",IFERROR(N(INDEX(Produtos!$L$5:$L$104,MATCH(D2702,Produtos!$B$5:$B$104,0))),0),F2702))</f>
        <v/>
      </c>
      <c r="H2702" s="27" t="str">
        <f aca="false">IF(G2702="","",IF(N(E2702)=0,1,E2702)*IFERROR(N(INDEX(Produtos!$G$5:$G$104,MATCH(D2702,Produtos!$B$5:$B$104,0))),0))</f>
        <v/>
      </c>
      <c r="I2702" s="27" t="str">
        <f aca="false">IF(G2702="","",G2702-H2702)</f>
        <v/>
      </c>
      <c r="J2702" s="42"/>
    </row>
    <row r="2703" customFormat="false" ht="21" hidden="false" customHeight="true" outlineLevel="0" collapsed="false">
      <c r="B2703" s="41"/>
      <c r="C2703" s="9"/>
      <c r="D2703" s="9"/>
      <c r="E2703" s="42"/>
      <c r="F2703" s="43"/>
      <c r="G2703" s="27" t="str">
        <f aca="false">IF(OR(C2703="",AND(D2703="",F2703="")),"",IF(N(E2703)=0,1,E2703)*IF(F2703="",IFERROR(N(INDEX(Produtos!$L$5:$L$104,MATCH(D2703,Produtos!$B$5:$B$104,0))),0),F2703))</f>
        <v/>
      </c>
      <c r="H2703" s="27" t="str">
        <f aca="false">IF(G2703="","",IF(N(E2703)=0,1,E2703)*IFERROR(N(INDEX(Produtos!$G$5:$G$104,MATCH(D2703,Produtos!$B$5:$B$104,0))),0))</f>
        <v/>
      </c>
      <c r="I2703" s="27" t="str">
        <f aca="false">IF(G2703="","",G2703-H2703)</f>
        <v/>
      </c>
      <c r="J2703" s="42"/>
    </row>
    <row r="2704" customFormat="false" ht="21" hidden="false" customHeight="true" outlineLevel="0" collapsed="false">
      <c r="B2704" s="41"/>
      <c r="C2704" s="9"/>
      <c r="D2704" s="9"/>
      <c r="E2704" s="42"/>
      <c r="F2704" s="43"/>
      <c r="G2704" s="27" t="str">
        <f aca="false">IF(OR(C2704="",AND(D2704="",F2704="")),"",IF(N(E2704)=0,1,E2704)*IF(F2704="",IFERROR(N(INDEX(Produtos!$L$5:$L$104,MATCH(D2704,Produtos!$B$5:$B$104,0))),0),F2704))</f>
        <v/>
      </c>
      <c r="H2704" s="27" t="str">
        <f aca="false">IF(G2704="","",IF(N(E2704)=0,1,E2704)*IFERROR(N(INDEX(Produtos!$G$5:$G$104,MATCH(D2704,Produtos!$B$5:$B$104,0))),0))</f>
        <v/>
      </c>
      <c r="I2704" s="27" t="str">
        <f aca="false">IF(G2704="","",G2704-H2704)</f>
        <v/>
      </c>
      <c r="J2704" s="42"/>
    </row>
    <row r="2705" customFormat="false" ht="21" hidden="false" customHeight="true" outlineLevel="0" collapsed="false">
      <c r="B2705" s="41"/>
      <c r="C2705" s="9"/>
      <c r="D2705" s="9"/>
      <c r="E2705" s="42"/>
      <c r="F2705" s="43"/>
      <c r="G2705" s="27" t="str">
        <f aca="false">IF(OR(C2705="",AND(D2705="",F2705="")),"",IF(N(E2705)=0,1,E2705)*IF(F2705="",IFERROR(N(INDEX(Produtos!$L$5:$L$104,MATCH(D2705,Produtos!$B$5:$B$104,0))),0),F2705))</f>
        <v/>
      </c>
      <c r="H2705" s="27" t="str">
        <f aca="false">IF(G2705="","",IF(N(E2705)=0,1,E2705)*IFERROR(N(INDEX(Produtos!$G$5:$G$104,MATCH(D2705,Produtos!$B$5:$B$104,0))),0))</f>
        <v/>
      </c>
      <c r="I2705" s="27" t="str">
        <f aca="false">IF(G2705="","",G2705-H2705)</f>
        <v/>
      </c>
      <c r="J2705" s="42"/>
    </row>
    <row r="2706" customFormat="false" ht="21" hidden="false" customHeight="true" outlineLevel="0" collapsed="false">
      <c r="B2706" s="41"/>
      <c r="C2706" s="9"/>
      <c r="D2706" s="9"/>
      <c r="E2706" s="42"/>
      <c r="F2706" s="43"/>
      <c r="G2706" s="27" t="str">
        <f aca="false">IF(OR(C2706="",AND(D2706="",F2706="")),"",IF(N(E2706)=0,1,E2706)*IF(F2706="",IFERROR(N(INDEX(Produtos!$L$5:$L$104,MATCH(D2706,Produtos!$B$5:$B$104,0))),0),F2706))</f>
        <v/>
      </c>
      <c r="H2706" s="27" t="str">
        <f aca="false">IF(G2706="","",IF(N(E2706)=0,1,E2706)*IFERROR(N(INDEX(Produtos!$G$5:$G$104,MATCH(D2706,Produtos!$B$5:$B$104,0))),0))</f>
        <v/>
      </c>
      <c r="I2706" s="27" t="str">
        <f aca="false">IF(G2706="","",G2706-H2706)</f>
        <v/>
      </c>
      <c r="J2706" s="42"/>
    </row>
    <row r="2707" customFormat="false" ht="21" hidden="false" customHeight="true" outlineLevel="0" collapsed="false">
      <c r="B2707" s="41"/>
      <c r="C2707" s="9"/>
      <c r="D2707" s="9"/>
      <c r="E2707" s="42"/>
      <c r="F2707" s="43"/>
      <c r="G2707" s="27" t="str">
        <f aca="false">IF(OR(C2707="",AND(D2707="",F2707="")),"",IF(N(E2707)=0,1,E2707)*IF(F2707="",IFERROR(N(INDEX(Produtos!$L$5:$L$104,MATCH(D2707,Produtos!$B$5:$B$104,0))),0),F2707))</f>
        <v/>
      </c>
      <c r="H2707" s="27" t="str">
        <f aca="false">IF(G2707="","",IF(N(E2707)=0,1,E2707)*IFERROR(N(INDEX(Produtos!$G$5:$G$104,MATCH(D2707,Produtos!$B$5:$B$104,0))),0))</f>
        <v/>
      </c>
      <c r="I2707" s="27" t="str">
        <f aca="false">IF(G2707="","",G2707-H2707)</f>
        <v/>
      </c>
      <c r="J2707" s="42"/>
    </row>
    <row r="2708" customFormat="false" ht="21" hidden="false" customHeight="true" outlineLevel="0" collapsed="false">
      <c r="B2708" s="41"/>
      <c r="C2708" s="9"/>
      <c r="D2708" s="9"/>
      <c r="E2708" s="42"/>
      <c r="F2708" s="43"/>
      <c r="G2708" s="27" t="str">
        <f aca="false">IF(OR(C2708="",AND(D2708="",F2708="")),"",IF(N(E2708)=0,1,E2708)*IF(F2708="",IFERROR(N(INDEX(Produtos!$L$5:$L$104,MATCH(D2708,Produtos!$B$5:$B$104,0))),0),F2708))</f>
        <v/>
      </c>
      <c r="H2708" s="27" t="str">
        <f aca="false">IF(G2708="","",IF(N(E2708)=0,1,E2708)*IFERROR(N(INDEX(Produtos!$G$5:$G$104,MATCH(D2708,Produtos!$B$5:$B$104,0))),0))</f>
        <v/>
      </c>
      <c r="I2708" s="27" t="str">
        <f aca="false">IF(G2708="","",G2708-H2708)</f>
        <v/>
      </c>
      <c r="J2708" s="42"/>
    </row>
    <row r="2709" customFormat="false" ht="21" hidden="false" customHeight="true" outlineLevel="0" collapsed="false">
      <c r="B2709" s="41"/>
      <c r="C2709" s="9"/>
      <c r="D2709" s="9"/>
      <c r="E2709" s="42"/>
      <c r="F2709" s="43"/>
      <c r="G2709" s="27" t="str">
        <f aca="false">IF(OR(C2709="",AND(D2709="",F2709="")),"",IF(N(E2709)=0,1,E2709)*IF(F2709="",IFERROR(N(INDEX(Produtos!$L$5:$L$104,MATCH(D2709,Produtos!$B$5:$B$104,0))),0),F2709))</f>
        <v/>
      </c>
      <c r="H2709" s="27" t="str">
        <f aca="false">IF(G2709="","",IF(N(E2709)=0,1,E2709)*IFERROR(N(INDEX(Produtos!$G$5:$G$104,MATCH(D2709,Produtos!$B$5:$B$104,0))),0))</f>
        <v/>
      </c>
      <c r="I2709" s="27" t="str">
        <f aca="false">IF(G2709="","",G2709-H2709)</f>
        <v/>
      </c>
      <c r="J2709" s="42"/>
    </row>
    <row r="2710" customFormat="false" ht="21" hidden="false" customHeight="true" outlineLevel="0" collapsed="false">
      <c r="B2710" s="41"/>
      <c r="C2710" s="9"/>
      <c r="D2710" s="9"/>
      <c r="E2710" s="42"/>
      <c r="F2710" s="43"/>
      <c r="G2710" s="27" t="str">
        <f aca="false">IF(OR(C2710="",AND(D2710="",F2710="")),"",IF(N(E2710)=0,1,E2710)*IF(F2710="",IFERROR(N(INDEX(Produtos!$L$5:$L$104,MATCH(D2710,Produtos!$B$5:$B$104,0))),0),F2710))</f>
        <v/>
      </c>
      <c r="H2710" s="27" t="str">
        <f aca="false">IF(G2710="","",IF(N(E2710)=0,1,E2710)*IFERROR(N(INDEX(Produtos!$G$5:$G$104,MATCH(D2710,Produtos!$B$5:$B$104,0))),0))</f>
        <v/>
      </c>
      <c r="I2710" s="27" t="str">
        <f aca="false">IF(G2710="","",G2710-H2710)</f>
        <v/>
      </c>
      <c r="J2710" s="42"/>
    </row>
    <row r="2711" customFormat="false" ht="21" hidden="false" customHeight="true" outlineLevel="0" collapsed="false">
      <c r="B2711" s="41"/>
      <c r="C2711" s="9"/>
      <c r="D2711" s="9"/>
      <c r="E2711" s="42"/>
      <c r="F2711" s="43"/>
      <c r="G2711" s="27" t="str">
        <f aca="false">IF(OR(C2711="",AND(D2711="",F2711="")),"",IF(N(E2711)=0,1,E2711)*IF(F2711="",IFERROR(N(INDEX(Produtos!$L$5:$L$104,MATCH(D2711,Produtos!$B$5:$B$104,0))),0),F2711))</f>
        <v/>
      </c>
      <c r="H2711" s="27" t="str">
        <f aca="false">IF(G2711="","",IF(N(E2711)=0,1,E2711)*IFERROR(N(INDEX(Produtos!$G$5:$G$104,MATCH(D2711,Produtos!$B$5:$B$104,0))),0))</f>
        <v/>
      </c>
      <c r="I2711" s="27" t="str">
        <f aca="false">IF(G2711="","",G2711-H2711)</f>
        <v/>
      </c>
      <c r="J2711" s="42"/>
    </row>
    <row r="2712" customFormat="false" ht="21" hidden="false" customHeight="true" outlineLevel="0" collapsed="false">
      <c r="B2712" s="41"/>
      <c r="C2712" s="9"/>
      <c r="D2712" s="9"/>
      <c r="E2712" s="42"/>
      <c r="F2712" s="43"/>
      <c r="G2712" s="27" t="str">
        <f aca="false">IF(OR(C2712="",AND(D2712="",F2712="")),"",IF(N(E2712)=0,1,E2712)*IF(F2712="",IFERROR(N(INDEX(Produtos!$L$5:$L$104,MATCH(D2712,Produtos!$B$5:$B$104,0))),0),F2712))</f>
        <v/>
      </c>
      <c r="H2712" s="27" t="str">
        <f aca="false">IF(G2712="","",IF(N(E2712)=0,1,E2712)*IFERROR(N(INDEX(Produtos!$G$5:$G$104,MATCH(D2712,Produtos!$B$5:$B$104,0))),0))</f>
        <v/>
      </c>
      <c r="I2712" s="27" t="str">
        <f aca="false">IF(G2712="","",G2712-H2712)</f>
        <v/>
      </c>
      <c r="J2712" s="42"/>
    </row>
    <row r="2713" customFormat="false" ht="21" hidden="false" customHeight="true" outlineLevel="0" collapsed="false">
      <c r="B2713" s="41"/>
      <c r="C2713" s="9"/>
      <c r="D2713" s="9"/>
      <c r="E2713" s="42"/>
      <c r="F2713" s="43"/>
      <c r="G2713" s="27" t="str">
        <f aca="false">IF(OR(C2713="",AND(D2713="",F2713="")),"",IF(N(E2713)=0,1,E2713)*IF(F2713="",IFERROR(N(INDEX(Produtos!$L$5:$L$104,MATCH(D2713,Produtos!$B$5:$B$104,0))),0),F2713))</f>
        <v/>
      </c>
      <c r="H2713" s="27" t="str">
        <f aca="false">IF(G2713="","",IF(N(E2713)=0,1,E2713)*IFERROR(N(INDEX(Produtos!$G$5:$G$104,MATCH(D2713,Produtos!$B$5:$B$104,0))),0))</f>
        <v/>
      </c>
      <c r="I2713" s="27" t="str">
        <f aca="false">IF(G2713="","",G2713-H2713)</f>
        <v/>
      </c>
      <c r="J2713" s="42"/>
    </row>
    <row r="2714" customFormat="false" ht="21" hidden="false" customHeight="true" outlineLevel="0" collapsed="false">
      <c r="B2714" s="41"/>
      <c r="C2714" s="9"/>
      <c r="D2714" s="9"/>
      <c r="E2714" s="42"/>
      <c r="F2714" s="43"/>
      <c r="G2714" s="27" t="str">
        <f aca="false">IF(OR(C2714="",AND(D2714="",F2714="")),"",IF(N(E2714)=0,1,E2714)*IF(F2714="",IFERROR(N(INDEX(Produtos!$L$5:$L$104,MATCH(D2714,Produtos!$B$5:$B$104,0))),0),F2714))</f>
        <v/>
      </c>
      <c r="H2714" s="27" t="str">
        <f aca="false">IF(G2714="","",IF(N(E2714)=0,1,E2714)*IFERROR(N(INDEX(Produtos!$G$5:$G$104,MATCH(D2714,Produtos!$B$5:$B$104,0))),0))</f>
        <v/>
      </c>
      <c r="I2714" s="27" t="str">
        <f aca="false">IF(G2714="","",G2714-H2714)</f>
        <v/>
      </c>
      <c r="J2714" s="42"/>
    </row>
    <row r="2715" customFormat="false" ht="21" hidden="false" customHeight="true" outlineLevel="0" collapsed="false">
      <c r="B2715" s="41"/>
      <c r="C2715" s="9"/>
      <c r="D2715" s="9"/>
      <c r="E2715" s="42"/>
      <c r="F2715" s="43"/>
      <c r="G2715" s="27" t="str">
        <f aca="false">IF(OR(C2715="",AND(D2715="",F2715="")),"",IF(N(E2715)=0,1,E2715)*IF(F2715="",IFERROR(N(INDEX(Produtos!$L$5:$L$104,MATCH(D2715,Produtos!$B$5:$B$104,0))),0),F2715))</f>
        <v/>
      </c>
      <c r="H2715" s="27" t="str">
        <f aca="false">IF(G2715="","",IF(N(E2715)=0,1,E2715)*IFERROR(N(INDEX(Produtos!$G$5:$G$104,MATCH(D2715,Produtos!$B$5:$B$104,0))),0))</f>
        <v/>
      </c>
      <c r="I2715" s="27" t="str">
        <f aca="false">IF(G2715="","",G2715-H2715)</f>
        <v/>
      </c>
      <c r="J2715" s="42"/>
    </row>
    <row r="2716" customFormat="false" ht="21" hidden="false" customHeight="true" outlineLevel="0" collapsed="false">
      <c r="B2716" s="41"/>
      <c r="C2716" s="9"/>
      <c r="D2716" s="9"/>
      <c r="E2716" s="42"/>
      <c r="F2716" s="43"/>
      <c r="G2716" s="27" t="str">
        <f aca="false">IF(OR(C2716="",AND(D2716="",F2716="")),"",IF(N(E2716)=0,1,E2716)*IF(F2716="",IFERROR(N(INDEX(Produtos!$L$5:$L$104,MATCH(D2716,Produtos!$B$5:$B$104,0))),0),F2716))</f>
        <v/>
      </c>
      <c r="H2716" s="27" t="str">
        <f aca="false">IF(G2716="","",IF(N(E2716)=0,1,E2716)*IFERROR(N(INDEX(Produtos!$G$5:$G$104,MATCH(D2716,Produtos!$B$5:$B$104,0))),0))</f>
        <v/>
      </c>
      <c r="I2716" s="27" t="str">
        <f aca="false">IF(G2716="","",G2716-H2716)</f>
        <v/>
      </c>
      <c r="J2716" s="42"/>
    </row>
    <row r="2717" customFormat="false" ht="21" hidden="false" customHeight="true" outlineLevel="0" collapsed="false">
      <c r="B2717" s="41"/>
      <c r="C2717" s="9"/>
      <c r="D2717" s="9"/>
      <c r="E2717" s="42"/>
      <c r="F2717" s="43"/>
      <c r="G2717" s="27" t="str">
        <f aca="false">IF(OR(C2717="",AND(D2717="",F2717="")),"",IF(N(E2717)=0,1,E2717)*IF(F2717="",IFERROR(N(INDEX(Produtos!$L$5:$L$104,MATCH(D2717,Produtos!$B$5:$B$104,0))),0),F2717))</f>
        <v/>
      </c>
      <c r="H2717" s="27" t="str">
        <f aca="false">IF(G2717="","",IF(N(E2717)=0,1,E2717)*IFERROR(N(INDEX(Produtos!$G$5:$G$104,MATCH(D2717,Produtos!$B$5:$B$104,0))),0))</f>
        <v/>
      </c>
      <c r="I2717" s="27" t="str">
        <f aca="false">IF(G2717="","",G2717-H2717)</f>
        <v/>
      </c>
      <c r="J2717" s="42"/>
    </row>
    <row r="2718" customFormat="false" ht="21" hidden="false" customHeight="true" outlineLevel="0" collapsed="false">
      <c r="B2718" s="41"/>
      <c r="C2718" s="9"/>
      <c r="D2718" s="9"/>
      <c r="E2718" s="42"/>
      <c r="F2718" s="43"/>
      <c r="G2718" s="27" t="str">
        <f aca="false">IF(OR(C2718="",AND(D2718="",F2718="")),"",IF(N(E2718)=0,1,E2718)*IF(F2718="",IFERROR(N(INDEX(Produtos!$L$5:$L$104,MATCH(D2718,Produtos!$B$5:$B$104,0))),0),F2718))</f>
        <v/>
      </c>
      <c r="H2718" s="27" t="str">
        <f aca="false">IF(G2718="","",IF(N(E2718)=0,1,E2718)*IFERROR(N(INDEX(Produtos!$G$5:$G$104,MATCH(D2718,Produtos!$B$5:$B$104,0))),0))</f>
        <v/>
      </c>
      <c r="I2718" s="27" t="str">
        <f aca="false">IF(G2718="","",G2718-H2718)</f>
        <v/>
      </c>
      <c r="J2718" s="42"/>
    </row>
    <row r="2719" customFormat="false" ht="21" hidden="false" customHeight="true" outlineLevel="0" collapsed="false">
      <c r="B2719" s="41"/>
      <c r="C2719" s="9"/>
      <c r="D2719" s="9"/>
      <c r="E2719" s="42"/>
      <c r="F2719" s="43"/>
      <c r="G2719" s="27" t="str">
        <f aca="false">IF(OR(C2719="",AND(D2719="",F2719="")),"",IF(N(E2719)=0,1,E2719)*IF(F2719="",IFERROR(N(INDEX(Produtos!$L$5:$L$104,MATCH(D2719,Produtos!$B$5:$B$104,0))),0),F2719))</f>
        <v/>
      </c>
      <c r="H2719" s="27" t="str">
        <f aca="false">IF(G2719="","",IF(N(E2719)=0,1,E2719)*IFERROR(N(INDEX(Produtos!$G$5:$G$104,MATCH(D2719,Produtos!$B$5:$B$104,0))),0))</f>
        <v/>
      </c>
      <c r="I2719" s="27" t="str">
        <f aca="false">IF(G2719="","",G2719-H2719)</f>
        <v/>
      </c>
      <c r="J2719" s="42"/>
    </row>
    <row r="2720" customFormat="false" ht="21" hidden="false" customHeight="true" outlineLevel="0" collapsed="false">
      <c r="B2720" s="41"/>
      <c r="C2720" s="9"/>
      <c r="D2720" s="9"/>
      <c r="E2720" s="42"/>
      <c r="F2720" s="43"/>
      <c r="G2720" s="27" t="str">
        <f aca="false">IF(OR(C2720="",AND(D2720="",F2720="")),"",IF(N(E2720)=0,1,E2720)*IF(F2720="",IFERROR(N(INDEX(Produtos!$L$5:$L$104,MATCH(D2720,Produtos!$B$5:$B$104,0))),0),F2720))</f>
        <v/>
      </c>
      <c r="H2720" s="27" t="str">
        <f aca="false">IF(G2720="","",IF(N(E2720)=0,1,E2720)*IFERROR(N(INDEX(Produtos!$G$5:$G$104,MATCH(D2720,Produtos!$B$5:$B$104,0))),0))</f>
        <v/>
      </c>
      <c r="I2720" s="27" t="str">
        <f aca="false">IF(G2720="","",G2720-H2720)</f>
        <v/>
      </c>
      <c r="J2720" s="42"/>
    </row>
    <row r="2721" customFormat="false" ht="21" hidden="false" customHeight="true" outlineLevel="0" collapsed="false">
      <c r="B2721" s="41"/>
      <c r="C2721" s="9"/>
      <c r="D2721" s="9"/>
      <c r="E2721" s="42"/>
      <c r="F2721" s="43"/>
      <c r="G2721" s="27" t="str">
        <f aca="false">IF(OR(C2721="",AND(D2721="",F2721="")),"",IF(N(E2721)=0,1,E2721)*IF(F2721="",IFERROR(N(INDEX(Produtos!$L$5:$L$104,MATCH(D2721,Produtos!$B$5:$B$104,0))),0),F2721))</f>
        <v/>
      </c>
      <c r="H2721" s="27" t="str">
        <f aca="false">IF(G2721="","",IF(N(E2721)=0,1,E2721)*IFERROR(N(INDEX(Produtos!$G$5:$G$104,MATCH(D2721,Produtos!$B$5:$B$104,0))),0))</f>
        <v/>
      </c>
      <c r="I2721" s="27" t="str">
        <f aca="false">IF(G2721="","",G2721-H2721)</f>
        <v/>
      </c>
      <c r="J2721" s="42"/>
    </row>
    <row r="2722" customFormat="false" ht="21" hidden="false" customHeight="true" outlineLevel="0" collapsed="false">
      <c r="B2722" s="41"/>
      <c r="C2722" s="9"/>
      <c r="D2722" s="9"/>
      <c r="E2722" s="42"/>
      <c r="F2722" s="43"/>
      <c r="G2722" s="27" t="str">
        <f aca="false">IF(OR(C2722="",AND(D2722="",F2722="")),"",IF(N(E2722)=0,1,E2722)*IF(F2722="",IFERROR(N(INDEX(Produtos!$L$5:$L$104,MATCH(D2722,Produtos!$B$5:$B$104,0))),0),F2722))</f>
        <v/>
      </c>
      <c r="H2722" s="27" t="str">
        <f aca="false">IF(G2722="","",IF(N(E2722)=0,1,E2722)*IFERROR(N(INDEX(Produtos!$G$5:$G$104,MATCH(D2722,Produtos!$B$5:$B$104,0))),0))</f>
        <v/>
      </c>
      <c r="I2722" s="27" t="str">
        <f aca="false">IF(G2722="","",G2722-H2722)</f>
        <v/>
      </c>
      <c r="J2722" s="42"/>
    </row>
    <row r="2723" customFormat="false" ht="21" hidden="false" customHeight="true" outlineLevel="0" collapsed="false">
      <c r="B2723" s="41"/>
      <c r="C2723" s="9"/>
      <c r="D2723" s="9"/>
      <c r="E2723" s="42"/>
      <c r="F2723" s="43"/>
      <c r="G2723" s="27" t="str">
        <f aca="false">IF(OR(C2723="",AND(D2723="",F2723="")),"",IF(N(E2723)=0,1,E2723)*IF(F2723="",IFERROR(N(INDEX(Produtos!$L$5:$L$104,MATCH(D2723,Produtos!$B$5:$B$104,0))),0),F2723))</f>
        <v/>
      </c>
      <c r="H2723" s="27" t="str">
        <f aca="false">IF(G2723="","",IF(N(E2723)=0,1,E2723)*IFERROR(N(INDEX(Produtos!$G$5:$G$104,MATCH(D2723,Produtos!$B$5:$B$104,0))),0))</f>
        <v/>
      </c>
      <c r="I2723" s="27" t="str">
        <f aca="false">IF(G2723="","",G2723-H2723)</f>
        <v/>
      </c>
      <c r="J2723" s="42"/>
    </row>
    <row r="2724" customFormat="false" ht="21" hidden="false" customHeight="true" outlineLevel="0" collapsed="false">
      <c r="B2724" s="41"/>
      <c r="C2724" s="9"/>
      <c r="D2724" s="9"/>
      <c r="E2724" s="42"/>
      <c r="F2724" s="43"/>
      <c r="G2724" s="27" t="str">
        <f aca="false">IF(OR(C2724="",AND(D2724="",F2724="")),"",IF(N(E2724)=0,1,E2724)*IF(F2724="",IFERROR(N(INDEX(Produtos!$L$5:$L$104,MATCH(D2724,Produtos!$B$5:$B$104,0))),0),F2724))</f>
        <v/>
      </c>
      <c r="H2724" s="27" t="str">
        <f aca="false">IF(G2724="","",IF(N(E2724)=0,1,E2724)*IFERROR(N(INDEX(Produtos!$G$5:$G$104,MATCH(D2724,Produtos!$B$5:$B$104,0))),0))</f>
        <v/>
      </c>
      <c r="I2724" s="27" t="str">
        <f aca="false">IF(G2724="","",G2724-H2724)</f>
        <v/>
      </c>
      <c r="J2724" s="42"/>
    </row>
    <row r="2725" customFormat="false" ht="21" hidden="false" customHeight="true" outlineLevel="0" collapsed="false">
      <c r="B2725" s="41"/>
      <c r="C2725" s="9"/>
      <c r="D2725" s="9"/>
      <c r="E2725" s="42"/>
      <c r="F2725" s="43"/>
      <c r="G2725" s="27" t="str">
        <f aca="false">IF(OR(C2725="",AND(D2725="",F2725="")),"",IF(N(E2725)=0,1,E2725)*IF(F2725="",IFERROR(N(INDEX(Produtos!$L$5:$L$104,MATCH(D2725,Produtos!$B$5:$B$104,0))),0),F2725))</f>
        <v/>
      </c>
      <c r="H2725" s="27" t="str">
        <f aca="false">IF(G2725="","",IF(N(E2725)=0,1,E2725)*IFERROR(N(INDEX(Produtos!$G$5:$G$104,MATCH(D2725,Produtos!$B$5:$B$104,0))),0))</f>
        <v/>
      </c>
      <c r="I2725" s="27" t="str">
        <f aca="false">IF(G2725="","",G2725-H2725)</f>
        <v/>
      </c>
      <c r="J2725" s="42"/>
    </row>
    <row r="2726" customFormat="false" ht="21" hidden="false" customHeight="true" outlineLevel="0" collapsed="false">
      <c r="B2726" s="41"/>
      <c r="C2726" s="9"/>
      <c r="D2726" s="9"/>
      <c r="E2726" s="42"/>
      <c r="F2726" s="43"/>
      <c r="G2726" s="27" t="str">
        <f aca="false">IF(OR(C2726="",AND(D2726="",F2726="")),"",IF(N(E2726)=0,1,E2726)*IF(F2726="",IFERROR(N(INDEX(Produtos!$L$5:$L$104,MATCH(D2726,Produtos!$B$5:$B$104,0))),0),F2726))</f>
        <v/>
      </c>
      <c r="H2726" s="27" t="str">
        <f aca="false">IF(G2726="","",IF(N(E2726)=0,1,E2726)*IFERROR(N(INDEX(Produtos!$G$5:$G$104,MATCH(D2726,Produtos!$B$5:$B$104,0))),0))</f>
        <v/>
      </c>
      <c r="I2726" s="27" t="str">
        <f aca="false">IF(G2726="","",G2726-H2726)</f>
        <v/>
      </c>
      <c r="J2726" s="42"/>
    </row>
    <row r="2727" customFormat="false" ht="21" hidden="false" customHeight="true" outlineLevel="0" collapsed="false">
      <c r="B2727" s="41"/>
      <c r="C2727" s="9"/>
      <c r="D2727" s="9"/>
      <c r="E2727" s="42"/>
      <c r="F2727" s="43"/>
      <c r="G2727" s="27" t="str">
        <f aca="false">IF(OR(C2727="",AND(D2727="",F2727="")),"",IF(N(E2727)=0,1,E2727)*IF(F2727="",IFERROR(N(INDEX(Produtos!$L$5:$L$104,MATCH(D2727,Produtos!$B$5:$B$104,0))),0),F2727))</f>
        <v/>
      </c>
      <c r="H2727" s="27" t="str">
        <f aca="false">IF(G2727="","",IF(N(E2727)=0,1,E2727)*IFERROR(N(INDEX(Produtos!$G$5:$G$104,MATCH(D2727,Produtos!$B$5:$B$104,0))),0))</f>
        <v/>
      </c>
      <c r="I2727" s="27" t="str">
        <f aca="false">IF(G2727="","",G2727-H2727)</f>
        <v/>
      </c>
      <c r="J2727" s="42"/>
    </row>
    <row r="2728" customFormat="false" ht="21" hidden="false" customHeight="true" outlineLevel="0" collapsed="false">
      <c r="B2728" s="41"/>
      <c r="C2728" s="9"/>
      <c r="D2728" s="9"/>
      <c r="E2728" s="42"/>
      <c r="F2728" s="43"/>
      <c r="G2728" s="27" t="str">
        <f aca="false">IF(OR(C2728="",AND(D2728="",F2728="")),"",IF(N(E2728)=0,1,E2728)*IF(F2728="",IFERROR(N(INDEX(Produtos!$L$5:$L$104,MATCH(D2728,Produtos!$B$5:$B$104,0))),0),F2728))</f>
        <v/>
      </c>
      <c r="H2728" s="27" t="str">
        <f aca="false">IF(G2728="","",IF(N(E2728)=0,1,E2728)*IFERROR(N(INDEX(Produtos!$G$5:$G$104,MATCH(D2728,Produtos!$B$5:$B$104,0))),0))</f>
        <v/>
      </c>
      <c r="I2728" s="27" t="str">
        <f aca="false">IF(G2728="","",G2728-H2728)</f>
        <v/>
      </c>
      <c r="J2728" s="42"/>
    </row>
    <row r="2729" customFormat="false" ht="21" hidden="false" customHeight="true" outlineLevel="0" collapsed="false">
      <c r="B2729" s="41"/>
      <c r="C2729" s="9"/>
      <c r="D2729" s="9"/>
      <c r="E2729" s="42"/>
      <c r="F2729" s="43"/>
      <c r="G2729" s="27" t="str">
        <f aca="false">IF(OR(C2729="",AND(D2729="",F2729="")),"",IF(N(E2729)=0,1,E2729)*IF(F2729="",IFERROR(N(INDEX(Produtos!$L$5:$L$104,MATCH(D2729,Produtos!$B$5:$B$104,0))),0),F2729))</f>
        <v/>
      </c>
      <c r="H2729" s="27" t="str">
        <f aca="false">IF(G2729="","",IF(N(E2729)=0,1,E2729)*IFERROR(N(INDEX(Produtos!$G$5:$G$104,MATCH(D2729,Produtos!$B$5:$B$104,0))),0))</f>
        <v/>
      </c>
      <c r="I2729" s="27" t="str">
        <f aca="false">IF(G2729="","",G2729-H2729)</f>
        <v/>
      </c>
      <c r="J2729" s="42"/>
    </row>
    <row r="2730" customFormat="false" ht="21" hidden="false" customHeight="true" outlineLevel="0" collapsed="false">
      <c r="B2730" s="41"/>
      <c r="C2730" s="9"/>
      <c r="D2730" s="9"/>
      <c r="E2730" s="42"/>
      <c r="F2730" s="43"/>
      <c r="G2730" s="27" t="str">
        <f aca="false">IF(OR(C2730="",AND(D2730="",F2730="")),"",IF(N(E2730)=0,1,E2730)*IF(F2730="",IFERROR(N(INDEX(Produtos!$L$5:$L$104,MATCH(D2730,Produtos!$B$5:$B$104,0))),0),F2730))</f>
        <v/>
      </c>
      <c r="H2730" s="27" t="str">
        <f aca="false">IF(G2730="","",IF(N(E2730)=0,1,E2730)*IFERROR(N(INDEX(Produtos!$G$5:$G$104,MATCH(D2730,Produtos!$B$5:$B$104,0))),0))</f>
        <v/>
      </c>
      <c r="I2730" s="27" t="str">
        <f aca="false">IF(G2730="","",G2730-H2730)</f>
        <v/>
      </c>
      <c r="J2730" s="42"/>
    </row>
    <row r="2731" customFormat="false" ht="21" hidden="false" customHeight="true" outlineLevel="0" collapsed="false">
      <c r="B2731" s="41"/>
      <c r="C2731" s="9"/>
      <c r="D2731" s="9"/>
      <c r="E2731" s="42"/>
      <c r="F2731" s="43"/>
      <c r="G2731" s="27" t="str">
        <f aca="false">IF(OR(C2731="",AND(D2731="",F2731="")),"",IF(N(E2731)=0,1,E2731)*IF(F2731="",IFERROR(N(INDEX(Produtos!$L$5:$L$104,MATCH(D2731,Produtos!$B$5:$B$104,0))),0),F2731))</f>
        <v/>
      </c>
      <c r="H2731" s="27" t="str">
        <f aca="false">IF(G2731="","",IF(N(E2731)=0,1,E2731)*IFERROR(N(INDEX(Produtos!$G$5:$G$104,MATCH(D2731,Produtos!$B$5:$B$104,0))),0))</f>
        <v/>
      </c>
      <c r="I2731" s="27" t="str">
        <f aca="false">IF(G2731="","",G2731-H2731)</f>
        <v/>
      </c>
      <c r="J2731" s="42"/>
    </row>
    <row r="2732" customFormat="false" ht="21" hidden="false" customHeight="true" outlineLevel="0" collapsed="false">
      <c r="B2732" s="41"/>
      <c r="C2732" s="9"/>
      <c r="D2732" s="9"/>
      <c r="E2732" s="42"/>
      <c r="F2732" s="43"/>
      <c r="G2732" s="27" t="str">
        <f aca="false">IF(OR(C2732="",AND(D2732="",F2732="")),"",IF(N(E2732)=0,1,E2732)*IF(F2732="",IFERROR(N(INDEX(Produtos!$L$5:$L$104,MATCH(D2732,Produtos!$B$5:$B$104,0))),0),F2732))</f>
        <v/>
      </c>
      <c r="H2732" s="27" t="str">
        <f aca="false">IF(G2732="","",IF(N(E2732)=0,1,E2732)*IFERROR(N(INDEX(Produtos!$G$5:$G$104,MATCH(D2732,Produtos!$B$5:$B$104,0))),0))</f>
        <v/>
      </c>
      <c r="I2732" s="27" t="str">
        <f aca="false">IF(G2732="","",G2732-H2732)</f>
        <v/>
      </c>
      <c r="J2732" s="42"/>
    </row>
    <row r="2733" customFormat="false" ht="21" hidden="false" customHeight="true" outlineLevel="0" collapsed="false">
      <c r="B2733" s="41"/>
      <c r="C2733" s="9"/>
      <c r="D2733" s="9"/>
      <c r="E2733" s="42"/>
      <c r="F2733" s="43"/>
      <c r="G2733" s="27" t="str">
        <f aca="false">IF(OR(C2733="",AND(D2733="",F2733="")),"",IF(N(E2733)=0,1,E2733)*IF(F2733="",IFERROR(N(INDEX(Produtos!$L$5:$L$104,MATCH(D2733,Produtos!$B$5:$B$104,0))),0),F2733))</f>
        <v/>
      </c>
      <c r="H2733" s="27" t="str">
        <f aca="false">IF(G2733="","",IF(N(E2733)=0,1,E2733)*IFERROR(N(INDEX(Produtos!$G$5:$G$104,MATCH(D2733,Produtos!$B$5:$B$104,0))),0))</f>
        <v/>
      </c>
      <c r="I2733" s="27" t="str">
        <f aca="false">IF(G2733="","",G2733-H2733)</f>
        <v/>
      </c>
      <c r="J2733" s="42"/>
    </row>
    <row r="2734" customFormat="false" ht="21" hidden="false" customHeight="true" outlineLevel="0" collapsed="false">
      <c r="B2734" s="41"/>
      <c r="C2734" s="9"/>
      <c r="D2734" s="9"/>
      <c r="E2734" s="42"/>
      <c r="F2734" s="43"/>
      <c r="G2734" s="27" t="str">
        <f aca="false">IF(OR(C2734="",AND(D2734="",F2734="")),"",IF(N(E2734)=0,1,E2734)*IF(F2734="",IFERROR(N(INDEX(Produtos!$L$5:$L$104,MATCH(D2734,Produtos!$B$5:$B$104,0))),0),F2734))</f>
        <v/>
      </c>
      <c r="H2734" s="27" t="str">
        <f aca="false">IF(G2734="","",IF(N(E2734)=0,1,E2734)*IFERROR(N(INDEX(Produtos!$G$5:$G$104,MATCH(D2734,Produtos!$B$5:$B$104,0))),0))</f>
        <v/>
      </c>
      <c r="I2734" s="27" t="str">
        <f aca="false">IF(G2734="","",G2734-H2734)</f>
        <v/>
      </c>
      <c r="J2734" s="42"/>
    </row>
    <row r="2735" customFormat="false" ht="21" hidden="false" customHeight="true" outlineLevel="0" collapsed="false">
      <c r="B2735" s="41"/>
      <c r="C2735" s="9"/>
      <c r="D2735" s="9"/>
      <c r="E2735" s="42"/>
      <c r="F2735" s="43"/>
      <c r="G2735" s="27" t="str">
        <f aca="false">IF(OR(C2735="",AND(D2735="",F2735="")),"",IF(N(E2735)=0,1,E2735)*IF(F2735="",IFERROR(N(INDEX(Produtos!$L$5:$L$104,MATCH(D2735,Produtos!$B$5:$B$104,0))),0),F2735))</f>
        <v/>
      </c>
      <c r="H2735" s="27" t="str">
        <f aca="false">IF(G2735="","",IF(N(E2735)=0,1,E2735)*IFERROR(N(INDEX(Produtos!$G$5:$G$104,MATCH(D2735,Produtos!$B$5:$B$104,0))),0))</f>
        <v/>
      </c>
      <c r="I2735" s="27" t="str">
        <f aca="false">IF(G2735="","",G2735-H2735)</f>
        <v/>
      </c>
      <c r="J2735" s="42"/>
    </row>
    <row r="2736" customFormat="false" ht="21" hidden="false" customHeight="true" outlineLevel="0" collapsed="false">
      <c r="B2736" s="41"/>
      <c r="C2736" s="9"/>
      <c r="D2736" s="9"/>
      <c r="E2736" s="42"/>
      <c r="F2736" s="43"/>
      <c r="G2736" s="27" t="str">
        <f aca="false">IF(OR(C2736="",AND(D2736="",F2736="")),"",IF(N(E2736)=0,1,E2736)*IF(F2736="",IFERROR(N(INDEX(Produtos!$L$5:$L$104,MATCH(D2736,Produtos!$B$5:$B$104,0))),0),F2736))</f>
        <v/>
      </c>
      <c r="H2736" s="27" t="str">
        <f aca="false">IF(G2736="","",IF(N(E2736)=0,1,E2736)*IFERROR(N(INDEX(Produtos!$G$5:$G$104,MATCH(D2736,Produtos!$B$5:$B$104,0))),0))</f>
        <v/>
      </c>
      <c r="I2736" s="27" t="str">
        <f aca="false">IF(G2736="","",G2736-H2736)</f>
        <v/>
      </c>
      <c r="J2736" s="42"/>
    </row>
    <row r="2737" customFormat="false" ht="21" hidden="false" customHeight="true" outlineLevel="0" collapsed="false">
      <c r="B2737" s="41"/>
      <c r="C2737" s="9"/>
      <c r="D2737" s="9"/>
      <c r="E2737" s="42"/>
      <c r="F2737" s="43"/>
      <c r="G2737" s="27" t="str">
        <f aca="false">IF(OR(C2737="",AND(D2737="",F2737="")),"",IF(N(E2737)=0,1,E2737)*IF(F2737="",IFERROR(N(INDEX(Produtos!$L$5:$L$104,MATCH(D2737,Produtos!$B$5:$B$104,0))),0),F2737))</f>
        <v/>
      </c>
      <c r="H2737" s="27" t="str">
        <f aca="false">IF(G2737="","",IF(N(E2737)=0,1,E2737)*IFERROR(N(INDEX(Produtos!$G$5:$G$104,MATCH(D2737,Produtos!$B$5:$B$104,0))),0))</f>
        <v/>
      </c>
      <c r="I2737" s="27" t="str">
        <f aca="false">IF(G2737="","",G2737-H2737)</f>
        <v/>
      </c>
      <c r="J2737" s="42"/>
    </row>
    <row r="2738" customFormat="false" ht="21" hidden="false" customHeight="true" outlineLevel="0" collapsed="false">
      <c r="B2738" s="41"/>
      <c r="C2738" s="9"/>
      <c r="D2738" s="9"/>
      <c r="E2738" s="42"/>
      <c r="F2738" s="43"/>
      <c r="G2738" s="27" t="str">
        <f aca="false">IF(OR(C2738="",AND(D2738="",F2738="")),"",IF(N(E2738)=0,1,E2738)*IF(F2738="",IFERROR(N(INDEX(Produtos!$L$5:$L$104,MATCH(D2738,Produtos!$B$5:$B$104,0))),0),F2738))</f>
        <v/>
      </c>
      <c r="H2738" s="27" t="str">
        <f aca="false">IF(G2738="","",IF(N(E2738)=0,1,E2738)*IFERROR(N(INDEX(Produtos!$G$5:$G$104,MATCH(D2738,Produtos!$B$5:$B$104,0))),0))</f>
        <v/>
      </c>
      <c r="I2738" s="27" t="str">
        <f aca="false">IF(G2738="","",G2738-H2738)</f>
        <v/>
      </c>
      <c r="J2738" s="42"/>
    </row>
    <row r="2739" customFormat="false" ht="21" hidden="false" customHeight="true" outlineLevel="0" collapsed="false">
      <c r="B2739" s="41"/>
      <c r="C2739" s="9"/>
      <c r="D2739" s="9"/>
      <c r="E2739" s="42"/>
      <c r="F2739" s="43"/>
      <c r="G2739" s="27" t="str">
        <f aca="false">IF(OR(C2739="",AND(D2739="",F2739="")),"",IF(N(E2739)=0,1,E2739)*IF(F2739="",IFERROR(N(INDEX(Produtos!$L$5:$L$104,MATCH(D2739,Produtos!$B$5:$B$104,0))),0),F2739))</f>
        <v/>
      </c>
      <c r="H2739" s="27" t="str">
        <f aca="false">IF(G2739="","",IF(N(E2739)=0,1,E2739)*IFERROR(N(INDEX(Produtos!$G$5:$G$104,MATCH(D2739,Produtos!$B$5:$B$104,0))),0))</f>
        <v/>
      </c>
      <c r="I2739" s="27" t="str">
        <f aca="false">IF(G2739="","",G2739-H2739)</f>
        <v/>
      </c>
      <c r="J2739" s="42"/>
    </row>
    <row r="2740" customFormat="false" ht="21" hidden="false" customHeight="true" outlineLevel="0" collapsed="false">
      <c r="B2740" s="41"/>
      <c r="C2740" s="9"/>
      <c r="D2740" s="9"/>
      <c r="E2740" s="42"/>
      <c r="F2740" s="43"/>
      <c r="G2740" s="27" t="str">
        <f aca="false">IF(OR(C2740="",AND(D2740="",F2740="")),"",IF(N(E2740)=0,1,E2740)*IF(F2740="",IFERROR(N(INDEX(Produtos!$L$5:$L$104,MATCH(D2740,Produtos!$B$5:$B$104,0))),0),F2740))</f>
        <v/>
      </c>
      <c r="H2740" s="27" t="str">
        <f aca="false">IF(G2740="","",IF(N(E2740)=0,1,E2740)*IFERROR(N(INDEX(Produtos!$G$5:$G$104,MATCH(D2740,Produtos!$B$5:$B$104,0))),0))</f>
        <v/>
      </c>
      <c r="I2740" s="27" t="str">
        <f aca="false">IF(G2740="","",G2740-H2740)</f>
        <v/>
      </c>
      <c r="J2740" s="42"/>
    </row>
    <row r="2741" customFormat="false" ht="21" hidden="false" customHeight="true" outlineLevel="0" collapsed="false">
      <c r="B2741" s="41"/>
      <c r="C2741" s="9"/>
      <c r="D2741" s="9"/>
      <c r="E2741" s="42"/>
      <c r="F2741" s="43"/>
      <c r="G2741" s="27" t="str">
        <f aca="false">IF(OR(C2741="",AND(D2741="",F2741="")),"",IF(N(E2741)=0,1,E2741)*IF(F2741="",IFERROR(N(INDEX(Produtos!$L$5:$L$104,MATCH(D2741,Produtos!$B$5:$B$104,0))),0),F2741))</f>
        <v/>
      </c>
      <c r="H2741" s="27" t="str">
        <f aca="false">IF(G2741="","",IF(N(E2741)=0,1,E2741)*IFERROR(N(INDEX(Produtos!$G$5:$G$104,MATCH(D2741,Produtos!$B$5:$B$104,0))),0))</f>
        <v/>
      </c>
      <c r="I2741" s="27" t="str">
        <f aca="false">IF(G2741="","",G2741-H2741)</f>
        <v/>
      </c>
      <c r="J2741" s="42"/>
    </row>
    <row r="2742" customFormat="false" ht="21" hidden="false" customHeight="true" outlineLevel="0" collapsed="false">
      <c r="B2742" s="41"/>
      <c r="C2742" s="9"/>
      <c r="D2742" s="9"/>
      <c r="E2742" s="42"/>
      <c r="F2742" s="43"/>
      <c r="G2742" s="27" t="str">
        <f aca="false">IF(OR(C2742="",AND(D2742="",F2742="")),"",IF(N(E2742)=0,1,E2742)*IF(F2742="",IFERROR(N(INDEX(Produtos!$L$5:$L$104,MATCH(D2742,Produtos!$B$5:$B$104,0))),0),F2742))</f>
        <v/>
      </c>
      <c r="H2742" s="27" t="str">
        <f aca="false">IF(G2742="","",IF(N(E2742)=0,1,E2742)*IFERROR(N(INDEX(Produtos!$G$5:$G$104,MATCH(D2742,Produtos!$B$5:$B$104,0))),0))</f>
        <v/>
      </c>
      <c r="I2742" s="27" t="str">
        <f aca="false">IF(G2742="","",G2742-H2742)</f>
        <v/>
      </c>
      <c r="J2742" s="42"/>
    </row>
    <row r="2743" customFormat="false" ht="21" hidden="false" customHeight="true" outlineLevel="0" collapsed="false">
      <c r="B2743" s="41"/>
      <c r="C2743" s="9"/>
      <c r="D2743" s="9"/>
      <c r="E2743" s="42"/>
      <c r="F2743" s="43"/>
      <c r="G2743" s="27" t="str">
        <f aca="false">IF(OR(C2743="",AND(D2743="",F2743="")),"",IF(N(E2743)=0,1,E2743)*IF(F2743="",IFERROR(N(INDEX(Produtos!$L$5:$L$104,MATCH(D2743,Produtos!$B$5:$B$104,0))),0),F2743))</f>
        <v/>
      </c>
      <c r="H2743" s="27" t="str">
        <f aca="false">IF(G2743="","",IF(N(E2743)=0,1,E2743)*IFERROR(N(INDEX(Produtos!$G$5:$G$104,MATCH(D2743,Produtos!$B$5:$B$104,0))),0))</f>
        <v/>
      </c>
      <c r="I2743" s="27" t="str">
        <f aca="false">IF(G2743="","",G2743-H2743)</f>
        <v/>
      </c>
      <c r="J2743" s="42"/>
    </row>
    <row r="2744" customFormat="false" ht="21" hidden="false" customHeight="true" outlineLevel="0" collapsed="false">
      <c r="B2744" s="41"/>
      <c r="C2744" s="9"/>
      <c r="D2744" s="9"/>
      <c r="E2744" s="42"/>
      <c r="F2744" s="43"/>
      <c r="G2744" s="27" t="str">
        <f aca="false">IF(OR(C2744="",AND(D2744="",F2744="")),"",IF(N(E2744)=0,1,E2744)*IF(F2744="",IFERROR(N(INDEX(Produtos!$L$5:$L$104,MATCH(D2744,Produtos!$B$5:$B$104,0))),0),F2744))</f>
        <v/>
      </c>
      <c r="H2744" s="27" t="str">
        <f aca="false">IF(G2744="","",IF(N(E2744)=0,1,E2744)*IFERROR(N(INDEX(Produtos!$G$5:$G$104,MATCH(D2744,Produtos!$B$5:$B$104,0))),0))</f>
        <v/>
      </c>
      <c r="I2744" s="27" t="str">
        <f aca="false">IF(G2744="","",G2744-H2744)</f>
        <v/>
      </c>
      <c r="J2744" s="42"/>
    </row>
    <row r="2745" customFormat="false" ht="21" hidden="false" customHeight="true" outlineLevel="0" collapsed="false">
      <c r="B2745" s="41"/>
      <c r="C2745" s="9"/>
      <c r="D2745" s="9"/>
      <c r="E2745" s="42"/>
      <c r="F2745" s="43"/>
      <c r="G2745" s="27" t="str">
        <f aca="false">IF(OR(C2745="",AND(D2745="",F2745="")),"",IF(N(E2745)=0,1,E2745)*IF(F2745="",IFERROR(N(INDEX(Produtos!$L$5:$L$104,MATCH(D2745,Produtos!$B$5:$B$104,0))),0),F2745))</f>
        <v/>
      </c>
      <c r="H2745" s="27" t="str">
        <f aca="false">IF(G2745="","",IF(N(E2745)=0,1,E2745)*IFERROR(N(INDEX(Produtos!$G$5:$G$104,MATCH(D2745,Produtos!$B$5:$B$104,0))),0))</f>
        <v/>
      </c>
      <c r="I2745" s="27" t="str">
        <f aca="false">IF(G2745="","",G2745-H2745)</f>
        <v/>
      </c>
      <c r="J2745" s="42"/>
    </row>
    <row r="2746" customFormat="false" ht="21" hidden="false" customHeight="true" outlineLevel="0" collapsed="false">
      <c r="B2746" s="41"/>
      <c r="C2746" s="9"/>
      <c r="D2746" s="9"/>
      <c r="E2746" s="42"/>
      <c r="F2746" s="43"/>
      <c r="G2746" s="27" t="str">
        <f aca="false">IF(OR(C2746="",AND(D2746="",F2746="")),"",IF(N(E2746)=0,1,E2746)*IF(F2746="",IFERROR(N(INDEX(Produtos!$L$5:$L$104,MATCH(D2746,Produtos!$B$5:$B$104,0))),0),F2746))</f>
        <v/>
      </c>
      <c r="H2746" s="27" t="str">
        <f aca="false">IF(G2746="","",IF(N(E2746)=0,1,E2746)*IFERROR(N(INDEX(Produtos!$G$5:$G$104,MATCH(D2746,Produtos!$B$5:$B$104,0))),0))</f>
        <v/>
      </c>
      <c r="I2746" s="27" t="str">
        <f aca="false">IF(G2746="","",G2746-H2746)</f>
        <v/>
      </c>
      <c r="J2746" s="42"/>
    </row>
    <row r="2747" customFormat="false" ht="21" hidden="false" customHeight="true" outlineLevel="0" collapsed="false">
      <c r="B2747" s="41"/>
      <c r="C2747" s="9"/>
      <c r="D2747" s="9"/>
      <c r="E2747" s="42"/>
      <c r="F2747" s="43"/>
      <c r="G2747" s="27" t="str">
        <f aca="false">IF(OR(C2747="",AND(D2747="",F2747="")),"",IF(N(E2747)=0,1,E2747)*IF(F2747="",IFERROR(N(INDEX(Produtos!$L$5:$L$104,MATCH(D2747,Produtos!$B$5:$B$104,0))),0),F2747))</f>
        <v/>
      </c>
      <c r="H2747" s="27" t="str">
        <f aca="false">IF(G2747="","",IF(N(E2747)=0,1,E2747)*IFERROR(N(INDEX(Produtos!$G$5:$G$104,MATCH(D2747,Produtos!$B$5:$B$104,0))),0))</f>
        <v/>
      </c>
      <c r="I2747" s="27" t="str">
        <f aca="false">IF(G2747="","",G2747-H2747)</f>
        <v/>
      </c>
      <c r="J2747" s="42"/>
    </row>
    <row r="2748" customFormat="false" ht="21" hidden="false" customHeight="true" outlineLevel="0" collapsed="false">
      <c r="B2748" s="41"/>
      <c r="C2748" s="9"/>
      <c r="D2748" s="9"/>
      <c r="E2748" s="42"/>
      <c r="F2748" s="43"/>
      <c r="G2748" s="27" t="str">
        <f aca="false">IF(OR(C2748="",AND(D2748="",F2748="")),"",IF(N(E2748)=0,1,E2748)*IF(F2748="",IFERROR(N(INDEX(Produtos!$L$5:$L$104,MATCH(D2748,Produtos!$B$5:$B$104,0))),0),F2748))</f>
        <v/>
      </c>
      <c r="H2748" s="27" t="str">
        <f aca="false">IF(G2748="","",IF(N(E2748)=0,1,E2748)*IFERROR(N(INDEX(Produtos!$G$5:$G$104,MATCH(D2748,Produtos!$B$5:$B$104,0))),0))</f>
        <v/>
      </c>
      <c r="I2748" s="27" t="str">
        <f aca="false">IF(G2748="","",G2748-H2748)</f>
        <v/>
      </c>
      <c r="J2748" s="42"/>
    </row>
    <row r="2749" customFormat="false" ht="21" hidden="false" customHeight="true" outlineLevel="0" collapsed="false">
      <c r="B2749" s="41"/>
      <c r="C2749" s="9"/>
      <c r="D2749" s="9"/>
      <c r="E2749" s="42"/>
      <c r="F2749" s="43"/>
      <c r="G2749" s="27" t="str">
        <f aca="false">IF(OR(C2749="",AND(D2749="",F2749="")),"",IF(N(E2749)=0,1,E2749)*IF(F2749="",IFERROR(N(INDEX(Produtos!$L$5:$L$104,MATCH(D2749,Produtos!$B$5:$B$104,0))),0),F2749))</f>
        <v/>
      </c>
      <c r="H2749" s="27" t="str">
        <f aca="false">IF(G2749="","",IF(N(E2749)=0,1,E2749)*IFERROR(N(INDEX(Produtos!$G$5:$G$104,MATCH(D2749,Produtos!$B$5:$B$104,0))),0))</f>
        <v/>
      </c>
      <c r="I2749" s="27" t="str">
        <f aca="false">IF(G2749="","",G2749-H2749)</f>
        <v/>
      </c>
      <c r="J2749" s="42"/>
    </row>
    <row r="2750" customFormat="false" ht="21" hidden="false" customHeight="true" outlineLevel="0" collapsed="false">
      <c r="B2750" s="41"/>
      <c r="C2750" s="9"/>
      <c r="D2750" s="9"/>
      <c r="E2750" s="42"/>
      <c r="F2750" s="43"/>
      <c r="G2750" s="27" t="str">
        <f aca="false">IF(OR(C2750="",AND(D2750="",F2750="")),"",IF(N(E2750)=0,1,E2750)*IF(F2750="",IFERROR(N(INDEX(Produtos!$L$5:$L$104,MATCH(D2750,Produtos!$B$5:$B$104,0))),0),F2750))</f>
        <v/>
      </c>
      <c r="H2750" s="27" t="str">
        <f aca="false">IF(G2750="","",IF(N(E2750)=0,1,E2750)*IFERROR(N(INDEX(Produtos!$G$5:$G$104,MATCH(D2750,Produtos!$B$5:$B$104,0))),0))</f>
        <v/>
      </c>
      <c r="I2750" s="27" t="str">
        <f aca="false">IF(G2750="","",G2750-H2750)</f>
        <v/>
      </c>
      <c r="J2750" s="42"/>
    </row>
    <row r="2751" customFormat="false" ht="21" hidden="false" customHeight="true" outlineLevel="0" collapsed="false">
      <c r="B2751" s="41"/>
      <c r="C2751" s="9"/>
      <c r="D2751" s="9"/>
      <c r="E2751" s="42"/>
      <c r="F2751" s="43"/>
      <c r="G2751" s="27" t="str">
        <f aca="false">IF(OR(C2751="",AND(D2751="",F2751="")),"",IF(N(E2751)=0,1,E2751)*IF(F2751="",IFERROR(N(INDEX(Produtos!$L$5:$L$104,MATCH(D2751,Produtos!$B$5:$B$104,0))),0),F2751))</f>
        <v/>
      </c>
      <c r="H2751" s="27" t="str">
        <f aca="false">IF(G2751="","",IF(N(E2751)=0,1,E2751)*IFERROR(N(INDEX(Produtos!$G$5:$G$104,MATCH(D2751,Produtos!$B$5:$B$104,0))),0))</f>
        <v/>
      </c>
      <c r="I2751" s="27" t="str">
        <f aca="false">IF(G2751="","",G2751-H2751)</f>
        <v/>
      </c>
      <c r="J2751" s="42"/>
    </row>
    <row r="2752" customFormat="false" ht="21" hidden="false" customHeight="true" outlineLevel="0" collapsed="false">
      <c r="B2752" s="41"/>
      <c r="C2752" s="9"/>
      <c r="D2752" s="9"/>
      <c r="E2752" s="42"/>
      <c r="F2752" s="43"/>
      <c r="G2752" s="27" t="str">
        <f aca="false">IF(OR(C2752="",AND(D2752="",F2752="")),"",IF(N(E2752)=0,1,E2752)*IF(F2752="",IFERROR(N(INDEX(Produtos!$L$5:$L$104,MATCH(D2752,Produtos!$B$5:$B$104,0))),0),F2752))</f>
        <v/>
      </c>
      <c r="H2752" s="27" t="str">
        <f aca="false">IF(G2752="","",IF(N(E2752)=0,1,E2752)*IFERROR(N(INDEX(Produtos!$G$5:$G$104,MATCH(D2752,Produtos!$B$5:$B$104,0))),0))</f>
        <v/>
      </c>
      <c r="I2752" s="27" t="str">
        <f aca="false">IF(G2752="","",G2752-H2752)</f>
        <v/>
      </c>
      <c r="J2752" s="42"/>
    </row>
    <row r="2753" customFormat="false" ht="21" hidden="false" customHeight="true" outlineLevel="0" collapsed="false">
      <c r="B2753" s="41"/>
      <c r="C2753" s="9"/>
      <c r="D2753" s="9"/>
      <c r="E2753" s="42"/>
      <c r="F2753" s="43"/>
      <c r="G2753" s="27" t="str">
        <f aca="false">IF(OR(C2753="",AND(D2753="",F2753="")),"",IF(N(E2753)=0,1,E2753)*IF(F2753="",IFERROR(N(INDEX(Produtos!$L$5:$L$104,MATCH(D2753,Produtos!$B$5:$B$104,0))),0),F2753))</f>
        <v/>
      </c>
      <c r="H2753" s="27" t="str">
        <f aca="false">IF(G2753="","",IF(N(E2753)=0,1,E2753)*IFERROR(N(INDEX(Produtos!$G$5:$G$104,MATCH(D2753,Produtos!$B$5:$B$104,0))),0))</f>
        <v/>
      </c>
      <c r="I2753" s="27" t="str">
        <f aca="false">IF(G2753="","",G2753-H2753)</f>
        <v/>
      </c>
      <c r="J2753" s="42"/>
    </row>
    <row r="2754" customFormat="false" ht="21" hidden="false" customHeight="true" outlineLevel="0" collapsed="false">
      <c r="B2754" s="41"/>
      <c r="C2754" s="9"/>
      <c r="D2754" s="9"/>
      <c r="E2754" s="42"/>
      <c r="F2754" s="43"/>
      <c r="G2754" s="27" t="str">
        <f aca="false">IF(OR(C2754="",AND(D2754="",F2754="")),"",IF(N(E2754)=0,1,E2754)*IF(F2754="",IFERROR(N(INDEX(Produtos!$L$5:$L$104,MATCH(D2754,Produtos!$B$5:$B$104,0))),0),F2754))</f>
        <v/>
      </c>
      <c r="H2754" s="27" t="str">
        <f aca="false">IF(G2754="","",IF(N(E2754)=0,1,E2754)*IFERROR(N(INDEX(Produtos!$G$5:$G$104,MATCH(D2754,Produtos!$B$5:$B$104,0))),0))</f>
        <v/>
      </c>
      <c r="I2754" s="27" t="str">
        <f aca="false">IF(G2754="","",G2754-H2754)</f>
        <v/>
      </c>
      <c r="J2754" s="42"/>
    </row>
    <row r="2755" customFormat="false" ht="21" hidden="false" customHeight="true" outlineLevel="0" collapsed="false">
      <c r="B2755" s="41"/>
      <c r="C2755" s="9"/>
      <c r="D2755" s="9"/>
      <c r="E2755" s="42"/>
      <c r="F2755" s="43"/>
      <c r="G2755" s="27" t="str">
        <f aca="false">IF(OR(C2755="",AND(D2755="",F2755="")),"",IF(N(E2755)=0,1,E2755)*IF(F2755="",IFERROR(N(INDEX(Produtos!$L$5:$L$104,MATCH(D2755,Produtos!$B$5:$B$104,0))),0),F2755))</f>
        <v/>
      </c>
      <c r="H2755" s="27" t="str">
        <f aca="false">IF(G2755="","",IF(N(E2755)=0,1,E2755)*IFERROR(N(INDEX(Produtos!$G$5:$G$104,MATCH(D2755,Produtos!$B$5:$B$104,0))),0))</f>
        <v/>
      </c>
      <c r="I2755" s="27" t="str">
        <f aca="false">IF(G2755="","",G2755-H2755)</f>
        <v/>
      </c>
      <c r="J2755" s="42"/>
    </row>
    <row r="2756" customFormat="false" ht="21" hidden="false" customHeight="true" outlineLevel="0" collapsed="false">
      <c r="B2756" s="41"/>
      <c r="C2756" s="9"/>
      <c r="D2756" s="9"/>
      <c r="E2756" s="42"/>
      <c r="F2756" s="43"/>
      <c r="G2756" s="27" t="str">
        <f aca="false">IF(OR(C2756="",AND(D2756="",F2756="")),"",IF(N(E2756)=0,1,E2756)*IF(F2756="",IFERROR(N(INDEX(Produtos!$L$5:$L$104,MATCH(D2756,Produtos!$B$5:$B$104,0))),0),F2756))</f>
        <v/>
      </c>
      <c r="H2756" s="27" t="str">
        <f aca="false">IF(G2756="","",IF(N(E2756)=0,1,E2756)*IFERROR(N(INDEX(Produtos!$G$5:$G$104,MATCH(D2756,Produtos!$B$5:$B$104,0))),0))</f>
        <v/>
      </c>
      <c r="I2756" s="27" t="str">
        <f aca="false">IF(G2756="","",G2756-H2756)</f>
        <v/>
      </c>
      <c r="J2756" s="42"/>
    </row>
    <row r="2757" customFormat="false" ht="21" hidden="false" customHeight="true" outlineLevel="0" collapsed="false">
      <c r="B2757" s="41"/>
      <c r="C2757" s="9"/>
      <c r="D2757" s="9"/>
      <c r="E2757" s="42"/>
      <c r="F2757" s="43"/>
      <c r="G2757" s="27" t="str">
        <f aca="false">IF(OR(C2757="",AND(D2757="",F2757="")),"",IF(N(E2757)=0,1,E2757)*IF(F2757="",IFERROR(N(INDEX(Produtos!$L$5:$L$104,MATCH(D2757,Produtos!$B$5:$B$104,0))),0),F2757))</f>
        <v/>
      </c>
      <c r="H2757" s="27" t="str">
        <f aca="false">IF(G2757="","",IF(N(E2757)=0,1,E2757)*IFERROR(N(INDEX(Produtos!$G$5:$G$104,MATCH(D2757,Produtos!$B$5:$B$104,0))),0))</f>
        <v/>
      </c>
      <c r="I2757" s="27" t="str">
        <f aca="false">IF(G2757="","",G2757-H2757)</f>
        <v/>
      </c>
      <c r="J2757" s="42"/>
    </row>
    <row r="2758" customFormat="false" ht="21" hidden="false" customHeight="true" outlineLevel="0" collapsed="false">
      <c r="B2758" s="41"/>
      <c r="C2758" s="9"/>
      <c r="D2758" s="9"/>
      <c r="E2758" s="42"/>
      <c r="F2758" s="43"/>
      <c r="G2758" s="27" t="str">
        <f aca="false">IF(OR(C2758="",AND(D2758="",F2758="")),"",IF(N(E2758)=0,1,E2758)*IF(F2758="",IFERROR(N(INDEX(Produtos!$L$5:$L$104,MATCH(D2758,Produtos!$B$5:$B$104,0))),0),F2758))</f>
        <v/>
      </c>
      <c r="H2758" s="27" t="str">
        <f aca="false">IF(G2758="","",IF(N(E2758)=0,1,E2758)*IFERROR(N(INDEX(Produtos!$G$5:$G$104,MATCH(D2758,Produtos!$B$5:$B$104,0))),0))</f>
        <v/>
      </c>
      <c r="I2758" s="27" t="str">
        <f aca="false">IF(G2758="","",G2758-H2758)</f>
        <v/>
      </c>
      <c r="J2758" s="42"/>
    </row>
    <row r="2759" customFormat="false" ht="21" hidden="false" customHeight="true" outlineLevel="0" collapsed="false">
      <c r="B2759" s="41"/>
      <c r="C2759" s="9"/>
      <c r="D2759" s="9"/>
      <c r="E2759" s="42"/>
      <c r="F2759" s="43"/>
      <c r="G2759" s="27" t="str">
        <f aca="false">IF(OR(C2759="",AND(D2759="",F2759="")),"",IF(N(E2759)=0,1,E2759)*IF(F2759="",IFERROR(N(INDEX(Produtos!$L$5:$L$104,MATCH(D2759,Produtos!$B$5:$B$104,0))),0),F2759))</f>
        <v/>
      </c>
      <c r="H2759" s="27" t="str">
        <f aca="false">IF(G2759="","",IF(N(E2759)=0,1,E2759)*IFERROR(N(INDEX(Produtos!$G$5:$G$104,MATCH(D2759,Produtos!$B$5:$B$104,0))),0))</f>
        <v/>
      </c>
      <c r="I2759" s="27" t="str">
        <f aca="false">IF(G2759="","",G2759-H2759)</f>
        <v/>
      </c>
      <c r="J2759" s="42"/>
    </row>
    <row r="2760" customFormat="false" ht="21" hidden="false" customHeight="true" outlineLevel="0" collapsed="false">
      <c r="B2760" s="41"/>
      <c r="C2760" s="9"/>
      <c r="D2760" s="9"/>
      <c r="E2760" s="42"/>
      <c r="F2760" s="43"/>
      <c r="G2760" s="27" t="str">
        <f aca="false">IF(OR(C2760="",AND(D2760="",F2760="")),"",IF(N(E2760)=0,1,E2760)*IF(F2760="",IFERROR(N(INDEX(Produtos!$L$5:$L$104,MATCH(D2760,Produtos!$B$5:$B$104,0))),0),F2760))</f>
        <v/>
      </c>
      <c r="H2760" s="27" t="str">
        <f aca="false">IF(G2760="","",IF(N(E2760)=0,1,E2760)*IFERROR(N(INDEX(Produtos!$G$5:$G$104,MATCH(D2760,Produtos!$B$5:$B$104,0))),0))</f>
        <v/>
      </c>
      <c r="I2760" s="27" t="str">
        <f aca="false">IF(G2760="","",G2760-H2760)</f>
        <v/>
      </c>
      <c r="J2760" s="42"/>
    </row>
    <row r="2761" customFormat="false" ht="21" hidden="false" customHeight="true" outlineLevel="0" collapsed="false">
      <c r="B2761" s="41"/>
      <c r="C2761" s="9"/>
      <c r="D2761" s="9"/>
      <c r="E2761" s="42"/>
      <c r="F2761" s="43"/>
      <c r="G2761" s="27" t="str">
        <f aca="false">IF(OR(C2761="",AND(D2761="",F2761="")),"",IF(N(E2761)=0,1,E2761)*IF(F2761="",IFERROR(N(INDEX(Produtos!$L$5:$L$104,MATCH(D2761,Produtos!$B$5:$B$104,0))),0),F2761))</f>
        <v/>
      </c>
      <c r="H2761" s="27" t="str">
        <f aca="false">IF(G2761="","",IF(N(E2761)=0,1,E2761)*IFERROR(N(INDEX(Produtos!$G$5:$G$104,MATCH(D2761,Produtos!$B$5:$B$104,0))),0))</f>
        <v/>
      </c>
      <c r="I2761" s="27" t="str">
        <f aca="false">IF(G2761="","",G2761-H2761)</f>
        <v/>
      </c>
      <c r="J2761" s="42"/>
    </row>
    <row r="2762" customFormat="false" ht="21" hidden="false" customHeight="true" outlineLevel="0" collapsed="false">
      <c r="B2762" s="41"/>
      <c r="C2762" s="9"/>
      <c r="D2762" s="9"/>
      <c r="E2762" s="42"/>
      <c r="F2762" s="43"/>
      <c r="G2762" s="27" t="str">
        <f aca="false">IF(OR(C2762="",AND(D2762="",F2762="")),"",IF(N(E2762)=0,1,E2762)*IF(F2762="",IFERROR(N(INDEX(Produtos!$L$5:$L$104,MATCH(D2762,Produtos!$B$5:$B$104,0))),0),F2762))</f>
        <v/>
      </c>
      <c r="H2762" s="27" t="str">
        <f aca="false">IF(G2762="","",IF(N(E2762)=0,1,E2762)*IFERROR(N(INDEX(Produtos!$G$5:$G$104,MATCH(D2762,Produtos!$B$5:$B$104,0))),0))</f>
        <v/>
      </c>
      <c r="I2762" s="27" t="str">
        <f aca="false">IF(G2762="","",G2762-H2762)</f>
        <v/>
      </c>
      <c r="J2762" s="42"/>
    </row>
    <row r="2763" customFormat="false" ht="21" hidden="false" customHeight="true" outlineLevel="0" collapsed="false">
      <c r="B2763" s="41"/>
      <c r="C2763" s="9"/>
      <c r="D2763" s="9"/>
      <c r="E2763" s="42"/>
      <c r="F2763" s="43"/>
      <c r="G2763" s="27" t="str">
        <f aca="false">IF(OR(C2763="",AND(D2763="",F2763="")),"",IF(N(E2763)=0,1,E2763)*IF(F2763="",IFERROR(N(INDEX(Produtos!$L$5:$L$104,MATCH(D2763,Produtos!$B$5:$B$104,0))),0),F2763))</f>
        <v/>
      </c>
      <c r="H2763" s="27" t="str">
        <f aca="false">IF(G2763="","",IF(N(E2763)=0,1,E2763)*IFERROR(N(INDEX(Produtos!$G$5:$G$104,MATCH(D2763,Produtos!$B$5:$B$104,0))),0))</f>
        <v/>
      </c>
      <c r="I2763" s="27" t="str">
        <f aca="false">IF(G2763="","",G2763-H2763)</f>
        <v/>
      </c>
      <c r="J2763" s="42"/>
    </row>
    <row r="2764" customFormat="false" ht="21" hidden="false" customHeight="true" outlineLevel="0" collapsed="false">
      <c r="B2764" s="41"/>
      <c r="C2764" s="9"/>
      <c r="D2764" s="9"/>
      <c r="E2764" s="42"/>
      <c r="F2764" s="43"/>
      <c r="G2764" s="27" t="str">
        <f aca="false">IF(OR(C2764="",AND(D2764="",F2764="")),"",IF(N(E2764)=0,1,E2764)*IF(F2764="",IFERROR(N(INDEX(Produtos!$L$5:$L$104,MATCH(D2764,Produtos!$B$5:$B$104,0))),0),F2764))</f>
        <v/>
      </c>
      <c r="H2764" s="27" t="str">
        <f aca="false">IF(G2764="","",IF(N(E2764)=0,1,E2764)*IFERROR(N(INDEX(Produtos!$G$5:$G$104,MATCH(D2764,Produtos!$B$5:$B$104,0))),0))</f>
        <v/>
      </c>
      <c r="I2764" s="27" t="str">
        <f aca="false">IF(G2764="","",G2764-H2764)</f>
        <v/>
      </c>
      <c r="J2764" s="42"/>
    </row>
    <row r="2765" customFormat="false" ht="21" hidden="false" customHeight="true" outlineLevel="0" collapsed="false">
      <c r="B2765" s="41"/>
      <c r="C2765" s="9"/>
      <c r="D2765" s="9"/>
      <c r="E2765" s="42"/>
      <c r="F2765" s="43"/>
      <c r="G2765" s="27" t="str">
        <f aca="false">IF(OR(C2765="",AND(D2765="",F2765="")),"",IF(N(E2765)=0,1,E2765)*IF(F2765="",IFERROR(N(INDEX(Produtos!$L$5:$L$104,MATCH(D2765,Produtos!$B$5:$B$104,0))),0),F2765))</f>
        <v/>
      </c>
      <c r="H2765" s="27" t="str">
        <f aca="false">IF(G2765="","",IF(N(E2765)=0,1,E2765)*IFERROR(N(INDEX(Produtos!$G$5:$G$104,MATCH(D2765,Produtos!$B$5:$B$104,0))),0))</f>
        <v/>
      </c>
      <c r="I2765" s="27" t="str">
        <f aca="false">IF(G2765="","",G2765-H2765)</f>
        <v/>
      </c>
      <c r="J2765" s="42"/>
    </row>
    <row r="2766" customFormat="false" ht="21" hidden="false" customHeight="true" outlineLevel="0" collapsed="false">
      <c r="B2766" s="41"/>
      <c r="C2766" s="9"/>
      <c r="D2766" s="9"/>
      <c r="E2766" s="42"/>
      <c r="F2766" s="43"/>
      <c r="G2766" s="27" t="str">
        <f aca="false">IF(OR(C2766="",AND(D2766="",F2766="")),"",IF(N(E2766)=0,1,E2766)*IF(F2766="",IFERROR(N(INDEX(Produtos!$L$5:$L$104,MATCH(D2766,Produtos!$B$5:$B$104,0))),0),F2766))</f>
        <v/>
      </c>
      <c r="H2766" s="27" t="str">
        <f aca="false">IF(G2766="","",IF(N(E2766)=0,1,E2766)*IFERROR(N(INDEX(Produtos!$G$5:$G$104,MATCH(D2766,Produtos!$B$5:$B$104,0))),0))</f>
        <v/>
      </c>
      <c r="I2766" s="27" t="str">
        <f aca="false">IF(G2766="","",G2766-H2766)</f>
        <v/>
      </c>
      <c r="J2766" s="42"/>
    </row>
    <row r="2767" customFormat="false" ht="21" hidden="false" customHeight="true" outlineLevel="0" collapsed="false">
      <c r="B2767" s="41"/>
      <c r="C2767" s="9"/>
      <c r="D2767" s="9"/>
      <c r="E2767" s="42"/>
      <c r="F2767" s="43"/>
      <c r="G2767" s="27" t="str">
        <f aca="false">IF(OR(C2767="",AND(D2767="",F2767="")),"",IF(N(E2767)=0,1,E2767)*IF(F2767="",IFERROR(N(INDEX(Produtos!$L$5:$L$104,MATCH(D2767,Produtos!$B$5:$B$104,0))),0),F2767))</f>
        <v/>
      </c>
      <c r="H2767" s="27" t="str">
        <f aca="false">IF(G2767="","",IF(N(E2767)=0,1,E2767)*IFERROR(N(INDEX(Produtos!$G$5:$G$104,MATCH(D2767,Produtos!$B$5:$B$104,0))),0))</f>
        <v/>
      </c>
      <c r="I2767" s="27" t="str">
        <f aca="false">IF(G2767="","",G2767-H2767)</f>
        <v/>
      </c>
      <c r="J2767" s="42"/>
    </row>
    <row r="2768" customFormat="false" ht="21" hidden="false" customHeight="true" outlineLevel="0" collapsed="false">
      <c r="B2768" s="41"/>
      <c r="C2768" s="9"/>
      <c r="D2768" s="9"/>
      <c r="E2768" s="42"/>
      <c r="F2768" s="43"/>
      <c r="G2768" s="27" t="str">
        <f aca="false">IF(OR(C2768="",AND(D2768="",F2768="")),"",IF(N(E2768)=0,1,E2768)*IF(F2768="",IFERROR(N(INDEX(Produtos!$L$5:$L$104,MATCH(D2768,Produtos!$B$5:$B$104,0))),0),F2768))</f>
        <v/>
      </c>
      <c r="H2768" s="27" t="str">
        <f aca="false">IF(G2768="","",IF(N(E2768)=0,1,E2768)*IFERROR(N(INDEX(Produtos!$G$5:$G$104,MATCH(D2768,Produtos!$B$5:$B$104,0))),0))</f>
        <v/>
      </c>
      <c r="I2768" s="27" t="str">
        <f aca="false">IF(G2768="","",G2768-H2768)</f>
        <v/>
      </c>
      <c r="J2768" s="42"/>
    </row>
    <row r="2769" customFormat="false" ht="21" hidden="false" customHeight="true" outlineLevel="0" collapsed="false">
      <c r="B2769" s="41"/>
      <c r="C2769" s="9"/>
      <c r="D2769" s="9"/>
      <c r="E2769" s="42"/>
      <c r="F2769" s="43"/>
      <c r="G2769" s="27" t="str">
        <f aca="false">IF(OR(C2769="",AND(D2769="",F2769="")),"",IF(N(E2769)=0,1,E2769)*IF(F2769="",IFERROR(N(INDEX(Produtos!$L$5:$L$104,MATCH(D2769,Produtos!$B$5:$B$104,0))),0),F2769))</f>
        <v/>
      </c>
      <c r="H2769" s="27" t="str">
        <f aca="false">IF(G2769="","",IF(N(E2769)=0,1,E2769)*IFERROR(N(INDEX(Produtos!$G$5:$G$104,MATCH(D2769,Produtos!$B$5:$B$104,0))),0))</f>
        <v/>
      </c>
      <c r="I2769" s="27" t="str">
        <f aca="false">IF(G2769="","",G2769-H2769)</f>
        <v/>
      </c>
      <c r="J2769" s="42"/>
    </row>
    <row r="2770" customFormat="false" ht="21" hidden="false" customHeight="true" outlineLevel="0" collapsed="false">
      <c r="B2770" s="41"/>
      <c r="C2770" s="9"/>
      <c r="D2770" s="9"/>
      <c r="E2770" s="42"/>
      <c r="F2770" s="43"/>
      <c r="G2770" s="27" t="str">
        <f aca="false">IF(OR(C2770="",AND(D2770="",F2770="")),"",IF(N(E2770)=0,1,E2770)*IF(F2770="",IFERROR(N(INDEX(Produtos!$L$5:$L$104,MATCH(D2770,Produtos!$B$5:$B$104,0))),0),F2770))</f>
        <v/>
      </c>
      <c r="H2770" s="27" t="str">
        <f aca="false">IF(G2770="","",IF(N(E2770)=0,1,E2770)*IFERROR(N(INDEX(Produtos!$G$5:$G$104,MATCH(D2770,Produtos!$B$5:$B$104,0))),0))</f>
        <v/>
      </c>
      <c r="I2770" s="27" t="str">
        <f aca="false">IF(G2770="","",G2770-H2770)</f>
        <v/>
      </c>
      <c r="J2770" s="42"/>
    </row>
    <row r="2771" customFormat="false" ht="21" hidden="false" customHeight="true" outlineLevel="0" collapsed="false">
      <c r="B2771" s="41"/>
      <c r="C2771" s="9"/>
      <c r="D2771" s="9"/>
      <c r="E2771" s="42"/>
      <c r="F2771" s="43"/>
      <c r="G2771" s="27" t="str">
        <f aca="false">IF(OR(C2771="",AND(D2771="",F2771="")),"",IF(N(E2771)=0,1,E2771)*IF(F2771="",IFERROR(N(INDEX(Produtos!$L$5:$L$104,MATCH(D2771,Produtos!$B$5:$B$104,0))),0),F2771))</f>
        <v/>
      </c>
      <c r="H2771" s="27" t="str">
        <f aca="false">IF(G2771="","",IF(N(E2771)=0,1,E2771)*IFERROR(N(INDEX(Produtos!$G$5:$G$104,MATCH(D2771,Produtos!$B$5:$B$104,0))),0))</f>
        <v/>
      </c>
      <c r="I2771" s="27" t="str">
        <f aca="false">IF(G2771="","",G2771-H2771)</f>
        <v/>
      </c>
      <c r="J2771" s="42"/>
    </row>
    <row r="2772" customFormat="false" ht="21" hidden="false" customHeight="true" outlineLevel="0" collapsed="false">
      <c r="B2772" s="41"/>
      <c r="C2772" s="9"/>
      <c r="D2772" s="9"/>
      <c r="E2772" s="42"/>
      <c r="F2772" s="43"/>
      <c r="G2772" s="27" t="str">
        <f aca="false">IF(OR(C2772="",AND(D2772="",F2772="")),"",IF(N(E2772)=0,1,E2772)*IF(F2772="",IFERROR(N(INDEX(Produtos!$L$5:$L$104,MATCH(D2772,Produtos!$B$5:$B$104,0))),0),F2772))</f>
        <v/>
      </c>
      <c r="H2772" s="27" t="str">
        <f aca="false">IF(G2772="","",IF(N(E2772)=0,1,E2772)*IFERROR(N(INDEX(Produtos!$G$5:$G$104,MATCH(D2772,Produtos!$B$5:$B$104,0))),0))</f>
        <v/>
      </c>
      <c r="I2772" s="27" t="str">
        <f aca="false">IF(G2772="","",G2772-H2772)</f>
        <v/>
      </c>
      <c r="J2772" s="42"/>
    </row>
    <row r="2773" customFormat="false" ht="21" hidden="false" customHeight="true" outlineLevel="0" collapsed="false">
      <c r="B2773" s="41"/>
      <c r="C2773" s="9"/>
      <c r="D2773" s="9"/>
      <c r="E2773" s="42"/>
      <c r="F2773" s="43"/>
      <c r="G2773" s="27" t="str">
        <f aca="false">IF(OR(C2773="",AND(D2773="",F2773="")),"",IF(N(E2773)=0,1,E2773)*IF(F2773="",IFERROR(N(INDEX(Produtos!$L$5:$L$104,MATCH(D2773,Produtos!$B$5:$B$104,0))),0),F2773))</f>
        <v/>
      </c>
      <c r="H2773" s="27" t="str">
        <f aca="false">IF(G2773="","",IF(N(E2773)=0,1,E2773)*IFERROR(N(INDEX(Produtos!$G$5:$G$104,MATCH(D2773,Produtos!$B$5:$B$104,0))),0))</f>
        <v/>
      </c>
      <c r="I2773" s="27" t="str">
        <f aca="false">IF(G2773="","",G2773-H2773)</f>
        <v/>
      </c>
      <c r="J2773" s="42"/>
    </row>
    <row r="2774" customFormat="false" ht="21" hidden="false" customHeight="true" outlineLevel="0" collapsed="false">
      <c r="B2774" s="41"/>
      <c r="C2774" s="9"/>
      <c r="D2774" s="9"/>
      <c r="E2774" s="42"/>
      <c r="F2774" s="43"/>
      <c r="G2774" s="27" t="str">
        <f aca="false">IF(OR(C2774="",AND(D2774="",F2774="")),"",IF(N(E2774)=0,1,E2774)*IF(F2774="",IFERROR(N(INDEX(Produtos!$L$5:$L$104,MATCH(D2774,Produtos!$B$5:$B$104,0))),0),F2774))</f>
        <v/>
      </c>
      <c r="H2774" s="27" t="str">
        <f aca="false">IF(G2774="","",IF(N(E2774)=0,1,E2774)*IFERROR(N(INDEX(Produtos!$G$5:$G$104,MATCH(D2774,Produtos!$B$5:$B$104,0))),0))</f>
        <v/>
      </c>
      <c r="I2774" s="27" t="str">
        <f aca="false">IF(G2774="","",G2774-H2774)</f>
        <v/>
      </c>
      <c r="J2774" s="42"/>
    </row>
    <row r="2775" customFormat="false" ht="21" hidden="false" customHeight="true" outlineLevel="0" collapsed="false">
      <c r="B2775" s="41"/>
      <c r="C2775" s="9"/>
      <c r="D2775" s="9"/>
      <c r="E2775" s="42"/>
      <c r="F2775" s="43"/>
      <c r="G2775" s="27" t="str">
        <f aca="false">IF(OR(C2775="",AND(D2775="",F2775="")),"",IF(N(E2775)=0,1,E2775)*IF(F2775="",IFERROR(N(INDEX(Produtos!$L$5:$L$104,MATCH(D2775,Produtos!$B$5:$B$104,0))),0),F2775))</f>
        <v/>
      </c>
      <c r="H2775" s="27" t="str">
        <f aca="false">IF(G2775="","",IF(N(E2775)=0,1,E2775)*IFERROR(N(INDEX(Produtos!$G$5:$G$104,MATCH(D2775,Produtos!$B$5:$B$104,0))),0))</f>
        <v/>
      </c>
      <c r="I2775" s="27" t="str">
        <f aca="false">IF(G2775="","",G2775-H2775)</f>
        <v/>
      </c>
      <c r="J2775" s="42"/>
    </row>
    <row r="2776" customFormat="false" ht="21" hidden="false" customHeight="true" outlineLevel="0" collapsed="false">
      <c r="B2776" s="41"/>
      <c r="C2776" s="9"/>
      <c r="D2776" s="9"/>
      <c r="E2776" s="42"/>
      <c r="F2776" s="43"/>
      <c r="G2776" s="27" t="str">
        <f aca="false">IF(OR(C2776="",AND(D2776="",F2776="")),"",IF(N(E2776)=0,1,E2776)*IF(F2776="",IFERROR(N(INDEX(Produtos!$L$5:$L$104,MATCH(D2776,Produtos!$B$5:$B$104,0))),0),F2776))</f>
        <v/>
      </c>
      <c r="H2776" s="27" t="str">
        <f aca="false">IF(G2776="","",IF(N(E2776)=0,1,E2776)*IFERROR(N(INDEX(Produtos!$G$5:$G$104,MATCH(D2776,Produtos!$B$5:$B$104,0))),0))</f>
        <v/>
      </c>
      <c r="I2776" s="27" t="str">
        <f aca="false">IF(G2776="","",G2776-H2776)</f>
        <v/>
      </c>
      <c r="J2776" s="42"/>
    </row>
    <row r="2777" customFormat="false" ht="21" hidden="false" customHeight="true" outlineLevel="0" collapsed="false">
      <c r="B2777" s="41"/>
      <c r="C2777" s="9"/>
      <c r="D2777" s="9"/>
      <c r="E2777" s="42"/>
      <c r="F2777" s="43"/>
      <c r="G2777" s="27" t="str">
        <f aca="false">IF(OR(C2777="",AND(D2777="",F2777="")),"",IF(N(E2777)=0,1,E2777)*IF(F2777="",IFERROR(N(INDEX(Produtos!$L$5:$L$104,MATCH(D2777,Produtos!$B$5:$B$104,0))),0),F2777))</f>
        <v/>
      </c>
      <c r="H2777" s="27" t="str">
        <f aca="false">IF(G2777="","",IF(N(E2777)=0,1,E2777)*IFERROR(N(INDEX(Produtos!$G$5:$G$104,MATCH(D2777,Produtos!$B$5:$B$104,0))),0))</f>
        <v/>
      </c>
      <c r="I2777" s="27" t="str">
        <f aca="false">IF(G2777="","",G2777-H2777)</f>
        <v/>
      </c>
      <c r="J2777" s="42"/>
    </row>
    <row r="2778" customFormat="false" ht="21" hidden="false" customHeight="true" outlineLevel="0" collapsed="false">
      <c r="B2778" s="41"/>
      <c r="C2778" s="9"/>
      <c r="D2778" s="9"/>
      <c r="E2778" s="42"/>
      <c r="F2778" s="43"/>
      <c r="G2778" s="27" t="str">
        <f aca="false">IF(OR(C2778="",AND(D2778="",F2778="")),"",IF(N(E2778)=0,1,E2778)*IF(F2778="",IFERROR(N(INDEX(Produtos!$L$5:$L$104,MATCH(D2778,Produtos!$B$5:$B$104,0))),0),F2778))</f>
        <v/>
      </c>
      <c r="H2778" s="27" t="str">
        <f aca="false">IF(G2778="","",IF(N(E2778)=0,1,E2778)*IFERROR(N(INDEX(Produtos!$G$5:$G$104,MATCH(D2778,Produtos!$B$5:$B$104,0))),0))</f>
        <v/>
      </c>
      <c r="I2778" s="27" t="str">
        <f aca="false">IF(G2778="","",G2778-H2778)</f>
        <v/>
      </c>
      <c r="J2778" s="42"/>
    </row>
    <row r="2779" customFormat="false" ht="21" hidden="false" customHeight="true" outlineLevel="0" collapsed="false">
      <c r="B2779" s="41"/>
      <c r="C2779" s="9"/>
      <c r="D2779" s="9"/>
      <c r="E2779" s="42"/>
      <c r="F2779" s="43"/>
      <c r="G2779" s="27" t="str">
        <f aca="false">IF(OR(C2779="",AND(D2779="",F2779="")),"",IF(N(E2779)=0,1,E2779)*IF(F2779="",IFERROR(N(INDEX(Produtos!$L$5:$L$104,MATCH(D2779,Produtos!$B$5:$B$104,0))),0),F2779))</f>
        <v/>
      </c>
      <c r="H2779" s="27" t="str">
        <f aca="false">IF(G2779="","",IF(N(E2779)=0,1,E2779)*IFERROR(N(INDEX(Produtos!$G$5:$G$104,MATCH(D2779,Produtos!$B$5:$B$104,0))),0))</f>
        <v/>
      </c>
      <c r="I2779" s="27" t="str">
        <f aca="false">IF(G2779="","",G2779-H2779)</f>
        <v/>
      </c>
      <c r="J2779" s="42"/>
    </row>
    <row r="2780" customFormat="false" ht="21" hidden="false" customHeight="true" outlineLevel="0" collapsed="false">
      <c r="B2780" s="41"/>
      <c r="C2780" s="9"/>
      <c r="D2780" s="9"/>
      <c r="E2780" s="42"/>
      <c r="F2780" s="43"/>
      <c r="G2780" s="27" t="str">
        <f aca="false">IF(OR(C2780="",AND(D2780="",F2780="")),"",IF(N(E2780)=0,1,E2780)*IF(F2780="",IFERROR(N(INDEX(Produtos!$L$5:$L$104,MATCH(D2780,Produtos!$B$5:$B$104,0))),0),F2780))</f>
        <v/>
      </c>
      <c r="H2780" s="27" t="str">
        <f aca="false">IF(G2780="","",IF(N(E2780)=0,1,E2780)*IFERROR(N(INDEX(Produtos!$G$5:$G$104,MATCH(D2780,Produtos!$B$5:$B$104,0))),0))</f>
        <v/>
      </c>
      <c r="I2780" s="27" t="str">
        <f aca="false">IF(G2780="","",G2780-H2780)</f>
        <v/>
      </c>
      <c r="J2780" s="42"/>
    </row>
    <row r="2781" customFormat="false" ht="21" hidden="false" customHeight="true" outlineLevel="0" collapsed="false">
      <c r="B2781" s="41"/>
      <c r="C2781" s="9"/>
      <c r="D2781" s="9"/>
      <c r="E2781" s="42"/>
      <c r="F2781" s="43"/>
      <c r="G2781" s="27" t="str">
        <f aca="false">IF(OR(C2781="",AND(D2781="",F2781="")),"",IF(N(E2781)=0,1,E2781)*IF(F2781="",IFERROR(N(INDEX(Produtos!$L$5:$L$104,MATCH(D2781,Produtos!$B$5:$B$104,0))),0),F2781))</f>
        <v/>
      </c>
      <c r="H2781" s="27" t="str">
        <f aca="false">IF(G2781="","",IF(N(E2781)=0,1,E2781)*IFERROR(N(INDEX(Produtos!$G$5:$G$104,MATCH(D2781,Produtos!$B$5:$B$104,0))),0))</f>
        <v/>
      </c>
      <c r="I2781" s="27" t="str">
        <f aca="false">IF(G2781="","",G2781-H2781)</f>
        <v/>
      </c>
      <c r="J2781" s="42"/>
    </row>
    <row r="2782" customFormat="false" ht="21" hidden="false" customHeight="true" outlineLevel="0" collapsed="false">
      <c r="B2782" s="41"/>
      <c r="C2782" s="9"/>
      <c r="D2782" s="9"/>
      <c r="E2782" s="42"/>
      <c r="F2782" s="43"/>
      <c r="G2782" s="27" t="str">
        <f aca="false">IF(OR(C2782="",AND(D2782="",F2782="")),"",IF(N(E2782)=0,1,E2782)*IF(F2782="",IFERROR(N(INDEX(Produtos!$L$5:$L$104,MATCH(D2782,Produtos!$B$5:$B$104,0))),0),F2782))</f>
        <v/>
      </c>
      <c r="H2782" s="27" t="str">
        <f aca="false">IF(G2782="","",IF(N(E2782)=0,1,E2782)*IFERROR(N(INDEX(Produtos!$G$5:$G$104,MATCH(D2782,Produtos!$B$5:$B$104,0))),0))</f>
        <v/>
      </c>
      <c r="I2782" s="27" t="str">
        <f aca="false">IF(G2782="","",G2782-H2782)</f>
        <v/>
      </c>
      <c r="J2782" s="42"/>
    </row>
    <row r="2783" customFormat="false" ht="21" hidden="false" customHeight="true" outlineLevel="0" collapsed="false">
      <c r="B2783" s="41"/>
      <c r="C2783" s="9"/>
      <c r="D2783" s="9"/>
      <c r="E2783" s="42"/>
      <c r="F2783" s="43"/>
      <c r="G2783" s="27" t="str">
        <f aca="false">IF(OR(C2783="",AND(D2783="",F2783="")),"",IF(N(E2783)=0,1,E2783)*IF(F2783="",IFERROR(N(INDEX(Produtos!$L$5:$L$104,MATCH(D2783,Produtos!$B$5:$B$104,0))),0),F2783))</f>
        <v/>
      </c>
      <c r="H2783" s="27" t="str">
        <f aca="false">IF(G2783="","",IF(N(E2783)=0,1,E2783)*IFERROR(N(INDEX(Produtos!$G$5:$G$104,MATCH(D2783,Produtos!$B$5:$B$104,0))),0))</f>
        <v/>
      </c>
      <c r="I2783" s="27" t="str">
        <f aca="false">IF(G2783="","",G2783-H2783)</f>
        <v/>
      </c>
      <c r="J2783" s="42"/>
    </row>
    <row r="2784" customFormat="false" ht="21" hidden="false" customHeight="true" outlineLevel="0" collapsed="false">
      <c r="B2784" s="41"/>
      <c r="C2784" s="9"/>
      <c r="D2784" s="9"/>
      <c r="E2784" s="42"/>
      <c r="F2784" s="43"/>
      <c r="G2784" s="27" t="str">
        <f aca="false">IF(OR(C2784="",AND(D2784="",F2784="")),"",IF(N(E2784)=0,1,E2784)*IF(F2784="",IFERROR(N(INDEX(Produtos!$L$5:$L$104,MATCH(D2784,Produtos!$B$5:$B$104,0))),0),F2784))</f>
        <v/>
      </c>
      <c r="H2784" s="27" t="str">
        <f aca="false">IF(G2784="","",IF(N(E2784)=0,1,E2784)*IFERROR(N(INDEX(Produtos!$G$5:$G$104,MATCH(D2784,Produtos!$B$5:$B$104,0))),0))</f>
        <v/>
      </c>
      <c r="I2784" s="27" t="str">
        <f aca="false">IF(G2784="","",G2784-H2784)</f>
        <v/>
      </c>
      <c r="J2784" s="42"/>
    </row>
    <row r="2785" customFormat="false" ht="21" hidden="false" customHeight="true" outlineLevel="0" collapsed="false">
      <c r="B2785" s="41"/>
      <c r="C2785" s="9"/>
      <c r="D2785" s="9"/>
      <c r="E2785" s="42"/>
      <c r="F2785" s="43"/>
      <c r="G2785" s="27" t="str">
        <f aca="false">IF(OR(C2785="",AND(D2785="",F2785="")),"",IF(N(E2785)=0,1,E2785)*IF(F2785="",IFERROR(N(INDEX(Produtos!$L$5:$L$104,MATCH(D2785,Produtos!$B$5:$B$104,0))),0),F2785))</f>
        <v/>
      </c>
      <c r="H2785" s="27" t="str">
        <f aca="false">IF(G2785="","",IF(N(E2785)=0,1,E2785)*IFERROR(N(INDEX(Produtos!$G$5:$G$104,MATCH(D2785,Produtos!$B$5:$B$104,0))),0))</f>
        <v/>
      </c>
      <c r="I2785" s="27" t="str">
        <f aca="false">IF(G2785="","",G2785-H2785)</f>
        <v/>
      </c>
      <c r="J2785" s="42"/>
    </row>
    <row r="2786" customFormat="false" ht="21" hidden="false" customHeight="true" outlineLevel="0" collapsed="false">
      <c r="B2786" s="41"/>
      <c r="C2786" s="9"/>
      <c r="D2786" s="9"/>
      <c r="E2786" s="42"/>
      <c r="F2786" s="43"/>
      <c r="G2786" s="27" t="str">
        <f aca="false">IF(OR(C2786="",AND(D2786="",F2786="")),"",IF(N(E2786)=0,1,E2786)*IF(F2786="",IFERROR(N(INDEX(Produtos!$L$5:$L$104,MATCH(D2786,Produtos!$B$5:$B$104,0))),0),F2786))</f>
        <v/>
      </c>
      <c r="H2786" s="27" t="str">
        <f aca="false">IF(G2786="","",IF(N(E2786)=0,1,E2786)*IFERROR(N(INDEX(Produtos!$G$5:$G$104,MATCH(D2786,Produtos!$B$5:$B$104,0))),0))</f>
        <v/>
      </c>
      <c r="I2786" s="27" t="str">
        <f aca="false">IF(G2786="","",G2786-H2786)</f>
        <v/>
      </c>
      <c r="J2786" s="42"/>
    </row>
    <row r="2787" customFormat="false" ht="21" hidden="false" customHeight="true" outlineLevel="0" collapsed="false">
      <c r="B2787" s="41"/>
      <c r="C2787" s="9"/>
      <c r="D2787" s="9"/>
      <c r="E2787" s="42"/>
      <c r="F2787" s="43"/>
      <c r="G2787" s="27" t="str">
        <f aca="false">IF(OR(C2787="",AND(D2787="",F2787="")),"",IF(N(E2787)=0,1,E2787)*IF(F2787="",IFERROR(N(INDEX(Produtos!$L$5:$L$104,MATCH(D2787,Produtos!$B$5:$B$104,0))),0),F2787))</f>
        <v/>
      </c>
      <c r="H2787" s="27" t="str">
        <f aca="false">IF(G2787="","",IF(N(E2787)=0,1,E2787)*IFERROR(N(INDEX(Produtos!$G$5:$G$104,MATCH(D2787,Produtos!$B$5:$B$104,0))),0))</f>
        <v/>
      </c>
      <c r="I2787" s="27" t="str">
        <f aca="false">IF(G2787="","",G2787-H2787)</f>
        <v/>
      </c>
      <c r="J2787" s="42"/>
    </row>
    <row r="2788" customFormat="false" ht="21" hidden="false" customHeight="true" outlineLevel="0" collapsed="false">
      <c r="B2788" s="41"/>
      <c r="C2788" s="9"/>
      <c r="D2788" s="9"/>
      <c r="E2788" s="42"/>
      <c r="F2788" s="43"/>
      <c r="G2788" s="27" t="str">
        <f aca="false">IF(OR(C2788="",AND(D2788="",F2788="")),"",IF(N(E2788)=0,1,E2788)*IF(F2788="",IFERROR(N(INDEX(Produtos!$L$5:$L$104,MATCH(D2788,Produtos!$B$5:$B$104,0))),0),F2788))</f>
        <v/>
      </c>
      <c r="H2788" s="27" t="str">
        <f aca="false">IF(G2788="","",IF(N(E2788)=0,1,E2788)*IFERROR(N(INDEX(Produtos!$G$5:$G$104,MATCH(D2788,Produtos!$B$5:$B$104,0))),0))</f>
        <v/>
      </c>
      <c r="I2788" s="27" t="str">
        <f aca="false">IF(G2788="","",G2788-H2788)</f>
        <v/>
      </c>
      <c r="J2788" s="42"/>
    </row>
    <row r="2789" customFormat="false" ht="21" hidden="false" customHeight="true" outlineLevel="0" collapsed="false">
      <c r="B2789" s="41"/>
      <c r="C2789" s="9"/>
      <c r="D2789" s="9"/>
      <c r="E2789" s="42"/>
      <c r="F2789" s="43"/>
      <c r="G2789" s="27" t="str">
        <f aca="false">IF(OR(C2789="",AND(D2789="",F2789="")),"",IF(N(E2789)=0,1,E2789)*IF(F2789="",IFERROR(N(INDEX(Produtos!$L$5:$L$104,MATCH(D2789,Produtos!$B$5:$B$104,0))),0),F2789))</f>
        <v/>
      </c>
      <c r="H2789" s="27" t="str">
        <f aca="false">IF(G2789="","",IF(N(E2789)=0,1,E2789)*IFERROR(N(INDEX(Produtos!$G$5:$G$104,MATCH(D2789,Produtos!$B$5:$B$104,0))),0))</f>
        <v/>
      </c>
      <c r="I2789" s="27" t="str">
        <f aca="false">IF(G2789="","",G2789-H2789)</f>
        <v/>
      </c>
      <c r="J2789" s="42"/>
    </row>
    <row r="2790" customFormat="false" ht="21" hidden="false" customHeight="true" outlineLevel="0" collapsed="false">
      <c r="B2790" s="41"/>
      <c r="C2790" s="9"/>
      <c r="D2790" s="9"/>
      <c r="E2790" s="42"/>
      <c r="F2790" s="43"/>
      <c r="G2790" s="27" t="str">
        <f aca="false">IF(OR(C2790="",AND(D2790="",F2790="")),"",IF(N(E2790)=0,1,E2790)*IF(F2790="",IFERROR(N(INDEX(Produtos!$L$5:$L$104,MATCH(D2790,Produtos!$B$5:$B$104,0))),0),F2790))</f>
        <v/>
      </c>
      <c r="H2790" s="27" t="str">
        <f aca="false">IF(G2790="","",IF(N(E2790)=0,1,E2790)*IFERROR(N(INDEX(Produtos!$G$5:$G$104,MATCH(D2790,Produtos!$B$5:$B$104,0))),0))</f>
        <v/>
      </c>
      <c r="I2790" s="27" t="str">
        <f aca="false">IF(G2790="","",G2790-H2790)</f>
        <v/>
      </c>
      <c r="J2790" s="42"/>
    </row>
    <row r="2791" customFormat="false" ht="21" hidden="false" customHeight="true" outlineLevel="0" collapsed="false">
      <c r="B2791" s="41"/>
      <c r="C2791" s="9"/>
      <c r="D2791" s="9"/>
      <c r="E2791" s="42"/>
      <c r="F2791" s="43"/>
      <c r="G2791" s="27" t="str">
        <f aca="false">IF(OR(C2791="",AND(D2791="",F2791="")),"",IF(N(E2791)=0,1,E2791)*IF(F2791="",IFERROR(N(INDEX(Produtos!$L$5:$L$104,MATCH(D2791,Produtos!$B$5:$B$104,0))),0),F2791))</f>
        <v/>
      </c>
      <c r="H2791" s="27" t="str">
        <f aca="false">IF(G2791="","",IF(N(E2791)=0,1,E2791)*IFERROR(N(INDEX(Produtos!$G$5:$G$104,MATCH(D2791,Produtos!$B$5:$B$104,0))),0))</f>
        <v/>
      </c>
      <c r="I2791" s="27" t="str">
        <f aca="false">IF(G2791="","",G2791-H2791)</f>
        <v/>
      </c>
      <c r="J2791" s="42"/>
    </row>
    <row r="2792" customFormat="false" ht="21" hidden="false" customHeight="true" outlineLevel="0" collapsed="false">
      <c r="B2792" s="41"/>
      <c r="C2792" s="9"/>
      <c r="D2792" s="9"/>
      <c r="E2792" s="42"/>
      <c r="F2792" s="43"/>
      <c r="G2792" s="27" t="str">
        <f aca="false">IF(OR(C2792="",AND(D2792="",F2792="")),"",IF(N(E2792)=0,1,E2792)*IF(F2792="",IFERROR(N(INDEX(Produtos!$L$5:$L$104,MATCH(D2792,Produtos!$B$5:$B$104,0))),0),F2792))</f>
        <v/>
      </c>
      <c r="H2792" s="27" t="str">
        <f aca="false">IF(G2792="","",IF(N(E2792)=0,1,E2792)*IFERROR(N(INDEX(Produtos!$G$5:$G$104,MATCH(D2792,Produtos!$B$5:$B$104,0))),0))</f>
        <v/>
      </c>
      <c r="I2792" s="27" t="str">
        <f aca="false">IF(G2792="","",G2792-H2792)</f>
        <v/>
      </c>
      <c r="J2792" s="42"/>
    </row>
    <row r="2793" customFormat="false" ht="21" hidden="false" customHeight="true" outlineLevel="0" collapsed="false">
      <c r="B2793" s="41"/>
      <c r="C2793" s="9"/>
      <c r="D2793" s="9"/>
      <c r="E2793" s="42"/>
      <c r="F2793" s="43"/>
      <c r="G2793" s="27" t="str">
        <f aca="false">IF(OR(C2793="",AND(D2793="",F2793="")),"",IF(N(E2793)=0,1,E2793)*IF(F2793="",IFERROR(N(INDEX(Produtos!$L$5:$L$104,MATCH(D2793,Produtos!$B$5:$B$104,0))),0),F2793))</f>
        <v/>
      </c>
      <c r="H2793" s="27" t="str">
        <f aca="false">IF(G2793="","",IF(N(E2793)=0,1,E2793)*IFERROR(N(INDEX(Produtos!$G$5:$G$104,MATCH(D2793,Produtos!$B$5:$B$104,0))),0))</f>
        <v/>
      </c>
      <c r="I2793" s="27" t="str">
        <f aca="false">IF(G2793="","",G2793-H2793)</f>
        <v/>
      </c>
      <c r="J2793" s="42"/>
    </row>
    <row r="2794" customFormat="false" ht="21" hidden="false" customHeight="true" outlineLevel="0" collapsed="false">
      <c r="B2794" s="41"/>
      <c r="C2794" s="9"/>
      <c r="D2794" s="9"/>
      <c r="E2794" s="42"/>
      <c r="F2794" s="43"/>
      <c r="G2794" s="27" t="str">
        <f aca="false">IF(OR(C2794="",AND(D2794="",F2794="")),"",IF(N(E2794)=0,1,E2794)*IF(F2794="",IFERROR(N(INDEX(Produtos!$L$5:$L$104,MATCH(D2794,Produtos!$B$5:$B$104,0))),0),F2794))</f>
        <v/>
      </c>
      <c r="H2794" s="27" t="str">
        <f aca="false">IF(G2794="","",IF(N(E2794)=0,1,E2794)*IFERROR(N(INDEX(Produtos!$G$5:$G$104,MATCH(D2794,Produtos!$B$5:$B$104,0))),0))</f>
        <v/>
      </c>
      <c r="I2794" s="27" t="str">
        <f aca="false">IF(G2794="","",G2794-H2794)</f>
        <v/>
      </c>
      <c r="J2794" s="42"/>
    </row>
    <row r="2795" customFormat="false" ht="21" hidden="false" customHeight="true" outlineLevel="0" collapsed="false">
      <c r="B2795" s="41"/>
      <c r="C2795" s="9"/>
      <c r="D2795" s="9"/>
      <c r="E2795" s="42"/>
      <c r="F2795" s="43"/>
      <c r="G2795" s="27" t="str">
        <f aca="false">IF(OR(C2795="",AND(D2795="",F2795="")),"",IF(N(E2795)=0,1,E2795)*IF(F2795="",IFERROR(N(INDEX(Produtos!$L$5:$L$104,MATCH(D2795,Produtos!$B$5:$B$104,0))),0),F2795))</f>
        <v/>
      </c>
      <c r="H2795" s="27" t="str">
        <f aca="false">IF(G2795="","",IF(N(E2795)=0,1,E2795)*IFERROR(N(INDEX(Produtos!$G$5:$G$104,MATCH(D2795,Produtos!$B$5:$B$104,0))),0))</f>
        <v/>
      </c>
      <c r="I2795" s="27" t="str">
        <f aca="false">IF(G2795="","",G2795-H2795)</f>
        <v/>
      </c>
      <c r="J2795" s="42"/>
    </row>
    <row r="2796" customFormat="false" ht="21" hidden="false" customHeight="true" outlineLevel="0" collapsed="false">
      <c r="B2796" s="41"/>
      <c r="C2796" s="9"/>
      <c r="D2796" s="9"/>
      <c r="E2796" s="42"/>
      <c r="F2796" s="43"/>
      <c r="G2796" s="27" t="str">
        <f aca="false">IF(OR(C2796="",AND(D2796="",F2796="")),"",IF(N(E2796)=0,1,E2796)*IF(F2796="",IFERROR(N(INDEX(Produtos!$L$5:$L$104,MATCH(D2796,Produtos!$B$5:$B$104,0))),0),F2796))</f>
        <v/>
      </c>
      <c r="H2796" s="27" t="str">
        <f aca="false">IF(G2796="","",IF(N(E2796)=0,1,E2796)*IFERROR(N(INDEX(Produtos!$G$5:$G$104,MATCH(D2796,Produtos!$B$5:$B$104,0))),0))</f>
        <v/>
      </c>
      <c r="I2796" s="27" t="str">
        <f aca="false">IF(G2796="","",G2796-H2796)</f>
        <v/>
      </c>
      <c r="J2796" s="42"/>
    </row>
    <row r="2797" customFormat="false" ht="21" hidden="false" customHeight="true" outlineLevel="0" collapsed="false">
      <c r="B2797" s="41"/>
      <c r="C2797" s="9"/>
      <c r="D2797" s="9"/>
      <c r="E2797" s="42"/>
      <c r="F2797" s="43"/>
      <c r="G2797" s="27" t="str">
        <f aca="false">IF(OR(C2797="",AND(D2797="",F2797="")),"",IF(N(E2797)=0,1,E2797)*IF(F2797="",IFERROR(N(INDEX(Produtos!$L$5:$L$104,MATCH(D2797,Produtos!$B$5:$B$104,0))),0),F2797))</f>
        <v/>
      </c>
      <c r="H2797" s="27" t="str">
        <f aca="false">IF(G2797="","",IF(N(E2797)=0,1,E2797)*IFERROR(N(INDEX(Produtos!$G$5:$G$104,MATCH(D2797,Produtos!$B$5:$B$104,0))),0))</f>
        <v/>
      </c>
      <c r="I2797" s="27" t="str">
        <f aca="false">IF(G2797="","",G2797-H2797)</f>
        <v/>
      </c>
      <c r="J2797" s="42"/>
    </row>
    <row r="2798" customFormat="false" ht="21" hidden="false" customHeight="true" outlineLevel="0" collapsed="false">
      <c r="B2798" s="41"/>
      <c r="C2798" s="9"/>
      <c r="D2798" s="9"/>
      <c r="E2798" s="42"/>
      <c r="F2798" s="43"/>
      <c r="G2798" s="27" t="str">
        <f aca="false">IF(OR(C2798="",AND(D2798="",F2798="")),"",IF(N(E2798)=0,1,E2798)*IF(F2798="",IFERROR(N(INDEX(Produtos!$L$5:$L$104,MATCH(D2798,Produtos!$B$5:$B$104,0))),0),F2798))</f>
        <v/>
      </c>
      <c r="H2798" s="27" t="str">
        <f aca="false">IF(G2798="","",IF(N(E2798)=0,1,E2798)*IFERROR(N(INDEX(Produtos!$G$5:$G$104,MATCH(D2798,Produtos!$B$5:$B$104,0))),0))</f>
        <v/>
      </c>
      <c r="I2798" s="27" t="str">
        <f aca="false">IF(G2798="","",G2798-H2798)</f>
        <v/>
      </c>
      <c r="J2798" s="42"/>
    </row>
    <row r="2799" customFormat="false" ht="21" hidden="false" customHeight="true" outlineLevel="0" collapsed="false">
      <c r="B2799" s="41"/>
      <c r="C2799" s="9"/>
      <c r="D2799" s="9"/>
      <c r="E2799" s="42"/>
      <c r="F2799" s="43"/>
      <c r="G2799" s="27" t="str">
        <f aca="false">IF(OR(C2799="",AND(D2799="",F2799="")),"",IF(N(E2799)=0,1,E2799)*IF(F2799="",IFERROR(N(INDEX(Produtos!$L$5:$L$104,MATCH(D2799,Produtos!$B$5:$B$104,0))),0),F2799))</f>
        <v/>
      </c>
      <c r="H2799" s="27" t="str">
        <f aca="false">IF(G2799="","",IF(N(E2799)=0,1,E2799)*IFERROR(N(INDEX(Produtos!$G$5:$G$104,MATCH(D2799,Produtos!$B$5:$B$104,0))),0))</f>
        <v/>
      </c>
      <c r="I2799" s="27" t="str">
        <f aca="false">IF(G2799="","",G2799-H2799)</f>
        <v/>
      </c>
      <c r="J2799" s="42"/>
    </row>
    <row r="2800" customFormat="false" ht="21" hidden="false" customHeight="true" outlineLevel="0" collapsed="false">
      <c r="B2800" s="41"/>
      <c r="C2800" s="9"/>
      <c r="D2800" s="9"/>
      <c r="E2800" s="42"/>
      <c r="F2800" s="43"/>
      <c r="G2800" s="27" t="str">
        <f aca="false">IF(OR(C2800="",AND(D2800="",F2800="")),"",IF(N(E2800)=0,1,E2800)*IF(F2800="",IFERROR(N(INDEX(Produtos!$L$5:$L$104,MATCH(D2800,Produtos!$B$5:$B$104,0))),0),F2800))</f>
        <v/>
      </c>
      <c r="H2800" s="27" t="str">
        <f aca="false">IF(G2800="","",IF(N(E2800)=0,1,E2800)*IFERROR(N(INDEX(Produtos!$G$5:$G$104,MATCH(D2800,Produtos!$B$5:$B$104,0))),0))</f>
        <v/>
      </c>
      <c r="I2800" s="27" t="str">
        <f aca="false">IF(G2800="","",G2800-H2800)</f>
        <v/>
      </c>
      <c r="J2800" s="42"/>
    </row>
    <row r="2801" customFormat="false" ht="21" hidden="false" customHeight="true" outlineLevel="0" collapsed="false">
      <c r="B2801" s="41"/>
      <c r="C2801" s="9"/>
      <c r="D2801" s="9"/>
      <c r="E2801" s="42"/>
      <c r="F2801" s="43"/>
      <c r="G2801" s="27" t="str">
        <f aca="false">IF(OR(C2801="",AND(D2801="",F2801="")),"",IF(N(E2801)=0,1,E2801)*IF(F2801="",IFERROR(N(INDEX(Produtos!$L$5:$L$104,MATCH(D2801,Produtos!$B$5:$B$104,0))),0),F2801))</f>
        <v/>
      </c>
      <c r="H2801" s="27" t="str">
        <f aca="false">IF(G2801="","",IF(N(E2801)=0,1,E2801)*IFERROR(N(INDEX(Produtos!$G$5:$G$104,MATCH(D2801,Produtos!$B$5:$B$104,0))),0))</f>
        <v/>
      </c>
      <c r="I2801" s="27" t="str">
        <f aca="false">IF(G2801="","",G2801-H2801)</f>
        <v/>
      </c>
      <c r="J2801" s="42"/>
    </row>
    <row r="2802" customFormat="false" ht="21" hidden="false" customHeight="true" outlineLevel="0" collapsed="false">
      <c r="B2802" s="41"/>
      <c r="C2802" s="9"/>
      <c r="D2802" s="9"/>
      <c r="E2802" s="42"/>
      <c r="F2802" s="43"/>
      <c r="G2802" s="27" t="str">
        <f aca="false">IF(OR(C2802="",AND(D2802="",F2802="")),"",IF(N(E2802)=0,1,E2802)*IF(F2802="",IFERROR(N(INDEX(Produtos!$L$5:$L$104,MATCH(D2802,Produtos!$B$5:$B$104,0))),0),F2802))</f>
        <v/>
      </c>
      <c r="H2802" s="27" t="str">
        <f aca="false">IF(G2802="","",IF(N(E2802)=0,1,E2802)*IFERROR(N(INDEX(Produtos!$G$5:$G$104,MATCH(D2802,Produtos!$B$5:$B$104,0))),0))</f>
        <v/>
      </c>
      <c r="I2802" s="27" t="str">
        <f aca="false">IF(G2802="","",G2802-H2802)</f>
        <v/>
      </c>
      <c r="J2802" s="42"/>
    </row>
    <row r="2803" customFormat="false" ht="21" hidden="false" customHeight="true" outlineLevel="0" collapsed="false">
      <c r="B2803" s="41"/>
      <c r="C2803" s="9"/>
      <c r="D2803" s="9"/>
      <c r="E2803" s="42"/>
      <c r="F2803" s="43"/>
      <c r="G2803" s="27" t="str">
        <f aca="false">IF(OR(C2803="",AND(D2803="",F2803="")),"",IF(N(E2803)=0,1,E2803)*IF(F2803="",IFERROR(N(INDEX(Produtos!$L$5:$L$104,MATCH(D2803,Produtos!$B$5:$B$104,0))),0),F2803))</f>
        <v/>
      </c>
      <c r="H2803" s="27" t="str">
        <f aca="false">IF(G2803="","",IF(N(E2803)=0,1,E2803)*IFERROR(N(INDEX(Produtos!$G$5:$G$104,MATCH(D2803,Produtos!$B$5:$B$104,0))),0))</f>
        <v/>
      </c>
      <c r="I2803" s="27" t="str">
        <f aca="false">IF(G2803="","",G2803-H2803)</f>
        <v/>
      </c>
      <c r="J2803" s="42"/>
    </row>
    <row r="2804" customFormat="false" ht="21" hidden="false" customHeight="true" outlineLevel="0" collapsed="false">
      <c r="B2804" s="41"/>
      <c r="C2804" s="9"/>
      <c r="D2804" s="9"/>
      <c r="E2804" s="42"/>
      <c r="F2804" s="43"/>
      <c r="G2804" s="27" t="str">
        <f aca="false">IF(OR(C2804="",AND(D2804="",F2804="")),"",IF(N(E2804)=0,1,E2804)*IF(F2804="",IFERROR(N(INDEX(Produtos!$L$5:$L$104,MATCH(D2804,Produtos!$B$5:$B$104,0))),0),F2804))</f>
        <v/>
      </c>
      <c r="H2804" s="27" t="str">
        <f aca="false">IF(G2804="","",IF(N(E2804)=0,1,E2804)*IFERROR(N(INDEX(Produtos!$G$5:$G$104,MATCH(D2804,Produtos!$B$5:$B$104,0))),0))</f>
        <v/>
      </c>
      <c r="I2804" s="27" t="str">
        <f aca="false">IF(G2804="","",G2804-H2804)</f>
        <v/>
      </c>
      <c r="J2804" s="42"/>
    </row>
    <row r="2805" customFormat="false" ht="21" hidden="false" customHeight="true" outlineLevel="0" collapsed="false">
      <c r="B2805" s="41"/>
      <c r="C2805" s="9"/>
      <c r="D2805" s="9"/>
      <c r="E2805" s="42"/>
      <c r="F2805" s="43"/>
      <c r="G2805" s="27" t="str">
        <f aca="false">IF(OR(C2805="",AND(D2805="",F2805="")),"",IF(N(E2805)=0,1,E2805)*IF(F2805="",IFERROR(N(INDEX(Produtos!$L$5:$L$104,MATCH(D2805,Produtos!$B$5:$B$104,0))),0),F2805))</f>
        <v/>
      </c>
      <c r="H2805" s="27" t="str">
        <f aca="false">IF(G2805="","",IF(N(E2805)=0,1,E2805)*IFERROR(N(INDEX(Produtos!$G$5:$G$104,MATCH(D2805,Produtos!$B$5:$B$104,0))),0))</f>
        <v/>
      </c>
      <c r="I2805" s="27" t="str">
        <f aca="false">IF(G2805="","",G2805-H2805)</f>
        <v/>
      </c>
      <c r="J2805" s="42"/>
    </row>
    <row r="2806" customFormat="false" ht="21" hidden="false" customHeight="true" outlineLevel="0" collapsed="false">
      <c r="B2806" s="41"/>
      <c r="C2806" s="9"/>
      <c r="D2806" s="9"/>
      <c r="E2806" s="42"/>
      <c r="F2806" s="43"/>
      <c r="G2806" s="27" t="str">
        <f aca="false">IF(OR(C2806="",AND(D2806="",F2806="")),"",IF(N(E2806)=0,1,E2806)*IF(F2806="",IFERROR(N(INDEX(Produtos!$L$5:$L$104,MATCH(D2806,Produtos!$B$5:$B$104,0))),0),F2806))</f>
        <v/>
      </c>
      <c r="H2806" s="27" t="str">
        <f aca="false">IF(G2806="","",IF(N(E2806)=0,1,E2806)*IFERROR(N(INDEX(Produtos!$G$5:$G$104,MATCH(D2806,Produtos!$B$5:$B$104,0))),0))</f>
        <v/>
      </c>
      <c r="I2806" s="27" t="str">
        <f aca="false">IF(G2806="","",G2806-H2806)</f>
        <v/>
      </c>
      <c r="J2806" s="42"/>
    </row>
    <row r="2807" customFormat="false" ht="21" hidden="false" customHeight="true" outlineLevel="0" collapsed="false">
      <c r="B2807" s="41"/>
      <c r="C2807" s="9"/>
      <c r="D2807" s="9"/>
      <c r="E2807" s="42"/>
      <c r="F2807" s="43"/>
      <c r="G2807" s="27" t="str">
        <f aca="false">IF(OR(C2807="",AND(D2807="",F2807="")),"",IF(N(E2807)=0,1,E2807)*IF(F2807="",IFERROR(N(INDEX(Produtos!$L$5:$L$104,MATCH(D2807,Produtos!$B$5:$B$104,0))),0),F2807))</f>
        <v/>
      </c>
      <c r="H2807" s="27" t="str">
        <f aca="false">IF(G2807="","",IF(N(E2807)=0,1,E2807)*IFERROR(N(INDEX(Produtos!$G$5:$G$104,MATCH(D2807,Produtos!$B$5:$B$104,0))),0))</f>
        <v/>
      </c>
      <c r="I2807" s="27" t="str">
        <f aca="false">IF(G2807="","",G2807-H2807)</f>
        <v/>
      </c>
      <c r="J2807" s="42"/>
    </row>
    <row r="2808" customFormat="false" ht="21" hidden="false" customHeight="true" outlineLevel="0" collapsed="false">
      <c r="B2808" s="41"/>
      <c r="C2808" s="9"/>
      <c r="D2808" s="9"/>
      <c r="E2808" s="42"/>
      <c r="F2808" s="43"/>
      <c r="G2808" s="27" t="str">
        <f aca="false">IF(OR(C2808="",AND(D2808="",F2808="")),"",IF(N(E2808)=0,1,E2808)*IF(F2808="",IFERROR(N(INDEX(Produtos!$L$5:$L$104,MATCH(D2808,Produtos!$B$5:$B$104,0))),0),F2808))</f>
        <v/>
      </c>
      <c r="H2808" s="27" t="str">
        <f aca="false">IF(G2808="","",IF(N(E2808)=0,1,E2808)*IFERROR(N(INDEX(Produtos!$G$5:$G$104,MATCH(D2808,Produtos!$B$5:$B$104,0))),0))</f>
        <v/>
      </c>
      <c r="I2808" s="27" t="str">
        <f aca="false">IF(G2808="","",G2808-H2808)</f>
        <v/>
      </c>
      <c r="J2808" s="42"/>
    </row>
    <row r="2809" customFormat="false" ht="21" hidden="false" customHeight="true" outlineLevel="0" collapsed="false">
      <c r="B2809" s="41"/>
      <c r="C2809" s="9"/>
      <c r="D2809" s="9"/>
      <c r="E2809" s="42"/>
      <c r="F2809" s="43"/>
      <c r="G2809" s="27" t="str">
        <f aca="false">IF(OR(C2809="",AND(D2809="",F2809="")),"",IF(N(E2809)=0,1,E2809)*IF(F2809="",IFERROR(N(INDEX(Produtos!$L$5:$L$104,MATCH(D2809,Produtos!$B$5:$B$104,0))),0),F2809))</f>
        <v/>
      </c>
      <c r="H2809" s="27" t="str">
        <f aca="false">IF(G2809="","",IF(N(E2809)=0,1,E2809)*IFERROR(N(INDEX(Produtos!$G$5:$G$104,MATCH(D2809,Produtos!$B$5:$B$104,0))),0))</f>
        <v/>
      </c>
      <c r="I2809" s="27" t="str">
        <f aca="false">IF(G2809="","",G2809-H2809)</f>
        <v/>
      </c>
      <c r="J2809" s="42"/>
    </row>
    <row r="2810" customFormat="false" ht="21" hidden="false" customHeight="true" outlineLevel="0" collapsed="false">
      <c r="B2810" s="41"/>
      <c r="C2810" s="9"/>
      <c r="D2810" s="9"/>
      <c r="E2810" s="42"/>
      <c r="F2810" s="43"/>
      <c r="G2810" s="27" t="str">
        <f aca="false">IF(OR(C2810="",AND(D2810="",F2810="")),"",IF(N(E2810)=0,1,E2810)*IF(F2810="",IFERROR(N(INDEX(Produtos!$L$5:$L$104,MATCH(D2810,Produtos!$B$5:$B$104,0))),0),F2810))</f>
        <v/>
      </c>
      <c r="H2810" s="27" t="str">
        <f aca="false">IF(G2810="","",IF(N(E2810)=0,1,E2810)*IFERROR(N(INDEX(Produtos!$G$5:$G$104,MATCH(D2810,Produtos!$B$5:$B$104,0))),0))</f>
        <v/>
      </c>
      <c r="I2810" s="27" t="str">
        <f aca="false">IF(G2810="","",G2810-H2810)</f>
        <v/>
      </c>
      <c r="J2810" s="42"/>
    </row>
    <row r="2811" customFormat="false" ht="21" hidden="false" customHeight="true" outlineLevel="0" collapsed="false">
      <c r="B2811" s="41"/>
      <c r="C2811" s="9"/>
      <c r="D2811" s="9"/>
      <c r="E2811" s="42"/>
      <c r="F2811" s="43"/>
      <c r="G2811" s="27" t="str">
        <f aca="false">IF(OR(C2811="",AND(D2811="",F2811="")),"",IF(N(E2811)=0,1,E2811)*IF(F2811="",IFERROR(N(INDEX(Produtos!$L$5:$L$104,MATCH(D2811,Produtos!$B$5:$B$104,0))),0),F2811))</f>
        <v/>
      </c>
      <c r="H2811" s="27" t="str">
        <f aca="false">IF(G2811="","",IF(N(E2811)=0,1,E2811)*IFERROR(N(INDEX(Produtos!$G$5:$G$104,MATCH(D2811,Produtos!$B$5:$B$104,0))),0))</f>
        <v/>
      </c>
      <c r="I2811" s="27" t="str">
        <f aca="false">IF(G2811="","",G2811-H2811)</f>
        <v/>
      </c>
      <c r="J2811" s="42"/>
    </row>
    <row r="2812" customFormat="false" ht="21" hidden="false" customHeight="true" outlineLevel="0" collapsed="false">
      <c r="B2812" s="41"/>
      <c r="C2812" s="9"/>
      <c r="D2812" s="9"/>
      <c r="E2812" s="42"/>
      <c r="F2812" s="43"/>
      <c r="G2812" s="27" t="str">
        <f aca="false">IF(OR(C2812="",AND(D2812="",F2812="")),"",IF(N(E2812)=0,1,E2812)*IF(F2812="",IFERROR(N(INDEX(Produtos!$L$5:$L$104,MATCH(D2812,Produtos!$B$5:$B$104,0))),0),F2812))</f>
        <v/>
      </c>
      <c r="H2812" s="27" t="str">
        <f aca="false">IF(G2812="","",IF(N(E2812)=0,1,E2812)*IFERROR(N(INDEX(Produtos!$G$5:$G$104,MATCH(D2812,Produtos!$B$5:$B$104,0))),0))</f>
        <v/>
      </c>
      <c r="I2812" s="27" t="str">
        <f aca="false">IF(G2812="","",G2812-H2812)</f>
        <v/>
      </c>
      <c r="J2812" s="42"/>
    </row>
    <row r="2813" customFormat="false" ht="21" hidden="false" customHeight="true" outlineLevel="0" collapsed="false">
      <c r="B2813" s="41"/>
      <c r="C2813" s="9"/>
      <c r="D2813" s="9"/>
      <c r="E2813" s="42"/>
      <c r="F2813" s="43"/>
      <c r="G2813" s="27" t="str">
        <f aca="false">IF(OR(C2813="",AND(D2813="",F2813="")),"",IF(N(E2813)=0,1,E2813)*IF(F2813="",IFERROR(N(INDEX(Produtos!$L$5:$L$104,MATCH(D2813,Produtos!$B$5:$B$104,0))),0),F2813))</f>
        <v/>
      </c>
      <c r="H2813" s="27" t="str">
        <f aca="false">IF(G2813="","",IF(N(E2813)=0,1,E2813)*IFERROR(N(INDEX(Produtos!$G$5:$G$104,MATCH(D2813,Produtos!$B$5:$B$104,0))),0))</f>
        <v/>
      </c>
      <c r="I2813" s="27" t="str">
        <f aca="false">IF(G2813="","",G2813-H2813)</f>
        <v/>
      </c>
      <c r="J2813" s="42"/>
    </row>
    <row r="2814" customFormat="false" ht="21" hidden="false" customHeight="true" outlineLevel="0" collapsed="false">
      <c r="B2814" s="41"/>
      <c r="C2814" s="9"/>
      <c r="D2814" s="9"/>
      <c r="E2814" s="42"/>
      <c r="F2814" s="43"/>
      <c r="G2814" s="27" t="str">
        <f aca="false">IF(OR(C2814="",AND(D2814="",F2814="")),"",IF(N(E2814)=0,1,E2814)*IF(F2814="",IFERROR(N(INDEX(Produtos!$L$5:$L$104,MATCH(D2814,Produtos!$B$5:$B$104,0))),0),F2814))</f>
        <v/>
      </c>
      <c r="H2814" s="27" t="str">
        <f aca="false">IF(G2814="","",IF(N(E2814)=0,1,E2814)*IFERROR(N(INDEX(Produtos!$G$5:$G$104,MATCH(D2814,Produtos!$B$5:$B$104,0))),0))</f>
        <v/>
      </c>
      <c r="I2814" s="27" t="str">
        <f aca="false">IF(G2814="","",G2814-H2814)</f>
        <v/>
      </c>
      <c r="J2814" s="42"/>
    </row>
    <row r="2815" customFormat="false" ht="21" hidden="false" customHeight="true" outlineLevel="0" collapsed="false">
      <c r="B2815" s="41"/>
      <c r="C2815" s="9"/>
      <c r="D2815" s="9"/>
      <c r="E2815" s="42"/>
      <c r="F2815" s="43"/>
      <c r="G2815" s="27" t="str">
        <f aca="false">IF(OR(C2815="",AND(D2815="",F2815="")),"",IF(N(E2815)=0,1,E2815)*IF(F2815="",IFERROR(N(INDEX(Produtos!$L$5:$L$104,MATCH(D2815,Produtos!$B$5:$B$104,0))),0),F2815))</f>
        <v/>
      </c>
      <c r="H2815" s="27" t="str">
        <f aca="false">IF(G2815="","",IF(N(E2815)=0,1,E2815)*IFERROR(N(INDEX(Produtos!$G$5:$G$104,MATCH(D2815,Produtos!$B$5:$B$104,0))),0))</f>
        <v/>
      </c>
      <c r="I2815" s="27" t="str">
        <f aca="false">IF(G2815="","",G2815-H2815)</f>
        <v/>
      </c>
      <c r="J2815" s="42"/>
    </row>
    <row r="2816" customFormat="false" ht="21" hidden="false" customHeight="true" outlineLevel="0" collapsed="false">
      <c r="B2816" s="41"/>
      <c r="C2816" s="9"/>
      <c r="D2816" s="9"/>
      <c r="E2816" s="42"/>
      <c r="F2816" s="43"/>
      <c r="G2816" s="27" t="str">
        <f aca="false">IF(OR(C2816="",AND(D2816="",F2816="")),"",IF(N(E2816)=0,1,E2816)*IF(F2816="",IFERROR(N(INDEX(Produtos!$L$5:$L$104,MATCH(D2816,Produtos!$B$5:$B$104,0))),0),F2816))</f>
        <v/>
      </c>
      <c r="H2816" s="27" t="str">
        <f aca="false">IF(G2816="","",IF(N(E2816)=0,1,E2816)*IFERROR(N(INDEX(Produtos!$G$5:$G$104,MATCH(D2816,Produtos!$B$5:$B$104,0))),0))</f>
        <v/>
      </c>
      <c r="I2816" s="27" t="str">
        <f aca="false">IF(G2816="","",G2816-H2816)</f>
        <v/>
      </c>
      <c r="J2816" s="42"/>
    </row>
    <row r="2817" customFormat="false" ht="21" hidden="false" customHeight="true" outlineLevel="0" collapsed="false">
      <c r="B2817" s="41"/>
      <c r="C2817" s="9"/>
      <c r="D2817" s="9"/>
      <c r="E2817" s="42"/>
      <c r="F2817" s="43"/>
      <c r="G2817" s="27" t="str">
        <f aca="false">IF(OR(C2817="",AND(D2817="",F2817="")),"",IF(N(E2817)=0,1,E2817)*IF(F2817="",IFERROR(N(INDEX(Produtos!$L$5:$L$104,MATCH(D2817,Produtos!$B$5:$B$104,0))),0),F2817))</f>
        <v/>
      </c>
      <c r="H2817" s="27" t="str">
        <f aca="false">IF(G2817="","",IF(N(E2817)=0,1,E2817)*IFERROR(N(INDEX(Produtos!$G$5:$G$104,MATCH(D2817,Produtos!$B$5:$B$104,0))),0))</f>
        <v/>
      </c>
      <c r="I2817" s="27" t="str">
        <f aca="false">IF(G2817="","",G2817-H2817)</f>
        <v/>
      </c>
      <c r="J2817" s="42"/>
    </row>
    <row r="2818" customFormat="false" ht="21" hidden="false" customHeight="true" outlineLevel="0" collapsed="false">
      <c r="B2818" s="41"/>
      <c r="C2818" s="9"/>
      <c r="D2818" s="9"/>
      <c r="E2818" s="42"/>
      <c r="F2818" s="43"/>
      <c r="G2818" s="27" t="str">
        <f aca="false">IF(OR(C2818="",AND(D2818="",F2818="")),"",IF(N(E2818)=0,1,E2818)*IF(F2818="",IFERROR(N(INDEX(Produtos!$L$5:$L$104,MATCH(D2818,Produtos!$B$5:$B$104,0))),0),F2818))</f>
        <v/>
      </c>
      <c r="H2818" s="27" t="str">
        <f aca="false">IF(G2818="","",IF(N(E2818)=0,1,E2818)*IFERROR(N(INDEX(Produtos!$G$5:$G$104,MATCH(D2818,Produtos!$B$5:$B$104,0))),0))</f>
        <v/>
      </c>
      <c r="I2818" s="27" t="str">
        <f aca="false">IF(G2818="","",G2818-H2818)</f>
        <v/>
      </c>
      <c r="J2818" s="42"/>
    </row>
    <row r="2819" customFormat="false" ht="21" hidden="false" customHeight="true" outlineLevel="0" collapsed="false">
      <c r="B2819" s="41"/>
      <c r="C2819" s="9"/>
      <c r="D2819" s="9"/>
      <c r="E2819" s="42"/>
      <c r="F2819" s="43"/>
      <c r="G2819" s="27" t="str">
        <f aca="false">IF(OR(C2819="",AND(D2819="",F2819="")),"",IF(N(E2819)=0,1,E2819)*IF(F2819="",IFERROR(N(INDEX(Produtos!$L$5:$L$104,MATCH(D2819,Produtos!$B$5:$B$104,0))),0),F2819))</f>
        <v/>
      </c>
      <c r="H2819" s="27" t="str">
        <f aca="false">IF(G2819="","",IF(N(E2819)=0,1,E2819)*IFERROR(N(INDEX(Produtos!$G$5:$G$104,MATCH(D2819,Produtos!$B$5:$B$104,0))),0))</f>
        <v/>
      </c>
      <c r="I2819" s="27" t="str">
        <f aca="false">IF(G2819="","",G2819-H2819)</f>
        <v/>
      </c>
      <c r="J2819" s="42"/>
    </row>
    <row r="2820" customFormat="false" ht="21" hidden="false" customHeight="true" outlineLevel="0" collapsed="false">
      <c r="B2820" s="41"/>
      <c r="C2820" s="9"/>
      <c r="D2820" s="9"/>
      <c r="E2820" s="42"/>
      <c r="F2820" s="43"/>
      <c r="G2820" s="27" t="str">
        <f aca="false">IF(OR(C2820="",AND(D2820="",F2820="")),"",IF(N(E2820)=0,1,E2820)*IF(F2820="",IFERROR(N(INDEX(Produtos!$L$5:$L$104,MATCH(D2820,Produtos!$B$5:$B$104,0))),0),F2820))</f>
        <v/>
      </c>
      <c r="H2820" s="27" t="str">
        <f aca="false">IF(G2820="","",IF(N(E2820)=0,1,E2820)*IFERROR(N(INDEX(Produtos!$G$5:$G$104,MATCH(D2820,Produtos!$B$5:$B$104,0))),0))</f>
        <v/>
      </c>
      <c r="I2820" s="27" t="str">
        <f aca="false">IF(G2820="","",G2820-H2820)</f>
        <v/>
      </c>
      <c r="J2820" s="42"/>
    </row>
    <row r="2821" customFormat="false" ht="21" hidden="false" customHeight="true" outlineLevel="0" collapsed="false">
      <c r="B2821" s="41"/>
      <c r="C2821" s="9"/>
      <c r="D2821" s="9"/>
      <c r="E2821" s="42"/>
      <c r="F2821" s="43"/>
      <c r="G2821" s="27" t="str">
        <f aca="false">IF(OR(C2821="",AND(D2821="",F2821="")),"",IF(N(E2821)=0,1,E2821)*IF(F2821="",IFERROR(N(INDEX(Produtos!$L$5:$L$104,MATCH(D2821,Produtos!$B$5:$B$104,0))),0),F2821))</f>
        <v/>
      </c>
      <c r="H2821" s="27" t="str">
        <f aca="false">IF(G2821="","",IF(N(E2821)=0,1,E2821)*IFERROR(N(INDEX(Produtos!$G$5:$G$104,MATCH(D2821,Produtos!$B$5:$B$104,0))),0))</f>
        <v/>
      </c>
      <c r="I2821" s="27" t="str">
        <f aca="false">IF(G2821="","",G2821-H2821)</f>
        <v/>
      </c>
      <c r="J2821" s="42"/>
    </row>
    <row r="2822" customFormat="false" ht="21" hidden="false" customHeight="true" outlineLevel="0" collapsed="false">
      <c r="B2822" s="41"/>
      <c r="C2822" s="9"/>
      <c r="D2822" s="9"/>
      <c r="E2822" s="42"/>
      <c r="F2822" s="43"/>
      <c r="G2822" s="27" t="str">
        <f aca="false">IF(OR(C2822="",AND(D2822="",F2822="")),"",IF(N(E2822)=0,1,E2822)*IF(F2822="",IFERROR(N(INDEX(Produtos!$L$5:$L$104,MATCH(D2822,Produtos!$B$5:$B$104,0))),0),F2822))</f>
        <v/>
      </c>
      <c r="H2822" s="27" t="str">
        <f aca="false">IF(G2822="","",IF(N(E2822)=0,1,E2822)*IFERROR(N(INDEX(Produtos!$G$5:$G$104,MATCH(D2822,Produtos!$B$5:$B$104,0))),0))</f>
        <v/>
      </c>
      <c r="I2822" s="27" t="str">
        <f aca="false">IF(G2822="","",G2822-H2822)</f>
        <v/>
      </c>
      <c r="J2822" s="42"/>
    </row>
    <row r="2823" customFormat="false" ht="21" hidden="false" customHeight="true" outlineLevel="0" collapsed="false">
      <c r="B2823" s="41"/>
      <c r="C2823" s="9"/>
      <c r="D2823" s="9"/>
      <c r="E2823" s="42"/>
      <c r="F2823" s="43"/>
      <c r="G2823" s="27" t="str">
        <f aca="false">IF(OR(C2823="",AND(D2823="",F2823="")),"",IF(N(E2823)=0,1,E2823)*IF(F2823="",IFERROR(N(INDEX(Produtos!$L$5:$L$104,MATCH(D2823,Produtos!$B$5:$B$104,0))),0),F2823))</f>
        <v/>
      </c>
      <c r="H2823" s="27" t="str">
        <f aca="false">IF(G2823="","",IF(N(E2823)=0,1,E2823)*IFERROR(N(INDEX(Produtos!$G$5:$G$104,MATCH(D2823,Produtos!$B$5:$B$104,0))),0))</f>
        <v/>
      </c>
      <c r="I2823" s="27" t="str">
        <f aca="false">IF(G2823="","",G2823-H2823)</f>
        <v/>
      </c>
      <c r="J2823" s="42"/>
    </row>
    <row r="2824" customFormat="false" ht="21" hidden="false" customHeight="true" outlineLevel="0" collapsed="false">
      <c r="B2824" s="41"/>
      <c r="C2824" s="9"/>
      <c r="D2824" s="9"/>
      <c r="E2824" s="42"/>
      <c r="F2824" s="43"/>
      <c r="G2824" s="27" t="str">
        <f aca="false">IF(OR(C2824="",AND(D2824="",F2824="")),"",IF(N(E2824)=0,1,E2824)*IF(F2824="",IFERROR(N(INDEX(Produtos!$L$5:$L$104,MATCH(D2824,Produtos!$B$5:$B$104,0))),0),F2824))</f>
        <v/>
      </c>
      <c r="H2824" s="27" t="str">
        <f aca="false">IF(G2824="","",IF(N(E2824)=0,1,E2824)*IFERROR(N(INDEX(Produtos!$G$5:$G$104,MATCH(D2824,Produtos!$B$5:$B$104,0))),0))</f>
        <v/>
      </c>
      <c r="I2824" s="27" t="str">
        <f aca="false">IF(G2824="","",G2824-H2824)</f>
        <v/>
      </c>
      <c r="J2824" s="42"/>
    </row>
    <row r="2825" customFormat="false" ht="21" hidden="false" customHeight="true" outlineLevel="0" collapsed="false">
      <c r="B2825" s="41"/>
      <c r="C2825" s="9"/>
      <c r="D2825" s="9"/>
      <c r="E2825" s="42"/>
      <c r="F2825" s="43"/>
      <c r="G2825" s="27" t="str">
        <f aca="false">IF(OR(C2825="",AND(D2825="",F2825="")),"",IF(N(E2825)=0,1,E2825)*IF(F2825="",IFERROR(N(INDEX(Produtos!$L$5:$L$104,MATCH(D2825,Produtos!$B$5:$B$104,0))),0),F2825))</f>
        <v/>
      </c>
      <c r="H2825" s="27" t="str">
        <f aca="false">IF(G2825="","",IF(N(E2825)=0,1,E2825)*IFERROR(N(INDEX(Produtos!$G$5:$G$104,MATCH(D2825,Produtos!$B$5:$B$104,0))),0))</f>
        <v/>
      </c>
      <c r="I2825" s="27" t="str">
        <f aca="false">IF(G2825="","",G2825-H2825)</f>
        <v/>
      </c>
      <c r="J2825" s="42"/>
    </row>
    <row r="2826" customFormat="false" ht="21" hidden="false" customHeight="true" outlineLevel="0" collapsed="false">
      <c r="B2826" s="41"/>
      <c r="C2826" s="9"/>
      <c r="D2826" s="9"/>
      <c r="E2826" s="42"/>
      <c r="F2826" s="43"/>
      <c r="G2826" s="27" t="str">
        <f aca="false">IF(OR(C2826="",AND(D2826="",F2826="")),"",IF(N(E2826)=0,1,E2826)*IF(F2826="",IFERROR(N(INDEX(Produtos!$L$5:$L$104,MATCH(D2826,Produtos!$B$5:$B$104,0))),0),F2826))</f>
        <v/>
      </c>
      <c r="H2826" s="27" t="str">
        <f aca="false">IF(G2826="","",IF(N(E2826)=0,1,E2826)*IFERROR(N(INDEX(Produtos!$G$5:$G$104,MATCH(D2826,Produtos!$B$5:$B$104,0))),0))</f>
        <v/>
      </c>
      <c r="I2826" s="27" t="str">
        <f aca="false">IF(G2826="","",G2826-H2826)</f>
        <v/>
      </c>
      <c r="J2826" s="42"/>
    </row>
    <row r="2827" customFormat="false" ht="21" hidden="false" customHeight="true" outlineLevel="0" collapsed="false">
      <c r="B2827" s="41"/>
      <c r="C2827" s="9"/>
      <c r="D2827" s="9"/>
      <c r="E2827" s="42"/>
      <c r="F2827" s="43"/>
      <c r="G2827" s="27" t="str">
        <f aca="false">IF(OR(C2827="",AND(D2827="",F2827="")),"",IF(N(E2827)=0,1,E2827)*IF(F2827="",IFERROR(N(INDEX(Produtos!$L$5:$L$104,MATCH(D2827,Produtos!$B$5:$B$104,0))),0),F2827))</f>
        <v/>
      </c>
      <c r="H2827" s="27" t="str">
        <f aca="false">IF(G2827="","",IF(N(E2827)=0,1,E2827)*IFERROR(N(INDEX(Produtos!$G$5:$G$104,MATCH(D2827,Produtos!$B$5:$B$104,0))),0))</f>
        <v/>
      </c>
      <c r="I2827" s="27" t="str">
        <f aca="false">IF(G2827="","",G2827-H2827)</f>
        <v/>
      </c>
      <c r="J2827" s="42"/>
    </row>
    <row r="2828" customFormat="false" ht="21" hidden="false" customHeight="true" outlineLevel="0" collapsed="false">
      <c r="B2828" s="41"/>
      <c r="C2828" s="9"/>
      <c r="D2828" s="9"/>
      <c r="E2828" s="42"/>
      <c r="F2828" s="43"/>
      <c r="G2828" s="27" t="str">
        <f aca="false">IF(OR(C2828="",AND(D2828="",F2828="")),"",IF(N(E2828)=0,1,E2828)*IF(F2828="",IFERROR(N(INDEX(Produtos!$L$5:$L$104,MATCH(D2828,Produtos!$B$5:$B$104,0))),0),F2828))</f>
        <v/>
      </c>
      <c r="H2828" s="27" t="str">
        <f aca="false">IF(G2828="","",IF(N(E2828)=0,1,E2828)*IFERROR(N(INDEX(Produtos!$G$5:$G$104,MATCH(D2828,Produtos!$B$5:$B$104,0))),0))</f>
        <v/>
      </c>
      <c r="I2828" s="27" t="str">
        <f aca="false">IF(G2828="","",G2828-H2828)</f>
        <v/>
      </c>
      <c r="J2828" s="42"/>
    </row>
    <row r="2829" customFormat="false" ht="21" hidden="false" customHeight="true" outlineLevel="0" collapsed="false">
      <c r="B2829" s="41"/>
      <c r="C2829" s="9"/>
      <c r="D2829" s="9"/>
      <c r="E2829" s="42"/>
      <c r="F2829" s="43"/>
      <c r="G2829" s="27" t="str">
        <f aca="false">IF(OR(C2829="",AND(D2829="",F2829="")),"",IF(N(E2829)=0,1,E2829)*IF(F2829="",IFERROR(N(INDEX(Produtos!$L$5:$L$104,MATCH(D2829,Produtos!$B$5:$B$104,0))),0),F2829))</f>
        <v/>
      </c>
      <c r="H2829" s="27" t="str">
        <f aca="false">IF(G2829="","",IF(N(E2829)=0,1,E2829)*IFERROR(N(INDEX(Produtos!$G$5:$G$104,MATCH(D2829,Produtos!$B$5:$B$104,0))),0))</f>
        <v/>
      </c>
      <c r="I2829" s="27" t="str">
        <f aca="false">IF(G2829="","",G2829-H2829)</f>
        <v/>
      </c>
      <c r="J2829" s="42"/>
    </row>
    <row r="2830" customFormat="false" ht="21" hidden="false" customHeight="true" outlineLevel="0" collapsed="false">
      <c r="B2830" s="41"/>
      <c r="C2830" s="9"/>
      <c r="D2830" s="9"/>
      <c r="E2830" s="42"/>
      <c r="F2830" s="43"/>
      <c r="G2830" s="27" t="str">
        <f aca="false">IF(OR(C2830="",AND(D2830="",F2830="")),"",IF(N(E2830)=0,1,E2830)*IF(F2830="",IFERROR(N(INDEX(Produtos!$L$5:$L$104,MATCH(D2830,Produtos!$B$5:$B$104,0))),0),F2830))</f>
        <v/>
      </c>
      <c r="H2830" s="27" t="str">
        <f aca="false">IF(G2830="","",IF(N(E2830)=0,1,E2830)*IFERROR(N(INDEX(Produtos!$G$5:$G$104,MATCH(D2830,Produtos!$B$5:$B$104,0))),0))</f>
        <v/>
      </c>
      <c r="I2830" s="27" t="str">
        <f aca="false">IF(G2830="","",G2830-H2830)</f>
        <v/>
      </c>
      <c r="J2830" s="42"/>
    </row>
    <row r="2831" customFormat="false" ht="21" hidden="false" customHeight="true" outlineLevel="0" collapsed="false">
      <c r="B2831" s="41"/>
      <c r="C2831" s="9"/>
      <c r="D2831" s="9"/>
      <c r="E2831" s="42"/>
      <c r="F2831" s="43"/>
      <c r="G2831" s="27" t="str">
        <f aca="false">IF(OR(C2831="",AND(D2831="",F2831="")),"",IF(N(E2831)=0,1,E2831)*IF(F2831="",IFERROR(N(INDEX(Produtos!$L$5:$L$104,MATCH(D2831,Produtos!$B$5:$B$104,0))),0),F2831))</f>
        <v/>
      </c>
      <c r="H2831" s="27" t="str">
        <f aca="false">IF(G2831="","",IF(N(E2831)=0,1,E2831)*IFERROR(N(INDEX(Produtos!$G$5:$G$104,MATCH(D2831,Produtos!$B$5:$B$104,0))),0))</f>
        <v/>
      </c>
      <c r="I2831" s="27" t="str">
        <f aca="false">IF(G2831="","",G2831-H2831)</f>
        <v/>
      </c>
      <c r="J2831" s="42"/>
    </row>
    <row r="2832" customFormat="false" ht="21" hidden="false" customHeight="true" outlineLevel="0" collapsed="false">
      <c r="B2832" s="41"/>
      <c r="C2832" s="9"/>
      <c r="D2832" s="9"/>
      <c r="E2832" s="42"/>
      <c r="F2832" s="43"/>
      <c r="G2832" s="27" t="str">
        <f aca="false">IF(OR(C2832="",AND(D2832="",F2832="")),"",IF(N(E2832)=0,1,E2832)*IF(F2832="",IFERROR(N(INDEX(Produtos!$L$5:$L$104,MATCH(D2832,Produtos!$B$5:$B$104,0))),0),F2832))</f>
        <v/>
      </c>
      <c r="H2832" s="27" t="str">
        <f aca="false">IF(G2832="","",IF(N(E2832)=0,1,E2832)*IFERROR(N(INDEX(Produtos!$G$5:$G$104,MATCH(D2832,Produtos!$B$5:$B$104,0))),0))</f>
        <v/>
      </c>
      <c r="I2832" s="27" t="str">
        <f aca="false">IF(G2832="","",G2832-H2832)</f>
        <v/>
      </c>
      <c r="J2832" s="42"/>
    </row>
    <row r="2833" customFormat="false" ht="21" hidden="false" customHeight="true" outlineLevel="0" collapsed="false">
      <c r="B2833" s="41"/>
      <c r="C2833" s="9"/>
      <c r="D2833" s="9"/>
      <c r="E2833" s="42"/>
      <c r="F2833" s="43"/>
      <c r="G2833" s="27" t="str">
        <f aca="false">IF(OR(C2833="",AND(D2833="",F2833="")),"",IF(N(E2833)=0,1,E2833)*IF(F2833="",IFERROR(N(INDEX(Produtos!$L$5:$L$104,MATCH(D2833,Produtos!$B$5:$B$104,0))),0),F2833))</f>
        <v/>
      </c>
      <c r="H2833" s="27" t="str">
        <f aca="false">IF(G2833="","",IF(N(E2833)=0,1,E2833)*IFERROR(N(INDEX(Produtos!$G$5:$G$104,MATCH(D2833,Produtos!$B$5:$B$104,0))),0))</f>
        <v/>
      </c>
      <c r="I2833" s="27" t="str">
        <f aca="false">IF(G2833="","",G2833-H2833)</f>
        <v/>
      </c>
      <c r="J2833" s="42"/>
    </row>
    <row r="2834" customFormat="false" ht="21" hidden="false" customHeight="true" outlineLevel="0" collapsed="false">
      <c r="B2834" s="41"/>
      <c r="C2834" s="9"/>
      <c r="D2834" s="9"/>
      <c r="E2834" s="42"/>
      <c r="F2834" s="43"/>
      <c r="G2834" s="27" t="str">
        <f aca="false">IF(OR(C2834="",AND(D2834="",F2834="")),"",IF(N(E2834)=0,1,E2834)*IF(F2834="",IFERROR(N(INDEX(Produtos!$L$5:$L$104,MATCH(D2834,Produtos!$B$5:$B$104,0))),0),F2834))</f>
        <v/>
      </c>
      <c r="H2834" s="27" t="str">
        <f aca="false">IF(G2834="","",IF(N(E2834)=0,1,E2834)*IFERROR(N(INDEX(Produtos!$G$5:$G$104,MATCH(D2834,Produtos!$B$5:$B$104,0))),0))</f>
        <v/>
      </c>
      <c r="I2834" s="27" t="str">
        <f aca="false">IF(G2834="","",G2834-H2834)</f>
        <v/>
      </c>
      <c r="J2834" s="42"/>
    </row>
    <row r="2835" customFormat="false" ht="21" hidden="false" customHeight="true" outlineLevel="0" collapsed="false">
      <c r="B2835" s="41"/>
      <c r="C2835" s="9"/>
      <c r="D2835" s="9"/>
      <c r="E2835" s="42"/>
      <c r="F2835" s="43"/>
      <c r="G2835" s="27" t="str">
        <f aca="false">IF(OR(C2835="",AND(D2835="",F2835="")),"",IF(N(E2835)=0,1,E2835)*IF(F2835="",IFERROR(N(INDEX(Produtos!$L$5:$L$104,MATCH(D2835,Produtos!$B$5:$B$104,0))),0),F2835))</f>
        <v/>
      </c>
      <c r="H2835" s="27" t="str">
        <f aca="false">IF(G2835="","",IF(N(E2835)=0,1,E2835)*IFERROR(N(INDEX(Produtos!$G$5:$G$104,MATCH(D2835,Produtos!$B$5:$B$104,0))),0))</f>
        <v/>
      </c>
      <c r="I2835" s="27" t="str">
        <f aca="false">IF(G2835="","",G2835-H2835)</f>
        <v/>
      </c>
      <c r="J2835" s="42"/>
    </row>
    <row r="2836" customFormat="false" ht="21" hidden="false" customHeight="true" outlineLevel="0" collapsed="false">
      <c r="B2836" s="41"/>
      <c r="C2836" s="9"/>
      <c r="D2836" s="9"/>
      <c r="E2836" s="42"/>
      <c r="F2836" s="43"/>
      <c r="G2836" s="27" t="str">
        <f aca="false">IF(OR(C2836="",AND(D2836="",F2836="")),"",IF(N(E2836)=0,1,E2836)*IF(F2836="",IFERROR(N(INDEX(Produtos!$L$5:$L$104,MATCH(D2836,Produtos!$B$5:$B$104,0))),0),F2836))</f>
        <v/>
      </c>
      <c r="H2836" s="27" t="str">
        <f aca="false">IF(G2836="","",IF(N(E2836)=0,1,E2836)*IFERROR(N(INDEX(Produtos!$G$5:$G$104,MATCH(D2836,Produtos!$B$5:$B$104,0))),0))</f>
        <v/>
      </c>
      <c r="I2836" s="27" t="str">
        <f aca="false">IF(G2836="","",G2836-H2836)</f>
        <v/>
      </c>
      <c r="J2836" s="42"/>
    </row>
    <row r="2837" customFormat="false" ht="21" hidden="false" customHeight="true" outlineLevel="0" collapsed="false">
      <c r="B2837" s="41"/>
      <c r="C2837" s="9"/>
      <c r="D2837" s="9"/>
      <c r="E2837" s="42"/>
      <c r="F2837" s="43"/>
      <c r="G2837" s="27" t="str">
        <f aca="false">IF(OR(C2837="",AND(D2837="",F2837="")),"",IF(N(E2837)=0,1,E2837)*IF(F2837="",IFERROR(N(INDEX(Produtos!$L$5:$L$104,MATCH(D2837,Produtos!$B$5:$B$104,0))),0),F2837))</f>
        <v/>
      </c>
      <c r="H2837" s="27" t="str">
        <f aca="false">IF(G2837="","",IF(N(E2837)=0,1,E2837)*IFERROR(N(INDEX(Produtos!$G$5:$G$104,MATCH(D2837,Produtos!$B$5:$B$104,0))),0))</f>
        <v/>
      </c>
      <c r="I2837" s="27" t="str">
        <f aca="false">IF(G2837="","",G2837-H2837)</f>
        <v/>
      </c>
      <c r="J2837" s="42"/>
    </row>
    <row r="2838" customFormat="false" ht="21" hidden="false" customHeight="true" outlineLevel="0" collapsed="false">
      <c r="B2838" s="41"/>
      <c r="C2838" s="9"/>
      <c r="D2838" s="9"/>
      <c r="E2838" s="42"/>
      <c r="F2838" s="43"/>
      <c r="G2838" s="27" t="str">
        <f aca="false">IF(OR(C2838="",AND(D2838="",F2838="")),"",IF(N(E2838)=0,1,E2838)*IF(F2838="",IFERROR(N(INDEX(Produtos!$L$5:$L$104,MATCH(D2838,Produtos!$B$5:$B$104,0))),0),F2838))</f>
        <v/>
      </c>
      <c r="H2838" s="27" t="str">
        <f aca="false">IF(G2838="","",IF(N(E2838)=0,1,E2838)*IFERROR(N(INDEX(Produtos!$G$5:$G$104,MATCH(D2838,Produtos!$B$5:$B$104,0))),0))</f>
        <v/>
      </c>
      <c r="I2838" s="27" t="str">
        <f aca="false">IF(G2838="","",G2838-H2838)</f>
        <v/>
      </c>
      <c r="J2838" s="42"/>
    </row>
    <row r="2839" customFormat="false" ht="21" hidden="false" customHeight="true" outlineLevel="0" collapsed="false">
      <c r="B2839" s="41"/>
      <c r="C2839" s="9"/>
      <c r="D2839" s="9"/>
      <c r="E2839" s="42"/>
      <c r="F2839" s="43"/>
      <c r="G2839" s="27" t="str">
        <f aca="false">IF(OR(C2839="",AND(D2839="",F2839="")),"",IF(N(E2839)=0,1,E2839)*IF(F2839="",IFERROR(N(INDEX(Produtos!$L$5:$L$104,MATCH(D2839,Produtos!$B$5:$B$104,0))),0),F2839))</f>
        <v/>
      </c>
      <c r="H2839" s="27" t="str">
        <f aca="false">IF(G2839="","",IF(N(E2839)=0,1,E2839)*IFERROR(N(INDEX(Produtos!$G$5:$G$104,MATCH(D2839,Produtos!$B$5:$B$104,0))),0))</f>
        <v/>
      </c>
      <c r="I2839" s="27" t="str">
        <f aca="false">IF(G2839="","",G2839-H2839)</f>
        <v/>
      </c>
      <c r="J2839" s="42"/>
    </row>
    <row r="2840" customFormat="false" ht="21" hidden="false" customHeight="true" outlineLevel="0" collapsed="false">
      <c r="B2840" s="41"/>
      <c r="C2840" s="9"/>
      <c r="D2840" s="9"/>
      <c r="E2840" s="42"/>
      <c r="F2840" s="43"/>
      <c r="G2840" s="27" t="str">
        <f aca="false">IF(OR(C2840="",AND(D2840="",F2840="")),"",IF(N(E2840)=0,1,E2840)*IF(F2840="",IFERROR(N(INDEX(Produtos!$L$5:$L$104,MATCH(D2840,Produtos!$B$5:$B$104,0))),0),F2840))</f>
        <v/>
      </c>
      <c r="H2840" s="27" t="str">
        <f aca="false">IF(G2840="","",IF(N(E2840)=0,1,E2840)*IFERROR(N(INDEX(Produtos!$G$5:$G$104,MATCH(D2840,Produtos!$B$5:$B$104,0))),0))</f>
        <v/>
      </c>
      <c r="I2840" s="27" t="str">
        <f aca="false">IF(G2840="","",G2840-H2840)</f>
        <v/>
      </c>
      <c r="J2840" s="42"/>
    </row>
    <row r="2841" customFormat="false" ht="21" hidden="false" customHeight="true" outlineLevel="0" collapsed="false">
      <c r="B2841" s="41"/>
      <c r="C2841" s="9"/>
      <c r="D2841" s="9"/>
      <c r="E2841" s="42"/>
      <c r="F2841" s="43"/>
      <c r="G2841" s="27" t="str">
        <f aca="false">IF(OR(C2841="",AND(D2841="",F2841="")),"",IF(N(E2841)=0,1,E2841)*IF(F2841="",IFERROR(N(INDEX(Produtos!$L$5:$L$104,MATCH(D2841,Produtos!$B$5:$B$104,0))),0),F2841))</f>
        <v/>
      </c>
      <c r="H2841" s="27" t="str">
        <f aca="false">IF(G2841="","",IF(N(E2841)=0,1,E2841)*IFERROR(N(INDEX(Produtos!$G$5:$G$104,MATCH(D2841,Produtos!$B$5:$B$104,0))),0))</f>
        <v/>
      </c>
      <c r="I2841" s="27" t="str">
        <f aca="false">IF(G2841="","",G2841-H2841)</f>
        <v/>
      </c>
      <c r="J2841" s="42"/>
    </row>
    <row r="2842" customFormat="false" ht="21" hidden="false" customHeight="true" outlineLevel="0" collapsed="false">
      <c r="B2842" s="41"/>
      <c r="C2842" s="9"/>
      <c r="D2842" s="9"/>
      <c r="E2842" s="42"/>
      <c r="F2842" s="43"/>
      <c r="G2842" s="27" t="str">
        <f aca="false">IF(OR(C2842="",AND(D2842="",F2842="")),"",IF(N(E2842)=0,1,E2842)*IF(F2842="",IFERROR(N(INDEX(Produtos!$L$5:$L$104,MATCH(D2842,Produtos!$B$5:$B$104,0))),0),F2842))</f>
        <v/>
      </c>
      <c r="H2842" s="27" t="str">
        <f aca="false">IF(G2842="","",IF(N(E2842)=0,1,E2842)*IFERROR(N(INDEX(Produtos!$G$5:$G$104,MATCH(D2842,Produtos!$B$5:$B$104,0))),0))</f>
        <v/>
      </c>
      <c r="I2842" s="27" t="str">
        <f aca="false">IF(G2842="","",G2842-H2842)</f>
        <v/>
      </c>
      <c r="J2842" s="42"/>
    </row>
    <row r="2843" customFormat="false" ht="21" hidden="false" customHeight="true" outlineLevel="0" collapsed="false">
      <c r="B2843" s="41"/>
      <c r="C2843" s="9"/>
      <c r="D2843" s="9"/>
      <c r="E2843" s="42"/>
      <c r="F2843" s="43"/>
      <c r="G2843" s="27" t="str">
        <f aca="false">IF(OR(C2843="",AND(D2843="",F2843="")),"",IF(N(E2843)=0,1,E2843)*IF(F2843="",IFERROR(N(INDEX(Produtos!$L$5:$L$104,MATCH(D2843,Produtos!$B$5:$B$104,0))),0),F2843))</f>
        <v/>
      </c>
      <c r="H2843" s="27" t="str">
        <f aca="false">IF(G2843="","",IF(N(E2843)=0,1,E2843)*IFERROR(N(INDEX(Produtos!$G$5:$G$104,MATCH(D2843,Produtos!$B$5:$B$104,0))),0))</f>
        <v/>
      </c>
      <c r="I2843" s="27" t="str">
        <f aca="false">IF(G2843="","",G2843-H2843)</f>
        <v/>
      </c>
      <c r="J2843" s="42"/>
    </row>
    <row r="2844" customFormat="false" ht="21" hidden="false" customHeight="true" outlineLevel="0" collapsed="false">
      <c r="B2844" s="41"/>
      <c r="C2844" s="9"/>
      <c r="D2844" s="9"/>
      <c r="E2844" s="42"/>
      <c r="F2844" s="43"/>
      <c r="G2844" s="27" t="str">
        <f aca="false">IF(OR(C2844="",AND(D2844="",F2844="")),"",IF(N(E2844)=0,1,E2844)*IF(F2844="",IFERROR(N(INDEX(Produtos!$L$5:$L$104,MATCH(D2844,Produtos!$B$5:$B$104,0))),0),F2844))</f>
        <v/>
      </c>
      <c r="H2844" s="27" t="str">
        <f aca="false">IF(G2844="","",IF(N(E2844)=0,1,E2844)*IFERROR(N(INDEX(Produtos!$G$5:$G$104,MATCH(D2844,Produtos!$B$5:$B$104,0))),0))</f>
        <v/>
      </c>
      <c r="I2844" s="27" t="str">
        <f aca="false">IF(G2844="","",G2844-H2844)</f>
        <v/>
      </c>
      <c r="J2844" s="42"/>
    </row>
    <row r="2845" customFormat="false" ht="21" hidden="false" customHeight="true" outlineLevel="0" collapsed="false">
      <c r="B2845" s="41"/>
      <c r="C2845" s="9"/>
      <c r="D2845" s="9"/>
      <c r="E2845" s="42"/>
      <c r="F2845" s="43"/>
      <c r="G2845" s="27" t="str">
        <f aca="false">IF(OR(C2845="",AND(D2845="",F2845="")),"",IF(N(E2845)=0,1,E2845)*IF(F2845="",IFERROR(N(INDEX(Produtos!$L$5:$L$104,MATCH(D2845,Produtos!$B$5:$B$104,0))),0),F2845))</f>
        <v/>
      </c>
      <c r="H2845" s="27" t="str">
        <f aca="false">IF(G2845="","",IF(N(E2845)=0,1,E2845)*IFERROR(N(INDEX(Produtos!$G$5:$G$104,MATCH(D2845,Produtos!$B$5:$B$104,0))),0))</f>
        <v/>
      </c>
      <c r="I2845" s="27" t="str">
        <f aca="false">IF(G2845="","",G2845-H2845)</f>
        <v/>
      </c>
      <c r="J2845" s="42"/>
    </row>
    <row r="2846" customFormat="false" ht="21" hidden="false" customHeight="true" outlineLevel="0" collapsed="false">
      <c r="B2846" s="41"/>
      <c r="C2846" s="9"/>
      <c r="D2846" s="9"/>
      <c r="E2846" s="42"/>
      <c r="F2846" s="43"/>
      <c r="G2846" s="27" t="str">
        <f aca="false">IF(OR(C2846="",AND(D2846="",F2846="")),"",IF(N(E2846)=0,1,E2846)*IF(F2846="",IFERROR(N(INDEX(Produtos!$L$5:$L$104,MATCH(D2846,Produtos!$B$5:$B$104,0))),0),F2846))</f>
        <v/>
      </c>
      <c r="H2846" s="27" t="str">
        <f aca="false">IF(G2846="","",IF(N(E2846)=0,1,E2846)*IFERROR(N(INDEX(Produtos!$G$5:$G$104,MATCH(D2846,Produtos!$B$5:$B$104,0))),0))</f>
        <v/>
      </c>
      <c r="I2846" s="27" t="str">
        <f aca="false">IF(G2846="","",G2846-H2846)</f>
        <v/>
      </c>
      <c r="J2846" s="42"/>
    </row>
    <row r="2847" customFormat="false" ht="21" hidden="false" customHeight="true" outlineLevel="0" collapsed="false">
      <c r="B2847" s="41"/>
      <c r="C2847" s="9"/>
      <c r="D2847" s="9"/>
      <c r="E2847" s="42"/>
      <c r="F2847" s="43"/>
      <c r="G2847" s="27" t="str">
        <f aca="false">IF(OR(C2847="",AND(D2847="",F2847="")),"",IF(N(E2847)=0,1,E2847)*IF(F2847="",IFERROR(N(INDEX(Produtos!$L$5:$L$104,MATCH(D2847,Produtos!$B$5:$B$104,0))),0),F2847))</f>
        <v/>
      </c>
      <c r="H2847" s="27" t="str">
        <f aca="false">IF(G2847="","",IF(N(E2847)=0,1,E2847)*IFERROR(N(INDEX(Produtos!$G$5:$G$104,MATCH(D2847,Produtos!$B$5:$B$104,0))),0))</f>
        <v/>
      </c>
      <c r="I2847" s="27" t="str">
        <f aca="false">IF(G2847="","",G2847-H2847)</f>
        <v/>
      </c>
      <c r="J2847" s="42"/>
    </row>
    <row r="2848" customFormat="false" ht="21" hidden="false" customHeight="true" outlineLevel="0" collapsed="false">
      <c r="B2848" s="41"/>
      <c r="C2848" s="9"/>
      <c r="D2848" s="9"/>
      <c r="E2848" s="42"/>
      <c r="F2848" s="43"/>
      <c r="G2848" s="27" t="str">
        <f aca="false">IF(OR(C2848="",AND(D2848="",F2848="")),"",IF(N(E2848)=0,1,E2848)*IF(F2848="",IFERROR(N(INDEX(Produtos!$L$5:$L$104,MATCH(D2848,Produtos!$B$5:$B$104,0))),0),F2848))</f>
        <v/>
      </c>
      <c r="H2848" s="27" t="str">
        <f aca="false">IF(G2848="","",IF(N(E2848)=0,1,E2848)*IFERROR(N(INDEX(Produtos!$G$5:$G$104,MATCH(D2848,Produtos!$B$5:$B$104,0))),0))</f>
        <v/>
      </c>
      <c r="I2848" s="27" t="str">
        <f aca="false">IF(G2848="","",G2848-H2848)</f>
        <v/>
      </c>
      <c r="J2848" s="42"/>
    </row>
    <row r="2849" customFormat="false" ht="21" hidden="false" customHeight="true" outlineLevel="0" collapsed="false">
      <c r="B2849" s="41"/>
      <c r="C2849" s="9"/>
      <c r="D2849" s="9"/>
      <c r="E2849" s="42"/>
      <c r="F2849" s="43"/>
      <c r="G2849" s="27" t="str">
        <f aca="false">IF(OR(C2849="",AND(D2849="",F2849="")),"",IF(N(E2849)=0,1,E2849)*IF(F2849="",IFERROR(N(INDEX(Produtos!$L$5:$L$104,MATCH(D2849,Produtos!$B$5:$B$104,0))),0),F2849))</f>
        <v/>
      </c>
      <c r="H2849" s="27" t="str">
        <f aca="false">IF(G2849="","",IF(N(E2849)=0,1,E2849)*IFERROR(N(INDEX(Produtos!$G$5:$G$104,MATCH(D2849,Produtos!$B$5:$B$104,0))),0))</f>
        <v/>
      </c>
      <c r="I2849" s="27" t="str">
        <f aca="false">IF(G2849="","",G2849-H2849)</f>
        <v/>
      </c>
      <c r="J2849" s="42"/>
    </row>
    <row r="2850" customFormat="false" ht="21" hidden="false" customHeight="true" outlineLevel="0" collapsed="false">
      <c r="B2850" s="41"/>
      <c r="C2850" s="9"/>
      <c r="D2850" s="9"/>
      <c r="E2850" s="42"/>
      <c r="F2850" s="43"/>
      <c r="G2850" s="27" t="str">
        <f aca="false">IF(OR(C2850="",AND(D2850="",F2850="")),"",IF(N(E2850)=0,1,E2850)*IF(F2850="",IFERROR(N(INDEX(Produtos!$L$5:$L$104,MATCH(D2850,Produtos!$B$5:$B$104,0))),0),F2850))</f>
        <v/>
      </c>
      <c r="H2850" s="27" t="str">
        <f aca="false">IF(G2850="","",IF(N(E2850)=0,1,E2850)*IFERROR(N(INDEX(Produtos!$G$5:$G$104,MATCH(D2850,Produtos!$B$5:$B$104,0))),0))</f>
        <v/>
      </c>
      <c r="I2850" s="27" t="str">
        <f aca="false">IF(G2850="","",G2850-H2850)</f>
        <v/>
      </c>
      <c r="J2850" s="42"/>
    </row>
    <row r="2851" customFormat="false" ht="21" hidden="false" customHeight="true" outlineLevel="0" collapsed="false">
      <c r="B2851" s="41"/>
      <c r="C2851" s="9"/>
      <c r="D2851" s="9"/>
      <c r="E2851" s="42"/>
      <c r="F2851" s="43"/>
      <c r="G2851" s="27" t="str">
        <f aca="false">IF(OR(C2851="",AND(D2851="",F2851="")),"",IF(N(E2851)=0,1,E2851)*IF(F2851="",IFERROR(N(INDEX(Produtos!$L$5:$L$104,MATCH(D2851,Produtos!$B$5:$B$104,0))),0),F2851))</f>
        <v/>
      </c>
      <c r="H2851" s="27" t="str">
        <f aca="false">IF(G2851="","",IF(N(E2851)=0,1,E2851)*IFERROR(N(INDEX(Produtos!$G$5:$G$104,MATCH(D2851,Produtos!$B$5:$B$104,0))),0))</f>
        <v/>
      </c>
      <c r="I2851" s="27" t="str">
        <f aca="false">IF(G2851="","",G2851-H2851)</f>
        <v/>
      </c>
      <c r="J2851" s="42"/>
    </row>
    <row r="2852" customFormat="false" ht="21" hidden="false" customHeight="true" outlineLevel="0" collapsed="false">
      <c r="B2852" s="41"/>
      <c r="C2852" s="9"/>
      <c r="D2852" s="9"/>
      <c r="E2852" s="42"/>
      <c r="F2852" s="43"/>
      <c r="G2852" s="27" t="str">
        <f aca="false">IF(OR(C2852="",AND(D2852="",F2852="")),"",IF(N(E2852)=0,1,E2852)*IF(F2852="",IFERROR(N(INDEX(Produtos!$L$5:$L$104,MATCH(D2852,Produtos!$B$5:$B$104,0))),0),F2852))</f>
        <v/>
      </c>
      <c r="H2852" s="27" t="str">
        <f aca="false">IF(G2852="","",IF(N(E2852)=0,1,E2852)*IFERROR(N(INDEX(Produtos!$G$5:$G$104,MATCH(D2852,Produtos!$B$5:$B$104,0))),0))</f>
        <v/>
      </c>
      <c r="I2852" s="27" t="str">
        <f aca="false">IF(G2852="","",G2852-H2852)</f>
        <v/>
      </c>
      <c r="J2852" s="42"/>
    </row>
    <row r="2853" customFormat="false" ht="21" hidden="false" customHeight="true" outlineLevel="0" collapsed="false">
      <c r="B2853" s="41"/>
      <c r="C2853" s="9"/>
      <c r="D2853" s="9"/>
      <c r="E2853" s="42"/>
      <c r="F2853" s="43"/>
      <c r="G2853" s="27" t="str">
        <f aca="false">IF(OR(C2853="",AND(D2853="",F2853="")),"",IF(N(E2853)=0,1,E2853)*IF(F2853="",IFERROR(N(INDEX(Produtos!$L$5:$L$104,MATCH(D2853,Produtos!$B$5:$B$104,0))),0),F2853))</f>
        <v/>
      </c>
      <c r="H2853" s="27" t="str">
        <f aca="false">IF(G2853="","",IF(N(E2853)=0,1,E2853)*IFERROR(N(INDEX(Produtos!$G$5:$G$104,MATCH(D2853,Produtos!$B$5:$B$104,0))),0))</f>
        <v/>
      </c>
      <c r="I2853" s="27" t="str">
        <f aca="false">IF(G2853="","",G2853-H2853)</f>
        <v/>
      </c>
      <c r="J2853" s="42"/>
    </row>
    <row r="2854" customFormat="false" ht="21" hidden="false" customHeight="true" outlineLevel="0" collapsed="false">
      <c r="B2854" s="41"/>
      <c r="C2854" s="9"/>
      <c r="D2854" s="9"/>
      <c r="E2854" s="42"/>
      <c r="F2854" s="43"/>
      <c r="G2854" s="27" t="str">
        <f aca="false">IF(OR(C2854="",AND(D2854="",F2854="")),"",IF(N(E2854)=0,1,E2854)*IF(F2854="",IFERROR(N(INDEX(Produtos!$L$5:$L$104,MATCH(D2854,Produtos!$B$5:$B$104,0))),0),F2854))</f>
        <v/>
      </c>
      <c r="H2854" s="27" t="str">
        <f aca="false">IF(G2854="","",IF(N(E2854)=0,1,E2854)*IFERROR(N(INDEX(Produtos!$G$5:$G$104,MATCH(D2854,Produtos!$B$5:$B$104,0))),0))</f>
        <v/>
      </c>
      <c r="I2854" s="27" t="str">
        <f aca="false">IF(G2854="","",G2854-H2854)</f>
        <v/>
      </c>
      <c r="J2854" s="42"/>
    </row>
    <row r="2855" customFormat="false" ht="21" hidden="false" customHeight="true" outlineLevel="0" collapsed="false">
      <c r="B2855" s="41"/>
      <c r="C2855" s="9"/>
      <c r="D2855" s="9"/>
      <c r="E2855" s="42"/>
      <c r="F2855" s="43"/>
      <c r="G2855" s="27" t="str">
        <f aca="false">IF(OR(C2855="",AND(D2855="",F2855="")),"",IF(N(E2855)=0,1,E2855)*IF(F2855="",IFERROR(N(INDEX(Produtos!$L$5:$L$104,MATCH(D2855,Produtos!$B$5:$B$104,0))),0),F2855))</f>
        <v/>
      </c>
      <c r="H2855" s="27" t="str">
        <f aca="false">IF(G2855="","",IF(N(E2855)=0,1,E2855)*IFERROR(N(INDEX(Produtos!$G$5:$G$104,MATCH(D2855,Produtos!$B$5:$B$104,0))),0))</f>
        <v/>
      </c>
      <c r="I2855" s="27" t="str">
        <f aca="false">IF(G2855="","",G2855-H2855)</f>
        <v/>
      </c>
      <c r="J2855" s="42"/>
    </row>
    <row r="2856" customFormat="false" ht="21" hidden="false" customHeight="true" outlineLevel="0" collapsed="false">
      <c r="B2856" s="41"/>
      <c r="C2856" s="9"/>
      <c r="D2856" s="9"/>
      <c r="E2856" s="42"/>
      <c r="F2856" s="43"/>
      <c r="G2856" s="27" t="str">
        <f aca="false">IF(OR(C2856="",AND(D2856="",F2856="")),"",IF(N(E2856)=0,1,E2856)*IF(F2856="",IFERROR(N(INDEX(Produtos!$L$5:$L$104,MATCH(D2856,Produtos!$B$5:$B$104,0))),0),F2856))</f>
        <v/>
      </c>
      <c r="H2856" s="27" t="str">
        <f aca="false">IF(G2856="","",IF(N(E2856)=0,1,E2856)*IFERROR(N(INDEX(Produtos!$G$5:$G$104,MATCH(D2856,Produtos!$B$5:$B$104,0))),0))</f>
        <v/>
      </c>
      <c r="I2856" s="27" t="str">
        <f aca="false">IF(G2856="","",G2856-H2856)</f>
        <v/>
      </c>
      <c r="J2856" s="42"/>
    </row>
    <row r="2857" customFormat="false" ht="21" hidden="false" customHeight="true" outlineLevel="0" collapsed="false">
      <c r="B2857" s="41"/>
      <c r="C2857" s="9"/>
      <c r="D2857" s="9"/>
      <c r="E2857" s="42"/>
      <c r="F2857" s="43"/>
      <c r="G2857" s="27" t="str">
        <f aca="false">IF(OR(C2857="",AND(D2857="",F2857="")),"",IF(N(E2857)=0,1,E2857)*IF(F2857="",IFERROR(N(INDEX(Produtos!$L$5:$L$104,MATCH(D2857,Produtos!$B$5:$B$104,0))),0),F2857))</f>
        <v/>
      </c>
      <c r="H2857" s="27" t="str">
        <f aca="false">IF(G2857="","",IF(N(E2857)=0,1,E2857)*IFERROR(N(INDEX(Produtos!$G$5:$G$104,MATCH(D2857,Produtos!$B$5:$B$104,0))),0))</f>
        <v/>
      </c>
      <c r="I2857" s="27" t="str">
        <f aca="false">IF(G2857="","",G2857-H2857)</f>
        <v/>
      </c>
      <c r="J2857" s="42"/>
    </row>
    <row r="2858" customFormat="false" ht="21" hidden="false" customHeight="true" outlineLevel="0" collapsed="false">
      <c r="B2858" s="41"/>
      <c r="C2858" s="9"/>
      <c r="D2858" s="9"/>
      <c r="E2858" s="42"/>
      <c r="F2858" s="43"/>
      <c r="G2858" s="27" t="str">
        <f aca="false">IF(OR(C2858="",AND(D2858="",F2858="")),"",IF(N(E2858)=0,1,E2858)*IF(F2858="",IFERROR(N(INDEX(Produtos!$L$5:$L$104,MATCH(D2858,Produtos!$B$5:$B$104,0))),0),F2858))</f>
        <v/>
      </c>
      <c r="H2858" s="27" t="str">
        <f aca="false">IF(G2858="","",IF(N(E2858)=0,1,E2858)*IFERROR(N(INDEX(Produtos!$G$5:$G$104,MATCH(D2858,Produtos!$B$5:$B$104,0))),0))</f>
        <v/>
      </c>
      <c r="I2858" s="27" t="str">
        <f aca="false">IF(G2858="","",G2858-H2858)</f>
        <v/>
      </c>
      <c r="J2858" s="42"/>
    </row>
    <row r="2859" customFormat="false" ht="21" hidden="false" customHeight="true" outlineLevel="0" collapsed="false">
      <c r="B2859" s="41"/>
      <c r="C2859" s="9"/>
      <c r="D2859" s="9"/>
      <c r="E2859" s="42"/>
      <c r="F2859" s="43"/>
      <c r="G2859" s="27" t="str">
        <f aca="false">IF(OR(C2859="",AND(D2859="",F2859="")),"",IF(N(E2859)=0,1,E2859)*IF(F2859="",IFERROR(N(INDEX(Produtos!$L$5:$L$104,MATCH(D2859,Produtos!$B$5:$B$104,0))),0),F2859))</f>
        <v/>
      </c>
      <c r="H2859" s="27" t="str">
        <f aca="false">IF(G2859="","",IF(N(E2859)=0,1,E2859)*IFERROR(N(INDEX(Produtos!$G$5:$G$104,MATCH(D2859,Produtos!$B$5:$B$104,0))),0))</f>
        <v/>
      </c>
      <c r="I2859" s="27" t="str">
        <f aca="false">IF(G2859="","",G2859-H2859)</f>
        <v/>
      </c>
      <c r="J2859" s="42"/>
    </row>
    <row r="2860" customFormat="false" ht="21" hidden="false" customHeight="true" outlineLevel="0" collapsed="false">
      <c r="B2860" s="41"/>
      <c r="C2860" s="9"/>
      <c r="D2860" s="9"/>
      <c r="E2860" s="42"/>
      <c r="F2860" s="43"/>
      <c r="G2860" s="27" t="str">
        <f aca="false">IF(OR(C2860="",AND(D2860="",F2860="")),"",IF(N(E2860)=0,1,E2860)*IF(F2860="",IFERROR(N(INDEX(Produtos!$L$5:$L$104,MATCH(D2860,Produtos!$B$5:$B$104,0))),0),F2860))</f>
        <v/>
      </c>
      <c r="H2860" s="27" t="str">
        <f aca="false">IF(G2860="","",IF(N(E2860)=0,1,E2860)*IFERROR(N(INDEX(Produtos!$G$5:$G$104,MATCH(D2860,Produtos!$B$5:$B$104,0))),0))</f>
        <v/>
      </c>
      <c r="I2860" s="27" t="str">
        <f aca="false">IF(G2860="","",G2860-H2860)</f>
        <v/>
      </c>
      <c r="J2860" s="42"/>
    </row>
    <row r="2861" customFormat="false" ht="21" hidden="false" customHeight="true" outlineLevel="0" collapsed="false">
      <c r="B2861" s="41"/>
      <c r="C2861" s="9"/>
      <c r="D2861" s="9"/>
      <c r="E2861" s="42"/>
      <c r="F2861" s="43"/>
      <c r="G2861" s="27" t="str">
        <f aca="false">IF(OR(C2861="",AND(D2861="",F2861="")),"",IF(N(E2861)=0,1,E2861)*IF(F2861="",IFERROR(N(INDEX(Produtos!$L$5:$L$104,MATCH(D2861,Produtos!$B$5:$B$104,0))),0),F2861))</f>
        <v/>
      </c>
      <c r="H2861" s="27" t="str">
        <f aca="false">IF(G2861="","",IF(N(E2861)=0,1,E2861)*IFERROR(N(INDEX(Produtos!$G$5:$G$104,MATCH(D2861,Produtos!$B$5:$B$104,0))),0))</f>
        <v/>
      </c>
      <c r="I2861" s="27" t="str">
        <f aca="false">IF(G2861="","",G2861-H2861)</f>
        <v/>
      </c>
      <c r="J2861" s="42"/>
    </row>
    <row r="2862" customFormat="false" ht="21" hidden="false" customHeight="true" outlineLevel="0" collapsed="false">
      <c r="B2862" s="41"/>
      <c r="C2862" s="9"/>
      <c r="D2862" s="9"/>
      <c r="E2862" s="42"/>
      <c r="F2862" s="43"/>
      <c r="G2862" s="27" t="str">
        <f aca="false">IF(OR(C2862="",AND(D2862="",F2862="")),"",IF(N(E2862)=0,1,E2862)*IF(F2862="",IFERROR(N(INDEX(Produtos!$L$5:$L$104,MATCH(D2862,Produtos!$B$5:$B$104,0))),0),F2862))</f>
        <v/>
      </c>
      <c r="H2862" s="27" t="str">
        <f aca="false">IF(G2862="","",IF(N(E2862)=0,1,E2862)*IFERROR(N(INDEX(Produtos!$G$5:$G$104,MATCH(D2862,Produtos!$B$5:$B$104,0))),0))</f>
        <v/>
      </c>
      <c r="I2862" s="27" t="str">
        <f aca="false">IF(G2862="","",G2862-H2862)</f>
        <v/>
      </c>
      <c r="J2862" s="42"/>
    </row>
    <row r="2863" customFormat="false" ht="21" hidden="false" customHeight="true" outlineLevel="0" collapsed="false">
      <c r="B2863" s="41"/>
      <c r="C2863" s="9"/>
      <c r="D2863" s="9"/>
      <c r="E2863" s="42"/>
      <c r="F2863" s="43"/>
      <c r="G2863" s="27" t="str">
        <f aca="false">IF(OR(C2863="",AND(D2863="",F2863="")),"",IF(N(E2863)=0,1,E2863)*IF(F2863="",IFERROR(N(INDEX(Produtos!$L$5:$L$104,MATCH(D2863,Produtos!$B$5:$B$104,0))),0),F2863))</f>
        <v/>
      </c>
      <c r="H2863" s="27" t="str">
        <f aca="false">IF(G2863="","",IF(N(E2863)=0,1,E2863)*IFERROR(N(INDEX(Produtos!$G$5:$G$104,MATCH(D2863,Produtos!$B$5:$B$104,0))),0))</f>
        <v/>
      </c>
      <c r="I2863" s="27" t="str">
        <f aca="false">IF(G2863="","",G2863-H2863)</f>
        <v/>
      </c>
      <c r="J2863" s="42"/>
    </row>
    <row r="2864" customFormat="false" ht="21" hidden="false" customHeight="true" outlineLevel="0" collapsed="false">
      <c r="B2864" s="41"/>
      <c r="C2864" s="9"/>
      <c r="D2864" s="9"/>
      <c r="E2864" s="42"/>
      <c r="F2864" s="43"/>
      <c r="G2864" s="27" t="str">
        <f aca="false">IF(OR(C2864="",AND(D2864="",F2864="")),"",IF(N(E2864)=0,1,E2864)*IF(F2864="",IFERROR(N(INDEX(Produtos!$L$5:$L$104,MATCH(D2864,Produtos!$B$5:$B$104,0))),0),F2864))</f>
        <v/>
      </c>
      <c r="H2864" s="27" t="str">
        <f aca="false">IF(G2864="","",IF(N(E2864)=0,1,E2864)*IFERROR(N(INDEX(Produtos!$G$5:$G$104,MATCH(D2864,Produtos!$B$5:$B$104,0))),0))</f>
        <v/>
      </c>
      <c r="I2864" s="27" t="str">
        <f aca="false">IF(G2864="","",G2864-H2864)</f>
        <v/>
      </c>
      <c r="J2864" s="42"/>
    </row>
    <row r="2865" customFormat="false" ht="21" hidden="false" customHeight="true" outlineLevel="0" collapsed="false">
      <c r="B2865" s="41"/>
      <c r="C2865" s="9"/>
      <c r="D2865" s="9"/>
      <c r="E2865" s="42"/>
      <c r="F2865" s="43"/>
      <c r="G2865" s="27" t="str">
        <f aca="false">IF(OR(C2865="",AND(D2865="",F2865="")),"",IF(N(E2865)=0,1,E2865)*IF(F2865="",IFERROR(N(INDEX(Produtos!$L$5:$L$104,MATCH(D2865,Produtos!$B$5:$B$104,0))),0),F2865))</f>
        <v/>
      </c>
      <c r="H2865" s="27" t="str">
        <f aca="false">IF(G2865="","",IF(N(E2865)=0,1,E2865)*IFERROR(N(INDEX(Produtos!$G$5:$G$104,MATCH(D2865,Produtos!$B$5:$B$104,0))),0))</f>
        <v/>
      </c>
      <c r="I2865" s="27" t="str">
        <f aca="false">IF(G2865="","",G2865-H2865)</f>
        <v/>
      </c>
      <c r="J2865" s="42"/>
    </row>
    <row r="2866" customFormat="false" ht="21" hidden="false" customHeight="true" outlineLevel="0" collapsed="false">
      <c r="B2866" s="41"/>
      <c r="C2866" s="9"/>
      <c r="D2866" s="9"/>
      <c r="E2866" s="42"/>
      <c r="F2866" s="43"/>
      <c r="G2866" s="27" t="str">
        <f aca="false">IF(OR(C2866="",AND(D2866="",F2866="")),"",IF(N(E2866)=0,1,E2866)*IF(F2866="",IFERROR(N(INDEX(Produtos!$L$5:$L$104,MATCH(D2866,Produtos!$B$5:$B$104,0))),0),F2866))</f>
        <v/>
      </c>
      <c r="H2866" s="27" t="str">
        <f aca="false">IF(G2866="","",IF(N(E2866)=0,1,E2866)*IFERROR(N(INDEX(Produtos!$G$5:$G$104,MATCH(D2866,Produtos!$B$5:$B$104,0))),0))</f>
        <v/>
      </c>
      <c r="I2866" s="27" t="str">
        <f aca="false">IF(G2866="","",G2866-H2866)</f>
        <v/>
      </c>
      <c r="J2866" s="42"/>
    </row>
    <row r="2867" customFormat="false" ht="21" hidden="false" customHeight="true" outlineLevel="0" collapsed="false">
      <c r="B2867" s="41"/>
      <c r="C2867" s="9"/>
      <c r="D2867" s="9"/>
      <c r="E2867" s="42"/>
      <c r="F2867" s="43"/>
      <c r="G2867" s="27" t="str">
        <f aca="false">IF(OR(C2867="",AND(D2867="",F2867="")),"",IF(N(E2867)=0,1,E2867)*IF(F2867="",IFERROR(N(INDEX(Produtos!$L$5:$L$104,MATCH(D2867,Produtos!$B$5:$B$104,0))),0),F2867))</f>
        <v/>
      </c>
      <c r="H2867" s="27" t="str">
        <f aca="false">IF(G2867="","",IF(N(E2867)=0,1,E2867)*IFERROR(N(INDEX(Produtos!$G$5:$G$104,MATCH(D2867,Produtos!$B$5:$B$104,0))),0))</f>
        <v/>
      </c>
      <c r="I2867" s="27" t="str">
        <f aca="false">IF(G2867="","",G2867-H2867)</f>
        <v/>
      </c>
      <c r="J2867" s="42"/>
    </row>
    <row r="2868" customFormat="false" ht="21" hidden="false" customHeight="true" outlineLevel="0" collapsed="false">
      <c r="B2868" s="41"/>
      <c r="C2868" s="9"/>
      <c r="D2868" s="9"/>
      <c r="E2868" s="42"/>
      <c r="F2868" s="43"/>
      <c r="G2868" s="27" t="str">
        <f aca="false">IF(OR(C2868="",AND(D2868="",F2868="")),"",IF(N(E2868)=0,1,E2868)*IF(F2868="",IFERROR(N(INDEX(Produtos!$L$5:$L$104,MATCH(D2868,Produtos!$B$5:$B$104,0))),0),F2868))</f>
        <v/>
      </c>
      <c r="H2868" s="27" t="str">
        <f aca="false">IF(G2868="","",IF(N(E2868)=0,1,E2868)*IFERROR(N(INDEX(Produtos!$G$5:$G$104,MATCH(D2868,Produtos!$B$5:$B$104,0))),0))</f>
        <v/>
      </c>
      <c r="I2868" s="27" t="str">
        <f aca="false">IF(G2868="","",G2868-H2868)</f>
        <v/>
      </c>
      <c r="J2868" s="42"/>
    </row>
    <row r="2869" customFormat="false" ht="21" hidden="false" customHeight="true" outlineLevel="0" collapsed="false">
      <c r="B2869" s="41"/>
      <c r="C2869" s="9"/>
      <c r="D2869" s="9"/>
      <c r="E2869" s="42"/>
      <c r="F2869" s="43"/>
      <c r="G2869" s="27" t="str">
        <f aca="false">IF(OR(C2869="",AND(D2869="",F2869="")),"",IF(N(E2869)=0,1,E2869)*IF(F2869="",IFERROR(N(INDEX(Produtos!$L$5:$L$104,MATCH(D2869,Produtos!$B$5:$B$104,0))),0),F2869))</f>
        <v/>
      </c>
      <c r="H2869" s="27" t="str">
        <f aca="false">IF(G2869="","",IF(N(E2869)=0,1,E2869)*IFERROR(N(INDEX(Produtos!$G$5:$G$104,MATCH(D2869,Produtos!$B$5:$B$104,0))),0))</f>
        <v/>
      </c>
      <c r="I2869" s="27" t="str">
        <f aca="false">IF(G2869="","",G2869-H2869)</f>
        <v/>
      </c>
      <c r="J2869" s="42"/>
    </row>
    <row r="2870" customFormat="false" ht="21" hidden="false" customHeight="true" outlineLevel="0" collapsed="false">
      <c r="B2870" s="41"/>
      <c r="C2870" s="9"/>
      <c r="D2870" s="9"/>
      <c r="E2870" s="42"/>
      <c r="F2870" s="43"/>
      <c r="G2870" s="27" t="str">
        <f aca="false">IF(OR(C2870="",AND(D2870="",F2870="")),"",IF(N(E2870)=0,1,E2870)*IF(F2870="",IFERROR(N(INDEX(Produtos!$L$5:$L$104,MATCH(D2870,Produtos!$B$5:$B$104,0))),0),F2870))</f>
        <v/>
      </c>
      <c r="H2870" s="27" t="str">
        <f aca="false">IF(G2870="","",IF(N(E2870)=0,1,E2870)*IFERROR(N(INDEX(Produtos!$G$5:$G$104,MATCH(D2870,Produtos!$B$5:$B$104,0))),0))</f>
        <v/>
      </c>
      <c r="I2870" s="27" t="str">
        <f aca="false">IF(G2870="","",G2870-H2870)</f>
        <v/>
      </c>
      <c r="J2870" s="42"/>
    </row>
    <row r="2871" customFormat="false" ht="21" hidden="false" customHeight="true" outlineLevel="0" collapsed="false">
      <c r="B2871" s="41"/>
      <c r="C2871" s="9"/>
      <c r="D2871" s="9"/>
      <c r="E2871" s="42"/>
      <c r="F2871" s="43"/>
      <c r="G2871" s="27" t="str">
        <f aca="false">IF(OR(C2871="",AND(D2871="",F2871="")),"",IF(N(E2871)=0,1,E2871)*IF(F2871="",IFERROR(N(INDEX(Produtos!$L$5:$L$104,MATCH(D2871,Produtos!$B$5:$B$104,0))),0),F2871))</f>
        <v/>
      </c>
      <c r="H2871" s="27" t="str">
        <f aca="false">IF(G2871="","",IF(N(E2871)=0,1,E2871)*IFERROR(N(INDEX(Produtos!$G$5:$G$104,MATCH(D2871,Produtos!$B$5:$B$104,0))),0))</f>
        <v/>
      </c>
      <c r="I2871" s="27" t="str">
        <f aca="false">IF(G2871="","",G2871-H2871)</f>
        <v/>
      </c>
      <c r="J2871" s="42"/>
    </row>
    <row r="2872" customFormat="false" ht="21" hidden="false" customHeight="true" outlineLevel="0" collapsed="false">
      <c r="B2872" s="41"/>
      <c r="C2872" s="9"/>
      <c r="D2872" s="9"/>
      <c r="E2872" s="42"/>
      <c r="F2872" s="43"/>
      <c r="G2872" s="27" t="str">
        <f aca="false">IF(OR(C2872="",AND(D2872="",F2872="")),"",IF(N(E2872)=0,1,E2872)*IF(F2872="",IFERROR(N(INDEX(Produtos!$L$5:$L$104,MATCH(D2872,Produtos!$B$5:$B$104,0))),0),F2872))</f>
        <v/>
      </c>
      <c r="H2872" s="27" t="str">
        <f aca="false">IF(G2872="","",IF(N(E2872)=0,1,E2872)*IFERROR(N(INDEX(Produtos!$G$5:$G$104,MATCH(D2872,Produtos!$B$5:$B$104,0))),0))</f>
        <v/>
      </c>
      <c r="I2872" s="27" t="str">
        <f aca="false">IF(G2872="","",G2872-H2872)</f>
        <v/>
      </c>
      <c r="J2872" s="42"/>
    </row>
    <row r="2873" customFormat="false" ht="21" hidden="false" customHeight="true" outlineLevel="0" collapsed="false">
      <c r="B2873" s="41"/>
      <c r="C2873" s="9"/>
      <c r="D2873" s="9"/>
      <c r="E2873" s="42"/>
      <c r="F2873" s="43"/>
      <c r="G2873" s="27" t="str">
        <f aca="false">IF(OR(C2873="",AND(D2873="",F2873="")),"",IF(N(E2873)=0,1,E2873)*IF(F2873="",IFERROR(N(INDEX(Produtos!$L$5:$L$104,MATCH(D2873,Produtos!$B$5:$B$104,0))),0),F2873))</f>
        <v/>
      </c>
      <c r="H2873" s="27" t="str">
        <f aca="false">IF(G2873="","",IF(N(E2873)=0,1,E2873)*IFERROR(N(INDEX(Produtos!$G$5:$G$104,MATCH(D2873,Produtos!$B$5:$B$104,0))),0))</f>
        <v/>
      </c>
      <c r="I2873" s="27" t="str">
        <f aca="false">IF(G2873="","",G2873-H2873)</f>
        <v/>
      </c>
      <c r="J2873" s="42"/>
    </row>
    <row r="2874" customFormat="false" ht="21" hidden="false" customHeight="true" outlineLevel="0" collapsed="false">
      <c r="B2874" s="41"/>
      <c r="C2874" s="9"/>
      <c r="D2874" s="9"/>
      <c r="E2874" s="42"/>
      <c r="F2874" s="43"/>
      <c r="G2874" s="27" t="str">
        <f aca="false">IF(OR(C2874="",AND(D2874="",F2874="")),"",IF(N(E2874)=0,1,E2874)*IF(F2874="",IFERROR(N(INDEX(Produtos!$L$5:$L$104,MATCH(D2874,Produtos!$B$5:$B$104,0))),0),F2874))</f>
        <v/>
      </c>
      <c r="H2874" s="27" t="str">
        <f aca="false">IF(G2874="","",IF(N(E2874)=0,1,E2874)*IFERROR(N(INDEX(Produtos!$G$5:$G$104,MATCH(D2874,Produtos!$B$5:$B$104,0))),0))</f>
        <v/>
      </c>
      <c r="I2874" s="27" t="str">
        <f aca="false">IF(G2874="","",G2874-H2874)</f>
        <v/>
      </c>
      <c r="J2874" s="42"/>
    </row>
    <row r="2875" customFormat="false" ht="21" hidden="false" customHeight="true" outlineLevel="0" collapsed="false">
      <c r="B2875" s="41"/>
      <c r="C2875" s="9"/>
      <c r="D2875" s="9"/>
      <c r="E2875" s="42"/>
      <c r="F2875" s="43"/>
      <c r="G2875" s="27" t="str">
        <f aca="false">IF(OR(C2875="",AND(D2875="",F2875="")),"",IF(N(E2875)=0,1,E2875)*IF(F2875="",IFERROR(N(INDEX(Produtos!$L$5:$L$104,MATCH(D2875,Produtos!$B$5:$B$104,0))),0),F2875))</f>
        <v/>
      </c>
      <c r="H2875" s="27" t="str">
        <f aca="false">IF(G2875="","",IF(N(E2875)=0,1,E2875)*IFERROR(N(INDEX(Produtos!$G$5:$G$104,MATCH(D2875,Produtos!$B$5:$B$104,0))),0))</f>
        <v/>
      </c>
      <c r="I2875" s="27" t="str">
        <f aca="false">IF(G2875="","",G2875-H2875)</f>
        <v/>
      </c>
      <c r="J2875" s="42"/>
    </row>
    <row r="2876" customFormat="false" ht="21" hidden="false" customHeight="true" outlineLevel="0" collapsed="false">
      <c r="B2876" s="41"/>
      <c r="C2876" s="9"/>
      <c r="D2876" s="9"/>
      <c r="E2876" s="42"/>
      <c r="F2876" s="43"/>
      <c r="G2876" s="27" t="str">
        <f aca="false">IF(OR(C2876="",AND(D2876="",F2876="")),"",IF(N(E2876)=0,1,E2876)*IF(F2876="",IFERROR(N(INDEX(Produtos!$L$5:$L$104,MATCH(D2876,Produtos!$B$5:$B$104,0))),0),F2876))</f>
        <v/>
      </c>
      <c r="H2876" s="27" t="str">
        <f aca="false">IF(G2876="","",IF(N(E2876)=0,1,E2876)*IFERROR(N(INDEX(Produtos!$G$5:$G$104,MATCH(D2876,Produtos!$B$5:$B$104,0))),0))</f>
        <v/>
      </c>
      <c r="I2876" s="27" t="str">
        <f aca="false">IF(G2876="","",G2876-H2876)</f>
        <v/>
      </c>
      <c r="J2876" s="42"/>
    </row>
    <row r="2877" customFormat="false" ht="21" hidden="false" customHeight="true" outlineLevel="0" collapsed="false">
      <c r="B2877" s="41"/>
      <c r="C2877" s="9"/>
      <c r="D2877" s="9"/>
      <c r="E2877" s="42"/>
      <c r="F2877" s="43"/>
      <c r="G2877" s="27" t="str">
        <f aca="false">IF(OR(C2877="",AND(D2877="",F2877="")),"",IF(N(E2877)=0,1,E2877)*IF(F2877="",IFERROR(N(INDEX(Produtos!$L$5:$L$104,MATCH(D2877,Produtos!$B$5:$B$104,0))),0),F2877))</f>
        <v/>
      </c>
      <c r="H2877" s="27" t="str">
        <f aca="false">IF(G2877="","",IF(N(E2877)=0,1,E2877)*IFERROR(N(INDEX(Produtos!$G$5:$G$104,MATCH(D2877,Produtos!$B$5:$B$104,0))),0))</f>
        <v/>
      </c>
      <c r="I2877" s="27" t="str">
        <f aca="false">IF(G2877="","",G2877-H2877)</f>
        <v/>
      </c>
      <c r="J2877" s="42"/>
    </row>
    <row r="2878" customFormat="false" ht="21" hidden="false" customHeight="true" outlineLevel="0" collapsed="false">
      <c r="B2878" s="41"/>
      <c r="C2878" s="9"/>
      <c r="D2878" s="9"/>
      <c r="E2878" s="42"/>
      <c r="F2878" s="43"/>
      <c r="G2878" s="27" t="str">
        <f aca="false">IF(OR(C2878="",AND(D2878="",F2878="")),"",IF(N(E2878)=0,1,E2878)*IF(F2878="",IFERROR(N(INDEX(Produtos!$L$5:$L$104,MATCH(D2878,Produtos!$B$5:$B$104,0))),0),F2878))</f>
        <v/>
      </c>
      <c r="H2878" s="27" t="str">
        <f aca="false">IF(G2878="","",IF(N(E2878)=0,1,E2878)*IFERROR(N(INDEX(Produtos!$G$5:$G$104,MATCH(D2878,Produtos!$B$5:$B$104,0))),0))</f>
        <v/>
      </c>
      <c r="I2878" s="27" t="str">
        <f aca="false">IF(G2878="","",G2878-H2878)</f>
        <v/>
      </c>
      <c r="J2878" s="42"/>
    </row>
    <row r="2879" customFormat="false" ht="21" hidden="false" customHeight="true" outlineLevel="0" collapsed="false">
      <c r="B2879" s="41"/>
      <c r="C2879" s="9"/>
      <c r="D2879" s="9"/>
      <c r="E2879" s="42"/>
      <c r="F2879" s="43"/>
      <c r="G2879" s="27" t="str">
        <f aca="false">IF(OR(C2879="",AND(D2879="",F2879="")),"",IF(N(E2879)=0,1,E2879)*IF(F2879="",IFERROR(N(INDEX(Produtos!$L$5:$L$104,MATCH(D2879,Produtos!$B$5:$B$104,0))),0),F2879))</f>
        <v/>
      </c>
      <c r="H2879" s="27" t="str">
        <f aca="false">IF(G2879="","",IF(N(E2879)=0,1,E2879)*IFERROR(N(INDEX(Produtos!$G$5:$G$104,MATCH(D2879,Produtos!$B$5:$B$104,0))),0))</f>
        <v/>
      </c>
      <c r="I2879" s="27" t="str">
        <f aca="false">IF(G2879="","",G2879-H2879)</f>
        <v/>
      </c>
      <c r="J2879" s="42"/>
    </row>
    <row r="2880" customFormat="false" ht="21" hidden="false" customHeight="true" outlineLevel="0" collapsed="false">
      <c r="B2880" s="41"/>
      <c r="C2880" s="9"/>
      <c r="D2880" s="9"/>
      <c r="E2880" s="42"/>
      <c r="F2880" s="43"/>
      <c r="G2880" s="27" t="str">
        <f aca="false">IF(OR(C2880="",AND(D2880="",F2880="")),"",IF(N(E2880)=0,1,E2880)*IF(F2880="",IFERROR(N(INDEX(Produtos!$L$5:$L$104,MATCH(D2880,Produtos!$B$5:$B$104,0))),0),F2880))</f>
        <v/>
      </c>
      <c r="H2880" s="27" t="str">
        <f aca="false">IF(G2880="","",IF(N(E2880)=0,1,E2880)*IFERROR(N(INDEX(Produtos!$G$5:$G$104,MATCH(D2880,Produtos!$B$5:$B$104,0))),0))</f>
        <v/>
      </c>
      <c r="I2880" s="27" t="str">
        <f aca="false">IF(G2880="","",G2880-H2880)</f>
        <v/>
      </c>
      <c r="J2880" s="42"/>
    </row>
    <row r="2881" customFormat="false" ht="21" hidden="false" customHeight="true" outlineLevel="0" collapsed="false">
      <c r="B2881" s="41"/>
      <c r="C2881" s="9"/>
      <c r="D2881" s="9"/>
      <c r="E2881" s="42"/>
      <c r="F2881" s="43"/>
      <c r="G2881" s="27" t="str">
        <f aca="false">IF(OR(C2881="",AND(D2881="",F2881="")),"",IF(N(E2881)=0,1,E2881)*IF(F2881="",IFERROR(N(INDEX(Produtos!$L$5:$L$104,MATCH(D2881,Produtos!$B$5:$B$104,0))),0),F2881))</f>
        <v/>
      </c>
      <c r="H2881" s="27" t="str">
        <f aca="false">IF(G2881="","",IF(N(E2881)=0,1,E2881)*IFERROR(N(INDEX(Produtos!$G$5:$G$104,MATCH(D2881,Produtos!$B$5:$B$104,0))),0))</f>
        <v/>
      </c>
      <c r="I2881" s="27" t="str">
        <f aca="false">IF(G2881="","",G2881-H2881)</f>
        <v/>
      </c>
      <c r="J2881" s="42"/>
    </row>
    <row r="2882" customFormat="false" ht="21" hidden="false" customHeight="true" outlineLevel="0" collapsed="false">
      <c r="B2882" s="41"/>
      <c r="C2882" s="9"/>
      <c r="D2882" s="9"/>
      <c r="E2882" s="42"/>
      <c r="F2882" s="43"/>
      <c r="G2882" s="27" t="str">
        <f aca="false">IF(OR(C2882="",AND(D2882="",F2882="")),"",IF(N(E2882)=0,1,E2882)*IF(F2882="",IFERROR(N(INDEX(Produtos!$L$5:$L$104,MATCH(D2882,Produtos!$B$5:$B$104,0))),0),F2882))</f>
        <v/>
      </c>
      <c r="H2882" s="27" t="str">
        <f aca="false">IF(G2882="","",IF(N(E2882)=0,1,E2882)*IFERROR(N(INDEX(Produtos!$G$5:$G$104,MATCH(D2882,Produtos!$B$5:$B$104,0))),0))</f>
        <v/>
      </c>
      <c r="I2882" s="27" t="str">
        <f aca="false">IF(G2882="","",G2882-H2882)</f>
        <v/>
      </c>
      <c r="J2882" s="42"/>
    </row>
    <row r="2883" customFormat="false" ht="21" hidden="false" customHeight="true" outlineLevel="0" collapsed="false">
      <c r="B2883" s="41"/>
      <c r="C2883" s="9"/>
      <c r="D2883" s="9"/>
      <c r="E2883" s="42"/>
      <c r="F2883" s="43"/>
      <c r="G2883" s="27" t="str">
        <f aca="false">IF(OR(C2883="",AND(D2883="",F2883="")),"",IF(N(E2883)=0,1,E2883)*IF(F2883="",IFERROR(N(INDEX(Produtos!$L$5:$L$104,MATCH(D2883,Produtos!$B$5:$B$104,0))),0),F2883))</f>
        <v/>
      </c>
      <c r="H2883" s="27" t="str">
        <f aca="false">IF(G2883="","",IF(N(E2883)=0,1,E2883)*IFERROR(N(INDEX(Produtos!$G$5:$G$104,MATCH(D2883,Produtos!$B$5:$B$104,0))),0))</f>
        <v/>
      </c>
      <c r="I2883" s="27" t="str">
        <f aca="false">IF(G2883="","",G2883-H2883)</f>
        <v/>
      </c>
      <c r="J2883" s="42"/>
    </row>
    <row r="2884" customFormat="false" ht="21" hidden="false" customHeight="true" outlineLevel="0" collapsed="false">
      <c r="B2884" s="41"/>
      <c r="C2884" s="9"/>
      <c r="D2884" s="9"/>
      <c r="E2884" s="42"/>
      <c r="F2884" s="43"/>
      <c r="G2884" s="27" t="str">
        <f aca="false">IF(OR(C2884="",AND(D2884="",F2884="")),"",IF(N(E2884)=0,1,E2884)*IF(F2884="",IFERROR(N(INDEX(Produtos!$L$5:$L$104,MATCH(D2884,Produtos!$B$5:$B$104,0))),0),F2884))</f>
        <v/>
      </c>
      <c r="H2884" s="27" t="str">
        <f aca="false">IF(G2884="","",IF(N(E2884)=0,1,E2884)*IFERROR(N(INDEX(Produtos!$G$5:$G$104,MATCH(D2884,Produtos!$B$5:$B$104,0))),0))</f>
        <v/>
      </c>
      <c r="I2884" s="27" t="str">
        <f aca="false">IF(G2884="","",G2884-H2884)</f>
        <v/>
      </c>
      <c r="J2884" s="42"/>
    </row>
    <row r="2885" customFormat="false" ht="21" hidden="false" customHeight="true" outlineLevel="0" collapsed="false">
      <c r="B2885" s="41"/>
      <c r="C2885" s="9"/>
      <c r="D2885" s="9"/>
      <c r="E2885" s="42"/>
      <c r="F2885" s="43"/>
      <c r="G2885" s="27" t="str">
        <f aca="false">IF(OR(C2885="",AND(D2885="",F2885="")),"",IF(N(E2885)=0,1,E2885)*IF(F2885="",IFERROR(N(INDEX(Produtos!$L$5:$L$104,MATCH(D2885,Produtos!$B$5:$B$104,0))),0),F2885))</f>
        <v/>
      </c>
      <c r="H2885" s="27" t="str">
        <f aca="false">IF(G2885="","",IF(N(E2885)=0,1,E2885)*IFERROR(N(INDEX(Produtos!$G$5:$G$104,MATCH(D2885,Produtos!$B$5:$B$104,0))),0))</f>
        <v/>
      </c>
      <c r="I2885" s="27" t="str">
        <f aca="false">IF(G2885="","",G2885-H2885)</f>
        <v/>
      </c>
      <c r="J2885" s="42"/>
    </row>
    <row r="2886" customFormat="false" ht="21" hidden="false" customHeight="true" outlineLevel="0" collapsed="false">
      <c r="B2886" s="41"/>
      <c r="C2886" s="9"/>
      <c r="D2886" s="9"/>
      <c r="E2886" s="42"/>
      <c r="F2886" s="43"/>
      <c r="G2886" s="27" t="str">
        <f aca="false">IF(OR(C2886="",AND(D2886="",F2886="")),"",IF(N(E2886)=0,1,E2886)*IF(F2886="",IFERROR(N(INDEX(Produtos!$L$5:$L$104,MATCH(D2886,Produtos!$B$5:$B$104,0))),0),F2886))</f>
        <v/>
      </c>
      <c r="H2886" s="27" t="str">
        <f aca="false">IF(G2886="","",IF(N(E2886)=0,1,E2886)*IFERROR(N(INDEX(Produtos!$G$5:$G$104,MATCH(D2886,Produtos!$B$5:$B$104,0))),0))</f>
        <v/>
      </c>
      <c r="I2886" s="27" t="str">
        <f aca="false">IF(G2886="","",G2886-H2886)</f>
        <v/>
      </c>
      <c r="J2886" s="42"/>
    </row>
    <row r="2887" customFormat="false" ht="21" hidden="false" customHeight="true" outlineLevel="0" collapsed="false">
      <c r="B2887" s="41"/>
      <c r="C2887" s="9"/>
      <c r="D2887" s="9"/>
      <c r="E2887" s="42"/>
      <c r="F2887" s="43"/>
      <c r="G2887" s="27" t="str">
        <f aca="false">IF(OR(C2887="",AND(D2887="",F2887="")),"",IF(N(E2887)=0,1,E2887)*IF(F2887="",IFERROR(N(INDEX(Produtos!$L$5:$L$104,MATCH(D2887,Produtos!$B$5:$B$104,0))),0),F2887))</f>
        <v/>
      </c>
      <c r="H2887" s="27" t="str">
        <f aca="false">IF(G2887="","",IF(N(E2887)=0,1,E2887)*IFERROR(N(INDEX(Produtos!$G$5:$G$104,MATCH(D2887,Produtos!$B$5:$B$104,0))),0))</f>
        <v/>
      </c>
      <c r="I2887" s="27" t="str">
        <f aca="false">IF(G2887="","",G2887-H2887)</f>
        <v/>
      </c>
      <c r="J2887" s="42"/>
    </row>
    <row r="2888" customFormat="false" ht="21" hidden="false" customHeight="true" outlineLevel="0" collapsed="false">
      <c r="B2888" s="41"/>
      <c r="C2888" s="9"/>
      <c r="D2888" s="9"/>
      <c r="E2888" s="42"/>
      <c r="F2888" s="43"/>
      <c r="G2888" s="27" t="str">
        <f aca="false">IF(OR(C2888="",AND(D2888="",F2888="")),"",IF(N(E2888)=0,1,E2888)*IF(F2888="",IFERROR(N(INDEX(Produtos!$L$5:$L$104,MATCH(D2888,Produtos!$B$5:$B$104,0))),0),F2888))</f>
        <v/>
      </c>
      <c r="H2888" s="27" t="str">
        <f aca="false">IF(G2888="","",IF(N(E2888)=0,1,E2888)*IFERROR(N(INDEX(Produtos!$G$5:$G$104,MATCH(D2888,Produtos!$B$5:$B$104,0))),0))</f>
        <v/>
      </c>
      <c r="I2888" s="27" t="str">
        <f aca="false">IF(G2888="","",G2888-H2888)</f>
        <v/>
      </c>
      <c r="J2888" s="42"/>
    </row>
    <row r="2889" customFormat="false" ht="21" hidden="false" customHeight="true" outlineLevel="0" collapsed="false">
      <c r="B2889" s="41"/>
      <c r="C2889" s="9"/>
      <c r="D2889" s="9"/>
      <c r="E2889" s="42"/>
      <c r="F2889" s="43"/>
      <c r="G2889" s="27" t="str">
        <f aca="false">IF(OR(C2889="",AND(D2889="",F2889="")),"",IF(N(E2889)=0,1,E2889)*IF(F2889="",IFERROR(N(INDEX(Produtos!$L$5:$L$104,MATCH(D2889,Produtos!$B$5:$B$104,0))),0),F2889))</f>
        <v/>
      </c>
      <c r="H2889" s="27" t="str">
        <f aca="false">IF(G2889="","",IF(N(E2889)=0,1,E2889)*IFERROR(N(INDEX(Produtos!$G$5:$G$104,MATCH(D2889,Produtos!$B$5:$B$104,0))),0))</f>
        <v/>
      </c>
      <c r="I2889" s="27" t="str">
        <f aca="false">IF(G2889="","",G2889-H2889)</f>
        <v/>
      </c>
      <c r="J2889" s="42"/>
    </row>
    <row r="2890" customFormat="false" ht="21" hidden="false" customHeight="true" outlineLevel="0" collapsed="false">
      <c r="B2890" s="41"/>
      <c r="C2890" s="9"/>
      <c r="D2890" s="9"/>
      <c r="E2890" s="42"/>
      <c r="F2890" s="43"/>
      <c r="G2890" s="27" t="str">
        <f aca="false">IF(OR(C2890="",AND(D2890="",F2890="")),"",IF(N(E2890)=0,1,E2890)*IF(F2890="",IFERROR(N(INDEX(Produtos!$L$5:$L$104,MATCH(D2890,Produtos!$B$5:$B$104,0))),0),F2890))</f>
        <v/>
      </c>
      <c r="H2890" s="27" t="str">
        <f aca="false">IF(G2890="","",IF(N(E2890)=0,1,E2890)*IFERROR(N(INDEX(Produtos!$G$5:$G$104,MATCH(D2890,Produtos!$B$5:$B$104,0))),0))</f>
        <v/>
      </c>
      <c r="I2890" s="27" t="str">
        <f aca="false">IF(G2890="","",G2890-H2890)</f>
        <v/>
      </c>
      <c r="J2890" s="42"/>
    </row>
    <row r="2891" customFormat="false" ht="21" hidden="false" customHeight="true" outlineLevel="0" collapsed="false">
      <c r="B2891" s="41"/>
      <c r="C2891" s="9"/>
      <c r="D2891" s="9"/>
      <c r="E2891" s="42"/>
      <c r="F2891" s="43"/>
      <c r="G2891" s="27" t="str">
        <f aca="false">IF(OR(C2891="",AND(D2891="",F2891="")),"",IF(N(E2891)=0,1,E2891)*IF(F2891="",IFERROR(N(INDEX(Produtos!$L$5:$L$104,MATCH(D2891,Produtos!$B$5:$B$104,0))),0),F2891))</f>
        <v/>
      </c>
      <c r="H2891" s="27" t="str">
        <f aca="false">IF(G2891="","",IF(N(E2891)=0,1,E2891)*IFERROR(N(INDEX(Produtos!$G$5:$G$104,MATCH(D2891,Produtos!$B$5:$B$104,0))),0))</f>
        <v/>
      </c>
      <c r="I2891" s="27" t="str">
        <f aca="false">IF(G2891="","",G2891-H2891)</f>
        <v/>
      </c>
      <c r="J2891" s="42"/>
    </row>
    <row r="2892" customFormat="false" ht="21" hidden="false" customHeight="true" outlineLevel="0" collapsed="false">
      <c r="B2892" s="41"/>
      <c r="C2892" s="9"/>
      <c r="D2892" s="9"/>
      <c r="E2892" s="42"/>
      <c r="F2892" s="43"/>
      <c r="G2892" s="27" t="str">
        <f aca="false">IF(OR(C2892="",AND(D2892="",F2892="")),"",IF(N(E2892)=0,1,E2892)*IF(F2892="",IFERROR(N(INDEX(Produtos!$L$5:$L$104,MATCH(D2892,Produtos!$B$5:$B$104,0))),0),F2892))</f>
        <v/>
      </c>
      <c r="H2892" s="27" t="str">
        <f aca="false">IF(G2892="","",IF(N(E2892)=0,1,E2892)*IFERROR(N(INDEX(Produtos!$G$5:$G$104,MATCH(D2892,Produtos!$B$5:$B$104,0))),0))</f>
        <v/>
      </c>
      <c r="I2892" s="27" t="str">
        <f aca="false">IF(G2892="","",G2892-H2892)</f>
        <v/>
      </c>
      <c r="J2892" s="42"/>
    </row>
    <row r="2893" customFormat="false" ht="21" hidden="false" customHeight="true" outlineLevel="0" collapsed="false">
      <c r="B2893" s="41"/>
      <c r="C2893" s="9"/>
      <c r="D2893" s="9"/>
      <c r="E2893" s="42"/>
      <c r="F2893" s="43"/>
      <c r="G2893" s="27" t="str">
        <f aca="false">IF(OR(C2893="",AND(D2893="",F2893="")),"",IF(N(E2893)=0,1,E2893)*IF(F2893="",IFERROR(N(INDEX(Produtos!$L$5:$L$104,MATCH(D2893,Produtos!$B$5:$B$104,0))),0),F2893))</f>
        <v/>
      </c>
      <c r="H2893" s="27" t="str">
        <f aca="false">IF(G2893="","",IF(N(E2893)=0,1,E2893)*IFERROR(N(INDEX(Produtos!$G$5:$G$104,MATCH(D2893,Produtos!$B$5:$B$104,0))),0))</f>
        <v/>
      </c>
      <c r="I2893" s="27" t="str">
        <f aca="false">IF(G2893="","",G2893-H2893)</f>
        <v/>
      </c>
      <c r="J2893" s="42"/>
    </row>
    <row r="2894" customFormat="false" ht="21" hidden="false" customHeight="true" outlineLevel="0" collapsed="false">
      <c r="B2894" s="41"/>
      <c r="C2894" s="9"/>
      <c r="D2894" s="9"/>
      <c r="E2894" s="42"/>
      <c r="F2894" s="43"/>
      <c r="G2894" s="27" t="str">
        <f aca="false">IF(OR(C2894="",AND(D2894="",F2894="")),"",IF(N(E2894)=0,1,E2894)*IF(F2894="",IFERROR(N(INDEX(Produtos!$L$5:$L$104,MATCH(D2894,Produtos!$B$5:$B$104,0))),0),F2894))</f>
        <v/>
      </c>
      <c r="H2894" s="27" t="str">
        <f aca="false">IF(G2894="","",IF(N(E2894)=0,1,E2894)*IFERROR(N(INDEX(Produtos!$G$5:$G$104,MATCH(D2894,Produtos!$B$5:$B$104,0))),0))</f>
        <v/>
      </c>
      <c r="I2894" s="27" t="str">
        <f aca="false">IF(G2894="","",G2894-H2894)</f>
        <v/>
      </c>
      <c r="J2894" s="42"/>
    </row>
    <row r="2895" customFormat="false" ht="21" hidden="false" customHeight="true" outlineLevel="0" collapsed="false">
      <c r="B2895" s="41"/>
      <c r="C2895" s="9"/>
      <c r="D2895" s="9"/>
      <c r="E2895" s="42"/>
      <c r="F2895" s="43"/>
      <c r="G2895" s="27" t="str">
        <f aca="false">IF(OR(C2895="",AND(D2895="",F2895="")),"",IF(N(E2895)=0,1,E2895)*IF(F2895="",IFERROR(N(INDEX(Produtos!$L$5:$L$104,MATCH(D2895,Produtos!$B$5:$B$104,0))),0),F2895))</f>
        <v/>
      </c>
      <c r="H2895" s="27" t="str">
        <f aca="false">IF(G2895="","",IF(N(E2895)=0,1,E2895)*IFERROR(N(INDEX(Produtos!$G$5:$G$104,MATCH(D2895,Produtos!$B$5:$B$104,0))),0))</f>
        <v/>
      </c>
      <c r="I2895" s="27" t="str">
        <f aca="false">IF(G2895="","",G2895-H2895)</f>
        <v/>
      </c>
      <c r="J2895" s="42"/>
    </row>
    <row r="2896" customFormat="false" ht="21" hidden="false" customHeight="true" outlineLevel="0" collapsed="false">
      <c r="B2896" s="41"/>
      <c r="C2896" s="9"/>
      <c r="D2896" s="9"/>
      <c r="E2896" s="42"/>
      <c r="F2896" s="43"/>
      <c r="G2896" s="27" t="str">
        <f aca="false">IF(OR(C2896="",AND(D2896="",F2896="")),"",IF(N(E2896)=0,1,E2896)*IF(F2896="",IFERROR(N(INDEX(Produtos!$L$5:$L$104,MATCH(D2896,Produtos!$B$5:$B$104,0))),0),F2896))</f>
        <v/>
      </c>
      <c r="H2896" s="27" t="str">
        <f aca="false">IF(G2896="","",IF(N(E2896)=0,1,E2896)*IFERROR(N(INDEX(Produtos!$G$5:$G$104,MATCH(D2896,Produtos!$B$5:$B$104,0))),0))</f>
        <v/>
      </c>
      <c r="I2896" s="27" t="str">
        <f aca="false">IF(G2896="","",G2896-H2896)</f>
        <v/>
      </c>
      <c r="J2896" s="42"/>
    </row>
    <row r="2897" customFormat="false" ht="21" hidden="false" customHeight="true" outlineLevel="0" collapsed="false">
      <c r="B2897" s="41"/>
      <c r="C2897" s="9"/>
      <c r="D2897" s="9"/>
      <c r="E2897" s="42"/>
      <c r="F2897" s="43"/>
      <c r="G2897" s="27" t="str">
        <f aca="false">IF(OR(C2897="",AND(D2897="",F2897="")),"",IF(N(E2897)=0,1,E2897)*IF(F2897="",IFERROR(N(INDEX(Produtos!$L$5:$L$104,MATCH(D2897,Produtos!$B$5:$B$104,0))),0),F2897))</f>
        <v/>
      </c>
      <c r="H2897" s="27" t="str">
        <f aca="false">IF(G2897="","",IF(N(E2897)=0,1,E2897)*IFERROR(N(INDEX(Produtos!$G$5:$G$104,MATCH(D2897,Produtos!$B$5:$B$104,0))),0))</f>
        <v/>
      </c>
      <c r="I2897" s="27" t="str">
        <f aca="false">IF(G2897="","",G2897-H2897)</f>
        <v/>
      </c>
      <c r="J2897" s="42"/>
    </row>
    <row r="2898" customFormat="false" ht="21" hidden="false" customHeight="true" outlineLevel="0" collapsed="false">
      <c r="B2898" s="41"/>
      <c r="C2898" s="9"/>
      <c r="D2898" s="9"/>
      <c r="E2898" s="42"/>
      <c r="F2898" s="43"/>
      <c r="G2898" s="27" t="str">
        <f aca="false">IF(OR(C2898="",AND(D2898="",F2898="")),"",IF(N(E2898)=0,1,E2898)*IF(F2898="",IFERROR(N(INDEX(Produtos!$L$5:$L$104,MATCH(D2898,Produtos!$B$5:$B$104,0))),0),F2898))</f>
        <v/>
      </c>
      <c r="H2898" s="27" t="str">
        <f aca="false">IF(G2898="","",IF(N(E2898)=0,1,E2898)*IFERROR(N(INDEX(Produtos!$G$5:$G$104,MATCH(D2898,Produtos!$B$5:$B$104,0))),0))</f>
        <v/>
      </c>
      <c r="I2898" s="27" t="str">
        <f aca="false">IF(G2898="","",G2898-H2898)</f>
        <v/>
      </c>
      <c r="J2898" s="42"/>
    </row>
    <row r="2899" customFormat="false" ht="21" hidden="false" customHeight="true" outlineLevel="0" collapsed="false">
      <c r="B2899" s="41"/>
      <c r="C2899" s="9"/>
      <c r="D2899" s="9"/>
      <c r="E2899" s="42"/>
      <c r="F2899" s="43"/>
      <c r="G2899" s="27" t="str">
        <f aca="false">IF(OR(C2899="",AND(D2899="",F2899="")),"",IF(N(E2899)=0,1,E2899)*IF(F2899="",IFERROR(N(INDEX(Produtos!$L$5:$L$104,MATCH(D2899,Produtos!$B$5:$B$104,0))),0),F2899))</f>
        <v/>
      </c>
      <c r="H2899" s="27" t="str">
        <f aca="false">IF(G2899="","",IF(N(E2899)=0,1,E2899)*IFERROR(N(INDEX(Produtos!$G$5:$G$104,MATCH(D2899,Produtos!$B$5:$B$104,0))),0))</f>
        <v/>
      </c>
      <c r="I2899" s="27" t="str">
        <f aca="false">IF(G2899="","",G2899-H2899)</f>
        <v/>
      </c>
      <c r="J2899" s="42"/>
    </row>
    <row r="2900" customFormat="false" ht="21" hidden="false" customHeight="true" outlineLevel="0" collapsed="false">
      <c r="B2900" s="41"/>
      <c r="C2900" s="9"/>
      <c r="D2900" s="9"/>
      <c r="E2900" s="42"/>
      <c r="F2900" s="43"/>
      <c r="G2900" s="27" t="str">
        <f aca="false">IF(OR(C2900="",AND(D2900="",F2900="")),"",IF(N(E2900)=0,1,E2900)*IF(F2900="",IFERROR(N(INDEX(Produtos!$L$5:$L$104,MATCH(D2900,Produtos!$B$5:$B$104,0))),0),F2900))</f>
        <v/>
      </c>
      <c r="H2900" s="27" t="str">
        <f aca="false">IF(G2900="","",IF(N(E2900)=0,1,E2900)*IFERROR(N(INDEX(Produtos!$G$5:$G$104,MATCH(D2900,Produtos!$B$5:$B$104,0))),0))</f>
        <v/>
      </c>
      <c r="I2900" s="27" t="str">
        <f aca="false">IF(G2900="","",G2900-H2900)</f>
        <v/>
      </c>
      <c r="J2900" s="42"/>
    </row>
    <row r="2901" customFormat="false" ht="21" hidden="false" customHeight="true" outlineLevel="0" collapsed="false">
      <c r="B2901" s="41"/>
      <c r="C2901" s="9"/>
      <c r="D2901" s="9"/>
      <c r="E2901" s="42"/>
      <c r="F2901" s="43"/>
      <c r="G2901" s="27" t="str">
        <f aca="false">IF(OR(C2901="",AND(D2901="",F2901="")),"",IF(N(E2901)=0,1,E2901)*IF(F2901="",IFERROR(N(INDEX(Produtos!$L$5:$L$104,MATCH(D2901,Produtos!$B$5:$B$104,0))),0),F2901))</f>
        <v/>
      </c>
      <c r="H2901" s="27" t="str">
        <f aca="false">IF(G2901="","",IF(N(E2901)=0,1,E2901)*IFERROR(N(INDEX(Produtos!$G$5:$G$104,MATCH(D2901,Produtos!$B$5:$B$104,0))),0))</f>
        <v/>
      </c>
      <c r="I2901" s="27" t="str">
        <f aca="false">IF(G2901="","",G2901-H2901)</f>
        <v/>
      </c>
      <c r="J2901" s="42"/>
    </row>
    <row r="2902" customFormat="false" ht="21" hidden="false" customHeight="true" outlineLevel="0" collapsed="false">
      <c r="B2902" s="41"/>
      <c r="C2902" s="9"/>
      <c r="D2902" s="9"/>
      <c r="E2902" s="42"/>
      <c r="F2902" s="43"/>
      <c r="G2902" s="27" t="str">
        <f aca="false">IF(OR(C2902="",AND(D2902="",F2902="")),"",IF(N(E2902)=0,1,E2902)*IF(F2902="",IFERROR(N(INDEX(Produtos!$L$5:$L$104,MATCH(D2902,Produtos!$B$5:$B$104,0))),0),F2902))</f>
        <v/>
      </c>
      <c r="H2902" s="27" t="str">
        <f aca="false">IF(G2902="","",IF(N(E2902)=0,1,E2902)*IFERROR(N(INDEX(Produtos!$G$5:$G$104,MATCH(D2902,Produtos!$B$5:$B$104,0))),0))</f>
        <v/>
      </c>
      <c r="I2902" s="27" t="str">
        <f aca="false">IF(G2902="","",G2902-H2902)</f>
        <v/>
      </c>
      <c r="J2902" s="42"/>
    </row>
    <row r="2903" customFormat="false" ht="21" hidden="false" customHeight="true" outlineLevel="0" collapsed="false">
      <c r="B2903" s="41"/>
      <c r="C2903" s="9"/>
      <c r="D2903" s="9"/>
      <c r="E2903" s="42"/>
      <c r="F2903" s="43"/>
      <c r="G2903" s="27" t="str">
        <f aca="false">IF(OR(C2903="",AND(D2903="",F2903="")),"",IF(N(E2903)=0,1,E2903)*IF(F2903="",IFERROR(N(INDEX(Produtos!$L$5:$L$104,MATCH(D2903,Produtos!$B$5:$B$104,0))),0),F2903))</f>
        <v/>
      </c>
      <c r="H2903" s="27" t="str">
        <f aca="false">IF(G2903="","",IF(N(E2903)=0,1,E2903)*IFERROR(N(INDEX(Produtos!$G$5:$G$104,MATCH(D2903,Produtos!$B$5:$B$104,0))),0))</f>
        <v/>
      </c>
      <c r="I2903" s="27" t="str">
        <f aca="false">IF(G2903="","",G2903-H2903)</f>
        <v/>
      </c>
      <c r="J2903" s="42"/>
    </row>
    <row r="2904" customFormat="false" ht="21" hidden="false" customHeight="true" outlineLevel="0" collapsed="false">
      <c r="B2904" s="41"/>
      <c r="C2904" s="9"/>
      <c r="D2904" s="9"/>
      <c r="E2904" s="42"/>
      <c r="F2904" s="43"/>
      <c r="G2904" s="27" t="str">
        <f aca="false">IF(OR(C2904="",AND(D2904="",F2904="")),"",IF(N(E2904)=0,1,E2904)*IF(F2904="",IFERROR(N(INDEX(Produtos!$L$5:$L$104,MATCH(D2904,Produtos!$B$5:$B$104,0))),0),F2904))</f>
        <v/>
      </c>
      <c r="H2904" s="27" t="str">
        <f aca="false">IF(G2904="","",IF(N(E2904)=0,1,E2904)*IFERROR(N(INDEX(Produtos!$G$5:$G$104,MATCH(D2904,Produtos!$B$5:$B$104,0))),0))</f>
        <v/>
      </c>
      <c r="I2904" s="27" t="str">
        <f aca="false">IF(G2904="","",G2904-H2904)</f>
        <v/>
      </c>
      <c r="J2904" s="42"/>
    </row>
    <row r="2905" customFormat="false" ht="21" hidden="false" customHeight="true" outlineLevel="0" collapsed="false">
      <c r="B2905" s="41"/>
      <c r="C2905" s="9"/>
      <c r="D2905" s="9"/>
      <c r="E2905" s="42"/>
      <c r="F2905" s="43"/>
      <c r="G2905" s="27" t="str">
        <f aca="false">IF(OR(C2905="",AND(D2905="",F2905="")),"",IF(N(E2905)=0,1,E2905)*IF(F2905="",IFERROR(N(INDEX(Produtos!$L$5:$L$104,MATCH(D2905,Produtos!$B$5:$B$104,0))),0),F2905))</f>
        <v/>
      </c>
      <c r="H2905" s="27" t="str">
        <f aca="false">IF(G2905="","",IF(N(E2905)=0,1,E2905)*IFERROR(N(INDEX(Produtos!$G$5:$G$104,MATCH(D2905,Produtos!$B$5:$B$104,0))),0))</f>
        <v/>
      </c>
      <c r="I2905" s="27" t="str">
        <f aca="false">IF(G2905="","",G2905-H2905)</f>
        <v/>
      </c>
      <c r="J2905" s="42"/>
    </row>
    <row r="2906" customFormat="false" ht="21" hidden="false" customHeight="true" outlineLevel="0" collapsed="false">
      <c r="B2906" s="41"/>
      <c r="C2906" s="9"/>
      <c r="D2906" s="9"/>
      <c r="E2906" s="42"/>
      <c r="F2906" s="43"/>
      <c r="G2906" s="27" t="str">
        <f aca="false">IF(OR(C2906="",AND(D2906="",F2906="")),"",IF(N(E2906)=0,1,E2906)*IF(F2906="",IFERROR(N(INDEX(Produtos!$L$5:$L$104,MATCH(D2906,Produtos!$B$5:$B$104,0))),0),F2906))</f>
        <v/>
      </c>
      <c r="H2906" s="27" t="str">
        <f aca="false">IF(G2906="","",IF(N(E2906)=0,1,E2906)*IFERROR(N(INDEX(Produtos!$G$5:$G$104,MATCH(D2906,Produtos!$B$5:$B$104,0))),0))</f>
        <v/>
      </c>
      <c r="I2906" s="27" t="str">
        <f aca="false">IF(G2906="","",G2906-H2906)</f>
        <v/>
      </c>
      <c r="J2906" s="42"/>
    </row>
    <row r="2907" customFormat="false" ht="21" hidden="false" customHeight="true" outlineLevel="0" collapsed="false">
      <c r="B2907" s="41"/>
      <c r="C2907" s="9"/>
      <c r="D2907" s="9"/>
      <c r="E2907" s="42"/>
      <c r="F2907" s="43"/>
      <c r="G2907" s="27" t="str">
        <f aca="false">IF(OR(C2907="",AND(D2907="",F2907="")),"",IF(N(E2907)=0,1,E2907)*IF(F2907="",IFERROR(N(INDEX(Produtos!$L$5:$L$104,MATCH(D2907,Produtos!$B$5:$B$104,0))),0),F2907))</f>
        <v/>
      </c>
      <c r="H2907" s="27" t="str">
        <f aca="false">IF(G2907="","",IF(N(E2907)=0,1,E2907)*IFERROR(N(INDEX(Produtos!$G$5:$G$104,MATCH(D2907,Produtos!$B$5:$B$104,0))),0))</f>
        <v/>
      </c>
      <c r="I2907" s="27" t="str">
        <f aca="false">IF(G2907="","",G2907-H2907)</f>
        <v/>
      </c>
      <c r="J2907" s="42"/>
    </row>
    <row r="2908" customFormat="false" ht="21" hidden="false" customHeight="true" outlineLevel="0" collapsed="false">
      <c r="B2908" s="41"/>
      <c r="C2908" s="9"/>
      <c r="D2908" s="9"/>
      <c r="E2908" s="42"/>
      <c r="F2908" s="43"/>
      <c r="G2908" s="27" t="str">
        <f aca="false">IF(OR(C2908="",AND(D2908="",F2908="")),"",IF(N(E2908)=0,1,E2908)*IF(F2908="",IFERROR(N(INDEX(Produtos!$L$5:$L$104,MATCH(D2908,Produtos!$B$5:$B$104,0))),0),F2908))</f>
        <v/>
      </c>
      <c r="H2908" s="27" t="str">
        <f aca="false">IF(G2908="","",IF(N(E2908)=0,1,E2908)*IFERROR(N(INDEX(Produtos!$G$5:$G$104,MATCH(D2908,Produtos!$B$5:$B$104,0))),0))</f>
        <v/>
      </c>
      <c r="I2908" s="27" t="str">
        <f aca="false">IF(G2908="","",G2908-H2908)</f>
        <v/>
      </c>
      <c r="J2908" s="42"/>
    </row>
    <row r="2909" customFormat="false" ht="21" hidden="false" customHeight="true" outlineLevel="0" collapsed="false">
      <c r="B2909" s="41"/>
      <c r="C2909" s="9"/>
      <c r="D2909" s="9"/>
      <c r="E2909" s="42"/>
      <c r="F2909" s="43"/>
      <c r="G2909" s="27" t="str">
        <f aca="false">IF(OR(C2909="",AND(D2909="",F2909="")),"",IF(N(E2909)=0,1,E2909)*IF(F2909="",IFERROR(N(INDEX(Produtos!$L$5:$L$104,MATCH(D2909,Produtos!$B$5:$B$104,0))),0),F2909))</f>
        <v/>
      </c>
      <c r="H2909" s="27" t="str">
        <f aca="false">IF(G2909="","",IF(N(E2909)=0,1,E2909)*IFERROR(N(INDEX(Produtos!$G$5:$G$104,MATCH(D2909,Produtos!$B$5:$B$104,0))),0))</f>
        <v/>
      </c>
      <c r="I2909" s="27" t="str">
        <f aca="false">IF(G2909="","",G2909-H2909)</f>
        <v/>
      </c>
      <c r="J2909" s="42"/>
    </row>
    <row r="2910" customFormat="false" ht="21" hidden="false" customHeight="true" outlineLevel="0" collapsed="false">
      <c r="B2910" s="41"/>
      <c r="C2910" s="9"/>
      <c r="D2910" s="9"/>
      <c r="E2910" s="42"/>
      <c r="F2910" s="43"/>
      <c r="G2910" s="27" t="str">
        <f aca="false">IF(OR(C2910="",AND(D2910="",F2910="")),"",IF(N(E2910)=0,1,E2910)*IF(F2910="",IFERROR(N(INDEX(Produtos!$L$5:$L$104,MATCH(D2910,Produtos!$B$5:$B$104,0))),0),F2910))</f>
        <v/>
      </c>
      <c r="H2910" s="27" t="str">
        <f aca="false">IF(G2910="","",IF(N(E2910)=0,1,E2910)*IFERROR(N(INDEX(Produtos!$G$5:$G$104,MATCH(D2910,Produtos!$B$5:$B$104,0))),0))</f>
        <v/>
      </c>
      <c r="I2910" s="27" t="str">
        <f aca="false">IF(G2910="","",G2910-H2910)</f>
        <v/>
      </c>
      <c r="J2910" s="42"/>
    </row>
    <row r="2911" customFormat="false" ht="21" hidden="false" customHeight="true" outlineLevel="0" collapsed="false">
      <c r="B2911" s="41"/>
      <c r="C2911" s="9"/>
      <c r="D2911" s="9"/>
      <c r="E2911" s="42"/>
      <c r="F2911" s="43"/>
      <c r="G2911" s="27" t="str">
        <f aca="false">IF(OR(C2911="",AND(D2911="",F2911="")),"",IF(N(E2911)=0,1,E2911)*IF(F2911="",IFERROR(N(INDEX(Produtos!$L$5:$L$104,MATCH(D2911,Produtos!$B$5:$B$104,0))),0),F2911))</f>
        <v/>
      </c>
      <c r="H2911" s="27" t="str">
        <f aca="false">IF(G2911="","",IF(N(E2911)=0,1,E2911)*IFERROR(N(INDEX(Produtos!$G$5:$G$104,MATCH(D2911,Produtos!$B$5:$B$104,0))),0))</f>
        <v/>
      </c>
      <c r="I2911" s="27" t="str">
        <f aca="false">IF(G2911="","",G2911-H2911)</f>
        <v/>
      </c>
      <c r="J2911" s="42"/>
    </row>
    <row r="2912" customFormat="false" ht="21" hidden="false" customHeight="true" outlineLevel="0" collapsed="false">
      <c r="B2912" s="41"/>
      <c r="C2912" s="9"/>
      <c r="D2912" s="9"/>
      <c r="E2912" s="42"/>
      <c r="F2912" s="43"/>
      <c r="G2912" s="27" t="str">
        <f aca="false">IF(OR(C2912="",AND(D2912="",F2912="")),"",IF(N(E2912)=0,1,E2912)*IF(F2912="",IFERROR(N(INDEX(Produtos!$L$5:$L$104,MATCH(D2912,Produtos!$B$5:$B$104,0))),0),F2912))</f>
        <v/>
      </c>
      <c r="H2912" s="27" t="str">
        <f aca="false">IF(G2912="","",IF(N(E2912)=0,1,E2912)*IFERROR(N(INDEX(Produtos!$G$5:$G$104,MATCH(D2912,Produtos!$B$5:$B$104,0))),0))</f>
        <v/>
      </c>
      <c r="I2912" s="27" t="str">
        <f aca="false">IF(G2912="","",G2912-H2912)</f>
        <v/>
      </c>
      <c r="J2912" s="42"/>
    </row>
    <row r="2913" customFormat="false" ht="21" hidden="false" customHeight="true" outlineLevel="0" collapsed="false">
      <c r="B2913" s="41"/>
      <c r="C2913" s="9"/>
      <c r="D2913" s="9"/>
      <c r="E2913" s="42"/>
      <c r="F2913" s="43"/>
      <c r="G2913" s="27" t="str">
        <f aca="false">IF(OR(C2913="",AND(D2913="",F2913="")),"",IF(N(E2913)=0,1,E2913)*IF(F2913="",IFERROR(N(INDEX(Produtos!$L$5:$L$104,MATCH(D2913,Produtos!$B$5:$B$104,0))),0),F2913))</f>
        <v/>
      </c>
      <c r="H2913" s="27" t="str">
        <f aca="false">IF(G2913="","",IF(N(E2913)=0,1,E2913)*IFERROR(N(INDEX(Produtos!$G$5:$G$104,MATCH(D2913,Produtos!$B$5:$B$104,0))),0))</f>
        <v/>
      </c>
      <c r="I2913" s="27" t="str">
        <f aca="false">IF(G2913="","",G2913-H2913)</f>
        <v/>
      </c>
      <c r="J2913" s="42"/>
    </row>
    <row r="2914" customFormat="false" ht="21" hidden="false" customHeight="true" outlineLevel="0" collapsed="false">
      <c r="B2914" s="41"/>
      <c r="C2914" s="9"/>
      <c r="D2914" s="9"/>
      <c r="E2914" s="42"/>
      <c r="F2914" s="43"/>
      <c r="G2914" s="27" t="str">
        <f aca="false">IF(OR(C2914="",AND(D2914="",F2914="")),"",IF(N(E2914)=0,1,E2914)*IF(F2914="",IFERROR(N(INDEX(Produtos!$L$5:$L$104,MATCH(D2914,Produtos!$B$5:$B$104,0))),0),F2914))</f>
        <v/>
      </c>
      <c r="H2914" s="27" t="str">
        <f aca="false">IF(G2914="","",IF(N(E2914)=0,1,E2914)*IFERROR(N(INDEX(Produtos!$G$5:$G$104,MATCH(D2914,Produtos!$B$5:$B$104,0))),0))</f>
        <v/>
      </c>
      <c r="I2914" s="27" t="str">
        <f aca="false">IF(G2914="","",G2914-H2914)</f>
        <v/>
      </c>
      <c r="J2914" s="42"/>
    </row>
    <row r="2915" customFormat="false" ht="21" hidden="false" customHeight="true" outlineLevel="0" collapsed="false">
      <c r="B2915" s="41"/>
      <c r="C2915" s="9"/>
      <c r="D2915" s="9"/>
      <c r="E2915" s="42"/>
      <c r="F2915" s="43"/>
      <c r="G2915" s="27" t="str">
        <f aca="false">IF(OR(C2915="",AND(D2915="",F2915="")),"",IF(N(E2915)=0,1,E2915)*IF(F2915="",IFERROR(N(INDEX(Produtos!$L$5:$L$104,MATCH(D2915,Produtos!$B$5:$B$104,0))),0),F2915))</f>
        <v/>
      </c>
      <c r="H2915" s="27" t="str">
        <f aca="false">IF(G2915="","",IF(N(E2915)=0,1,E2915)*IFERROR(N(INDEX(Produtos!$G$5:$G$104,MATCH(D2915,Produtos!$B$5:$B$104,0))),0))</f>
        <v/>
      </c>
      <c r="I2915" s="27" t="str">
        <f aca="false">IF(G2915="","",G2915-H2915)</f>
        <v/>
      </c>
      <c r="J2915" s="42"/>
    </row>
    <row r="2916" customFormat="false" ht="21" hidden="false" customHeight="true" outlineLevel="0" collapsed="false">
      <c r="B2916" s="41"/>
      <c r="C2916" s="9"/>
      <c r="D2916" s="9"/>
      <c r="E2916" s="42"/>
      <c r="F2916" s="43"/>
      <c r="G2916" s="27" t="str">
        <f aca="false">IF(OR(C2916="",AND(D2916="",F2916="")),"",IF(N(E2916)=0,1,E2916)*IF(F2916="",IFERROR(N(INDEX(Produtos!$L$5:$L$104,MATCH(D2916,Produtos!$B$5:$B$104,0))),0),F2916))</f>
        <v/>
      </c>
      <c r="H2916" s="27" t="str">
        <f aca="false">IF(G2916="","",IF(N(E2916)=0,1,E2916)*IFERROR(N(INDEX(Produtos!$G$5:$G$104,MATCH(D2916,Produtos!$B$5:$B$104,0))),0))</f>
        <v/>
      </c>
      <c r="I2916" s="27" t="str">
        <f aca="false">IF(G2916="","",G2916-H2916)</f>
        <v/>
      </c>
      <c r="J2916" s="42"/>
    </row>
    <row r="2917" customFormat="false" ht="21" hidden="false" customHeight="true" outlineLevel="0" collapsed="false">
      <c r="B2917" s="41"/>
      <c r="C2917" s="9"/>
      <c r="D2917" s="9"/>
      <c r="E2917" s="42"/>
      <c r="F2917" s="43"/>
      <c r="G2917" s="27" t="str">
        <f aca="false">IF(OR(C2917="",AND(D2917="",F2917="")),"",IF(N(E2917)=0,1,E2917)*IF(F2917="",IFERROR(N(INDEX(Produtos!$L$5:$L$104,MATCH(D2917,Produtos!$B$5:$B$104,0))),0),F2917))</f>
        <v/>
      </c>
      <c r="H2917" s="27" t="str">
        <f aca="false">IF(G2917="","",IF(N(E2917)=0,1,E2917)*IFERROR(N(INDEX(Produtos!$G$5:$G$104,MATCH(D2917,Produtos!$B$5:$B$104,0))),0))</f>
        <v/>
      </c>
      <c r="I2917" s="27" t="str">
        <f aca="false">IF(G2917="","",G2917-H2917)</f>
        <v/>
      </c>
      <c r="J2917" s="42"/>
    </row>
    <row r="2918" customFormat="false" ht="21" hidden="false" customHeight="true" outlineLevel="0" collapsed="false">
      <c r="B2918" s="41"/>
      <c r="C2918" s="9"/>
      <c r="D2918" s="9"/>
      <c r="E2918" s="42"/>
      <c r="F2918" s="43"/>
      <c r="G2918" s="27" t="str">
        <f aca="false">IF(OR(C2918="",AND(D2918="",F2918="")),"",IF(N(E2918)=0,1,E2918)*IF(F2918="",IFERROR(N(INDEX(Produtos!$L$5:$L$104,MATCH(D2918,Produtos!$B$5:$B$104,0))),0),F2918))</f>
        <v/>
      </c>
      <c r="H2918" s="27" t="str">
        <f aca="false">IF(G2918="","",IF(N(E2918)=0,1,E2918)*IFERROR(N(INDEX(Produtos!$G$5:$G$104,MATCH(D2918,Produtos!$B$5:$B$104,0))),0))</f>
        <v/>
      </c>
      <c r="I2918" s="27" t="str">
        <f aca="false">IF(G2918="","",G2918-H2918)</f>
        <v/>
      </c>
      <c r="J2918" s="42"/>
    </row>
    <row r="2919" customFormat="false" ht="21" hidden="false" customHeight="true" outlineLevel="0" collapsed="false">
      <c r="B2919" s="41"/>
      <c r="C2919" s="9"/>
      <c r="D2919" s="9"/>
      <c r="E2919" s="42"/>
      <c r="F2919" s="43"/>
      <c r="G2919" s="27" t="str">
        <f aca="false">IF(OR(C2919="",AND(D2919="",F2919="")),"",IF(N(E2919)=0,1,E2919)*IF(F2919="",IFERROR(N(INDEX(Produtos!$L$5:$L$104,MATCH(D2919,Produtos!$B$5:$B$104,0))),0),F2919))</f>
        <v/>
      </c>
      <c r="H2919" s="27" t="str">
        <f aca="false">IF(G2919="","",IF(N(E2919)=0,1,E2919)*IFERROR(N(INDEX(Produtos!$G$5:$G$104,MATCH(D2919,Produtos!$B$5:$B$104,0))),0))</f>
        <v/>
      </c>
      <c r="I2919" s="27" t="str">
        <f aca="false">IF(G2919="","",G2919-H2919)</f>
        <v/>
      </c>
      <c r="J2919" s="42"/>
    </row>
    <row r="2920" customFormat="false" ht="21" hidden="false" customHeight="true" outlineLevel="0" collapsed="false">
      <c r="B2920" s="41"/>
      <c r="C2920" s="9"/>
      <c r="D2920" s="9"/>
      <c r="E2920" s="42"/>
      <c r="F2920" s="43"/>
      <c r="G2920" s="27" t="str">
        <f aca="false">IF(OR(C2920="",AND(D2920="",F2920="")),"",IF(N(E2920)=0,1,E2920)*IF(F2920="",IFERROR(N(INDEX(Produtos!$L$5:$L$104,MATCH(D2920,Produtos!$B$5:$B$104,0))),0),F2920))</f>
        <v/>
      </c>
      <c r="H2920" s="27" t="str">
        <f aca="false">IF(G2920="","",IF(N(E2920)=0,1,E2920)*IFERROR(N(INDEX(Produtos!$G$5:$G$104,MATCH(D2920,Produtos!$B$5:$B$104,0))),0))</f>
        <v/>
      </c>
      <c r="I2920" s="27" t="str">
        <f aca="false">IF(G2920="","",G2920-H2920)</f>
        <v/>
      </c>
      <c r="J2920" s="42"/>
    </row>
    <row r="2921" customFormat="false" ht="21" hidden="false" customHeight="true" outlineLevel="0" collapsed="false">
      <c r="B2921" s="41"/>
      <c r="C2921" s="9"/>
      <c r="D2921" s="9"/>
      <c r="E2921" s="42"/>
      <c r="F2921" s="43"/>
      <c r="G2921" s="27" t="str">
        <f aca="false">IF(OR(C2921="",AND(D2921="",F2921="")),"",IF(N(E2921)=0,1,E2921)*IF(F2921="",IFERROR(N(INDEX(Produtos!$L$5:$L$104,MATCH(D2921,Produtos!$B$5:$B$104,0))),0),F2921))</f>
        <v/>
      </c>
      <c r="H2921" s="27" t="str">
        <f aca="false">IF(G2921="","",IF(N(E2921)=0,1,E2921)*IFERROR(N(INDEX(Produtos!$G$5:$G$104,MATCH(D2921,Produtos!$B$5:$B$104,0))),0))</f>
        <v/>
      </c>
      <c r="I2921" s="27" t="str">
        <f aca="false">IF(G2921="","",G2921-H2921)</f>
        <v/>
      </c>
      <c r="J2921" s="42"/>
    </row>
    <row r="2922" customFormat="false" ht="21" hidden="false" customHeight="true" outlineLevel="0" collapsed="false">
      <c r="B2922" s="41"/>
      <c r="C2922" s="9"/>
      <c r="D2922" s="9"/>
      <c r="E2922" s="42"/>
      <c r="F2922" s="43"/>
      <c r="G2922" s="27" t="str">
        <f aca="false">IF(OR(C2922="",AND(D2922="",F2922="")),"",IF(N(E2922)=0,1,E2922)*IF(F2922="",IFERROR(N(INDEX(Produtos!$L$5:$L$104,MATCH(D2922,Produtos!$B$5:$B$104,0))),0),F2922))</f>
        <v/>
      </c>
      <c r="H2922" s="27" t="str">
        <f aca="false">IF(G2922="","",IF(N(E2922)=0,1,E2922)*IFERROR(N(INDEX(Produtos!$G$5:$G$104,MATCH(D2922,Produtos!$B$5:$B$104,0))),0))</f>
        <v/>
      </c>
      <c r="I2922" s="27" t="str">
        <f aca="false">IF(G2922="","",G2922-H2922)</f>
        <v/>
      </c>
      <c r="J2922" s="42"/>
    </row>
    <row r="2923" customFormat="false" ht="21" hidden="false" customHeight="true" outlineLevel="0" collapsed="false">
      <c r="B2923" s="41"/>
      <c r="C2923" s="9"/>
      <c r="D2923" s="9"/>
      <c r="E2923" s="42"/>
      <c r="F2923" s="43"/>
      <c r="G2923" s="27" t="str">
        <f aca="false">IF(OR(C2923="",AND(D2923="",F2923="")),"",IF(N(E2923)=0,1,E2923)*IF(F2923="",IFERROR(N(INDEX(Produtos!$L$5:$L$104,MATCH(D2923,Produtos!$B$5:$B$104,0))),0),F2923))</f>
        <v/>
      </c>
      <c r="H2923" s="27" t="str">
        <f aca="false">IF(G2923="","",IF(N(E2923)=0,1,E2923)*IFERROR(N(INDEX(Produtos!$G$5:$G$104,MATCH(D2923,Produtos!$B$5:$B$104,0))),0))</f>
        <v/>
      </c>
      <c r="I2923" s="27" t="str">
        <f aca="false">IF(G2923="","",G2923-H2923)</f>
        <v/>
      </c>
      <c r="J2923" s="42"/>
    </row>
    <row r="2924" customFormat="false" ht="21" hidden="false" customHeight="true" outlineLevel="0" collapsed="false">
      <c r="B2924" s="41"/>
      <c r="C2924" s="9"/>
      <c r="D2924" s="9"/>
      <c r="E2924" s="42"/>
      <c r="F2924" s="43"/>
      <c r="G2924" s="27" t="str">
        <f aca="false">IF(OR(C2924="",AND(D2924="",F2924="")),"",IF(N(E2924)=0,1,E2924)*IF(F2924="",IFERROR(N(INDEX(Produtos!$L$5:$L$104,MATCH(D2924,Produtos!$B$5:$B$104,0))),0),F2924))</f>
        <v/>
      </c>
      <c r="H2924" s="27" t="str">
        <f aca="false">IF(G2924="","",IF(N(E2924)=0,1,E2924)*IFERROR(N(INDEX(Produtos!$G$5:$G$104,MATCH(D2924,Produtos!$B$5:$B$104,0))),0))</f>
        <v/>
      </c>
      <c r="I2924" s="27" t="str">
        <f aca="false">IF(G2924="","",G2924-H2924)</f>
        <v/>
      </c>
      <c r="J2924" s="42"/>
    </row>
    <row r="2925" customFormat="false" ht="21" hidden="false" customHeight="true" outlineLevel="0" collapsed="false">
      <c r="B2925" s="41"/>
      <c r="C2925" s="9"/>
      <c r="D2925" s="9"/>
      <c r="E2925" s="42"/>
      <c r="F2925" s="43"/>
      <c r="G2925" s="27" t="str">
        <f aca="false">IF(OR(C2925="",AND(D2925="",F2925="")),"",IF(N(E2925)=0,1,E2925)*IF(F2925="",IFERROR(N(INDEX(Produtos!$L$5:$L$104,MATCH(D2925,Produtos!$B$5:$B$104,0))),0),F2925))</f>
        <v/>
      </c>
      <c r="H2925" s="27" t="str">
        <f aca="false">IF(G2925="","",IF(N(E2925)=0,1,E2925)*IFERROR(N(INDEX(Produtos!$G$5:$G$104,MATCH(D2925,Produtos!$B$5:$B$104,0))),0))</f>
        <v/>
      </c>
      <c r="I2925" s="27" t="str">
        <f aca="false">IF(G2925="","",G2925-H2925)</f>
        <v/>
      </c>
      <c r="J2925" s="42"/>
    </row>
    <row r="2926" customFormat="false" ht="21" hidden="false" customHeight="true" outlineLevel="0" collapsed="false">
      <c r="B2926" s="41"/>
      <c r="C2926" s="9"/>
      <c r="D2926" s="9"/>
      <c r="E2926" s="42"/>
      <c r="F2926" s="43"/>
      <c r="G2926" s="27" t="str">
        <f aca="false">IF(OR(C2926="",AND(D2926="",F2926="")),"",IF(N(E2926)=0,1,E2926)*IF(F2926="",IFERROR(N(INDEX(Produtos!$L$5:$L$104,MATCH(D2926,Produtos!$B$5:$B$104,0))),0),F2926))</f>
        <v/>
      </c>
      <c r="H2926" s="27" t="str">
        <f aca="false">IF(G2926="","",IF(N(E2926)=0,1,E2926)*IFERROR(N(INDEX(Produtos!$G$5:$G$104,MATCH(D2926,Produtos!$B$5:$B$104,0))),0))</f>
        <v/>
      </c>
      <c r="I2926" s="27" t="str">
        <f aca="false">IF(G2926="","",G2926-H2926)</f>
        <v/>
      </c>
      <c r="J2926" s="42"/>
    </row>
    <row r="2927" customFormat="false" ht="21" hidden="false" customHeight="true" outlineLevel="0" collapsed="false">
      <c r="B2927" s="41"/>
      <c r="C2927" s="9"/>
      <c r="D2927" s="9"/>
      <c r="E2927" s="42"/>
      <c r="F2927" s="43"/>
      <c r="G2927" s="27" t="str">
        <f aca="false">IF(OR(C2927="",AND(D2927="",F2927="")),"",IF(N(E2927)=0,1,E2927)*IF(F2927="",IFERROR(N(INDEX(Produtos!$L$5:$L$104,MATCH(D2927,Produtos!$B$5:$B$104,0))),0),F2927))</f>
        <v/>
      </c>
      <c r="H2927" s="27" t="str">
        <f aca="false">IF(G2927="","",IF(N(E2927)=0,1,E2927)*IFERROR(N(INDEX(Produtos!$G$5:$G$104,MATCH(D2927,Produtos!$B$5:$B$104,0))),0))</f>
        <v/>
      </c>
      <c r="I2927" s="27" t="str">
        <f aca="false">IF(G2927="","",G2927-H2927)</f>
        <v/>
      </c>
      <c r="J2927" s="42"/>
    </row>
    <row r="2928" customFormat="false" ht="21" hidden="false" customHeight="true" outlineLevel="0" collapsed="false">
      <c r="B2928" s="41"/>
      <c r="C2928" s="9"/>
      <c r="D2928" s="9"/>
      <c r="E2928" s="42"/>
      <c r="F2928" s="43"/>
      <c r="G2928" s="27" t="str">
        <f aca="false">IF(OR(C2928="",AND(D2928="",F2928="")),"",IF(N(E2928)=0,1,E2928)*IF(F2928="",IFERROR(N(INDEX(Produtos!$L$5:$L$104,MATCH(D2928,Produtos!$B$5:$B$104,0))),0),F2928))</f>
        <v/>
      </c>
      <c r="H2928" s="27" t="str">
        <f aca="false">IF(G2928="","",IF(N(E2928)=0,1,E2928)*IFERROR(N(INDEX(Produtos!$G$5:$G$104,MATCH(D2928,Produtos!$B$5:$B$104,0))),0))</f>
        <v/>
      </c>
      <c r="I2928" s="27" t="str">
        <f aca="false">IF(G2928="","",G2928-H2928)</f>
        <v/>
      </c>
      <c r="J2928" s="42"/>
    </row>
    <row r="2929" customFormat="false" ht="21" hidden="false" customHeight="true" outlineLevel="0" collapsed="false">
      <c r="B2929" s="41"/>
      <c r="C2929" s="9"/>
      <c r="D2929" s="9"/>
      <c r="E2929" s="42"/>
      <c r="F2929" s="43"/>
      <c r="G2929" s="27" t="str">
        <f aca="false">IF(OR(C2929="",AND(D2929="",F2929="")),"",IF(N(E2929)=0,1,E2929)*IF(F2929="",IFERROR(N(INDEX(Produtos!$L$5:$L$104,MATCH(D2929,Produtos!$B$5:$B$104,0))),0),F2929))</f>
        <v/>
      </c>
      <c r="H2929" s="27" t="str">
        <f aca="false">IF(G2929="","",IF(N(E2929)=0,1,E2929)*IFERROR(N(INDEX(Produtos!$G$5:$G$104,MATCH(D2929,Produtos!$B$5:$B$104,0))),0))</f>
        <v/>
      </c>
      <c r="I2929" s="27" t="str">
        <f aca="false">IF(G2929="","",G2929-H2929)</f>
        <v/>
      </c>
      <c r="J2929" s="42"/>
    </row>
    <row r="2930" customFormat="false" ht="21" hidden="false" customHeight="true" outlineLevel="0" collapsed="false">
      <c r="B2930" s="41"/>
      <c r="C2930" s="9"/>
      <c r="D2930" s="9"/>
      <c r="E2930" s="42"/>
      <c r="F2930" s="43"/>
      <c r="G2930" s="27" t="str">
        <f aca="false">IF(OR(C2930="",AND(D2930="",F2930="")),"",IF(N(E2930)=0,1,E2930)*IF(F2930="",IFERROR(N(INDEX(Produtos!$L$5:$L$104,MATCH(D2930,Produtos!$B$5:$B$104,0))),0),F2930))</f>
        <v/>
      </c>
      <c r="H2930" s="27" t="str">
        <f aca="false">IF(G2930="","",IF(N(E2930)=0,1,E2930)*IFERROR(N(INDEX(Produtos!$G$5:$G$104,MATCH(D2930,Produtos!$B$5:$B$104,0))),0))</f>
        <v/>
      </c>
      <c r="I2930" s="27" t="str">
        <f aca="false">IF(G2930="","",G2930-H2930)</f>
        <v/>
      </c>
      <c r="J2930" s="42"/>
    </row>
    <row r="2931" customFormat="false" ht="21" hidden="false" customHeight="true" outlineLevel="0" collapsed="false">
      <c r="B2931" s="41"/>
      <c r="C2931" s="9"/>
      <c r="D2931" s="9"/>
      <c r="E2931" s="42"/>
      <c r="F2931" s="43"/>
      <c r="G2931" s="27" t="str">
        <f aca="false">IF(OR(C2931="",AND(D2931="",F2931="")),"",IF(N(E2931)=0,1,E2931)*IF(F2931="",IFERROR(N(INDEX(Produtos!$L$5:$L$104,MATCH(D2931,Produtos!$B$5:$B$104,0))),0),F2931))</f>
        <v/>
      </c>
      <c r="H2931" s="27" t="str">
        <f aca="false">IF(G2931="","",IF(N(E2931)=0,1,E2931)*IFERROR(N(INDEX(Produtos!$G$5:$G$104,MATCH(D2931,Produtos!$B$5:$B$104,0))),0))</f>
        <v/>
      </c>
      <c r="I2931" s="27" t="str">
        <f aca="false">IF(G2931="","",G2931-H2931)</f>
        <v/>
      </c>
      <c r="J2931" s="42"/>
    </row>
    <row r="2932" customFormat="false" ht="21" hidden="false" customHeight="true" outlineLevel="0" collapsed="false">
      <c r="B2932" s="41"/>
      <c r="C2932" s="9"/>
      <c r="D2932" s="9"/>
      <c r="E2932" s="42"/>
      <c r="F2932" s="43"/>
      <c r="G2932" s="27" t="str">
        <f aca="false">IF(OR(C2932="",AND(D2932="",F2932="")),"",IF(N(E2932)=0,1,E2932)*IF(F2932="",IFERROR(N(INDEX(Produtos!$L$5:$L$104,MATCH(D2932,Produtos!$B$5:$B$104,0))),0),F2932))</f>
        <v/>
      </c>
      <c r="H2932" s="27" t="str">
        <f aca="false">IF(G2932="","",IF(N(E2932)=0,1,E2932)*IFERROR(N(INDEX(Produtos!$G$5:$G$104,MATCH(D2932,Produtos!$B$5:$B$104,0))),0))</f>
        <v/>
      </c>
      <c r="I2932" s="27" t="str">
        <f aca="false">IF(G2932="","",G2932-H2932)</f>
        <v/>
      </c>
      <c r="J2932" s="42"/>
    </row>
    <row r="2933" customFormat="false" ht="21" hidden="false" customHeight="true" outlineLevel="0" collapsed="false">
      <c r="B2933" s="41"/>
      <c r="C2933" s="9"/>
      <c r="D2933" s="9"/>
      <c r="E2933" s="42"/>
      <c r="F2933" s="43"/>
      <c r="G2933" s="27" t="str">
        <f aca="false">IF(OR(C2933="",AND(D2933="",F2933="")),"",IF(N(E2933)=0,1,E2933)*IF(F2933="",IFERROR(N(INDEX(Produtos!$L$5:$L$104,MATCH(D2933,Produtos!$B$5:$B$104,0))),0),F2933))</f>
        <v/>
      </c>
      <c r="H2933" s="27" t="str">
        <f aca="false">IF(G2933="","",IF(N(E2933)=0,1,E2933)*IFERROR(N(INDEX(Produtos!$G$5:$G$104,MATCH(D2933,Produtos!$B$5:$B$104,0))),0))</f>
        <v/>
      </c>
      <c r="I2933" s="27" t="str">
        <f aca="false">IF(G2933="","",G2933-H2933)</f>
        <v/>
      </c>
      <c r="J2933" s="42"/>
    </row>
    <row r="2934" customFormat="false" ht="21" hidden="false" customHeight="true" outlineLevel="0" collapsed="false">
      <c r="B2934" s="41"/>
      <c r="C2934" s="9"/>
      <c r="D2934" s="9"/>
      <c r="E2934" s="42"/>
      <c r="F2934" s="43"/>
      <c r="G2934" s="27" t="str">
        <f aca="false">IF(OR(C2934="",AND(D2934="",F2934="")),"",IF(N(E2934)=0,1,E2934)*IF(F2934="",IFERROR(N(INDEX(Produtos!$L$5:$L$104,MATCH(D2934,Produtos!$B$5:$B$104,0))),0),F2934))</f>
        <v/>
      </c>
      <c r="H2934" s="27" t="str">
        <f aca="false">IF(G2934="","",IF(N(E2934)=0,1,E2934)*IFERROR(N(INDEX(Produtos!$G$5:$G$104,MATCH(D2934,Produtos!$B$5:$B$104,0))),0))</f>
        <v/>
      </c>
      <c r="I2934" s="27" t="str">
        <f aca="false">IF(G2934="","",G2934-H2934)</f>
        <v/>
      </c>
      <c r="J2934" s="42"/>
    </row>
    <row r="2935" customFormat="false" ht="21" hidden="false" customHeight="true" outlineLevel="0" collapsed="false">
      <c r="B2935" s="41"/>
      <c r="C2935" s="9"/>
      <c r="D2935" s="9"/>
      <c r="E2935" s="42"/>
      <c r="F2935" s="43"/>
      <c r="G2935" s="27" t="str">
        <f aca="false">IF(OR(C2935="",AND(D2935="",F2935="")),"",IF(N(E2935)=0,1,E2935)*IF(F2935="",IFERROR(N(INDEX(Produtos!$L$5:$L$104,MATCH(D2935,Produtos!$B$5:$B$104,0))),0),F2935))</f>
        <v/>
      </c>
      <c r="H2935" s="27" t="str">
        <f aca="false">IF(G2935="","",IF(N(E2935)=0,1,E2935)*IFERROR(N(INDEX(Produtos!$G$5:$G$104,MATCH(D2935,Produtos!$B$5:$B$104,0))),0))</f>
        <v/>
      </c>
      <c r="I2935" s="27" t="str">
        <f aca="false">IF(G2935="","",G2935-H2935)</f>
        <v/>
      </c>
      <c r="J2935" s="42"/>
    </row>
    <row r="2936" customFormat="false" ht="21" hidden="false" customHeight="true" outlineLevel="0" collapsed="false">
      <c r="B2936" s="41"/>
      <c r="C2936" s="9"/>
      <c r="D2936" s="9"/>
      <c r="E2936" s="42"/>
      <c r="F2936" s="43"/>
      <c r="G2936" s="27" t="str">
        <f aca="false">IF(OR(C2936="",AND(D2936="",F2936="")),"",IF(N(E2936)=0,1,E2936)*IF(F2936="",IFERROR(N(INDEX(Produtos!$L$5:$L$104,MATCH(D2936,Produtos!$B$5:$B$104,0))),0),F2936))</f>
        <v/>
      </c>
      <c r="H2936" s="27" t="str">
        <f aca="false">IF(G2936="","",IF(N(E2936)=0,1,E2936)*IFERROR(N(INDEX(Produtos!$G$5:$G$104,MATCH(D2936,Produtos!$B$5:$B$104,0))),0))</f>
        <v/>
      </c>
      <c r="I2936" s="27" t="str">
        <f aca="false">IF(G2936="","",G2936-H2936)</f>
        <v/>
      </c>
      <c r="J2936" s="42"/>
    </row>
    <row r="2937" customFormat="false" ht="21" hidden="false" customHeight="true" outlineLevel="0" collapsed="false">
      <c r="B2937" s="41"/>
      <c r="C2937" s="9"/>
      <c r="D2937" s="9"/>
      <c r="E2937" s="42"/>
      <c r="F2937" s="43"/>
      <c r="G2937" s="27" t="str">
        <f aca="false">IF(OR(C2937="",AND(D2937="",F2937="")),"",IF(N(E2937)=0,1,E2937)*IF(F2937="",IFERROR(N(INDEX(Produtos!$L$5:$L$104,MATCH(D2937,Produtos!$B$5:$B$104,0))),0),F2937))</f>
        <v/>
      </c>
      <c r="H2937" s="27" t="str">
        <f aca="false">IF(G2937="","",IF(N(E2937)=0,1,E2937)*IFERROR(N(INDEX(Produtos!$G$5:$G$104,MATCH(D2937,Produtos!$B$5:$B$104,0))),0))</f>
        <v/>
      </c>
      <c r="I2937" s="27" t="str">
        <f aca="false">IF(G2937="","",G2937-H2937)</f>
        <v/>
      </c>
      <c r="J2937" s="42"/>
    </row>
    <row r="2938" customFormat="false" ht="21" hidden="false" customHeight="true" outlineLevel="0" collapsed="false">
      <c r="B2938" s="41"/>
      <c r="C2938" s="9"/>
      <c r="D2938" s="9"/>
      <c r="E2938" s="42"/>
      <c r="F2938" s="43"/>
      <c r="G2938" s="27" t="str">
        <f aca="false">IF(OR(C2938="",AND(D2938="",F2938="")),"",IF(N(E2938)=0,1,E2938)*IF(F2938="",IFERROR(N(INDEX(Produtos!$L$5:$L$104,MATCH(D2938,Produtos!$B$5:$B$104,0))),0),F2938))</f>
        <v/>
      </c>
      <c r="H2938" s="27" t="str">
        <f aca="false">IF(G2938="","",IF(N(E2938)=0,1,E2938)*IFERROR(N(INDEX(Produtos!$G$5:$G$104,MATCH(D2938,Produtos!$B$5:$B$104,0))),0))</f>
        <v/>
      </c>
      <c r="I2938" s="27" t="str">
        <f aca="false">IF(G2938="","",G2938-H2938)</f>
        <v/>
      </c>
      <c r="J2938" s="42"/>
    </row>
    <row r="2939" customFormat="false" ht="21" hidden="false" customHeight="true" outlineLevel="0" collapsed="false">
      <c r="B2939" s="41"/>
      <c r="C2939" s="9"/>
      <c r="D2939" s="9"/>
      <c r="E2939" s="42"/>
      <c r="F2939" s="43"/>
      <c r="G2939" s="27" t="str">
        <f aca="false">IF(OR(C2939="",AND(D2939="",F2939="")),"",IF(N(E2939)=0,1,E2939)*IF(F2939="",IFERROR(N(INDEX(Produtos!$L$5:$L$104,MATCH(D2939,Produtos!$B$5:$B$104,0))),0),F2939))</f>
        <v/>
      </c>
      <c r="H2939" s="27" t="str">
        <f aca="false">IF(G2939="","",IF(N(E2939)=0,1,E2939)*IFERROR(N(INDEX(Produtos!$G$5:$G$104,MATCH(D2939,Produtos!$B$5:$B$104,0))),0))</f>
        <v/>
      </c>
      <c r="I2939" s="27" t="str">
        <f aca="false">IF(G2939="","",G2939-H2939)</f>
        <v/>
      </c>
      <c r="J2939" s="42"/>
    </row>
    <row r="2940" customFormat="false" ht="21" hidden="false" customHeight="true" outlineLevel="0" collapsed="false">
      <c r="B2940" s="41"/>
      <c r="C2940" s="9"/>
      <c r="D2940" s="9"/>
      <c r="E2940" s="42"/>
      <c r="F2940" s="43"/>
      <c r="G2940" s="27" t="str">
        <f aca="false">IF(OR(C2940="",AND(D2940="",F2940="")),"",IF(N(E2940)=0,1,E2940)*IF(F2940="",IFERROR(N(INDEX(Produtos!$L$5:$L$104,MATCH(D2940,Produtos!$B$5:$B$104,0))),0),F2940))</f>
        <v/>
      </c>
      <c r="H2940" s="27" t="str">
        <f aca="false">IF(G2940="","",IF(N(E2940)=0,1,E2940)*IFERROR(N(INDEX(Produtos!$G$5:$G$104,MATCH(D2940,Produtos!$B$5:$B$104,0))),0))</f>
        <v/>
      </c>
      <c r="I2940" s="27" t="str">
        <f aca="false">IF(G2940="","",G2940-H2940)</f>
        <v/>
      </c>
      <c r="J2940" s="42"/>
    </row>
    <row r="2941" customFormat="false" ht="21" hidden="false" customHeight="true" outlineLevel="0" collapsed="false">
      <c r="B2941" s="41"/>
      <c r="C2941" s="9"/>
      <c r="D2941" s="9"/>
      <c r="E2941" s="42"/>
      <c r="F2941" s="43"/>
      <c r="G2941" s="27" t="str">
        <f aca="false">IF(OR(C2941="",AND(D2941="",F2941="")),"",IF(N(E2941)=0,1,E2941)*IF(F2941="",IFERROR(N(INDEX(Produtos!$L$5:$L$104,MATCH(D2941,Produtos!$B$5:$B$104,0))),0),F2941))</f>
        <v/>
      </c>
      <c r="H2941" s="27" t="str">
        <f aca="false">IF(G2941="","",IF(N(E2941)=0,1,E2941)*IFERROR(N(INDEX(Produtos!$G$5:$G$104,MATCH(D2941,Produtos!$B$5:$B$104,0))),0))</f>
        <v/>
      </c>
      <c r="I2941" s="27" t="str">
        <f aca="false">IF(G2941="","",G2941-H2941)</f>
        <v/>
      </c>
      <c r="J2941" s="42"/>
    </row>
    <row r="2942" customFormat="false" ht="21" hidden="false" customHeight="true" outlineLevel="0" collapsed="false">
      <c r="B2942" s="41"/>
      <c r="C2942" s="9"/>
      <c r="D2942" s="9"/>
      <c r="E2942" s="42"/>
      <c r="F2942" s="43"/>
      <c r="G2942" s="27" t="str">
        <f aca="false">IF(OR(C2942="",AND(D2942="",F2942="")),"",IF(N(E2942)=0,1,E2942)*IF(F2942="",IFERROR(N(INDEX(Produtos!$L$5:$L$104,MATCH(D2942,Produtos!$B$5:$B$104,0))),0),F2942))</f>
        <v/>
      </c>
      <c r="H2942" s="27" t="str">
        <f aca="false">IF(G2942="","",IF(N(E2942)=0,1,E2942)*IFERROR(N(INDEX(Produtos!$G$5:$G$104,MATCH(D2942,Produtos!$B$5:$B$104,0))),0))</f>
        <v/>
      </c>
      <c r="I2942" s="27" t="str">
        <f aca="false">IF(G2942="","",G2942-H2942)</f>
        <v/>
      </c>
      <c r="J2942" s="42"/>
    </row>
    <row r="2943" customFormat="false" ht="21" hidden="false" customHeight="true" outlineLevel="0" collapsed="false">
      <c r="B2943" s="41"/>
      <c r="C2943" s="9"/>
      <c r="D2943" s="9"/>
      <c r="E2943" s="42"/>
      <c r="F2943" s="43"/>
      <c r="G2943" s="27" t="str">
        <f aca="false">IF(OR(C2943="",AND(D2943="",F2943="")),"",IF(N(E2943)=0,1,E2943)*IF(F2943="",IFERROR(N(INDEX(Produtos!$L$5:$L$104,MATCH(D2943,Produtos!$B$5:$B$104,0))),0),F2943))</f>
        <v/>
      </c>
      <c r="H2943" s="27" t="str">
        <f aca="false">IF(G2943="","",IF(N(E2943)=0,1,E2943)*IFERROR(N(INDEX(Produtos!$G$5:$G$104,MATCH(D2943,Produtos!$B$5:$B$104,0))),0))</f>
        <v/>
      </c>
      <c r="I2943" s="27" t="str">
        <f aca="false">IF(G2943="","",G2943-H2943)</f>
        <v/>
      </c>
      <c r="J2943" s="42"/>
    </row>
    <row r="2944" customFormat="false" ht="21" hidden="false" customHeight="true" outlineLevel="0" collapsed="false">
      <c r="B2944" s="41"/>
      <c r="C2944" s="9"/>
      <c r="D2944" s="9"/>
      <c r="E2944" s="42"/>
      <c r="F2944" s="43"/>
      <c r="G2944" s="27" t="str">
        <f aca="false">IF(OR(C2944="",AND(D2944="",F2944="")),"",IF(N(E2944)=0,1,E2944)*IF(F2944="",IFERROR(N(INDEX(Produtos!$L$5:$L$104,MATCH(D2944,Produtos!$B$5:$B$104,0))),0),F2944))</f>
        <v/>
      </c>
      <c r="H2944" s="27" t="str">
        <f aca="false">IF(G2944="","",IF(N(E2944)=0,1,E2944)*IFERROR(N(INDEX(Produtos!$G$5:$G$104,MATCH(D2944,Produtos!$B$5:$B$104,0))),0))</f>
        <v/>
      </c>
      <c r="I2944" s="27" t="str">
        <f aca="false">IF(G2944="","",G2944-H2944)</f>
        <v/>
      </c>
      <c r="J2944" s="42"/>
    </row>
    <row r="2945" customFormat="false" ht="21" hidden="false" customHeight="true" outlineLevel="0" collapsed="false">
      <c r="B2945" s="41"/>
      <c r="C2945" s="9"/>
      <c r="D2945" s="9"/>
      <c r="E2945" s="42"/>
      <c r="F2945" s="43"/>
      <c r="G2945" s="27" t="str">
        <f aca="false">IF(OR(C2945="",AND(D2945="",F2945="")),"",IF(N(E2945)=0,1,E2945)*IF(F2945="",IFERROR(N(INDEX(Produtos!$L$5:$L$104,MATCH(D2945,Produtos!$B$5:$B$104,0))),0),F2945))</f>
        <v/>
      </c>
      <c r="H2945" s="27" t="str">
        <f aca="false">IF(G2945="","",IF(N(E2945)=0,1,E2945)*IFERROR(N(INDEX(Produtos!$G$5:$G$104,MATCH(D2945,Produtos!$B$5:$B$104,0))),0))</f>
        <v/>
      </c>
      <c r="I2945" s="27" t="str">
        <f aca="false">IF(G2945="","",G2945-H2945)</f>
        <v/>
      </c>
      <c r="J2945" s="42"/>
    </row>
    <row r="2946" customFormat="false" ht="21" hidden="false" customHeight="true" outlineLevel="0" collapsed="false">
      <c r="B2946" s="41"/>
      <c r="C2946" s="9"/>
      <c r="D2946" s="9"/>
      <c r="E2946" s="42"/>
      <c r="F2946" s="43"/>
      <c r="G2946" s="27" t="str">
        <f aca="false">IF(OR(C2946="",AND(D2946="",F2946="")),"",IF(N(E2946)=0,1,E2946)*IF(F2946="",IFERROR(N(INDEX(Produtos!$L$5:$L$104,MATCH(D2946,Produtos!$B$5:$B$104,0))),0),F2946))</f>
        <v/>
      </c>
      <c r="H2946" s="27" t="str">
        <f aca="false">IF(G2946="","",IF(N(E2946)=0,1,E2946)*IFERROR(N(INDEX(Produtos!$G$5:$G$104,MATCH(D2946,Produtos!$B$5:$B$104,0))),0))</f>
        <v/>
      </c>
      <c r="I2946" s="27" t="str">
        <f aca="false">IF(G2946="","",G2946-H2946)</f>
        <v/>
      </c>
      <c r="J2946" s="42"/>
    </row>
    <row r="2947" customFormat="false" ht="21" hidden="false" customHeight="true" outlineLevel="0" collapsed="false">
      <c r="B2947" s="41"/>
      <c r="C2947" s="9"/>
      <c r="D2947" s="9"/>
      <c r="E2947" s="42"/>
      <c r="F2947" s="43"/>
      <c r="G2947" s="27" t="str">
        <f aca="false">IF(OR(C2947="",AND(D2947="",F2947="")),"",IF(N(E2947)=0,1,E2947)*IF(F2947="",IFERROR(N(INDEX(Produtos!$L$5:$L$104,MATCH(D2947,Produtos!$B$5:$B$104,0))),0),F2947))</f>
        <v/>
      </c>
      <c r="H2947" s="27" t="str">
        <f aca="false">IF(G2947="","",IF(N(E2947)=0,1,E2947)*IFERROR(N(INDEX(Produtos!$G$5:$G$104,MATCH(D2947,Produtos!$B$5:$B$104,0))),0))</f>
        <v/>
      </c>
      <c r="I2947" s="27" t="str">
        <f aca="false">IF(G2947="","",G2947-H2947)</f>
        <v/>
      </c>
      <c r="J2947" s="42"/>
    </row>
    <row r="2948" customFormat="false" ht="21" hidden="false" customHeight="true" outlineLevel="0" collapsed="false">
      <c r="B2948" s="41"/>
      <c r="C2948" s="9"/>
      <c r="D2948" s="9"/>
      <c r="E2948" s="42"/>
      <c r="F2948" s="43"/>
      <c r="G2948" s="27" t="str">
        <f aca="false">IF(OR(C2948="",AND(D2948="",F2948="")),"",IF(N(E2948)=0,1,E2948)*IF(F2948="",IFERROR(N(INDEX(Produtos!$L$5:$L$104,MATCH(D2948,Produtos!$B$5:$B$104,0))),0),F2948))</f>
        <v/>
      </c>
      <c r="H2948" s="27" t="str">
        <f aca="false">IF(G2948="","",IF(N(E2948)=0,1,E2948)*IFERROR(N(INDEX(Produtos!$G$5:$G$104,MATCH(D2948,Produtos!$B$5:$B$104,0))),0))</f>
        <v/>
      </c>
      <c r="I2948" s="27" t="str">
        <f aca="false">IF(G2948="","",G2948-H2948)</f>
        <v/>
      </c>
      <c r="J2948" s="42"/>
    </row>
    <row r="2949" customFormat="false" ht="21" hidden="false" customHeight="true" outlineLevel="0" collapsed="false">
      <c r="B2949" s="41"/>
      <c r="C2949" s="9"/>
      <c r="D2949" s="9"/>
      <c r="E2949" s="42"/>
      <c r="F2949" s="43"/>
      <c r="G2949" s="27" t="str">
        <f aca="false">IF(OR(C2949="",AND(D2949="",F2949="")),"",IF(N(E2949)=0,1,E2949)*IF(F2949="",IFERROR(N(INDEX(Produtos!$L$5:$L$104,MATCH(D2949,Produtos!$B$5:$B$104,0))),0),F2949))</f>
        <v/>
      </c>
      <c r="H2949" s="27" t="str">
        <f aca="false">IF(G2949="","",IF(N(E2949)=0,1,E2949)*IFERROR(N(INDEX(Produtos!$G$5:$G$104,MATCH(D2949,Produtos!$B$5:$B$104,0))),0))</f>
        <v/>
      </c>
      <c r="I2949" s="27" t="str">
        <f aca="false">IF(G2949="","",G2949-H2949)</f>
        <v/>
      </c>
      <c r="J2949" s="42"/>
    </row>
    <row r="2950" customFormat="false" ht="21" hidden="false" customHeight="true" outlineLevel="0" collapsed="false">
      <c r="B2950" s="41"/>
      <c r="C2950" s="9"/>
      <c r="D2950" s="9"/>
      <c r="E2950" s="42"/>
      <c r="F2950" s="43"/>
      <c r="G2950" s="27" t="str">
        <f aca="false">IF(OR(C2950="",AND(D2950="",F2950="")),"",IF(N(E2950)=0,1,E2950)*IF(F2950="",IFERROR(N(INDEX(Produtos!$L$5:$L$104,MATCH(D2950,Produtos!$B$5:$B$104,0))),0),F2950))</f>
        <v/>
      </c>
      <c r="H2950" s="27" t="str">
        <f aca="false">IF(G2950="","",IF(N(E2950)=0,1,E2950)*IFERROR(N(INDEX(Produtos!$G$5:$G$104,MATCH(D2950,Produtos!$B$5:$B$104,0))),0))</f>
        <v/>
      </c>
      <c r="I2950" s="27" t="str">
        <f aca="false">IF(G2950="","",G2950-H2950)</f>
        <v/>
      </c>
      <c r="J2950" s="42"/>
    </row>
    <row r="2951" customFormat="false" ht="21" hidden="false" customHeight="true" outlineLevel="0" collapsed="false">
      <c r="B2951" s="41"/>
      <c r="C2951" s="9"/>
      <c r="D2951" s="9"/>
      <c r="E2951" s="42"/>
      <c r="F2951" s="43"/>
      <c r="G2951" s="27" t="str">
        <f aca="false">IF(OR(C2951="",AND(D2951="",F2951="")),"",IF(N(E2951)=0,1,E2951)*IF(F2951="",IFERROR(N(INDEX(Produtos!$L$5:$L$104,MATCH(D2951,Produtos!$B$5:$B$104,0))),0),F2951))</f>
        <v/>
      </c>
      <c r="H2951" s="27" t="str">
        <f aca="false">IF(G2951="","",IF(N(E2951)=0,1,E2951)*IFERROR(N(INDEX(Produtos!$G$5:$G$104,MATCH(D2951,Produtos!$B$5:$B$104,0))),0))</f>
        <v/>
      </c>
      <c r="I2951" s="27" t="str">
        <f aca="false">IF(G2951="","",G2951-H2951)</f>
        <v/>
      </c>
      <c r="J2951" s="42"/>
    </row>
    <row r="2952" customFormat="false" ht="21" hidden="false" customHeight="true" outlineLevel="0" collapsed="false">
      <c r="B2952" s="41"/>
      <c r="C2952" s="9"/>
      <c r="D2952" s="9"/>
      <c r="E2952" s="42"/>
      <c r="F2952" s="43"/>
      <c r="G2952" s="27" t="str">
        <f aca="false">IF(OR(C2952="",AND(D2952="",F2952="")),"",IF(N(E2952)=0,1,E2952)*IF(F2952="",IFERROR(N(INDEX(Produtos!$L$5:$L$104,MATCH(D2952,Produtos!$B$5:$B$104,0))),0),F2952))</f>
        <v/>
      </c>
      <c r="H2952" s="27" t="str">
        <f aca="false">IF(G2952="","",IF(N(E2952)=0,1,E2952)*IFERROR(N(INDEX(Produtos!$G$5:$G$104,MATCH(D2952,Produtos!$B$5:$B$104,0))),0))</f>
        <v/>
      </c>
      <c r="I2952" s="27" t="str">
        <f aca="false">IF(G2952="","",G2952-H2952)</f>
        <v/>
      </c>
      <c r="J2952" s="42"/>
    </row>
    <row r="2953" customFormat="false" ht="21" hidden="false" customHeight="true" outlineLevel="0" collapsed="false">
      <c r="B2953" s="41"/>
      <c r="C2953" s="9"/>
      <c r="D2953" s="9"/>
      <c r="E2953" s="42"/>
      <c r="F2953" s="43"/>
      <c r="G2953" s="27" t="str">
        <f aca="false">IF(OR(C2953="",AND(D2953="",F2953="")),"",IF(N(E2953)=0,1,E2953)*IF(F2953="",IFERROR(N(INDEX(Produtos!$L$5:$L$104,MATCH(D2953,Produtos!$B$5:$B$104,0))),0),F2953))</f>
        <v/>
      </c>
      <c r="H2953" s="27" t="str">
        <f aca="false">IF(G2953="","",IF(N(E2953)=0,1,E2953)*IFERROR(N(INDEX(Produtos!$G$5:$G$104,MATCH(D2953,Produtos!$B$5:$B$104,0))),0))</f>
        <v/>
      </c>
      <c r="I2953" s="27" t="str">
        <f aca="false">IF(G2953="","",G2953-H2953)</f>
        <v/>
      </c>
      <c r="J2953" s="42"/>
    </row>
    <row r="2954" customFormat="false" ht="21" hidden="false" customHeight="true" outlineLevel="0" collapsed="false">
      <c r="B2954" s="41"/>
      <c r="C2954" s="9"/>
      <c r="D2954" s="9"/>
      <c r="E2954" s="42"/>
      <c r="F2954" s="43"/>
      <c r="G2954" s="27" t="str">
        <f aca="false">IF(OR(C2954="",AND(D2954="",F2954="")),"",IF(N(E2954)=0,1,E2954)*IF(F2954="",IFERROR(N(INDEX(Produtos!$L$5:$L$104,MATCH(D2954,Produtos!$B$5:$B$104,0))),0),F2954))</f>
        <v/>
      </c>
      <c r="H2954" s="27" t="str">
        <f aca="false">IF(G2954="","",IF(N(E2954)=0,1,E2954)*IFERROR(N(INDEX(Produtos!$G$5:$G$104,MATCH(D2954,Produtos!$B$5:$B$104,0))),0))</f>
        <v/>
      </c>
      <c r="I2954" s="27" t="str">
        <f aca="false">IF(G2954="","",G2954-H2954)</f>
        <v/>
      </c>
      <c r="J2954" s="42"/>
    </row>
    <row r="2955" customFormat="false" ht="21" hidden="false" customHeight="true" outlineLevel="0" collapsed="false">
      <c r="B2955" s="41"/>
      <c r="C2955" s="9"/>
      <c r="D2955" s="9"/>
      <c r="E2955" s="42"/>
      <c r="F2955" s="43"/>
      <c r="G2955" s="27" t="str">
        <f aca="false">IF(OR(C2955="",AND(D2955="",F2955="")),"",IF(N(E2955)=0,1,E2955)*IF(F2955="",IFERROR(N(INDEX(Produtos!$L$5:$L$104,MATCH(D2955,Produtos!$B$5:$B$104,0))),0),F2955))</f>
        <v/>
      </c>
      <c r="H2955" s="27" t="str">
        <f aca="false">IF(G2955="","",IF(N(E2955)=0,1,E2955)*IFERROR(N(INDEX(Produtos!$G$5:$G$104,MATCH(D2955,Produtos!$B$5:$B$104,0))),0))</f>
        <v/>
      </c>
      <c r="I2955" s="27" t="str">
        <f aca="false">IF(G2955="","",G2955-H2955)</f>
        <v/>
      </c>
      <c r="J2955" s="42"/>
    </row>
    <row r="2956" customFormat="false" ht="21" hidden="false" customHeight="true" outlineLevel="0" collapsed="false">
      <c r="B2956" s="41"/>
      <c r="C2956" s="9"/>
      <c r="D2956" s="9"/>
      <c r="E2956" s="42"/>
      <c r="F2956" s="43"/>
      <c r="G2956" s="27" t="str">
        <f aca="false">IF(OR(C2956="",AND(D2956="",F2956="")),"",IF(N(E2956)=0,1,E2956)*IF(F2956="",IFERROR(N(INDEX(Produtos!$L$5:$L$104,MATCH(D2956,Produtos!$B$5:$B$104,0))),0),F2956))</f>
        <v/>
      </c>
      <c r="H2956" s="27" t="str">
        <f aca="false">IF(G2956="","",IF(N(E2956)=0,1,E2956)*IFERROR(N(INDEX(Produtos!$G$5:$G$104,MATCH(D2956,Produtos!$B$5:$B$104,0))),0))</f>
        <v/>
      </c>
      <c r="I2956" s="27" t="str">
        <f aca="false">IF(G2956="","",G2956-H2956)</f>
        <v/>
      </c>
      <c r="J2956" s="42"/>
    </row>
    <row r="2957" customFormat="false" ht="21" hidden="false" customHeight="true" outlineLevel="0" collapsed="false">
      <c r="B2957" s="41"/>
      <c r="C2957" s="9"/>
      <c r="D2957" s="9"/>
      <c r="E2957" s="42"/>
      <c r="F2957" s="43"/>
      <c r="G2957" s="27" t="str">
        <f aca="false">IF(OR(C2957="",AND(D2957="",F2957="")),"",IF(N(E2957)=0,1,E2957)*IF(F2957="",IFERROR(N(INDEX(Produtos!$L$5:$L$104,MATCH(D2957,Produtos!$B$5:$B$104,0))),0),F2957))</f>
        <v/>
      </c>
      <c r="H2957" s="27" t="str">
        <f aca="false">IF(G2957="","",IF(N(E2957)=0,1,E2957)*IFERROR(N(INDEX(Produtos!$G$5:$G$104,MATCH(D2957,Produtos!$B$5:$B$104,0))),0))</f>
        <v/>
      </c>
      <c r="I2957" s="27" t="str">
        <f aca="false">IF(G2957="","",G2957-H2957)</f>
        <v/>
      </c>
      <c r="J2957" s="42"/>
    </row>
    <row r="2958" customFormat="false" ht="21" hidden="false" customHeight="true" outlineLevel="0" collapsed="false">
      <c r="B2958" s="41"/>
      <c r="C2958" s="9"/>
      <c r="D2958" s="9"/>
      <c r="E2958" s="42"/>
      <c r="F2958" s="43"/>
      <c r="G2958" s="27" t="str">
        <f aca="false">IF(OR(C2958="",AND(D2958="",F2958="")),"",IF(N(E2958)=0,1,E2958)*IF(F2958="",IFERROR(N(INDEX(Produtos!$L$5:$L$104,MATCH(D2958,Produtos!$B$5:$B$104,0))),0),F2958))</f>
        <v/>
      </c>
      <c r="H2958" s="27" t="str">
        <f aca="false">IF(G2958="","",IF(N(E2958)=0,1,E2958)*IFERROR(N(INDEX(Produtos!$G$5:$G$104,MATCH(D2958,Produtos!$B$5:$B$104,0))),0))</f>
        <v/>
      </c>
      <c r="I2958" s="27" t="str">
        <f aca="false">IF(G2958="","",G2958-H2958)</f>
        <v/>
      </c>
      <c r="J2958" s="42"/>
    </row>
    <row r="2959" customFormat="false" ht="21" hidden="false" customHeight="true" outlineLevel="0" collapsed="false">
      <c r="B2959" s="41"/>
      <c r="C2959" s="9"/>
      <c r="D2959" s="9"/>
      <c r="E2959" s="42"/>
      <c r="F2959" s="43"/>
      <c r="G2959" s="27" t="str">
        <f aca="false">IF(OR(C2959="",AND(D2959="",F2959="")),"",IF(N(E2959)=0,1,E2959)*IF(F2959="",IFERROR(N(INDEX(Produtos!$L$5:$L$104,MATCH(D2959,Produtos!$B$5:$B$104,0))),0),F2959))</f>
        <v/>
      </c>
      <c r="H2959" s="27" t="str">
        <f aca="false">IF(G2959="","",IF(N(E2959)=0,1,E2959)*IFERROR(N(INDEX(Produtos!$G$5:$G$104,MATCH(D2959,Produtos!$B$5:$B$104,0))),0))</f>
        <v/>
      </c>
      <c r="I2959" s="27" t="str">
        <f aca="false">IF(G2959="","",G2959-H2959)</f>
        <v/>
      </c>
      <c r="J2959" s="42"/>
    </row>
    <row r="2960" customFormat="false" ht="21" hidden="false" customHeight="true" outlineLevel="0" collapsed="false">
      <c r="B2960" s="41"/>
      <c r="C2960" s="9"/>
      <c r="D2960" s="9"/>
      <c r="E2960" s="42"/>
      <c r="F2960" s="43"/>
      <c r="G2960" s="27" t="str">
        <f aca="false">IF(OR(C2960="",AND(D2960="",F2960="")),"",IF(N(E2960)=0,1,E2960)*IF(F2960="",IFERROR(N(INDEX(Produtos!$L$5:$L$104,MATCH(D2960,Produtos!$B$5:$B$104,0))),0),F2960))</f>
        <v/>
      </c>
      <c r="H2960" s="27" t="str">
        <f aca="false">IF(G2960="","",IF(N(E2960)=0,1,E2960)*IFERROR(N(INDEX(Produtos!$G$5:$G$104,MATCH(D2960,Produtos!$B$5:$B$104,0))),0))</f>
        <v/>
      </c>
      <c r="I2960" s="27" t="str">
        <f aca="false">IF(G2960="","",G2960-H2960)</f>
        <v/>
      </c>
      <c r="J2960" s="42"/>
    </row>
    <row r="2961" customFormat="false" ht="21" hidden="false" customHeight="true" outlineLevel="0" collapsed="false">
      <c r="B2961" s="41"/>
      <c r="C2961" s="9"/>
      <c r="D2961" s="9"/>
      <c r="E2961" s="42"/>
      <c r="F2961" s="43"/>
      <c r="G2961" s="27" t="str">
        <f aca="false">IF(OR(C2961="",AND(D2961="",F2961="")),"",IF(N(E2961)=0,1,E2961)*IF(F2961="",IFERROR(N(INDEX(Produtos!$L$5:$L$104,MATCH(D2961,Produtos!$B$5:$B$104,0))),0),F2961))</f>
        <v/>
      </c>
      <c r="H2961" s="27" t="str">
        <f aca="false">IF(G2961="","",IF(N(E2961)=0,1,E2961)*IFERROR(N(INDEX(Produtos!$G$5:$G$104,MATCH(D2961,Produtos!$B$5:$B$104,0))),0))</f>
        <v/>
      </c>
      <c r="I2961" s="27" t="str">
        <f aca="false">IF(G2961="","",G2961-H2961)</f>
        <v/>
      </c>
      <c r="J2961" s="42"/>
    </row>
    <row r="2962" customFormat="false" ht="21" hidden="false" customHeight="true" outlineLevel="0" collapsed="false">
      <c r="B2962" s="41"/>
      <c r="C2962" s="9"/>
      <c r="D2962" s="9"/>
      <c r="E2962" s="42"/>
      <c r="F2962" s="43"/>
      <c r="G2962" s="27" t="str">
        <f aca="false">IF(OR(C2962="",AND(D2962="",F2962="")),"",IF(N(E2962)=0,1,E2962)*IF(F2962="",IFERROR(N(INDEX(Produtos!$L$5:$L$104,MATCH(D2962,Produtos!$B$5:$B$104,0))),0),F2962))</f>
        <v/>
      </c>
      <c r="H2962" s="27" t="str">
        <f aca="false">IF(G2962="","",IF(N(E2962)=0,1,E2962)*IFERROR(N(INDEX(Produtos!$G$5:$G$104,MATCH(D2962,Produtos!$B$5:$B$104,0))),0))</f>
        <v/>
      </c>
      <c r="I2962" s="27" t="str">
        <f aca="false">IF(G2962="","",G2962-H2962)</f>
        <v/>
      </c>
      <c r="J2962" s="42"/>
    </row>
    <row r="2963" customFormat="false" ht="21" hidden="false" customHeight="true" outlineLevel="0" collapsed="false">
      <c r="B2963" s="41"/>
      <c r="C2963" s="9"/>
      <c r="D2963" s="9"/>
      <c r="E2963" s="42"/>
      <c r="F2963" s="43"/>
      <c r="G2963" s="27" t="str">
        <f aca="false">IF(OR(C2963="",AND(D2963="",F2963="")),"",IF(N(E2963)=0,1,E2963)*IF(F2963="",IFERROR(N(INDEX(Produtos!$L$5:$L$104,MATCH(D2963,Produtos!$B$5:$B$104,0))),0),F2963))</f>
        <v/>
      </c>
      <c r="H2963" s="27" t="str">
        <f aca="false">IF(G2963="","",IF(N(E2963)=0,1,E2963)*IFERROR(N(INDEX(Produtos!$G$5:$G$104,MATCH(D2963,Produtos!$B$5:$B$104,0))),0))</f>
        <v/>
      </c>
      <c r="I2963" s="27" t="str">
        <f aca="false">IF(G2963="","",G2963-H2963)</f>
        <v/>
      </c>
      <c r="J2963" s="42"/>
    </row>
    <row r="2964" customFormat="false" ht="21" hidden="false" customHeight="true" outlineLevel="0" collapsed="false">
      <c r="B2964" s="41"/>
      <c r="C2964" s="9"/>
      <c r="D2964" s="9"/>
      <c r="E2964" s="42"/>
      <c r="F2964" s="43"/>
      <c r="G2964" s="27" t="str">
        <f aca="false">IF(OR(C2964="",AND(D2964="",F2964="")),"",IF(N(E2964)=0,1,E2964)*IF(F2964="",IFERROR(N(INDEX(Produtos!$L$5:$L$104,MATCH(D2964,Produtos!$B$5:$B$104,0))),0),F2964))</f>
        <v/>
      </c>
      <c r="H2964" s="27" t="str">
        <f aca="false">IF(G2964="","",IF(N(E2964)=0,1,E2964)*IFERROR(N(INDEX(Produtos!$G$5:$G$104,MATCH(D2964,Produtos!$B$5:$B$104,0))),0))</f>
        <v/>
      </c>
      <c r="I2964" s="27" t="str">
        <f aca="false">IF(G2964="","",G2964-H2964)</f>
        <v/>
      </c>
      <c r="J2964" s="42"/>
    </row>
    <row r="2965" customFormat="false" ht="21" hidden="false" customHeight="true" outlineLevel="0" collapsed="false">
      <c r="B2965" s="41"/>
      <c r="C2965" s="9"/>
      <c r="D2965" s="9"/>
      <c r="E2965" s="42"/>
      <c r="F2965" s="43"/>
      <c r="G2965" s="27" t="str">
        <f aca="false">IF(OR(C2965="",AND(D2965="",F2965="")),"",IF(N(E2965)=0,1,E2965)*IF(F2965="",IFERROR(N(INDEX(Produtos!$L$5:$L$104,MATCH(D2965,Produtos!$B$5:$B$104,0))),0),F2965))</f>
        <v/>
      </c>
      <c r="H2965" s="27" t="str">
        <f aca="false">IF(G2965="","",IF(N(E2965)=0,1,E2965)*IFERROR(N(INDEX(Produtos!$G$5:$G$104,MATCH(D2965,Produtos!$B$5:$B$104,0))),0))</f>
        <v/>
      </c>
      <c r="I2965" s="27" t="str">
        <f aca="false">IF(G2965="","",G2965-H2965)</f>
        <v/>
      </c>
      <c r="J2965" s="42"/>
    </row>
    <row r="2966" customFormat="false" ht="21" hidden="false" customHeight="true" outlineLevel="0" collapsed="false">
      <c r="B2966" s="41"/>
      <c r="C2966" s="9"/>
      <c r="D2966" s="9"/>
      <c r="E2966" s="42"/>
      <c r="F2966" s="43"/>
      <c r="G2966" s="27" t="str">
        <f aca="false">IF(OR(C2966="",AND(D2966="",F2966="")),"",IF(N(E2966)=0,1,E2966)*IF(F2966="",IFERROR(N(INDEX(Produtos!$L$5:$L$104,MATCH(D2966,Produtos!$B$5:$B$104,0))),0),F2966))</f>
        <v/>
      </c>
      <c r="H2966" s="27" t="str">
        <f aca="false">IF(G2966="","",IF(N(E2966)=0,1,E2966)*IFERROR(N(INDEX(Produtos!$G$5:$G$104,MATCH(D2966,Produtos!$B$5:$B$104,0))),0))</f>
        <v/>
      </c>
      <c r="I2966" s="27" t="str">
        <f aca="false">IF(G2966="","",G2966-H2966)</f>
        <v/>
      </c>
      <c r="J2966" s="42"/>
    </row>
    <row r="2967" customFormat="false" ht="21" hidden="false" customHeight="true" outlineLevel="0" collapsed="false">
      <c r="B2967" s="41"/>
      <c r="C2967" s="9"/>
      <c r="D2967" s="9"/>
      <c r="E2967" s="42"/>
      <c r="F2967" s="43"/>
      <c r="G2967" s="27" t="str">
        <f aca="false">IF(OR(C2967="",AND(D2967="",F2967="")),"",IF(N(E2967)=0,1,E2967)*IF(F2967="",IFERROR(N(INDEX(Produtos!$L$5:$L$104,MATCH(D2967,Produtos!$B$5:$B$104,0))),0),F2967))</f>
        <v/>
      </c>
      <c r="H2967" s="27" t="str">
        <f aca="false">IF(G2967="","",IF(N(E2967)=0,1,E2967)*IFERROR(N(INDEX(Produtos!$G$5:$G$104,MATCH(D2967,Produtos!$B$5:$B$104,0))),0))</f>
        <v/>
      </c>
      <c r="I2967" s="27" t="str">
        <f aca="false">IF(G2967="","",G2967-H2967)</f>
        <v/>
      </c>
      <c r="J2967" s="42"/>
    </row>
    <row r="2968" customFormat="false" ht="21" hidden="false" customHeight="true" outlineLevel="0" collapsed="false">
      <c r="B2968" s="41"/>
      <c r="C2968" s="9"/>
      <c r="D2968" s="9"/>
      <c r="E2968" s="42"/>
      <c r="F2968" s="43"/>
      <c r="G2968" s="27" t="str">
        <f aca="false">IF(OR(C2968="",AND(D2968="",F2968="")),"",IF(N(E2968)=0,1,E2968)*IF(F2968="",IFERROR(N(INDEX(Produtos!$L$5:$L$104,MATCH(D2968,Produtos!$B$5:$B$104,0))),0),F2968))</f>
        <v/>
      </c>
      <c r="H2968" s="27" t="str">
        <f aca="false">IF(G2968="","",IF(N(E2968)=0,1,E2968)*IFERROR(N(INDEX(Produtos!$G$5:$G$104,MATCH(D2968,Produtos!$B$5:$B$104,0))),0))</f>
        <v/>
      </c>
      <c r="I2968" s="27" t="str">
        <f aca="false">IF(G2968="","",G2968-H2968)</f>
        <v/>
      </c>
      <c r="J2968" s="42"/>
    </row>
    <row r="2969" customFormat="false" ht="21" hidden="false" customHeight="true" outlineLevel="0" collapsed="false">
      <c r="B2969" s="41"/>
      <c r="C2969" s="9"/>
      <c r="D2969" s="9"/>
      <c r="E2969" s="42"/>
      <c r="F2969" s="43"/>
      <c r="G2969" s="27" t="str">
        <f aca="false">IF(OR(C2969="",AND(D2969="",F2969="")),"",IF(N(E2969)=0,1,E2969)*IF(F2969="",IFERROR(N(INDEX(Produtos!$L$5:$L$104,MATCH(D2969,Produtos!$B$5:$B$104,0))),0),F2969))</f>
        <v/>
      </c>
      <c r="H2969" s="27" t="str">
        <f aca="false">IF(G2969="","",IF(N(E2969)=0,1,E2969)*IFERROR(N(INDEX(Produtos!$G$5:$G$104,MATCH(D2969,Produtos!$B$5:$B$104,0))),0))</f>
        <v/>
      </c>
      <c r="I2969" s="27" t="str">
        <f aca="false">IF(G2969="","",G2969-H2969)</f>
        <v/>
      </c>
      <c r="J2969" s="42"/>
    </row>
    <row r="2970" customFormat="false" ht="21" hidden="false" customHeight="true" outlineLevel="0" collapsed="false">
      <c r="B2970" s="41"/>
      <c r="C2970" s="9"/>
      <c r="D2970" s="9"/>
      <c r="E2970" s="42"/>
      <c r="F2970" s="43"/>
      <c r="G2970" s="27" t="str">
        <f aca="false">IF(OR(C2970="",AND(D2970="",F2970="")),"",IF(N(E2970)=0,1,E2970)*IF(F2970="",IFERROR(N(INDEX(Produtos!$L$5:$L$104,MATCH(D2970,Produtos!$B$5:$B$104,0))),0),F2970))</f>
        <v/>
      </c>
      <c r="H2970" s="27" t="str">
        <f aca="false">IF(G2970="","",IF(N(E2970)=0,1,E2970)*IFERROR(N(INDEX(Produtos!$G$5:$G$104,MATCH(D2970,Produtos!$B$5:$B$104,0))),0))</f>
        <v/>
      </c>
      <c r="I2970" s="27" t="str">
        <f aca="false">IF(G2970="","",G2970-H2970)</f>
        <v/>
      </c>
      <c r="J2970" s="42"/>
    </row>
    <row r="2971" customFormat="false" ht="21" hidden="false" customHeight="true" outlineLevel="0" collapsed="false">
      <c r="B2971" s="41"/>
      <c r="C2971" s="9"/>
      <c r="D2971" s="9"/>
      <c r="E2971" s="42"/>
      <c r="F2971" s="43"/>
      <c r="G2971" s="27" t="str">
        <f aca="false">IF(OR(C2971="",AND(D2971="",F2971="")),"",IF(N(E2971)=0,1,E2971)*IF(F2971="",IFERROR(N(INDEX(Produtos!$L$5:$L$104,MATCH(D2971,Produtos!$B$5:$B$104,0))),0),F2971))</f>
        <v/>
      </c>
      <c r="H2971" s="27" t="str">
        <f aca="false">IF(G2971="","",IF(N(E2971)=0,1,E2971)*IFERROR(N(INDEX(Produtos!$G$5:$G$104,MATCH(D2971,Produtos!$B$5:$B$104,0))),0))</f>
        <v/>
      </c>
      <c r="I2971" s="27" t="str">
        <f aca="false">IF(G2971="","",G2971-H2971)</f>
        <v/>
      </c>
      <c r="J2971" s="42"/>
    </row>
    <row r="2972" customFormat="false" ht="21" hidden="false" customHeight="true" outlineLevel="0" collapsed="false">
      <c r="B2972" s="41"/>
      <c r="C2972" s="9"/>
      <c r="D2972" s="9"/>
      <c r="E2972" s="42"/>
      <c r="F2972" s="43"/>
      <c r="G2972" s="27" t="str">
        <f aca="false">IF(OR(C2972="",AND(D2972="",F2972="")),"",IF(N(E2972)=0,1,E2972)*IF(F2972="",IFERROR(N(INDEX(Produtos!$L$5:$L$104,MATCH(D2972,Produtos!$B$5:$B$104,0))),0),F2972))</f>
        <v/>
      </c>
      <c r="H2972" s="27" t="str">
        <f aca="false">IF(G2972="","",IF(N(E2972)=0,1,E2972)*IFERROR(N(INDEX(Produtos!$G$5:$G$104,MATCH(D2972,Produtos!$B$5:$B$104,0))),0))</f>
        <v/>
      </c>
      <c r="I2972" s="27" t="str">
        <f aca="false">IF(G2972="","",G2972-H2972)</f>
        <v/>
      </c>
      <c r="J2972" s="42"/>
    </row>
    <row r="2973" customFormat="false" ht="21" hidden="false" customHeight="true" outlineLevel="0" collapsed="false">
      <c r="B2973" s="41"/>
      <c r="C2973" s="9"/>
      <c r="D2973" s="9"/>
      <c r="E2973" s="42"/>
      <c r="F2973" s="43"/>
      <c r="G2973" s="27" t="str">
        <f aca="false">IF(OR(C2973="",AND(D2973="",F2973="")),"",IF(N(E2973)=0,1,E2973)*IF(F2973="",IFERROR(N(INDEX(Produtos!$L$5:$L$104,MATCH(D2973,Produtos!$B$5:$B$104,0))),0),F2973))</f>
        <v/>
      </c>
      <c r="H2973" s="27" t="str">
        <f aca="false">IF(G2973="","",IF(N(E2973)=0,1,E2973)*IFERROR(N(INDEX(Produtos!$G$5:$G$104,MATCH(D2973,Produtos!$B$5:$B$104,0))),0))</f>
        <v/>
      </c>
      <c r="I2973" s="27" t="str">
        <f aca="false">IF(G2973="","",G2973-H2973)</f>
        <v/>
      </c>
      <c r="J2973" s="42"/>
    </row>
    <row r="2974" customFormat="false" ht="21" hidden="false" customHeight="true" outlineLevel="0" collapsed="false">
      <c r="B2974" s="41"/>
      <c r="C2974" s="9"/>
      <c r="D2974" s="9"/>
      <c r="E2974" s="42"/>
      <c r="F2974" s="43"/>
      <c r="G2974" s="27" t="str">
        <f aca="false">IF(OR(C2974="",AND(D2974="",F2974="")),"",IF(N(E2974)=0,1,E2974)*IF(F2974="",IFERROR(N(INDEX(Produtos!$L$5:$L$104,MATCH(D2974,Produtos!$B$5:$B$104,0))),0),F2974))</f>
        <v/>
      </c>
      <c r="H2974" s="27" t="str">
        <f aca="false">IF(G2974="","",IF(N(E2974)=0,1,E2974)*IFERROR(N(INDEX(Produtos!$G$5:$G$104,MATCH(D2974,Produtos!$B$5:$B$104,0))),0))</f>
        <v/>
      </c>
      <c r="I2974" s="27" t="str">
        <f aca="false">IF(G2974="","",G2974-H2974)</f>
        <v/>
      </c>
      <c r="J2974" s="42"/>
    </row>
    <row r="2975" customFormat="false" ht="21" hidden="false" customHeight="true" outlineLevel="0" collapsed="false">
      <c r="B2975" s="41"/>
      <c r="C2975" s="9"/>
      <c r="D2975" s="9"/>
      <c r="E2975" s="42"/>
      <c r="F2975" s="43"/>
      <c r="G2975" s="27" t="str">
        <f aca="false">IF(OR(C2975="",AND(D2975="",F2975="")),"",IF(N(E2975)=0,1,E2975)*IF(F2975="",IFERROR(N(INDEX(Produtos!$L$5:$L$104,MATCH(D2975,Produtos!$B$5:$B$104,0))),0),F2975))</f>
        <v/>
      </c>
      <c r="H2975" s="27" t="str">
        <f aca="false">IF(G2975="","",IF(N(E2975)=0,1,E2975)*IFERROR(N(INDEX(Produtos!$G$5:$G$104,MATCH(D2975,Produtos!$B$5:$B$104,0))),0))</f>
        <v/>
      </c>
      <c r="I2975" s="27" t="str">
        <f aca="false">IF(G2975="","",G2975-H2975)</f>
        <v/>
      </c>
      <c r="J2975" s="42"/>
    </row>
    <row r="2976" customFormat="false" ht="21" hidden="false" customHeight="true" outlineLevel="0" collapsed="false">
      <c r="B2976" s="41"/>
      <c r="C2976" s="9"/>
      <c r="D2976" s="9"/>
      <c r="E2976" s="42"/>
      <c r="F2976" s="43"/>
      <c r="G2976" s="27" t="str">
        <f aca="false">IF(OR(C2976="",AND(D2976="",F2976="")),"",IF(N(E2976)=0,1,E2976)*IF(F2976="",IFERROR(N(INDEX(Produtos!$L$5:$L$104,MATCH(D2976,Produtos!$B$5:$B$104,0))),0),F2976))</f>
        <v/>
      </c>
      <c r="H2976" s="27" t="str">
        <f aca="false">IF(G2976="","",IF(N(E2976)=0,1,E2976)*IFERROR(N(INDEX(Produtos!$G$5:$G$104,MATCH(D2976,Produtos!$B$5:$B$104,0))),0))</f>
        <v/>
      </c>
      <c r="I2976" s="27" t="str">
        <f aca="false">IF(G2976="","",G2976-H2976)</f>
        <v/>
      </c>
      <c r="J2976" s="42"/>
    </row>
    <row r="2977" customFormat="false" ht="21" hidden="false" customHeight="true" outlineLevel="0" collapsed="false">
      <c r="B2977" s="41"/>
      <c r="C2977" s="9"/>
      <c r="D2977" s="9"/>
      <c r="E2977" s="42"/>
      <c r="F2977" s="43"/>
      <c r="G2977" s="27" t="str">
        <f aca="false">IF(OR(C2977="",AND(D2977="",F2977="")),"",IF(N(E2977)=0,1,E2977)*IF(F2977="",IFERROR(N(INDEX(Produtos!$L$5:$L$104,MATCH(D2977,Produtos!$B$5:$B$104,0))),0),F2977))</f>
        <v/>
      </c>
      <c r="H2977" s="27" t="str">
        <f aca="false">IF(G2977="","",IF(N(E2977)=0,1,E2977)*IFERROR(N(INDEX(Produtos!$G$5:$G$104,MATCH(D2977,Produtos!$B$5:$B$104,0))),0))</f>
        <v/>
      </c>
      <c r="I2977" s="27" t="str">
        <f aca="false">IF(G2977="","",G2977-H2977)</f>
        <v/>
      </c>
      <c r="J2977" s="42"/>
    </row>
    <row r="2978" customFormat="false" ht="21" hidden="false" customHeight="true" outlineLevel="0" collapsed="false">
      <c r="B2978" s="41"/>
      <c r="C2978" s="9"/>
      <c r="D2978" s="9"/>
      <c r="E2978" s="42"/>
      <c r="F2978" s="43"/>
      <c r="G2978" s="27" t="str">
        <f aca="false">IF(OR(C2978="",AND(D2978="",F2978="")),"",IF(N(E2978)=0,1,E2978)*IF(F2978="",IFERROR(N(INDEX(Produtos!$L$5:$L$104,MATCH(D2978,Produtos!$B$5:$B$104,0))),0),F2978))</f>
        <v/>
      </c>
      <c r="H2978" s="27" t="str">
        <f aca="false">IF(G2978="","",IF(N(E2978)=0,1,E2978)*IFERROR(N(INDEX(Produtos!$G$5:$G$104,MATCH(D2978,Produtos!$B$5:$B$104,0))),0))</f>
        <v/>
      </c>
      <c r="I2978" s="27" t="str">
        <f aca="false">IF(G2978="","",G2978-H2978)</f>
        <v/>
      </c>
      <c r="J2978" s="42"/>
    </row>
    <row r="2979" customFormat="false" ht="21" hidden="false" customHeight="true" outlineLevel="0" collapsed="false">
      <c r="B2979" s="41"/>
      <c r="C2979" s="9"/>
      <c r="D2979" s="9"/>
      <c r="E2979" s="42"/>
      <c r="F2979" s="43"/>
      <c r="G2979" s="27" t="str">
        <f aca="false">IF(OR(C2979="",AND(D2979="",F2979="")),"",IF(N(E2979)=0,1,E2979)*IF(F2979="",IFERROR(N(INDEX(Produtos!$L$5:$L$104,MATCH(D2979,Produtos!$B$5:$B$104,0))),0),F2979))</f>
        <v/>
      </c>
      <c r="H2979" s="27" t="str">
        <f aca="false">IF(G2979="","",IF(N(E2979)=0,1,E2979)*IFERROR(N(INDEX(Produtos!$G$5:$G$104,MATCH(D2979,Produtos!$B$5:$B$104,0))),0))</f>
        <v/>
      </c>
      <c r="I2979" s="27" t="str">
        <f aca="false">IF(G2979="","",G2979-H2979)</f>
        <v/>
      </c>
      <c r="J2979" s="42"/>
    </row>
    <row r="2980" customFormat="false" ht="21" hidden="false" customHeight="true" outlineLevel="0" collapsed="false">
      <c r="B2980" s="41"/>
      <c r="C2980" s="9"/>
      <c r="D2980" s="9"/>
      <c r="E2980" s="42"/>
      <c r="F2980" s="43"/>
      <c r="G2980" s="27" t="str">
        <f aca="false">IF(OR(C2980="",AND(D2980="",F2980="")),"",IF(N(E2980)=0,1,E2980)*IF(F2980="",IFERROR(N(INDEX(Produtos!$L$5:$L$104,MATCH(D2980,Produtos!$B$5:$B$104,0))),0),F2980))</f>
        <v/>
      </c>
      <c r="H2980" s="27" t="str">
        <f aca="false">IF(G2980="","",IF(N(E2980)=0,1,E2980)*IFERROR(N(INDEX(Produtos!$G$5:$G$104,MATCH(D2980,Produtos!$B$5:$B$104,0))),0))</f>
        <v/>
      </c>
      <c r="I2980" s="27" t="str">
        <f aca="false">IF(G2980="","",G2980-H2980)</f>
        <v/>
      </c>
      <c r="J2980" s="42"/>
    </row>
    <row r="2981" customFormat="false" ht="21" hidden="false" customHeight="true" outlineLevel="0" collapsed="false">
      <c r="B2981" s="41"/>
      <c r="C2981" s="9"/>
      <c r="D2981" s="9"/>
      <c r="E2981" s="42"/>
      <c r="F2981" s="43"/>
      <c r="G2981" s="27" t="str">
        <f aca="false">IF(OR(C2981="",AND(D2981="",F2981="")),"",IF(N(E2981)=0,1,E2981)*IF(F2981="",IFERROR(N(INDEX(Produtos!$L$5:$L$104,MATCH(D2981,Produtos!$B$5:$B$104,0))),0),F2981))</f>
        <v/>
      </c>
      <c r="H2981" s="27" t="str">
        <f aca="false">IF(G2981="","",IF(N(E2981)=0,1,E2981)*IFERROR(N(INDEX(Produtos!$G$5:$G$104,MATCH(D2981,Produtos!$B$5:$B$104,0))),0))</f>
        <v/>
      </c>
      <c r="I2981" s="27" t="str">
        <f aca="false">IF(G2981="","",G2981-H2981)</f>
        <v/>
      </c>
      <c r="J2981" s="42"/>
    </row>
    <row r="2982" customFormat="false" ht="21" hidden="false" customHeight="true" outlineLevel="0" collapsed="false">
      <c r="B2982" s="41"/>
      <c r="C2982" s="9"/>
      <c r="D2982" s="9"/>
      <c r="E2982" s="42"/>
      <c r="F2982" s="43"/>
      <c r="G2982" s="27" t="str">
        <f aca="false">IF(OR(C2982="",AND(D2982="",F2982="")),"",IF(N(E2982)=0,1,E2982)*IF(F2982="",IFERROR(N(INDEX(Produtos!$L$5:$L$104,MATCH(D2982,Produtos!$B$5:$B$104,0))),0),F2982))</f>
        <v/>
      </c>
      <c r="H2982" s="27" t="str">
        <f aca="false">IF(G2982="","",IF(N(E2982)=0,1,E2982)*IFERROR(N(INDEX(Produtos!$G$5:$G$104,MATCH(D2982,Produtos!$B$5:$B$104,0))),0))</f>
        <v/>
      </c>
      <c r="I2982" s="27" t="str">
        <f aca="false">IF(G2982="","",G2982-H2982)</f>
        <v/>
      </c>
      <c r="J2982" s="42"/>
    </row>
    <row r="2983" customFormat="false" ht="21" hidden="false" customHeight="true" outlineLevel="0" collapsed="false">
      <c r="B2983" s="41"/>
      <c r="C2983" s="9"/>
      <c r="D2983" s="9"/>
      <c r="E2983" s="42"/>
      <c r="F2983" s="43"/>
      <c r="G2983" s="27" t="str">
        <f aca="false">IF(OR(C2983="",AND(D2983="",F2983="")),"",IF(N(E2983)=0,1,E2983)*IF(F2983="",IFERROR(N(INDEX(Produtos!$L$5:$L$104,MATCH(D2983,Produtos!$B$5:$B$104,0))),0),F2983))</f>
        <v/>
      </c>
      <c r="H2983" s="27" t="str">
        <f aca="false">IF(G2983="","",IF(N(E2983)=0,1,E2983)*IFERROR(N(INDEX(Produtos!$G$5:$G$104,MATCH(D2983,Produtos!$B$5:$B$104,0))),0))</f>
        <v/>
      </c>
      <c r="I2983" s="27" t="str">
        <f aca="false">IF(G2983="","",G2983-H2983)</f>
        <v/>
      </c>
      <c r="J2983" s="42"/>
    </row>
    <row r="2984" customFormat="false" ht="21" hidden="false" customHeight="true" outlineLevel="0" collapsed="false">
      <c r="B2984" s="41"/>
      <c r="C2984" s="9"/>
      <c r="D2984" s="9"/>
      <c r="E2984" s="42"/>
      <c r="F2984" s="43"/>
      <c r="G2984" s="27" t="str">
        <f aca="false">IF(OR(C2984="",AND(D2984="",F2984="")),"",IF(N(E2984)=0,1,E2984)*IF(F2984="",IFERROR(N(INDEX(Produtos!$L$5:$L$104,MATCH(D2984,Produtos!$B$5:$B$104,0))),0),F2984))</f>
        <v/>
      </c>
      <c r="H2984" s="27" t="str">
        <f aca="false">IF(G2984="","",IF(N(E2984)=0,1,E2984)*IFERROR(N(INDEX(Produtos!$G$5:$G$104,MATCH(D2984,Produtos!$B$5:$B$104,0))),0))</f>
        <v/>
      </c>
      <c r="I2984" s="27" t="str">
        <f aca="false">IF(G2984="","",G2984-H2984)</f>
        <v/>
      </c>
      <c r="J2984" s="42"/>
    </row>
    <row r="2985" customFormat="false" ht="21" hidden="false" customHeight="true" outlineLevel="0" collapsed="false">
      <c r="B2985" s="41"/>
      <c r="C2985" s="9"/>
      <c r="D2985" s="9"/>
      <c r="E2985" s="42"/>
      <c r="F2985" s="43"/>
      <c r="G2985" s="27" t="str">
        <f aca="false">IF(OR(C2985="",AND(D2985="",F2985="")),"",IF(N(E2985)=0,1,E2985)*IF(F2985="",IFERROR(N(INDEX(Produtos!$L$5:$L$104,MATCH(D2985,Produtos!$B$5:$B$104,0))),0),F2985))</f>
        <v/>
      </c>
      <c r="H2985" s="27" t="str">
        <f aca="false">IF(G2985="","",IF(N(E2985)=0,1,E2985)*IFERROR(N(INDEX(Produtos!$G$5:$G$104,MATCH(D2985,Produtos!$B$5:$B$104,0))),0))</f>
        <v/>
      </c>
      <c r="I2985" s="27" t="str">
        <f aca="false">IF(G2985="","",G2985-H2985)</f>
        <v/>
      </c>
      <c r="J2985" s="42"/>
    </row>
    <row r="2986" customFormat="false" ht="21" hidden="false" customHeight="true" outlineLevel="0" collapsed="false">
      <c r="B2986" s="41"/>
      <c r="C2986" s="9"/>
      <c r="D2986" s="9"/>
      <c r="E2986" s="42"/>
      <c r="F2986" s="43"/>
      <c r="G2986" s="27" t="str">
        <f aca="false">IF(OR(C2986="",AND(D2986="",F2986="")),"",IF(N(E2986)=0,1,E2986)*IF(F2986="",IFERROR(N(INDEX(Produtos!$L$5:$L$104,MATCH(D2986,Produtos!$B$5:$B$104,0))),0),F2986))</f>
        <v/>
      </c>
      <c r="H2986" s="27" t="str">
        <f aca="false">IF(G2986="","",IF(N(E2986)=0,1,E2986)*IFERROR(N(INDEX(Produtos!$G$5:$G$104,MATCH(D2986,Produtos!$B$5:$B$104,0))),0))</f>
        <v/>
      </c>
      <c r="I2986" s="27" t="str">
        <f aca="false">IF(G2986="","",G2986-H2986)</f>
        <v/>
      </c>
      <c r="J2986" s="42"/>
    </row>
    <row r="2987" customFormat="false" ht="21" hidden="false" customHeight="true" outlineLevel="0" collapsed="false">
      <c r="B2987" s="41"/>
      <c r="C2987" s="9"/>
      <c r="D2987" s="9"/>
      <c r="E2987" s="42"/>
      <c r="F2987" s="43"/>
      <c r="G2987" s="27" t="str">
        <f aca="false">IF(OR(C2987="",AND(D2987="",F2987="")),"",IF(N(E2987)=0,1,E2987)*IF(F2987="",IFERROR(N(INDEX(Produtos!$L$5:$L$104,MATCH(D2987,Produtos!$B$5:$B$104,0))),0),F2987))</f>
        <v/>
      </c>
      <c r="H2987" s="27" t="str">
        <f aca="false">IF(G2987="","",IF(N(E2987)=0,1,E2987)*IFERROR(N(INDEX(Produtos!$G$5:$G$104,MATCH(D2987,Produtos!$B$5:$B$104,0))),0))</f>
        <v/>
      </c>
      <c r="I2987" s="27" t="str">
        <f aca="false">IF(G2987="","",G2987-H2987)</f>
        <v/>
      </c>
      <c r="J2987" s="42"/>
    </row>
    <row r="2988" customFormat="false" ht="21" hidden="false" customHeight="true" outlineLevel="0" collapsed="false">
      <c r="B2988" s="41"/>
      <c r="C2988" s="9"/>
      <c r="D2988" s="9"/>
      <c r="E2988" s="42"/>
      <c r="F2988" s="43"/>
      <c r="G2988" s="27" t="str">
        <f aca="false">IF(OR(C2988="",AND(D2988="",F2988="")),"",IF(N(E2988)=0,1,E2988)*IF(F2988="",IFERROR(N(INDEX(Produtos!$L$5:$L$104,MATCH(D2988,Produtos!$B$5:$B$104,0))),0),F2988))</f>
        <v/>
      </c>
      <c r="H2988" s="27" t="str">
        <f aca="false">IF(G2988="","",IF(N(E2988)=0,1,E2988)*IFERROR(N(INDEX(Produtos!$G$5:$G$104,MATCH(D2988,Produtos!$B$5:$B$104,0))),0))</f>
        <v/>
      </c>
      <c r="I2988" s="27" t="str">
        <f aca="false">IF(G2988="","",G2988-H2988)</f>
        <v/>
      </c>
      <c r="J2988" s="42"/>
    </row>
    <row r="2989" customFormat="false" ht="21" hidden="false" customHeight="true" outlineLevel="0" collapsed="false">
      <c r="B2989" s="41"/>
      <c r="C2989" s="9"/>
      <c r="D2989" s="9"/>
      <c r="E2989" s="42"/>
      <c r="F2989" s="43"/>
      <c r="G2989" s="27" t="str">
        <f aca="false">IF(OR(C2989="",AND(D2989="",F2989="")),"",IF(N(E2989)=0,1,E2989)*IF(F2989="",IFERROR(N(INDEX(Produtos!$L$5:$L$104,MATCH(D2989,Produtos!$B$5:$B$104,0))),0),F2989))</f>
        <v/>
      </c>
      <c r="H2989" s="27" t="str">
        <f aca="false">IF(G2989="","",IF(N(E2989)=0,1,E2989)*IFERROR(N(INDEX(Produtos!$G$5:$G$104,MATCH(D2989,Produtos!$B$5:$B$104,0))),0))</f>
        <v/>
      </c>
      <c r="I2989" s="27" t="str">
        <f aca="false">IF(G2989="","",G2989-H2989)</f>
        <v/>
      </c>
      <c r="J2989" s="42"/>
    </row>
    <row r="2990" customFormat="false" ht="21" hidden="false" customHeight="true" outlineLevel="0" collapsed="false">
      <c r="B2990" s="41"/>
      <c r="C2990" s="9"/>
      <c r="D2990" s="9"/>
      <c r="E2990" s="42"/>
      <c r="F2990" s="43"/>
      <c r="G2990" s="27" t="str">
        <f aca="false">IF(OR(C2990="",AND(D2990="",F2990="")),"",IF(N(E2990)=0,1,E2990)*IF(F2990="",IFERROR(N(INDEX(Produtos!$L$5:$L$104,MATCH(D2990,Produtos!$B$5:$B$104,0))),0),F2990))</f>
        <v/>
      </c>
      <c r="H2990" s="27" t="str">
        <f aca="false">IF(G2990="","",IF(N(E2990)=0,1,E2990)*IFERROR(N(INDEX(Produtos!$G$5:$G$104,MATCH(D2990,Produtos!$B$5:$B$104,0))),0))</f>
        <v/>
      </c>
      <c r="I2990" s="27" t="str">
        <f aca="false">IF(G2990="","",G2990-H2990)</f>
        <v/>
      </c>
      <c r="J2990" s="42"/>
    </row>
    <row r="2991" customFormat="false" ht="21" hidden="false" customHeight="true" outlineLevel="0" collapsed="false">
      <c r="B2991" s="41"/>
      <c r="C2991" s="9"/>
      <c r="D2991" s="9"/>
      <c r="E2991" s="42"/>
      <c r="F2991" s="43"/>
      <c r="G2991" s="27" t="str">
        <f aca="false">IF(OR(C2991="",AND(D2991="",F2991="")),"",IF(N(E2991)=0,1,E2991)*IF(F2991="",IFERROR(N(INDEX(Produtos!$L$5:$L$104,MATCH(D2991,Produtos!$B$5:$B$104,0))),0),F2991))</f>
        <v/>
      </c>
      <c r="H2991" s="27" t="str">
        <f aca="false">IF(G2991="","",IF(N(E2991)=0,1,E2991)*IFERROR(N(INDEX(Produtos!$G$5:$G$104,MATCH(D2991,Produtos!$B$5:$B$104,0))),0))</f>
        <v/>
      </c>
      <c r="I2991" s="27" t="str">
        <f aca="false">IF(G2991="","",G2991-H2991)</f>
        <v/>
      </c>
      <c r="J2991" s="42"/>
    </row>
    <row r="2992" customFormat="false" ht="21" hidden="false" customHeight="true" outlineLevel="0" collapsed="false">
      <c r="B2992" s="41"/>
      <c r="C2992" s="9"/>
      <c r="D2992" s="9"/>
      <c r="E2992" s="42"/>
      <c r="F2992" s="43"/>
      <c r="G2992" s="27" t="str">
        <f aca="false">IF(OR(C2992="",AND(D2992="",F2992="")),"",IF(N(E2992)=0,1,E2992)*IF(F2992="",IFERROR(N(INDEX(Produtos!$L$5:$L$104,MATCH(D2992,Produtos!$B$5:$B$104,0))),0),F2992))</f>
        <v/>
      </c>
      <c r="H2992" s="27" t="str">
        <f aca="false">IF(G2992="","",IF(N(E2992)=0,1,E2992)*IFERROR(N(INDEX(Produtos!$G$5:$G$104,MATCH(D2992,Produtos!$B$5:$B$104,0))),0))</f>
        <v/>
      </c>
      <c r="I2992" s="27" t="str">
        <f aca="false">IF(G2992="","",G2992-H2992)</f>
        <v/>
      </c>
      <c r="J2992" s="42"/>
    </row>
    <row r="2993" customFormat="false" ht="21" hidden="false" customHeight="true" outlineLevel="0" collapsed="false">
      <c r="B2993" s="41"/>
      <c r="C2993" s="9"/>
      <c r="D2993" s="9"/>
      <c r="E2993" s="42"/>
      <c r="F2993" s="43"/>
      <c r="G2993" s="27" t="str">
        <f aca="false">IF(OR(C2993="",AND(D2993="",F2993="")),"",IF(N(E2993)=0,1,E2993)*IF(F2993="",IFERROR(N(INDEX(Produtos!$L$5:$L$104,MATCH(D2993,Produtos!$B$5:$B$104,0))),0),F2993))</f>
        <v/>
      </c>
      <c r="H2993" s="27" t="str">
        <f aca="false">IF(G2993="","",IF(N(E2993)=0,1,E2993)*IFERROR(N(INDEX(Produtos!$G$5:$G$104,MATCH(D2993,Produtos!$B$5:$B$104,0))),0))</f>
        <v/>
      </c>
      <c r="I2993" s="27" t="str">
        <f aca="false">IF(G2993="","",G2993-H2993)</f>
        <v/>
      </c>
      <c r="J2993" s="42"/>
    </row>
    <row r="2994" customFormat="false" ht="21" hidden="false" customHeight="true" outlineLevel="0" collapsed="false">
      <c r="B2994" s="41"/>
      <c r="C2994" s="9"/>
      <c r="D2994" s="9"/>
      <c r="E2994" s="42"/>
      <c r="F2994" s="43"/>
      <c r="G2994" s="27" t="str">
        <f aca="false">IF(OR(C2994="",AND(D2994="",F2994="")),"",IF(N(E2994)=0,1,E2994)*IF(F2994="",IFERROR(N(INDEX(Produtos!$L$5:$L$104,MATCH(D2994,Produtos!$B$5:$B$104,0))),0),F2994))</f>
        <v/>
      </c>
      <c r="H2994" s="27" t="str">
        <f aca="false">IF(G2994="","",IF(N(E2994)=0,1,E2994)*IFERROR(N(INDEX(Produtos!$G$5:$G$104,MATCH(D2994,Produtos!$B$5:$B$104,0))),0))</f>
        <v/>
      </c>
      <c r="I2994" s="27" t="str">
        <f aca="false">IF(G2994="","",G2994-H2994)</f>
        <v/>
      </c>
      <c r="J2994" s="42"/>
    </row>
    <row r="2995" customFormat="false" ht="21" hidden="false" customHeight="true" outlineLevel="0" collapsed="false">
      <c r="B2995" s="41"/>
      <c r="C2995" s="9"/>
      <c r="D2995" s="9"/>
      <c r="E2995" s="42"/>
      <c r="F2995" s="43"/>
      <c r="G2995" s="27" t="str">
        <f aca="false">IF(OR(C2995="",AND(D2995="",F2995="")),"",IF(N(E2995)=0,1,E2995)*IF(F2995="",IFERROR(N(INDEX(Produtos!$L$5:$L$104,MATCH(D2995,Produtos!$B$5:$B$104,0))),0),F2995))</f>
        <v/>
      </c>
      <c r="H2995" s="27" t="str">
        <f aca="false">IF(G2995="","",IF(N(E2995)=0,1,E2995)*IFERROR(N(INDEX(Produtos!$G$5:$G$104,MATCH(D2995,Produtos!$B$5:$B$104,0))),0))</f>
        <v/>
      </c>
      <c r="I2995" s="27" t="str">
        <f aca="false">IF(G2995="","",G2995-H2995)</f>
        <v/>
      </c>
      <c r="J2995" s="42"/>
    </row>
    <row r="2996" customFormat="false" ht="21" hidden="false" customHeight="true" outlineLevel="0" collapsed="false">
      <c r="B2996" s="41"/>
      <c r="C2996" s="9"/>
      <c r="D2996" s="9"/>
      <c r="E2996" s="42"/>
      <c r="F2996" s="43"/>
      <c r="G2996" s="27" t="str">
        <f aca="false">IF(OR(C2996="",AND(D2996="",F2996="")),"",IF(N(E2996)=0,1,E2996)*IF(F2996="",IFERROR(N(INDEX(Produtos!$L$5:$L$104,MATCH(D2996,Produtos!$B$5:$B$104,0))),0),F2996))</f>
        <v/>
      </c>
      <c r="H2996" s="27" t="str">
        <f aca="false">IF(G2996="","",IF(N(E2996)=0,1,E2996)*IFERROR(N(INDEX(Produtos!$G$5:$G$104,MATCH(D2996,Produtos!$B$5:$B$104,0))),0))</f>
        <v/>
      </c>
      <c r="I2996" s="27" t="str">
        <f aca="false">IF(G2996="","",G2996-H2996)</f>
        <v/>
      </c>
      <c r="J2996" s="42"/>
    </row>
    <row r="2997" customFormat="false" ht="21" hidden="false" customHeight="true" outlineLevel="0" collapsed="false">
      <c r="B2997" s="41"/>
      <c r="C2997" s="9"/>
      <c r="D2997" s="9"/>
      <c r="E2997" s="42"/>
      <c r="F2997" s="43"/>
      <c r="G2997" s="27" t="str">
        <f aca="false">IF(OR(C2997="",AND(D2997="",F2997="")),"",IF(N(E2997)=0,1,E2997)*IF(F2997="",IFERROR(N(INDEX(Produtos!$L$5:$L$104,MATCH(D2997,Produtos!$B$5:$B$104,0))),0),F2997))</f>
        <v/>
      </c>
      <c r="H2997" s="27" t="str">
        <f aca="false">IF(G2997="","",IF(N(E2997)=0,1,E2997)*IFERROR(N(INDEX(Produtos!$G$5:$G$104,MATCH(D2997,Produtos!$B$5:$B$104,0))),0))</f>
        <v/>
      </c>
      <c r="I2997" s="27" t="str">
        <f aca="false">IF(G2997="","",G2997-H2997)</f>
        <v/>
      </c>
      <c r="J2997" s="42"/>
    </row>
    <row r="2998" customFormat="false" ht="21" hidden="false" customHeight="true" outlineLevel="0" collapsed="false">
      <c r="B2998" s="41"/>
      <c r="C2998" s="9"/>
      <c r="D2998" s="9"/>
      <c r="E2998" s="42"/>
      <c r="F2998" s="43"/>
      <c r="G2998" s="27" t="str">
        <f aca="false">IF(OR(C2998="",AND(D2998="",F2998="")),"",IF(N(E2998)=0,1,E2998)*IF(F2998="",IFERROR(N(INDEX(Produtos!$L$5:$L$104,MATCH(D2998,Produtos!$B$5:$B$104,0))),0),F2998))</f>
        <v/>
      </c>
      <c r="H2998" s="27" t="str">
        <f aca="false">IF(G2998="","",IF(N(E2998)=0,1,E2998)*IFERROR(N(INDEX(Produtos!$G$5:$G$104,MATCH(D2998,Produtos!$B$5:$B$104,0))),0))</f>
        <v/>
      </c>
      <c r="I2998" s="27" t="str">
        <f aca="false">IF(G2998="","",G2998-H2998)</f>
        <v/>
      </c>
      <c r="J2998" s="42"/>
    </row>
    <row r="2999" customFormat="false" ht="21" hidden="false" customHeight="true" outlineLevel="0" collapsed="false">
      <c r="B2999" s="41"/>
      <c r="C2999" s="9"/>
      <c r="D2999" s="9"/>
      <c r="E2999" s="42"/>
      <c r="F2999" s="43"/>
      <c r="G2999" s="27" t="str">
        <f aca="false">IF(OR(C2999="",AND(D2999="",F2999="")),"",IF(N(E2999)=0,1,E2999)*IF(F2999="",IFERROR(N(INDEX(Produtos!$L$5:$L$104,MATCH(D2999,Produtos!$B$5:$B$104,0))),0),F2999))</f>
        <v/>
      </c>
      <c r="H2999" s="27" t="str">
        <f aca="false">IF(G2999="","",IF(N(E2999)=0,1,E2999)*IFERROR(N(INDEX(Produtos!$G$5:$G$104,MATCH(D2999,Produtos!$B$5:$B$104,0))),0))</f>
        <v/>
      </c>
      <c r="I2999" s="27" t="str">
        <f aca="false">IF(G2999="","",G2999-H2999)</f>
        <v/>
      </c>
      <c r="J2999" s="42"/>
    </row>
    <row r="3000" customFormat="false" ht="21" hidden="false" customHeight="true" outlineLevel="0" collapsed="false">
      <c r="B3000" s="41"/>
      <c r="C3000" s="9"/>
      <c r="D3000" s="9"/>
      <c r="E3000" s="42"/>
      <c r="F3000" s="43"/>
      <c r="G3000" s="27" t="str">
        <f aca="false">IF(OR(C3000="",AND(D3000="",F3000="")),"",IF(N(E3000)=0,1,E3000)*IF(F3000="",IFERROR(N(INDEX(Produtos!$L$5:$L$104,MATCH(D3000,Produtos!$B$5:$B$104,0))),0),F3000))</f>
        <v/>
      </c>
      <c r="H3000" s="27" t="str">
        <f aca="false">IF(G3000="","",IF(N(E3000)=0,1,E3000)*IFERROR(N(INDEX(Produtos!$G$5:$G$104,MATCH(D3000,Produtos!$B$5:$B$104,0))),0))</f>
        <v/>
      </c>
      <c r="I3000" s="27" t="str">
        <f aca="false">IF(G3000="","",G3000-H3000)</f>
        <v/>
      </c>
      <c r="J3000" s="42"/>
    </row>
    <row r="3001" customFormat="false" ht="21" hidden="false" customHeight="true" outlineLevel="0" collapsed="false">
      <c r="B3001" s="41"/>
      <c r="C3001" s="9"/>
      <c r="D3001" s="9"/>
      <c r="E3001" s="42"/>
      <c r="F3001" s="43"/>
      <c r="G3001" s="27" t="str">
        <f aca="false">IF(OR(C3001="",AND(D3001="",F3001="")),"",IF(N(E3001)=0,1,E3001)*IF(F3001="",IFERROR(N(INDEX(Produtos!$L$5:$L$104,MATCH(D3001,Produtos!$B$5:$B$104,0))),0),F3001))</f>
        <v/>
      </c>
      <c r="H3001" s="27" t="str">
        <f aca="false">IF(G3001="","",IF(N(E3001)=0,1,E3001)*IFERROR(N(INDEX(Produtos!$G$5:$G$104,MATCH(D3001,Produtos!$B$5:$B$104,0))),0))</f>
        <v/>
      </c>
      <c r="I3001" s="27" t="str">
        <f aca="false">IF(G3001="","",G3001-H3001)</f>
        <v/>
      </c>
      <c r="J3001" s="42"/>
    </row>
    <row r="3002" customFormat="false" ht="21" hidden="false" customHeight="true" outlineLevel="0" collapsed="false">
      <c r="B3002" s="41"/>
      <c r="C3002" s="9"/>
      <c r="D3002" s="9"/>
      <c r="E3002" s="42"/>
      <c r="F3002" s="43"/>
      <c r="G3002" s="27" t="str">
        <f aca="false">IF(OR(C3002="",AND(D3002="",F3002="")),"",IF(N(E3002)=0,1,E3002)*IF(F3002="",IFERROR(N(INDEX(Produtos!$L$5:$L$104,MATCH(D3002,Produtos!$B$5:$B$104,0))),0),F3002))</f>
        <v/>
      </c>
      <c r="H3002" s="27" t="str">
        <f aca="false">IF(G3002="","",IF(N(E3002)=0,1,E3002)*IFERROR(N(INDEX(Produtos!$G$5:$G$104,MATCH(D3002,Produtos!$B$5:$B$104,0))),0))</f>
        <v/>
      </c>
      <c r="I3002" s="27" t="str">
        <f aca="false">IF(G3002="","",G3002-H3002)</f>
        <v/>
      </c>
      <c r="J3002" s="42"/>
    </row>
    <row r="3003" customFormat="false" ht="21" hidden="false" customHeight="true" outlineLevel="0" collapsed="false">
      <c r="B3003" s="41"/>
      <c r="C3003" s="9"/>
      <c r="D3003" s="9"/>
      <c r="E3003" s="42"/>
      <c r="F3003" s="43"/>
      <c r="G3003" s="27" t="str">
        <f aca="false">IF(OR(C3003="",AND(D3003="",F3003="")),"",IF(N(E3003)=0,1,E3003)*IF(F3003="",IFERROR(N(INDEX(Produtos!$L$5:$L$104,MATCH(D3003,Produtos!$B$5:$B$104,0))),0),F3003))</f>
        <v/>
      </c>
      <c r="H3003" s="27" t="str">
        <f aca="false">IF(G3003="","",IF(N(E3003)=0,1,E3003)*IFERROR(N(INDEX(Produtos!$G$5:$G$104,MATCH(D3003,Produtos!$B$5:$B$104,0))),0))</f>
        <v/>
      </c>
      <c r="I3003" s="27" t="str">
        <f aca="false">IF(G3003="","",G3003-H3003)</f>
        <v/>
      </c>
      <c r="J3003" s="42"/>
    </row>
    <row r="3004" customFormat="false" ht="21" hidden="false" customHeight="true" outlineLevel="0" collapsed="false">
      <c r="B3004" s="41"/>
      <c r="C3004" s="9"/>
      <c r="D3004" s="9"/>
      <c r="E3004" s="42"/>
      <c r="F3004" s="43"/>
      <c r="G3004" s="27" t="str">
        <f aca="false">IF(OR(C3004="",AND(D3004="",F3004="")),"",IF(N(E3004)=0,1,E3004)*IF(F3004="",IFERROR(N(INDEX(Produtos!$L$5:$L$104,MATCH(D3004,Produtos!$B$5:$B$104,0))),0),F3004))</f>
        <v/>
      </c>
      <c r="H3004" s="27" t="str">
        <f aca="false">IF(G3004="","",IF(N(E3004)=0,1,E3004)*IFERROR(N(INDEX(Produtos!$G$5:$G$104,MATCH(D3004,Produtos!$B$5:$B$104,0))),0))</f>
        <v/>
      </c>
      <c r="I3004" s="27" t="str">
        <f aca="false">IF(G3004="","",G3004-H3004)</f>
        <v/>
      </c>
      <c r="J3004" s="42"/>
    </row>
  </sheetData>
  <mergeCells count="2">
    <mergeCell ref="B1:J1"/>
    <mergeCell ref="B2:J2"/>
  </mergeCells>
  <dataValidations count="3">
    <dataValidation allowBlank="true" errorStyle="stop" operator="between" prompt="Escolha da lista ou cadastre na aba Clientes." promptTitle="Cliente" showDropDown="false" showErrorMessage="false" showInputMessage="true" sqref="C5:C3004" type="list">
      <formula1>Clientes!$B$5:$B$304</formula1>
      <formula2>0</formula2>
    </dataValidation>
    <dataValidation allowBlank="true" errorStyle="stop" operator="between" prompt="Escolha da lista, ou escreva o que foi e preencha o preço." promptTitle="Produto" showDropDown="false" showErrorMessage="false" showInputMessage="true" sqref="D5:D3004" type="list">
      <formula1>Produtos!$B$5:$B$104</formula1>
      <formula2>0</formula2>
    </dataValidation>
    <dataValidation allowBlank="true" errorStyle="stop" operator="between" showDropDown="false" showErrorMessage="false" showInputMessage="false" sqref="J5:J300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B1:F10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32"/>
  </cols>
  <sheetData>
    <row r="1" customFormat="false" ht="39.75" hidden="false" customHeight="true" outlineLevel="0" collapsed="false">
      <c r="B1" s="1" t="s">
        <v>18</v>
      </c>
      <c r="C1" s="1"/>
      <c r="D1" s="1"/>
      <c r="E1" s="1"/>
      <c r="F1" s="1"/>
    </row>
    <row r="2" customFormat="false" ht="36" hidden="false" customHeight="true" outlineLevel="0" collapsed="false">
      <c r="B2" s="2" t="s">
        <v>109</v>
      </c>
      <c r="C2" s="2"/>
      <c r="D2" s="2"/>
      <c r="E2" s="2"/>
      <c r="F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90</v>
      </c>
      <c r="C4" s="40" t="s">
        <v>91</v>
      </c>
      <c r="D4" s="40" t="s">
        <v>110</v>
      </c>
      <c r="E4" s="40" t="s">
        <v>111</v>
      </c>
      <c r="F4" s="40" t="s">
        <v>112</v>
      </c>
    </row>
    <row r="5" customFormat="false" ht="21" hidden="false" customHeight="true" outlineLevel="0" collapsed="false">
      <c r="B5" s="41" t="n">
        <v>46305</v>
      </c>
      <c r="C5" s="9" t="s">
        <v>98</v>
      </c>
      <c r="D5" s="44" t="n">
        <v>24</v>
      </c>
      <c r="E5" s="42" t="s">
        <v>113</v>
      </c>
      <c r="F5" s="9"/>
    </row>
    <row r="6" customFormat="false" ht="21" hidden="false" customHeight="true" outlineLevel="0" collapsed="false">
      <c r="B6" s="41" t="n">
        <v>46310</v>
      </c>
      <c r="C6" s="9" t="s">
        <v>103</v>
      </c>
      <c r="D6" s="44" t="n">
        <v>16</v>
      </c>
      <c r="E6" s="42" t="s">
        <v>114</v>
      </c>
      <c r="F6" s="9"/>
    </row>
    <row r="7" customFormat="false" ht="21" hidden="false" customHeight="true" outlineLevel="0" collapsed="false">
      <c r="B7" s="41" t="n">
        <v>46315</v>
      </c>
      <c r="C7" s="9" t="s">
        <v>106</v>
      </c>
      <c r="D7" s="44" t="n">
        <v>50</v>
      </c>
      <c r="E7" s="42" t="s">
        <v>113</v>
      </c>
      <c r="F7" s="9" t="s">
        <v>115</v>
      </c>
    </row>
    <row r="8" customFormat="false" ht="21" hidden="false" customHeight="true" outlineLevel="0" collapsed="false">
      <c r="B8" s="41" t="n">
        <v>46320</v>
      </c>
      <c r="C8" s="9" t="s">
        <v>100</v>
      </c>
      <c r="D8" s="44" t="n">
        <v>12</v>
      </c>
      <c r="E8" s="42" t="s">
        <v>116</v>
      </c>
      <c r="F8" s="9"/>
    </row>
    <row r="9" customFormat="false" ht="21" hidden="false" customHeight="true" outlineLevel="0" collapsed="false">
      <c r="B9" s="41"/>
      <c r="C9" s="9"/>
      <c r="D9" s="44"/>
      <c r="E9" s="42"/>
      <c r="F9" s="9"/>
    </row>
    <row r="10" customFormat="false" ht="21" hidden="false" customHeight="true" outlineLevel="0" collapsed="false">
      <c r="B10" s="41"/>
      <c r="C10" s="9"/>
      <c r="D10" s="44"/>
      <c r="E10" s="42"/>
      <c r="F10" s="9"/>
    </row>
    <row r="11" customFormat="false" ht="21" hidden="false" customHeight="true" outlineLevel="0" collapsed="false">
      <c r="B11" s="41"/>
      <c r="C11" s="9"/>
      <c r="D11" s="44"/>
      <c r="E11" s="42"/>
      <c r="F11" s="9"/>
    </row>
    <row r="12" customFormat="false" ht="21" hidden="false" customHeight="true" outlineLevel="0" collapsed="false">
      <c r="B12" s="41"/>
      <c r="C12" s="9"/>
      <c r="D12" s="44"/>
      <c r="E12" s="42"/>
      <c r="F12" s="9"/>
    </row>
    <row r="13" customFormat="false" ht="21" hidden="false" customHeight="true" outlineLevel="0" collapsed="false">
      <c r="B13" s="41"/>
      <c r="C13" s="9"/>
      <c r="D13" s="44"/>
      <c r="E13" s="42"/>
      <c r="F13" s="9"/>
    </row>
    <row r="14" customFormat="false" ht="21" hidden="false" customHeight="true" outlineLevel="0" collapsed="false">
      <c r="B14" s="41"/>
      <c r="C14" s="9"/>
      <c r="D14" s="44"/>
      <c r="E14" s="42"/>
      <c r="F14" s="9"/>
    </row>
    <row r="15" customFormat="false" ht="21" hidden="false" customHeight="true" outlineLevel="0" collapsed="false">
      <c r="B15" s="41"/>
      <c r="C15" s="9"/>
      <c r="D15" s="44"/>
      <c r="E15" s="42"/>
      <c r="F15" s="9"/>
    </row>
    <row r="16" customFormat="false" ht="21" hidden="false" customHeight="true" outlineLevel="0" collapsed="false">
      <c r="B16" s="41"/>
      <c r="C16" s="9"/>
      <c r="D16" s="44"/>
      <c r="E16" s="42"/>
      <c r="F16" s="9"/>
    </row>
    <row r="17" customFormat="false" ht="21" hidden="false" customHeight="true" outlineLevel="0" collapsed="false">
      <c r="B17" s="41"/>
      <c r="C17" s="9"/>
      <c r="D17" s="44"/>
      <c r="E17" s="42"/>
      <c r="F17" s="9"/>
    </row>
    <row r="18" customFormat="false" ht="21" hidden="false" customHeight="true" outlineLevel="0" collapsed="false">
      <c r="B18" s="41"/>
      <c r="C18" s="9"/>
      <c r="D18" s="44"/>
      <c r="E18" s="42"/>
      <c r="F18" s="9"/>
    </row>
    <row r="19" customFormat="false" ht="21" hidden="false" customHeight="true" outlineLevel="0" collapsed="false">
      <c r="B19" s="41"/>
      <c r="C19" s="9"/>
      <c r="D19" s="44"/>
      <c r="E19" s="42"/>
      <c r="F19" s="9"/>
    </row>
    <row r="20" customFormat="false" ht="21" hidden="false" customHeight="true" outlineLevel="0" collapsed="false">
      <c r="B20" s="41"/>
      <c r="C20" s="9"/>
      <c r="D20" s="44"/>
      <c r="E20" s="42"/>
      <c r="F20" s="9"/>
    </row>
    <row r="21" customFormat="false" ht="21" hidden="false" customHeight="true" outlineLevel="0" collapsed="false">
      <c r="B21" s="41"/>
      <c r="C21" s="9"/>
      <c r="D21" s="44"/>
      <c r="E21" s="42"/>
      <c r="F21" s="9"/>
    </row>
    <row r="22" customFormat="false" ht="21" hidden="false" customHeight="true" outlineLevel="0" collapsed="false">
      <c r="B22" s="41"/>
      <c r="C22" s="9"/>
      <c r="D22" s="44"/>
      <c r="E22" s="42"/>
      <c r="F22" s="9"/>
    </row>
    <row r="23" customFormat="false" ht="21" hidden="false" customHeight="true" outlineLevel="0" collapsed="false">
      <c r="B23" s="41"/>
      <c r="C23" s="9"/>
      <c r="D23" s="44"/>
      <c r="E23" s="42"/>
      <c r="F23" s="9"/>
    </row>
    <row r="24" customFormat="false" ht="21" hidden="false" customHeight="true" outlineLevel="0" collapsed="false">
      <c r="B24" s="41"/>
      <c r="C24" s="9"/>
      <c r="D24" s="44"/>
      <c r="E24" s="42"/>
      <c r="F24" s="9"/>
    </row>
    <row r="25" customFormat="false" ht="21" hidden="false" customHeight="true" outlineLevel="0" collapsed="false">
      <c r="B25" s="41"/>
      <c r="C25" s="9"/>
      <c r="D25" s="44"/>
      <c r="E25" s="42"/>
      <c r="F25" s="9"/>
    </row>
    <row r="26" customFormat="false" ht="21" hidden="false" customHeight="true" outlineLevel="0" collapsed="false">
      <c r="B26" s="41"/>
      <c r="C26" s="9"/>
      <c r="D26" s="44"/>
      <c r="E26" s="42"/>
      <c r="F26" s="9"/>
    </row>
    <row r="27" customFormat="false" ht="21" hidden="false" customHeight="true" outlineLevel="0" collapsed="false">
      <c r="B27" s="41"/>
      <c r="C27" s="9"/>
      <c r="D27" s="44"/>
      <c r="E27" s="42"/>
      <c r="F27" s="9"/>
    </row>
    <row r="28" customFormat="false" ht="21" hidden="false" customHeight="true" outlineLevel="0" collapsed="false">
      <c r="B28" s="41"/>
      <c r="C28" s="9"/>
      <c r="D28" s="44"/>
      <c r="E28" s="42"/>
      <c r="F28" s="9"/>
    </row>
    <row r="29" customFormat="false" ht="21" hidden="false" customHeight="true" outlineLevel="0" collapsed="false">
      <c r="B29" s="41"/>
      <c r="C29" s="9"/>
      <c r="D29" s="44"/>
      <c r="E29" s="42"/>
      <c r="F29" s="9"/>
    </row>
    <row r="30" customFormat="false" ht="21" hidden="false" customHeight="true" outlineLevel="0" collapsed="false">
      <c r="B30" s="41"/>
      <c r="C30" s="9"/>
      <c r="D30" s="44"/>
      <c r="E30" s="42"/>
      <c r="F30" s="9"/>
    </row>
    <row r="31" customFormat="false" ht="21" hidden="false" customHeight="true" outlineLevel="0" collapsed="false">
      <c r="B31" s="41"/>
      <c r="C31" s="9"/>
      <c r="D31" s="44"/>
      <c r="E31" s="42"/>
      <c r="F31" s="9"/>
    </row>
    <row r="32" customFormat="false" ht="21" hidden="false" customHeight="true" outlineLevel="0" collapsed="false">
      <c r="B32" s="41"/>
      <c r="C32" s="9"/>
      <c r="D32" s="44"/>
      <c r="E32" s="42"/>
      <c r="F32" s="9"/>
    </row>
    <row r="33" customFormat="false" ht="21" hidden="false" customHeight="true" outlineLevel="0" collapsed="false">
      <c r="B33" s="41"/>
      <c r="C33" s="9"/>
      <c r="D33" s="44"/>
      <c r="E33" s="42"/>
      <c r="F33" s="9"/>
    </row>
    <row r="34" customFormat="false" ht="21" hidden="false" customHeight="true" outlineLevel="0" collapsed="false">
      <c r="B34" s="41"/>
      <c r="C34" s="9"/>
      <c r="D34" s="44"/>
      <c r="E34" s="42"/>
      <c r="F34" s="9"/>
    </row>
    <row r="35" customFormat="false" ht="21" hidden="false" customHeight="true" outlineLevel="0" collapsed="false">
      <c r="B35" s="41"/>
      <c r="C35" s="9"/>
      <c r="D35" s="44"/>
      <c r="E35" s="42"/>
      <c r="F35" s="9"/>
    </row>
    <row r="36" customFormat="false" ht="21" hidden="false" customHeight="true" outlineLevel="0" collapsed="false">
      <c r="B36" s="41"/>
      <c r="C36" s="9"/>
      <c r="D36" s="44"/>
      <c r="E36" s="42"/>
      <c r="F36" s="9"/>
    </row>
    <row r="37" customFormat="false" ht="21" hidden="false" customHeight="true" outlineLevel="0" collapsed="false">
      <c r="B37" s="41"/>
      <c r="C37" s="9"/>
      <c r="D37" s="44"/>
      <c r="E37" s="42"/>
      <c r="F37" s="9"/>
    </row>
    <row r="38" customFormat="false" ht="21" hidden="false" customHeight="true" outlineLevel="0" collapsed="false">
      <c r="B38" s="41"/>
      <c r="C38" s="9"/>
      <c r="D38" s="44"/>
      <c r="E38" s="42"/>
      <c r="F38" s="9"/>
    </row>
    <row r="39" customFormat="false" ht="21" hidden="false" customHeight="true" outlineLevel="0" collapsed="false">
      <c r="B39" s="41"/>
      <c r="C39" s="9"/>
      <c r="D39" s="44"/>
      <c r="E39" s="42"/>
      <c r="F39" s="9"/>
    </row>
    <row r="40" customFormat="false" ht="21" hidden="false" customHeight="true" outlineLevel="0" collapsed="false">
      <c r="B40" s="41"/>
      <c r="C40" s="9"/>
      <c r="D40" s="44"/>
      <c r="E40" s="42"/>
      <c r="F40" s="9"/>
    </row>
    <row r="41" customFormat="false" ht="21" hidden="false" customHeight="true" outlineLevel="0" collapsed="false">
      <c r="B41" s="41"/>
      <c r="C41" s="9"/>
      <c r="D41" s="44"/>
      <c r="E41" s="42"/>
      <c r="F41" s="9"/>
    </row>
    <row r="42" customFormat="false" ht="21" hidden="false" customHeight="true" outlineLevel="0" collapsed="false">
      <c r="B42" s="41"/>
      <c r="C42" s="9"/>
      <c r="D42" s="44"/>
      <c r="E42" s="42"/>
      <c r="F42" s="9"/>
    </row>
    <row r="43" customFormat="false" ht="21" hidden="false" customHeight="true" outlineLevel="0" collapsed="false">
      <c r="B43" s="41"/>
      <c r="C43" s="9"/>
      <c r="D43" s="44"/>
      <c r="E43" s="42"/>
      <c r="F43" s="9"/>
    </row>
    <row r="44" customFormat="false" ht="21" hidden="false" customHeight="true" outlineLevel="0" collapsed="false">
      <c r="B44" s="41"/>
      <c r="C44" s="9"/>
      <c r="D44" s="44"/>
      <c r="E44" s="42"/>
      <c r="F44" s="9"/>
    </row>
    <row r="45" customFormat="false" ht="21" hidden="false" customHeight="true" outlineLevel="0" collapsed="false">
      <c r="B45" s="41"/>
      <c r="C45" s="9"/>
      <c r="D45" s="44"/>
      <c r="E45" s="42"/>
      <c r="F45" s="9"/>
    </row>
    <row r="46" customFormat="false" ht="21" hidden="false" customHeight="true" outlineLevel="0" collapsed="false">
      <c r="B46" s="41"/>
      <c r="C46" s="9"/>
      <c r="D46" s="44"/>
      <c r="E46" s="42"/>
      <c r="F46" s="9"/>
    </row>
    <row r="47" customFormat="false" ht="21" hidden="false" customHeight="true" outlineLevel="0" collapsed="false">
      <c r="B47" s="41"/>
      <c r="C47" s="9"/>
      <c r="D47" s="44"/>
      <c r="E47" s="42"/>
      <c r="F47" s="9"/>
    </row>
    <row r="48" customFormat="false" ht="21" hidden="false" customHeight="true" outlineLevel="0" collapsed="false">
      <c r="B48" s="41"/>
      <c r="C48" s="9"/>
      <c r="D48" s="44"/>
      <c r="E48" s="42"/>
      <c r="F48" s="9"/>
    </row>
    <row r="49" customFormat="false" ht="21" hidden="false" customHeight="true" outlineLevel="0" collapsed="false">
      <c r="B49" s="41"/>
      <c r="C49" s="9"/>
      <c r="D49" s="44"/>
      <c r="E49" s="42"/>
      <c r="F49" s="9"/>
    </row>
    <row r="50" customFormat="false" ht="21" hidden="false" customHeight="true" outlineLevel="0" collapsed="false">
      <c r="B50" s="41"/>
      <c r="C50" s="9"/>
      <c r="D50" s="44"/>
      <c r="E50" s="42"/>
      <c r="F50" s="9"/>
    </row>
    <row r="51" customFormat="false" ht="21" hidden="false" customHeight="true" outlineLevel="0" collapsed="false">
      <c r="B51" s="41"/>
      <c r="C51" s="9"/>
      <c r="D51" s="44"/>
      <c r="E51" s="42"/>
      <c r="F51" s="9"/>
    </row>
    <row r="52" customFormat="false" ht="21" hidden="false" customHeight="true" outlineLevel="0" collapsed="false">
      <c r="B52" s="41"/>
      <c r="C52" s="9"/>
      <c r="D52" s="44"/>
      <c r="E52" s="42"/>
      <c r="F52" s="9"/>
    </row>
    <row r="53" customFormat="false" ht="21" hidden="false" customHeight="true" outlineLevel="0" collapsed="false">
      <c r="B53" s="41"/>
      <c r="C53" s="9"/>
      <c r="D53" s="44"/>
      <c r="E53" s="42"/>
      <c r="F53" s="9"/>
    </row>
    <row r="54" customFormat="false" ht="21" hidden="false" customHeight="true" outlineLevel="0" collapsed="false">
      <c r="B54" s="41"/>
      <c r="C54" s="9"/>
      <c r="D54" s="44"/>
      <c r="E54" s="42"/>
      <c r="F54" s="9"/>
    </row>
    <row r="55" customFormat="false" ht="21" hidden="false" customHeight="true" outlineLevel="0" collapsed="false">
      <c r="B55" s="41"/>
      <c r="C55" s="9"/>
      <c r="D55" s="44"/>
      <c r="E55" s="42"/>
      <c r="F55" s="9"/>
    </row>
    <row r="56" customFormat="false" ht="21" hidden="false" customHeight="true" outlineLevel="0" collapsed="false">
      <c r="B56" s="41"/>
      <c r="C56" s="9"/>
      <c r="D56" s="44"/>
      <c r="E56" s="42"/>
      <c r="F56" s="9"/>
    </row>
    <row r="57" customFormat="false" ht="21" hidden="false" customHeight="true" outlineLevel="0" collapsed="false">
      <c r="B57" s="41"/>
      <c r="C57" s="9"/>
      <c r="D57" s="44"/>
      <c r="E57" s="42"/>
      <c r="F57" s="9"/>
    </row>
    <row r="58" customFormat="false" ht="21" hidden="false" customHeight="true" outlineLevel="0" collapsed="false">
      <c r="B58" s="41"/>
      <c r="C58" s="9"/>
      <c r="D58" s="44"/>
      <c r="E58" s="42"/>
      <c r="F58" s="9"/>
    </row>
    <row r="59" customFormat="false" ht="21" hidden="false" customHeight="true" outlineLevel="0" collapsed="false">
      <c r="B59" s="41"/>
      <c r="C59" s="9"/>
      <c r="D59" s="44"/>
      <c r="E59" s="42"/>
      <c r="F59" s="9"/>
    </row>
    <row r="60" customFormat="false" ht="21" hidden="false" customHeight="true" outlineLevel="0" collapsed="false">
      <c r="B60" s="41"/>
      <c r="C60" s="9"/>
      <c r="D60" s="44"/>
      <c r="E60" s="42"/>
      <c r="F60" s="9"/>
    </row>
    <row r="61" customFormat="false" ht="21" hidden="false" customHeight="true" outlineLevel="0" collapsed="false">
      <c r="B61" s="41"/>
      <c r="C61" s="9"/>
      <c r="D61" s="44"/>
      <c r="E61" s="42"/>
      <c r="F61" s="9"/>
    </row>
    <row r="62" customFormat="false" ht="21" hidden="false" customHeight="true" outlineLevel="0" collapsed="false">
      <c r="B62" s="41"/>
      <c r="C62" s="9"/>
      <c r="D62" s="44"/>
      <c r="E62" s="42"/>
      <c r="F62" s="9"/>
    </row>
    <row r="63" customFormat="false" ht="21" hidden="false" customHeight="true" outlineLevel="0" collapsed="false">
      <c r="B63" s="41"/>
      <c r="C63" s="9"/>
      <c r="D63" s="44"/>
      <c r="E63" s="42"/>
      <c r="F63" s="9"/>
    </row>
    <row r="64" customFormat="false" ht="21" hidden="false" customHeight="true" outlineLevel="0" collapsed="false">
      <c r="B64" s="41"/>
      <c r="C64" s="9"/>
      <c r="D64" s="44"/>
      <c r="E64" s="42"/>
      <c r="F64" s="9"/>
    </row>
    <row r="65" customFormat="false" ht="21" hidden="false" customHeight="true" outlineLevel="0" collapsed="false">
      <c r="B65" s="41"/>
      <c r="C65" s="9"/>
      <c r="D65" s="44"/>
      <c r="E65" s="42"/>
      <c r="F65" s="9"/>
    </row>
    <row r="66" customFormat="false" ht="21" hidden="false" customHeight="true" outlineLevel="0" collapsed="false">
      <c r="B66" s="41"/>
      <c r="C66" s="9"/>
      <c r="D66" s="44"/>
      <c r="E66" s="42"/>
      <c r="F66" s="9"/>
    </row>
    <row r="67" customFormat="false" ht="21" hidden="false" customHeight="true" outlineLevel="0" collapsed="false">
      <c r="B67" s="41"/>
      <c r="C67" s="9"/>
      <c r="D67" s="44"/>
      <c r="E67" s="42"/>
      <c r="F67" s="9"/>
    </row>
    <row r="68" customFormat="false" ht="21" hidden="false" customHeight="true" outlineLevel="0" collapsed="false">
      <c r="B68" s="41"/>
      <c r="C68" s="9"/>
      <c r="D68" s="44"/>
      <c r="E68" s="42"/>
      <c r="F68" s="9"/>
    </row>
    <row r="69" customFormat="false" ht="21" hidden="false" customHeight="true" outlineLevel="0" collapsed="false">
      <c r="B69" s="41"/>
      <c r="C69" s="9"/>
      <c r="D69" s="44"/>
      <c r="E69" s="42"/>
      <c r="F69" s="9"/>
    </row>
    <row r="70" customFormat="false" ht="21" hidden="false" customHeight="true" outlineLevel="0" collapsed="false">
      <c r="B70" s="41"/>
      <c r="C70" s="9"/>
      <c r="D70" s="44"/>
      <c r="E70" s="42"/>
      <c r="F70" s="9"/>
    </row>
    <row r="71" customFormat="false" ht="21" hidden="false" customHeight="true" outlineLevel="0" collapsed="false">
      <c r="B71" s="41"/>
      <c r="C71" s="9"/>
      <c r="D71" s="44"/>
      <c r="E71" s="42"/>
      <c r="F71" s="9"/>
    </row>
    <row r="72" customFormat="false" ht="21" hidden="false" customHeight="true" outlineLevel="0" collapsed="false">
      <c r="B72" s="41"/>
      <c r="C72" s="9"/>
      <c r="D72" s="44"/>
      <c r="E72" s="42"/>
      <c r="F72" s="9"/>
    </row>
    <row r="73" customFormat="false" ht="21" hidden="false" customHeight="true" outlineLevel="0" collapsed="false">
      <c r="B73" s="41"/>
      <c r="C73" s="9"/>
      <c r="D73" s="44"/>
      <c r="E73" s="42"/>
      <c r="F73" s="9"/>
    </row>
    <row r="74" customFormat="false" ht="21" hidden="false" customHeight="true" outlineLevel="0" collapsed="false">
      <c r="B74" s="41"/>
      <c r="C74" s="9"/>
      <c r="D74" s="44"/>
      <c r="E74" s="42"/>
      <c r="F74" s="9"/>
    </row>
    <row r="75" customFormat="false" ht="21" hidden="false" customHeight="true" outlineLevel="0" collapsed="false">
      <c r="B75" s="41"/>
      <c r="C75" s="9"/>
      <c r="D75" s="44"/>
      <c r="E75" s="42"/>
      <c r="F75" s="9"/>
    </row>
    <row r="76" customFormat="false" ht="21" hidden="false" customHeight="true" outlineLevel="0" collapsed="false">
      <c r="B76" s="41"/>
      <c r="C76" s="9"/>
      <c r="D76" s="44"/>
      <c r="E76" s="42"/>
      <c r="F76" s="9"/>
    </row>
    <row r="77" customFormat="false" ht="21" hidden="false" customHeight="true" outlineLevel="0" collapsed="false">
      <c r="B77" s="41"/>
      <c r="C77" s="9"/>
      <c r="D77" s="44"/>
      <c r="E77" s="42"/>
      <c r="F77" s="9"/>
    </row>
    <row r="78" customFormat="false" ht="21" hidden="false" customHeight="true" outlineLevel="0" collapsed="false">
      <c r="B78" s="41"/>
      <c r="C78" s="9"/>
      <c r="D78" s="44"/>
      <c r="E78" s="42"/>
      <c r="F78" s="9"/>
    </row>
    <row r="79" customFormat="false" ht="21" hidden="false" customHeight="true" outlineLevel="0" collapsed="false">
      <c r="B79" s="41"/>
      <c r="C79" s="9"/>
      <c r="D79" s="44"/>
      <c r="E79" s="42"/>
      <c r="F79" s="9"/>
    </row>
    <row r="80" customFormat="false" ht="21" hidden="false" customHeight="true" outlineLevel="0" collapsed="false">
      <c r="B80" s="41"/>
      <c r="C80" s="9"/>
      <c r="D80" s="44"/>
      <c r="E80" s="42"/>
      <c r="F80" s="9"/>
    </row>
    <row r="81" customFormat="false" ht="21" hidden="false" customHeight="true" outlineLevel="0" collapsed="false">
      <c r="B81" s="41"/>
      <c r="C81" s="9"/>
      <c r="D81" s="44"/>
      <c r="E81" s="42"/>
      <c r="F81" s="9"/>
    </row>
    <row r="82" customFormat="false" ht="21" hidden="false" customHeight="true" outlineLevel="0" collapsed="false">
      <c r="B82" s="41"/>
      <c r="C82" s="9"/>
      <c r="D82" s="44"/>
      <c r="E82" s="42"/>
      <c r="F82" s="9"/>
    </row>
    <row r="83" customFormat="false" ht="21" hidden="false" customHeight="true" outlineLevel="0" collapsed="false">
      <c r="B83" s="41"/>
      <c r="C83" s="9"/>
      <c r="D83" s="44"/>
      <c r="E83" s="42"/>
      <c r="F83" s="9"/>
    </row>
    <row r="84" customFormat="false" ht="21" hidden="false" customHeight="true" outlineLevel="0" collapsed="false">
      <c r="B84" s="41"/>
      <c r="C84" s="9"/>
      <c r="D84" s="44"/>
      <c r="E84" s="42"/>
      <c r="F84" s="9"/>
    </row>
    <row r="85" customFormat="false" ht="21" hidden="false" customHeight="true" outlineLevel="0" collapsed="false">
      <c r="B85" s="41"/>
      <c r="C85" s="9"/>
      <c r="D85" s="44"/>
      <c r="E85" s="42"/>
      <c r="F85" s="9"/>
    </row>
    <row r="86" customFormat="false" ht="21" hidden="false" customHeight="true" outlineLevel="0" collapsed="false">
      <c r="B86" s="41"/>
      <c r="C86" s="9"/>
      <c r="D86" s="44"/>
      <c r="E86" s="42"/>
      <c r="F86" s="9"/>
    </row>
    <row r="87" customFormat="false" ht="21" hidden="false" customHeight="true" outlineLevel="0" collapsed="false">
      <c r="B87" s="41"/>
      <c r="C87" s="9"/>
      <c r="D87" s="44"/>
      <c r="E87" s="42"/>
      <c r="F87" s="9"/>
    </row>
    <row r="88" customFormat="false" ht="21" hidden="false" customHeight="true" outlineLevel="0" collapsed="false">
      <c r="B88" s="41"/>
      <c r="C88" s="9"/>
      <c r="D88" s="44"/>
      <c r="E88" s="42"/>
      <c r="F88" s="9"/>
    </row>
    <row r="89" customFormat="false" ht="21" hidden="false" customHeight="true" outlineLevel="0" collapsed="false">
      <c r="B89" s="41"/>
      <c r="C89" s="9"/>
      <c r="D89" s="44"/>
      <c r="E89" s="42"/>
      <c r="F89" s="9"/>
    </row>
    <row r="90" customFormat="false" ht="21" hidden="false" customHeight="true" outlineLevel="0" collapsed="false">
      <c r="B90" s="41"/>
      <c r="C90" s="9"/>
      <c r="D90" s="44"/>
      <c r="E90" s="42"/>
      <c r="F90" s="9"/>
    </row>
    <row r="91" customFormat="false" ht="21" hidden="false" customHeight="true" outlineLevel="0" collapsed="false">
      <c r="B91" s="41"/>
      <c r="C91" s="9"/>
      <c r="D91" s="44"/>
      <c r="E91" s="42"/>
      <c r="F91" s="9"/>
    </row>
    <row r="92" customFormat="false" ht="21" hidden="false" customHeight="true" outlineLevel="0" collapsed="false">
      <c r="B92" s="41"/>
      <c r="C92" s="9"/>
      <c r="D92" s="44"/>
      <c r="E92" s="42"/>
      <c r="F92" s="9"/>
    </row>
    <row r="93" customFormat="false" ht="21" hidden="false" customHeight="true" outlineLevel="0" collapsed="false">
      <c r="B93" s="41"/>
      <c r="C93" s="9"/>
      <c r="D93" s="44"/>
      <c r="E93" s="42"/>
      <c r="F93" s="9"/>
    </row>
    <row r="94" customFormat="false" ht="21" hidden="false" customHeight="true" outlineLevel="0" collapsed="false">
      <c r="B94" s="41"/>
      <c r="C94" s="9"/>
      <c r="D94" s="44"/>
      <c r="E94" s="42"/>
      <c r="F94" s="9"/>
    </row>
    <row r="95" customFormat="false" ht="21" hidden="false" customHeight="true" outlineLevel="0" collapsed="false">
      <c r="B95" s="41"/>
      <c r="C95" s="9"/>
      <c r="D95" s="44"/>
      <c r="E95" s="42"/>
      <c r="F95" s="9"/>
    </row>
    <row r="96" customFormat="false" ht="21" hidden="false" customHeight="true" outlineLevel="0" collapsed="false">
      <c r="B96" s="41"/>
      <c r="C96" s="9"/>
      <c r="D96" s="44"/>
      <c r="E96" s="42"/>
      <c r="F96" s="9"/>
    </row>
    <row r="97" customFormat="false" ht="21" hidden="false" customHeight="true" outlineLevel="0" collapsed="false">
      <c r="B97" s="41"/>
      <c r="C97" s="9"/>
      <c r="D97" s="44"/>
      <c r="E97" s="42"/>
      <c r="F97" s="9"/>
    </row>
    <row r="98" customFormat="false" ht="21" hidden="false" customHeight="true" outlineLevel="0" collapsed="false">
      <c r="B98" s="41"/>
      <c r="C98" s="9"/>
      <c r="D98" s="44"/>
      <c r="E98" s="42"/>
      <c r="F98" s="9"/>
    </row>
    <row r="99" customFormat="false" ht="21" hidden="false" customHeight="true" outlineLevel="0" collapsed="false">
      <c r="B99" s="41"/>
      <c r="C99" s="9"/>
      <c r="D99" s="44"/>
      <c r="E99" s="42"/>
      <c r="F99" s="9"/>
    </row>
    <row r="100" customFormat="false" ht="21" hidden="false" customHeight="true" outlineLevel="0" collapsed="false">
      <c r="B100" s="41"/>
      <c r="C100" s="9"/>
      <c r="D100" s="44"/>
      <c r="E100" s="42"/>
      <c r="F100" s="9"/>
    </row>
    <row r="101" customFormat="false" ht="21" hidden="false" customHeight="true" outlineLevel="0" collapsed="false">
      <c r="B101" s="41"/>
      <c r="C101" s="9"/>
      <c r="D101" s="44"/>
      <c r="E101" s="42"/>
      <c r="F101" s="9"/>
    </row>
    <row r="102" customFormat="false" ht="21" hidden="false" customHeight="true" outlineLevel="0" collapsed="false">
      <c r="B102" s="41"/>
      <c r="C102" s="9"/>
      <c r="D102" s="44"/>
      <c r="E102" s="42"/>
      <c r="F102" s="9"/>
    </row>
    <row r="103" customFormat="false" ht="21" hidden="false" customHeight="true" outlineLevel="0" collapsed="false">
      <c r="B103" s="41"/>
      <c r="C103" s="9"/>
      <c r="D103" s="44"/>
      <c r="E103" s="42"/>
      <c r="F103" s="9"/>
    </row>
    <row r="104" customFormat="false" ht="21" hidden="false" customHeight="true" outlineLevel="0" collapsed="false">
      <c r="B104" s="41"/>
      <c r="C104" s="9"/>
      <c r="D104" s="44"/>
      <c r="E104" s="42"/>
      <c r="F104" s="9"/>
    </row>
    <row r="105" customFormat="false" ht="21" hidden="false" customHeight="true" outlineLevel="0" collapsed="false">
      <c r="B105" s="41"/>
      <c r="C105" s="9"/>
      <c r="D105" s="44"/>
      <c r="E105" s="42"/>
      <c r="F105" s="9"/>
    </row>
    <row r="106" customFormat="false" ht="21" hidden="false" customHeight="true" outlineLevel="0" collapsed="false">
      <c r="B106" s="41"/>
      <c r="C106" s="9"/>
      <c r="D106" s="44"/>
      <c r="E106" s="42"/>
      <c r="F106" s="9"/>
    </row>
    <row r="107" customFormat="false" ht="21" hidden="false" customHeight="true" outlineLevel="0" collapsed="false">
      <c r="B107" s="41"/>
      <c r="C107" s="9"/>
      <c r="D107" s="44"/>
      <c r="E107" s="42"/>
      <c r="F107" s="9"/>
    </row>
    <row r="108" customFormat="false" ht="21" hidden="false" customHeight="true" outlineLevel="0" collapsed="false">
      <c r="B108" s="41"/>
      <c r="C108" s="9"/>
      <c r="D108" s="44"/>
      <c r="E108" s="42"/>
      <c r="F108" s="9"/>
    </row>
    <row r="109" customFormat="false" ht="21" hidden="false" customHeight="true" outlineLevel="0" collapsed="false">
      <c r="B109" s="41"/>
      <c r="C109" s="9"/>
      <c r="D109" s="44"/>
      <c r="E109" s="42"/>
      <c r="F109" s="9"/>
    </row>
    <row r="110" customFormat="false" ht="21" hidden="false" customHeight="true" outlineLevel="0" collapsed="false">
      <c r="B110" s="41"/>
      <c r="C110" s="9"/>
      <c r="D110" s="44"/>
      <c r="E110" s="42"/>
      <c r="F110" s="9"/>
    </row>
    <row r="111" customFormat="false" ht="21" hidden="false" customHeight="true" outlineLevel="0" collapsed="false">
      <c r="B111" s="41"/>
      <c r="C111" s="9"/>
      <c r="D111" s="44"/>
      <c r="E111" s="42"/>
      <c r="F111" s="9"/>
    </row>
    <row r="112" customFormat="false" ht="21" hidden="false" customHeight="true" outlineLevel="0" collapsed="false">
      <c r="B112" s="41"/>
      <c r="C112" s="9"/>
      <c r="D112" s="44"/>
      <c r="E112" s="42"/>
      <c r="F112" s="9"/>
    </row>
    <row r="113" customFormat="false" ht="21" hidden="false" customHeight="true" outlineLevel="0" collapsed="false">
      <c r="B113" s="41"/>
      <c r="C113" s="9"/>
      <c r="D113" s="44"/>
      <c r="E113" s="42"/>
      <c r="F113" s="9"/>
    </row>
    <row r="114" customFormat="false" ht="21" hidden="false" customHeight="true" outlineLevel="0" collapsed="false">
      <c r="B114" s="41"/>
      <c r="C114" s="9"/>
      <c r="D114" s="44"/>
      <c r="E114" s="42"/>
      <c r="F114" s="9"/>
    </row>
    <row r="115" customFormat="false" ht="21" hidden="false" customHeight="true" outlineLevel="0" collapsed="false">
      <c r="B115" s="41"/>
      <c r="C115" s="9"/>
      <c r="D115" s="44"/>
      <c r="E115" s="42"/>
      <c r="F115" s="9"/>
    </row>
    <row r="116" customFormat="false" ht="21" hidden="false" customHeight="true" outlineLevel="0" collapsed="false">
      <c r="B116" s="41"/>
      <c r="C116" s="9"/>
      <c r="D116" s="44"/>
      <c r="E116" s="42"/>
      <c r="F116" s="9"/>
    </row>
    <row r="117" customFormat="false" ht="21" hidden="false" customHeight="true" outlineLevel="0" collapsed="false">
      <c r="B117" s="41"/>
      <c r="C117" s="9"/>
      <c r="D117" s="44"/>
      <c r="E117" s="42"/>
      <c r="F117" s="9"/>
    </row>
    <row r="118" customFormat="false" ht="21" hidden="false" customHeight="true" outlineLevel="0" collapsed="false">
      <c r="B118" s="41"/>
      <c r="C118" s="9"/>
      <c r="D118" s="44"/>
      <c r="E118" s="42"/>
      <c r="F118" s="9"/>
    </row>
    <row r="119" customFormat="false" ht="21" hidden="false" customHeight="true" outlineLevel="0" collapsed="false">
      <c r="B119" s="41"/>
      <c r="C119" s="9"/>
      <c r="D119" s="44"/>
      <c r="E119" s="42"/>
      <c r="F119" s="9"/>
    </row>
    <row r="120" customFormat="false" ht="21" hidden="false" customHeight="true" outlineLevel="0" collapsed="false">
      <c r="B120" s="41"/>
      <c r="C120" s="9"/>
      <c r="D120" s="44"/>
      <c r="E120" s="42"/>
      <c r="F120" s="9"/>
    </row>
    <row r="121" customFormat="false" ht="21" hidden="false" customHeight="true" outlineLevel="0" collapsed="false">
      <c r="B121" s="41"/>
      <c r="C121" s="9"/>
      <c r="D121" s="44"/>
      <c r="E121" s="42"/>
      <c r="F121" s="9"/>
    </row>
    <row r="122" customFormat="false" ht="21" hidden="false" customHeight="true" outlineLevel="0" collapsed="false">
      <c r="B122" s="41"/>
      <c r="C122" s="9"/>
      <c r="D122" s="44"/>
      <c r="E122" s="42"/>
      <c r="F122" s="9"/>
    </row>
    <row r="123" customFormat="false" ht="21" hidden="false" customHeight="true" outlineLevel="0" collapsed="false">
      <c r="B123" s="41"/>
      <c r="C123" s="9"/>
      <c r="D123" s="44"/>
      <c r="E123" s="42"/>
      <c r="F123" s="9"/>
    </row>
    <row r="124" customFormat="false" ht="21" hidden="false" customHeight="true" outlineLevel="0" collapsed="false">
      <c r="B124" s="41"/>
      <c r="C124" s="9"/>
      <c r="D124" s="44"/>
      <c r="E124" s="42"/>
      <c r="F124" s="9"/>
    </row>
    <row r="125" customFormat="false" ht="21" hidden="false" customHeight="true" outlineLevel="0" collapsed="false">
      <c r="B125" s="41"/>
      <c r="C125" s="9"/>
      <c r="D125" s="44"/>
      <c r="E125" s="42"/>
      <c r="F125" s="9"/>
    </row>
    <row r="126" customFormat="false" ht="21" hidden="false" customHeight="true" outlineLevel="0" collapsed="false">
      <c r="B126" s="41"/>
      <c r="C126" s="9"/>
      <c r="D126" s="44"/>
      <c r="E126" s="42"/>
      <c r="F126" s="9"/>
    </row>
    <row r="127" customFormat="false" ht="21" hidden="false" customHeight="true" outlineLevel="0" collapsed="false">
      <c r="B127" s="41"/>
      <c r="C127" s="9"/>
      <c r="D127" s="44"/>
      <c r="E127" s="42"/>
      <c r="F127" s="9"/>
    </row>
    <row r="128" customFormat="false" ht="21" hidden="false" customHeight="true" outlineLevel="0" collapsed="false">
      <c r="B128" s="41"/>
      <c r="C128" s="9"/>
      <c r="D128" s="44"/>
      <c r="E128" s="42"/>
      <c r="F128" s="9"/>
    </row>
    <row r="129" customFormat="false" ht="21" hidden="false" customHeight="true" outlineLevel="0" collapsed="false">
      <c r="B129" s="41"/>
      <c r="C129" s="9"/>
      <c r="D129" s="44"/>
      <c r="E129" s="42"/>
      <c r="F129" s="9"/>
    </row>
    <row r="130" customFormat="false" ht="21" hidden="false" customHeight="true" outlineLevel="0" collapsed="false">
      <c r="B130" s="41"/>
      <c r="C130" s="9"/>
      <c r="D130" s="44"/>
      <c r="E130" s="42"/>
      <c r="F130" s="9"/>
    </row>
    <row r="131" customFormat="false" ht="21" hidden="false" customHeight="true" outlineLevel="0" collapsed="false">
      <c r="B131" s="41"/>
      <c r="C131" s="9"/>
      <c r="D131" s="44"/>
      <c r="E131" s="42"/>
      <c r="F131" s="9"/>
    </row>
    <row r="132" customFormat="false" ht="21" hidden="false" customHeight="true" outlineLevel="0" collapsed="false">
      <c r="B132" s="41"/>
      <c r="C132" s="9"/>
      <c r="D132" s="44"/>
      <c r="E132" s="42"/>
      <c r="F132" s="9"/>
    </row>
    <row r="133" customFormat="false" ht="21" hidden="false" customHeight="true" outlineLevel="0" collapsed="false">
      <c r="B133" s="41"/>
      <c r="C133" s="9"/>
      <c r="D133" s="44"/>
      <c r="E133" s="42"/>
      <c r="F133" s="9"/>
    </row>
    <row r="134" customFormat="false" ht="21" hidden="false" customHeight="true" outlineLevel="0" collapsed="false">
      <c r="B134" s="41"/>
      <c r="C134" s="9"/>
      <c r="D134" s="44"/>
      <c r="E134" s="42"/>
      <c r="F134" s="9"/>
    </row>
    <row r="135" customFormat="false" ht="21" hidden="false" customHeight="true" outlineLevel="0" collapsed="false">
      <c r="B135" s="41"/>
      <c r="C135" s="9"/>
      <c r="D135" s="44"/>
      <c r="E135" s="42"/>
      <c r="F135" s="9"/>
    </row>
    <row r="136" customFormat="false" ht="21" hidden="false" customHeight="true" outlineLevel="0" collapsed="false">
      <c r="B136" s="41"/>
      <c r="C136" s="9"/>
      <c r="D136" s="44"/>
      <c r="E136" s="42"/>
      <c r="F136" s="9"/>
    </row>
    <row r="137" customFormat="false" ht="21" hidden="false" customHeight="true" outlineLevel="0" collapsed="false">
      <c r="B137" s="41"/>
      <c r="C137" s="9"/>
      <c r="D137" s="44"/>
      <c r="E137" s="42"/>
      <c r="F137" s="9"/>
    </row>
    <row r="138" customFormat="false" ht="21" hidden="false" customHeight="true" outlineLevel="0" collapsed="false">
      <c r="B138" s="41"/>
      <c r="C138" s="9"/>
      <c r="D138" s="44"/>
      <c r="E138" s="42"/>
      <c r="F138" s="9"/>
    </row>
    <row r="139" customFormat="false" ht="21" hidden="false" customHeight="true" outlineLevel="0" collapsed="false">
      <c r="B139" s="41"/>
      <c r="C139" s="9"/>
      <c r="D139" s="44"/>
      <c r="E139" s="42"/>
      <c r="F139" s="9"/>
    </row>
    <row r="140" customFormat="false" ht="21" hidden="false" customHeight="true" outlineLevel="0" collapsed="false">
      <c r="B140" s="41"/>
      <c r="C140" s="9"/>
      <c r="D140" s="44"/>
      <c r="E140" s="42"/>
      <c r="F140" s="9"/>
    </row>
    <row r="141" customFormat="false" ht="21" hidden="false" customHeight="true" outlineLevel="0" collapsed="false">
      <c r="B141" s="41"/>
      <c r="C141" s="9"/>
      <c r="D141" s="44"/>
      <c r="E141" s="42"/>
      <c r="F141" s="9"/>
    </row>
    <row r="142" customFormat="false" ht="21" hidden="false" customHeight="true" outlineLevel="0" collapsed="false">
      <c r="B142" s="41"/>
      <c r="C142" s="9"/>
      <c r="D142" s="44"/>
      <c r="E142" s="42"/>
      <c r="F142" s="9"/>
    </row>
    <row r="143" customFormat="false" ht="21" hidden="false" customHeight="true" outlineLevel="0" collapsed="false">
      <c r="B143" s="41"/>
      <c r="C143" s="9"/>
      <c r="D143" s="44"/>
      <c r="E143" s="42"/>
      <c r="F143" s="9"/>
    </row>
    <row r="144" customFormat="false" ht="21" hidden="false" customHeight="true" outlineLevel="0" collapsed="false">
      <c r="B144" s="41"/>
      <c r="C144" s="9"/>
      <c r="D144" s="44"/>
      <c r="E144" s="42"/>
      <c r="F144" s="9"/>
    </row>
    <row r="145" customFormat="false" ht="21" hidden="false" customHeight="true" outlineLevel="0" collapsed="false">
      <c r="B145" s="41"/>
      <c r="C145" s="9"/>
      <c r="D145" s="44"/>
      <c r="E145" s="42"/>
      <c r="F145" s="9"/>
    </row>
    <row r="146" customFormat="false" ht="21" hidden="false" customHeight="true" outlineLevel="0" collapsed="false">
      <c r="B146" s="41"/>
      <c r="C146" s="9"/>
      <c r="D146" s="44"/>
      <c r="E146" s="42"/>
      <c r="F146" s="9"/>
    </row>
    <row r="147" customFormat="false" ht="21" hidden="false" customHeight="true" outlineLevel="0" collapsed="false">
      <c r="B147" s="41"/>
      <c r="C147" s="9"/>
      <c r="D147" s="44"/>
      <c r="E147" s="42"/>
      <c r="F147" s="9"/>
    </row>
    <row r="148" customFormat="false" ht="21" hidden="false" customHeight="true" outlineLevel="0" collapsed="false">
      <c r="B148" s="41"/>
      <c r="C148" s="9"/>
      <c r="D148" s="44"/>
      <c r="E148" s="42"/>
      <c r="F148" s="9"/>
    </row>
    <row r="149" customFormat="false" ht="21" hidden="false" customHeight="true" outlineLevel="0" collapsed="false">
      <c r="B149" s="41"/>
      <c r="C149" s="9"/>
      <c r="D149" s="44"/>
      <c r="E149" s="42"/>
      <c r="F149" s="9"/>
    </row>
    <row r="150" customFormat="false" ht="21" hidden="false" customHeight="true" outlineLevel="0" collapsed="false">
      <c r="B150" s="41"/>
      <c r="C150" s="9"/>
      <c r="D150" s="44"/>
      <c r="E150" s="42"/>
      <c r="F150" s="9"/>
    </row>
    <row r="151" customFormat="false" ht="21" hidden="false" customHeight="true" outlineLevel="0" collapsed="false">
      <c r="B151" s="41"/>
      <c r="C151" s="9"/>
      <c r="D151" s="44"/>
      <c r="E151" s="42"/>
      <c r="F151" s="9"/>
    </row>
    <row r="152" customFormat="false" ht="21" hidden="false" customHeight="true" outlineLevel="0" collapsed="false">
      <c r="B152" s="41"/>
      <c r="C152" s="9"/>
      <c r="D152" s="44"/>
      <c r="E152" s="42"/>
      <c r="F152" s="9"/>
    </row>
    <row r="153" customFormat="false" ht="21" hidden="false" customHeight="true" outlineLevel="0" collapsed="false">
      <c r="B153" s="41"/>
      <c r="C153" s="9"/>
      <c r="D153" s="44"/>
      <c r="E153" s="42"/>
      <c r="F153" s="9"/>
    </row>
    <row r="154" customFormat="false" ht="21" hidden="false" customHeight="true" outlineLevel="0" collapsed="false">
      <c r="B154" s="41"/>
      <c r="C154" s="9"/>
      <c r="D154" s="44"/>
      <c r="E154" s="42"/>
      <c r="F154" s="9"/>
    </row>
    <row r="155" customFormat="false" ht="21" hidden="false" customHeight="true" outlineLevel="0" collapsed="false">
      <c r="B155" s="41"/>
      <c r="C155" s="9"/>
      <c r="D155" s="44"/>
      <c r="E155" s="42"/>
      <c r="F155" s="9"/>
    </row>
    <row r="156" customFormat="false" ht="21" hidden="false" customHeight="true" outlineLevel="0" collapsed="false">
      <c r="B156" s="41"/>
      <c r="C156" s="9"/>
      <c r="D156" s="44"/>
      <c r="E156" s="42"/>
      <c r="F156" s="9"/>
    </row>
    <row r="157" customFormat="false" ht="21" hidden="false" customHeight="true" outlineLevel="0" collapsed="false">
      <c r="B157" s="41"/>
      <c r="C157" s="9"/>
      <c r="D157" s="44"/>
      <c r="E157" s="42"/>
      <c r="F157" s="9"/>
    </row>
    <row r="158" customFormat="false" ht="21" hidden="false" customHeight="true" outlineLevel="0" collapsed="false">
      <c r="B158" s="41"/>
      <c r="C158" s="9"/>
      <c r="D158" s="44"/>
      <c r="E158" s="42"/>
      <c r="F158" s="9"/>
    </row>
    <row r="159" customFormat="false" ht="21" hidden="false" customHeight="true" outlineLevel="0" collapsed="false">
      <c r="B159" s="41"/>
      <c r="C159" s="9"/>
      <c r="D159" s="44"/>
      <c r="E159" s="42"/>
      <c r="F159" s="9"/>
    </row>
    <row r="160" customFormat="false" ht="21" hidden="false" customHeight="true" outlineLevel="0" collapsed="false">
      <c r="B160" s="41"/>
      <c r="C160" s="9"/>
      <c r="D160" s="44"/>
      <c r="E160" s="42"/>
      <c r="F160" s="9"/>
    </row>
    <row r="161" customFormat="false" ht="21" hidden="false" customHeight="true" outlineLevel="0" collapsed="false">
      <c r="B161" s="41"/>
      <c r="C161" s="9"/>
      <c r="D161" s="44"/>
      <c r="E161" s="42"/>
      <c r="F161" s="9"/>
    </row>
    <row r="162" customFormat="false" ht="21" hidden="false" customHeight="true" outlineLevel="0" collapsed="false">
      <c r="B162" s="41"/>
      <c r="C162" s="9"/>
      <c r="D162" s="44"/>
      <c r="E162" s="42"/>
      <c r="F162" s="9"/>
    </row>
    <row r="163" customFormat="false" ht="21" hidden="false" customHeight="true" outlineLevel="0" collapsed="false">
      <c r="B163" s="41"/>
      <c r="C163" s="9"/>
      <c r="D163" s="44"/>
      <c r="E163" s="42"/>
      <c r="F163" s="9"/>
    </row>
    <row r="164" customFormat="false" ht="21" hidden="false" customHeight="true" outlineLevel="0" collapsed="false">
      <c r="B164" s="41"/>
      <c r="C164" s="9"/>
      <c r="D164" s="44"/>
      <c r="E164" s="42"/>
      <c r="F164" s="9"/>
    </row>
    <row r="165" customFormat="false" ht="21" hidden="false" customHeight="true" outlineLevel="0" collapsed="false">
      <c r="B165" s="41"/>
      <c r="C165" s="9"/>
      <c r="D165" s="44"/>
      <c r="E165" s="42"/>
      <c r="F165" s="9"/>
    </row>
    <row r="166" customFormat="false" ht="21" hidden="false" customHeight="true" outlineLevel="0" collapsed="false">
      <c r="B166" s="41"/>
      <c r="C166" s="9"/>
      <c r="D166" s="44"/>
      <c r="E166" s="42"/>
      <c r="F166" s="9"/>
    </row>
    <row r="167" customFormat="false" ht="21" hidden="false" customHeight="true" outlineLevel="0" collapsed="false">
      <c r="B167" s="41"/>
      <c r="C167" s="9"/>
      <c r="D167" s="44"/>
      <c r="E167" s="42"/>
      <c r="F167" s="9"/>
    </row>
    <row r="168" customFormat="false" ht="21" hidden="false" customHeight="true" outlineLevel="0" collapsed="false">
      <c r="B168" s="41"/>
      <c r="C168" s="9"/>
      <c r="D168" s="44"/>
      <c r="E168" s="42"/>
      <c r="F168" s="9"/>
    </row>
    <row r="169" customFormat="false" ht="21" hidden="false" customHeight="true" outlineLevel="0" collapsed="false">
      <c r="B169" s="41"/>
      <c r="C169" s="9"/>
      <c r="D169" s="44"/>
      <c r="E169" s="42"/>
      <c r="F169" s="9"/>
    </row>
    <row r="170" customFormat="false" ht="21" hidden="false" customHeight="true" outlineLevel="0" collapsed="false">
      <c r="B170" s="41"/>
      <c r="C170" s="9"/>
      <c r="D170" s="44"/>
      <c r="E170" s="42"/>
      <c r="F170" s="9"/>
    </row>
    <row r="171" customFormat="false" ht="21" hidden="false" customHeight="true" outlineLevel="0" collapsed="false">
      <c r="B171" s="41"/>
      <c r="C171" s="9"/>
      <c r="D171" s="44"/>
      <c r="E171" s="42"/>
      <c r="F171" s="9"/>
    </row>
    <row r="172" customFormat="false" ht="21" hidden="false" customHeight="true" outlineLevel="0" collapsed="false">
      <c r="B172" s="41"/>
      <c r="C172" s="9"/>
      <c r="D172" s="44"/>
      <c r="E172" s="42"/>
      <c r="F172" s="9"/>
    </row>
    <row r="173" customFormat="false" ht="21" hidden="false" customHeight="true" outlineLevel="0" collapsed="false">
      <c r="B173" s="41"/>
      <c r="C173" s="9"/>
      <c r="D173" s="44"/>
      <c r="E173" s="42"/>
      <c r="F173" s="9"/>
    </row>
    <row r="174" customFormat="false" ht="21" hidden="false" customHeight="true" outlineLevel="0" collapsed="false">
      <c r="B174" s="41"/>
      <c r="C174" s="9"/>
      <c r="D174" s="44"/>
      <c r="E174" s="42"/>
      <c r="F174" s="9"/>
    </row>
    <row r="175" customFormat="false" ht="21" hidden="false" customHeight="true" outlineLevel="0" collapsed="false">
      <c r="B175" s="41"/>
      <c r="C175" s="9"/>
      <c r="D175" s="44"/>
      <c r="E175" s="42"/>
      <c r="F175" s="9"/>
    </row>
    <row r="176" customFormat="false" ht="21" hidden="false" customHeight="true" outlineLevel="0" collapsed="false">
      <c r="B176" s="41"/>
      <c r="C176" s="9"/>
      <c r="D176" s="44"/>
      <c r="E176" s="42"/>
      <c r="F176" s="9"/>
    </row>
    <row r="177" customFormat="false" ht="21" hidden="false" customHeight="true" outlineLevel="0" collapsed="false">
      <c r="B177" s="41"/>
      <c r="C177" s="9"/>
      <c r="D177" s="44"/>
      <c r="E177" s="42"/>
      <c r="F177" s="9"/>
    </row>
    <row r="178" customFormat="false" ht="21" hidden="false" customHeight="true" outlineLevel="0" collapsed="false">
      <c r="B178" s="41"/>
      <c r="C178" s="9"/>
      <c r="D178" s="44"/>
      <c r="E178" s="42"/>
      <c r="F178" s="9"/>
    </row>
    <row r="179" customFormat="false" ht="21" hidden="false" customHeight="true" outlineLevel="0" collapsed="false">
      <c r="B179" s="41"/>
      <c r="C179" s="9"/>
      <c r="D179" s="44"/>
      <c r="E179" s="42"/>
      <c r="F179" s="9"/>
    </row>
    <row r="180" customFormat="false" ht="21" hidden="false" customHeight="true" outlineLevel="0" collapsed="false">
      <c r="B180" s="41"/>
      <c r="C180" s="9"/>
      <c r="D180" s="44"/>
      <c r="E180" s="42"/>
      <c r="F180" s="9"/>
    </row>
    <row r="181" customFormat="false" ht="21" hidden="false" customHeight="true" outlineLevel="0" collapsed="false">
      <c r="B181" s="41"/>
      <c r="C181" s="9"/>
      <c r="D181" s="44"/>
      <c r="E181" s="42"/>
      <c r="F181" s="9"/>
    </row>
    <row r="182" customFormat="false" ht="21" hidden="false" customHeight="true" outlineLevel="0" collapsed="false">
      <c r="B182" s="41"/>
      <c r="C182" s="9"/>
      <c r="D182" s="44"/>
      <c r="E182" s="42"/>
      <c r="F182" s="9"/>
    </row>
    <row r="183" customFormat="false" ht="21" hidden="false" customHeight="true" outlineLevel="0" collapsed="false">
      <c r="B183" s="41"/>
      <c r="C183" s="9"/>
      <c r="D183" s="44"/>
      <c r="E183" s="42"/>
      <c r="F183" s="9"/>
    </row>
    <row r="184" customFormat="false" ht="21" hidden="false" customHeight="true" outlineLevel="0" collapsed="false">
      <c r="B184" s="41"/>
      <c r="C184" s="9"/>
      <c r="D184" s="44"/>
      <c r="E184" s="42"/>
      <c r="F184" s="9"/>
    </row>
    <row r="185" customFormat="false" ht="21" hidden="false" customHeight="true" outlineLevel="0" collapsed="false">
      <c r="B185" s="41"/>
      <c r="C185" s="9"/>
      <c r="D185" s="44"/>
      <c r="E185" s="42"/>
      <c r="F185" s="9"/>
    </row>
    <row r="186" customFormat="false" ht="21" hidden="false" customHeight="true" outlineLevel="0" collapsed="false">
      <c r="B186" s="41"/>
      <c r="C186" s="9"/>
      <c r="D186" s="44"/>
      <c r="E186" s="42"/>
      <c r="F186" s="9"/>
    </row>
    <row r="187" customFormat="false" ht="21" hidden="false" customHeight="true" outlineLevel="0" collapsed="false">
      <c r="B187" s="41"/>
      <c r="C187" s="9"/>
      <c r="D187" s="44"/>
      <c r="E187" s="42"/>
      <c r="F187" s="9"/>
    </row>
    <row r="188" customFormat="false" ht="21" hidden="false" customHeight="true" outlineLevel="0" collapsed="false">
      <c r="B188" s="41"/>
      <c r="C188" s="9"/>
      <c r="D188" s="44"/>
      <c r="E188" s="42"/>
      <c r="F188" s="9"/>
    </row>
    <row r="189" customFormat="false" ht="21" hidden="false" customHeight="true" outlineLevel="0" collapsed="false">
      <c r="B189" s="41"/>
      <c r="C189" s="9"/>
      <c r="D189" s="44"/>
      <c r="E189" s="42"/>
      <c r="F189" s="9"/>
    </row>
    <row r="190" customFormat="false" ht="21" hidden="false" customHeight="true" outlineLevel="0" collapsed="false">
      <c r="B190" s="41"/>
      <c r="C190" s="9"/>
      <c r="D190" s="44"/>
      <c r="E190" s="42"/>
      <c r="F190" s="9"/>
    </row>
    <row r="191" customFormat="false" ht="21" hidden="false" customHeight="true" outlineLevel="0" collapsed="false">
      <c r="B191" s="41"/>
      <c r="C191" s="9"/>
      <c r="D191" s="44"/>
      <c r="E191" s="42"/>
      <c r="F191" s="9"/>
    </row>
    <row r="192" customFormat="false" ht="21" hidden="false" customHeight="true" outlineLevel="0" collapsed="false">
      <c r="B192" s="41"/>
      <c r="C192" s="9"/>
      <c r="D192" s="44"/>
      <c r="E192" s="42"/>
      <c r="F192" s="9"/>
    </row>
    <row r="193" customFormat="false" ht="21" hidden="false" customHeight="true" outlineLevel="0" collapsed="false">
      <c r="B193" s="41"/>
      <c r="C193" s="9"/>
      <c r="D193" s="44"/>
      <c r="E193" s="42"/>
      <c r="F193" s="9"/>
    </row>
    <row r="194" customFormat="false" ht="21" hidden="false" customHeight="true" outlineLevel="0" collapsed="false">
      <c r="B194" s="41"/>
      <c r="C194" s="9"/>
      <c r="D194" s="44"/>
      <c r="E194" s="42"/>
      <c r="F194" s="9"/>
    </row>
    <row r="195" customFormat="false" ht="21" hidden="false" customHeight="true" outlineLevel="0" collapsed="false">
      <c r="B195" s="41"/>
      <c r="C195" s="9"/>
      <c r="D195" s="44"/>
      <c r="E195" s="42"/>
      <c r="F195" s="9"/>
    </row>
    <row r="196" customFormat="false" ht="21" hidden="false" customHeight="true" outlineLevel="0" collapsed="false">
      <c r="B196" s="41"/>
      <c r="C196" s="9"/>
      <c r="D196" s="44"/>
      <c r="E196" s="42"/>
      <c r="F196" s="9"/>
    </row>
    <row r="197" customFormat="false" ht="21" hidden="false" customHeight="true" outlineLevel="0" collapsed="false">
      <c r="B197" s="41"/>
      <c r="C197" s="9"/>
      <c r="D197" s="44"/>
      <c r="E197" s="42"/>
      <c r="F197" s="9"/>
    </row>
    <row r="198" customFormat="false" ht="21" hidden="false" customHeight="true" outlineLevel="0" collapsed="false">
      <c r="B198" s="41"/>
      <c r="C198" s="9"/>
      <c r="D198" s="44"/>
      <c r="E198" s="42"/>
      <c r="F198" s="9"/>
    </row>
    <row r="199" customFormat="false" ht="21" hidden="false" customHeight="true" outlineLevel="0" collapsed="false">
      <c r="B199" s="41"/>
      <c r="C199" s="9"/>
      <c r="D199" s="44"/>
      <c r="E199" s="42"/>
      <c r="F199" s="9"/>
    </row>
    <row r="200" customFormat="false" ht="21" hidden="false" customHeight="true" outlineLevel="0" collapsed="false">
      <c r="B200" s="41"/>
      <c r="C200" s="9"/>
      <c r="D200" s="44"/>
      <c r="E200" s="42"/>
      <c r="F200" s="9"/>
    </row>
    <row r="201" customFormat="false" ht="21" hidden="false" customHeight="true" outlineLevel="0" collapsed="false">
      <c r="B201" s="41"/>
      <c r="C201" s="9"/>
      <c r="D201" s="44"/>
      <c r="E201" s="42"/>
      <c r="F201" s="9"/>
    </row>
    <row r="202" customFormat="false" ht="21" hidden="false" customHeight="true" outlineLevel="0" collapsed="false">
      <c r="B202" s="41"/>
      <c r="C202" s="9"/>
      <c r="D202" s="44"/>
      <c r="E202" s="42"/>
      <c r="F202" s="9"/>
    </row>
    <row r="203" customFormat="false" ht="21" hidden="false" customHeight="true" outlineLevel="0" collapsed="false">
      <c r="B203" s="41"/>
      <c r="C203" s="9"/>
      <c r="D203" s="44"/>
      <c r="E203" s="42"/>
      <c r="F203" s="9"/>
    </row>
    <row r="204" customFormat="false" ht="21" hidden="false" customHeight="true" outlineLevel="0" collapsed="false">
      <c r="B204" s="41"/>
      <c r="C204" s="9"/>
      <c r="D204" s="44"/>
      <c r="E204" s="42"/>
      <c r="F204" s="9"/>
    </row>
    <row r="205" customFormat="false" ht="21" hidden="false" customHeight="true" outlineLevel="0" collapsed="false">
      <c r="B205" s="41"/>
      <c r="C205" s="9"/>
      <c r="D205" s="44"/>
      <c r="E205" s="42"/>
      <c r="F205" s="9"/>
    </row>
    <row r="206" customFormat="false" ht="21" hidden="false" customHeight="true" outlineLevel="0" collapsed="false">
      <c r="B206" s="41"/>
      <c r="C206" s="9"/>
      <c r="D206" s="44"/>
      <c r="E206" s="42"/>
      <c r="F206" s="9"/>
    </row>
    <row r="207" customFormat="false" ht="21" hidden="false" customHeight="true" outlineLevel="0" collapsed="false">
      <c r="B207" s="41"/>
      <c r="C207" s="9"/>
      <c r="D207" s="44"/>
      <c r="E207" s="42"/>
      <c r="F207" s="9"/>
    </row>
    <row r="208" customFormat="false" ht="21" hidden="false" customHeight="true" outlineLevel="0" collapsed="false">
      <c r="B208" s="41"/>
      <c r="C208" s="9"/>
      <c r="D208" s="44"/>
      <c r="E208" s="42"/>
      <c r="F208" s="9"/>
    </row>
    <row r="209" customFormat="false" ht="21" hidden="false" customHeight="true" outlineLevel="0" collapsed="false">
      <c r="B209" s="41"/>
      <c r="C209" s="9"/>
      <c r="D209" s="44"/>
      <c r="E209" s="42"/>
      <c r="F209" s="9"/>
    </row>
    <row r="210" customFormat="false" ht="21" hidden="false" customHeight="true" outlineLevel="0" collapsed="false">
      <c r="B210" s="41"/>
      <c r="C210" s="9"/>
      <c r="D210" s="44"/>
      <c r="E210" s="42"/>
      <c r="F210" s="9"/>
    </row>
    <row r="211" customFormat="false" ht="21" hidden="false" customHeight="true" outlineLevel="0" collapsed="false">
      <c r="B211" s="41"/>
      <c r="C211" s="9"/>
      <c r="D211" s="44"/>
      <c r="E211" s="42"/>
      <c r="F211" s="9"/>
    </row>
    <row r="212" customFormat="false" ht="21" hidden="false" customHeight="true" outlineLevel="0" collapsed="false">
      <c r="B212" s="41"/>
      <c r="C212" s="9"/>
      <c r="D212" s="44"/>
      <c r="E212" s="42"/>
      <c r="F212" s="9"/>
    </row>
    <row r="213" customFormat="false" ht="21" hidden="false" customHeight="true" outlineLevel="0" collapsed="false">
      <c r="B213" s="41"/>
      <c r="C213" s="9"/>
      <c r="D213" s="44"/>
      <c r="E213" s="42"/>
      <c r="F213" s="9"/>
    </row>
    <row r="214" customFormat="false" ht="21" hidden="false" customHeight="true" outlineLevel="0" collapsed="false">
      <c r="B214" s="41"/>
      <c r="C214" s="9"/>
      <c r="D214" s="44"/>
      <c r="E214" s="42"/>
      <c r="F214" s="9"/>
    </row>
    <row r="215" customFormat="false" ht="21" hidden="false" customHeight="true" outlineLevel="0" collapsed="false">
      <c r="B215" s="41"/>
      <c r="C215" s="9"/>
      <c r="D215" s="44"/>
      <c r="E215" s="42"/>
      <c r="F215" s="9"/>
    </row>
    <row r="216" customFormat="false" ht="21" hidden="false" customHeight="true" outlineLevel="0" collapsed="false">
      <c r="B216" s="41"/>
      <c r="C216" s="9"/>
      <c r="D216" s="44"/>
      <c r="E216" s="42"/>
      <c r="F216" s="9"/>
    </row>
    <row r="217" customFormat="false" ht="21" hidden="false" customHeight="true" outlineLevel="0" collapsed="false">
      <c r="B217" s="41"/>
      <c r="C217" s="9"/>
      <c r="D217" s="44"/>
      <c r="E217" s="42"/>
      <c r="F217" s="9"/>
    </row>
    <row r="218" customFormat="false" ht="21" hidden="false" customHeight="true" outlineLevel="0" collapsed="false">
      <c r="B218" s="41"/>
      <c r="C218" s="9"/>
      <c r="D218" s="44"/>
      <c r="E218" s="42"/>
      <c r="F218" s="9"/>
    </row>
    <row r="219" customFormat="false" ht="21" hidden="false" customHeight="true" outlineLevel="0" collapsed="false">
      <c r="B219" s="41"/>
      <c r="C219" s="9"/>
      <c r="D219" s="44"/>
      <c r="E219" s="42"/>
      <c r="F219" s="9"/>
    </row>
    <row r="220" customFormat="false" ht="21" hidden="false" customHeight="true" outlineLevel="0" collapsed="false">
      <c r="B220" s="41"/>
      <c r="C220" s="9"/>
      <c r="D220" s="44"/>
      <c r="E220" s="42"/>
      <c r="F220" s="9"/>
    </row>
    <row r="221" customFormat="false" ht="21" hidden="false" customHeight="true" outlineLevel="0" collapsed="false">
      <c r="B221" s="41"/>
      <c r="C221" s="9"/>
      <c r="D221" s="44"/>
      <c r="E221" s="42"/>
      <c r="F221" s="9"/>
    </row>
    <row r="222" customFormat="false" ht="21" hidden="false" customHeight="true" outlineLevel="0" collapsed="false">
      <c r="B222" s="41"/>
      <c r="C222" s="9"/>
      <c r="D222" s="44"/>
      <c r="E222" s="42"/>
      <c r="F222" s="9"/>
    </row>
    <row r="223" customFormat="false" ht="21" hidden="false" customHeight="true" outlineLevel="0" collapsed="false">
      <c r="B223" s="41"/>
      <c r="C223" s="9"/>
      <c r="D223" s="44"/>
      <c r="E223" s="42"/>
      <c r="F223" s="9"/>
    </row>
    <row r="224" customFormat="false" ht="21" hidden="false" customHeight="true" outlineLevel="0" collapsed="false">
      <c r="B224" s="41"/>
      <c r="C224" s="9"/>
      <c r="D224" s="44"/>
      <c r="E224" s="42"/>
      <c r="F224" s="9"/>
    </row>
    <row r="225" customFormat="false" ht="21" hidden="false" customHeight="true" outlineLevel="0" collapsed="false">
      <c r="B225" s="41"/>
      <c r="C225" s="9"/>
      <c r="D225" s="44"/>
      <c r="E225" s="42"/>
      <c r="F225" s="9"/>
    </row>
    <row r="226" customFormat="false" ht="21" hidden="false" customHeight="true" outlineLevel="0" collapsed="false">
      <c r="B226" s="41"/>
      <c r="C226" s="9"/>
      <c r="D226" s="44"/>
      <c r="E226" s="42"/>
      <c r="F226" s="9"/>
    </row>
    <row r="227" customFormat="false" ht="21" hidden="false" customHeight="true" outlineLevel="0" collapsed="false">
      <c r="B227" s="41"/>
      <c r="C227" s="9"/>
      <c r="D227" s="44"/>
      <c r="E227" s="42"/>
      <c r="F227" s="9"/>
    </row>
    <row r="228" customFormat="false" ht="21" hidden="false" customHeight="true" outlineLevel="0" collapsed="false">
      <c r="B228" s="41"/>
      <c r="C228" s="9"/>
      <c r="D228" s="44"/>
      <c r="E228" s="42"/>
      <c r="F228" s="9"/>
    </row>
    <row r="229" customFormat="false" ht="21" hidden="false" customHeight="true" outlineLevel="0" collapsed="false">
      <c r="B229" s="41"/>
      <c r="C229" s="9"/>
      <c r="D229" s="44"/>
      <c r="E229" s="42"/>
      <c r="F229" s="9"/>
    </row>
    <row r="230" customFormat="false" ht="21" hidden="false" customHeight="true" outlineLevel="0" collapsed="false">
      <c r="B230" s="41"/>
      <c r="C230" s="9"/>
      <c r="D230" s="44"/>
      <c r="E230" s="42"/>
      <c r="F230" s="9"/>
    </row>
    <row r="231" customFormat="false" ht="21" hidden="false" customHeight="true" outlineLevel="0" collapsed="false">
      <c r="B231" s="41"/>
      <c r="C231" s="9"/>
      <c r="D231" s="44"/>
      <c r="E231" s="42"/>
      <c r="F231" s="9"/>
    </row>
    <row r="232" customFormat="false" ht="21" hidden="false" customHeight="true" outlineLevel="0" collapsed="false">
      <c r="B232" s="41"/>
      <c r="C232" s="9"/>
      <c r="D232" s="44"/>
      <c r="E232" s="42"/>
      <c r="F232" s="9"/>
    </row>
    <row r="233" customFormat="false" ht="21" hidden="false" customHeight="true" outlineLevel="0" collapsed="false">
      <c r="B233" s="41"/>
      <c r="C233" s="9"/>
      <c r="D233" s="44"/>
      <c r="E233" s="42"/>
      <c r="F233" s="9"/>
    </row>
    <row r="234" customFormat="false" ht="21" hidden="false" customHeight="true" outlineLevel="0" collapsed="false">
      <c r="B234" s="41"/>
      <c r="C234" s="9"/>
      <c r="D234" s="44"/>
      <c r="E234" s="42"/>
      <c r="F234" s="9"/>
    </row>
    <row r="235" customFormat="false" ht="21" hidden="false" customHeight="true" outlineLevel="0" collapsed="false">
      <c r="B235" s="41"/>
      <c r="C235" s="9"/>
      <c r="D235" s="44"/>
      <c r="E235" s="42"/>
      <c r="F235" s="9"/>
    </row>
    <row r="236" customFormat="false" ht="21" hidden="false" customHeight="true" outlineLevel="0" collapsed="false">
      <c r="B236" s="41"/>
      <c r="C236" s="9"/>
      <c r="D236" s="44"/>
      <c r="E236" s="42"/>
      <c r="F236" s="9"/>
    </row>
    <row r="237" customFormat="false" ht="21" hidden="false" customHeight="true" outlineLevel="0" collapsed="false">
      <c r="B237" s="41"/>
      <c r="C237" s="9"/>
      <c r="D237" s="44"/>
      <c r="E237" s="42"/>
      <c r="F237" s="9"/>
    </row>
    <row r="238" customFormat="false" ht="21" hidden="false" customHeight="true" outlineLevel="0" collapsed="false">
      <c r="B238" s="41"/>
      <c r="C238" s="9"/>
      <c r="D238" s="44"/>
      <c r="E238" s="42"/>
      <c r="F238" s="9"/>
    </row>
    <row r="239" customFormat="false" ht="21" hidden="false" customHeight="true" outlineLevel="0" collapsed="false">
      <c r="B239" s="41"/>
      <c r="C239" s="9"/>
      <c r="D239" s="44"/>
      <c r="E239" s="42"/>
      <c r="F239" s="9"/>
    </row>
    <row r="240" customFormat="false" ht="21" hidden="false" customHeight="true" outlineLevel="0" collapsed="false">
      <c r="B240" s="41"/>
      <c r="C240" s="9"/>
      <c r="D240" s="44"/>
      <c r="E240" s="42"/>
      <c r="F240" s="9"/>
    </row>
    <row r="241" customFormat="false" ht="21" hidden="false" customHeight="true" outlineLevel="0" collapsed="false">
      <c r="B241" s="41"/>
      <c r="C241" s="9"/>
      <c r="D241" s="44"/>
      <c r="E241" s="42"/>
      <c r="F241" s="9"/>
    </row>
    <row r="242" customFormat="false" ht="21" hidden="false" customHeight="true" outlineLevel="0" collapsed="false">
      <c r="B242" s="41"/>
      <c r="C242" s="9"/>
      <c r="D242" s="44"/>
      <c r="E242" s="42"/>
      <c r="F242" s="9"/>
    </row>
    <row r="243" customFormat="false" ht="21" hidden="false" customHeight="true" outlineLevel="0" collapsed="false">
      <c r="B243" s="41"/>
      <c r="C243" s="9"/>
      <c r="D243" s="44"/>
      <c r="E243" s="42"/>
      <c r="F243" s="9"/>
    </row>
    <row r="244" customFormat="false" ht="21" hidden="false" customHeight="true" outlineLevel="0" collapsed="false">
      <c r="B244" s="41"/>
      <c r="C244" s="9"/>
      <c r="D244" s="44"/>
      <c r="E244" s="42"/>
      <c r="F244" s="9"/>
    </row>
    <row r="245" customFormat="false" ht="21" hidden="false" customHeight="true" outlineLevel="0" collapsed="false">
      <c r="B245" s="41"/>
      <c r="C245" s="9"/>
      <c r="D245" s="44"/>
      <c r="E245" s="42"/>
      <c r="F245" s="9"/>
    </row>
    <row r="246" customFormat="false" ht="21" hidden="false" customHeight="true" outlineLevel="0" collapsed="false">
      <c r="B246" s="41"/>
      <c r="C246" s="9"/>
      <c r="D246" s="44"/>
      <c r="E246" s="42"/>
      <c r="F246" s="9"/>
    </row>
    <row r="247" customFormat="false" ht="21" hidden="false" customHeight="true" outlineLevel="0" collapsed="false">
      <c r="B247" s="41"/>
      <c r="C247" s="9"/>
      <c r="D247" s="44"/>
      <c r="E247" s="42"/>
      <c r="F247" s="9"/>
    </row>
    <row r="248" customFormat="false" ht="21" hidden="false" customHeight="true" outlineLevel="0" collapsed="false">
      <c r="B248" s="41"/>
      <c r="C248" s="9"/>
      <c r="D248" s="44"/>
      <c r="E248" s="42"/>
      <c r="F248" s="9"/>
    </row>
    <row r="249" customFormat="false" ht="21" hidden="false" customHeight="true" outlineLevel="0" collapsed="false">
      <c r="B249" s="41"/>
      <c r="C249" s="9"/>
      <c r="D249" s="44"/>
      <c r="E249" s="42"/>
      <c r="F249" s="9"/>
    </row>
    <row r="250" customFormat="false" ht="21" hidden="false" customHeight="true" outlineLevel="0" collapsed="false">
      <c r="B250" s="41"/>
      <c r="C250" s="9"/>
      <c r="D250" s="44"/>
      <c r="E250" s="42"/>
      <c r="F250" s="9"/>
    </row>
    <row r="251" customFormat="false" ht="21" hidden="false" customHeight="true" outlineLevel="0" collapsed="false">
      <c r="B251" s="41"/>
      <c r="C251" s="9"/>
      <c r="D251" s="44"/>
      <c r="E251" s="42"/>
      <c r="F251" s="9"/>
    </row>
    <row r="252" customFormat="false" ht="21" hidden="false" customHeight="true" outlineLevel="0" collapsed="false">
      <c r="B252" s="41"/>
      <c r="C252" s="9"/>
      <c r="D252" s="44"/>
      <c r="E252" s="42"/>
      <c r="F252" s="9"/>
    </row>
    <row r="253" customFormat="false" ht="21" hidden="false" customHeight="true" outlineLevel="0" collapsed="false">
      <c r="B253" s="41"/>
      <c r="C253" s="9"/>
      <c r="D253" s="44"/>
      <c r="E253" s="42"/>
      <c r="F253" s="9"/>
    </row>
    <row r="254" customFormat="false" ht="21" hidden="false" customHeight="true" outlineLevel="0" collapsed="false">
      <c r="B254" s="41"/>
      <c r="C254" s="9"/>
      <c r="D254" s="44"/>
      <c r="E254" s="42"/>
      <c r="F254" s="9"/>
    </row>
    <row r="255" customFormat="false" ht="21" hidden="false" customHeight="true" outlineLevel="0" collapsed="false">
      <c r="B255" s="41"/>
      <c r="C255" s="9"/>
      <c r="D255" s="44"/>
      <c r="E255" s="42"/>
      <c r="F255" s="9"/>
    </row>
    <row r="256" customFormat="false" ht="21" hidden="false" customHeight="true" outlineLevel="0" collapsed="false">
      <c r="B256" s="41"/>
      <c r="C256" s="9"/>
      <c r="D256" s="44"/>
      <c r="E256" s="42"/>
      <c r="F256" s="9"/>
    </row>
    <row r="257" customFormat="false" ht="21" hidden="false" customHeight="true" outlineLevel="0" collapsed="false">
      <c r="B257" s="41"/>
      <c r="C257" s="9"/>
      <c r="D257" s="44"/>
      <c r="E257" s="42"/>
      <c r="F257" s="9"/>
    </row>
    <row r="258" customFormat="false" ht="21" hidden="false" customHeight="true" outlineLevel="0" collapsed="false">
      <c r="B258" s="41"/>
      <c r="C258" s="9"/>
      <c r="D258" s="44"/>
      <c r="E258" s="42"/>
      <c r="F258" s="9"/>
    </row>
    <row r="259" customFormat="false" ht="21" hidden="false" customHeight="true" outlineLevel="0" collapsed="false">
      <c r="B259" s="41"/>
      <c r="C259" s="9"/>
      <c r="D259" s="44"/>
      <c r="E259" s="42"/>
      <c r="F259" s="9"/>
    </row>
    <row r="260" customFormat="false" ht="21" hidden="false" customHeight="true" outlineLevel="0" collapsed="false">
      <c r="B260" s="41"/>
      <c r="C260" s="9"/>
      <c r="D260" s="44"/>
      <c r="E260" s="42"/>
      <c r="F260" s="9"/>
    </row>
    <row r="261" customFormat="false" ht="21" hidden="false" customHeight="true" outlineLevel="0" collapsed="false">
      <c r="B261" s="41"/>
      <c r="C261" s="9"/>
      <c r="D261" s="44"/>
      <c r="E261" s="42"/>
      <c r="F261" s="9"/>
    </row>
    <row r="262" customFormat="false" ht="21" hidden="false" customHeight="true" outlineLevel="0" collapsed="false">
      <c r="B262" s="41"/>
      <c r="C262" s="9"/>
      <c r="D262" s="44"/>
      <c r="E262" s="42"/>
      <c r="F262" s="9"/>
    </row>
    <row r="263" customFormat="false" ht="21" hidden="false" customHeight="true" outlineLevel="0" collapsed="false">
      <c r="B263" s="41"/>
      <c r="C263" s="9"/>
      <c r="D263" s="44"/>
      <c r="E263" s="42"/>
      <c r="F263" s="9"/>
    </row>
    <row r="264" customFormat="false" ht="21" hidden="false" customHeight="true" outlineLevel="0" collapsed="false">
      <c r="B264" s="41"/>
      <c r="C264" s="9"/>
      <c r="D264" s="44"/>
      <c r="E264" s="42"/>
      <c r="F264" s="9"/>
    </row>
    <row r="265" customFormat="false" ht="21" hidden="false" customHeight="true" outlineLevel="0" collapsed="false">
      <c r="B265" s="41"/>
      <c r="C265" s="9"/>
      <c r="D265" s="44"/>
      <c r="E265" s="42"/>
      <c r="F265" s="9"/>
    </row>
    <row r="266" customFormat="false" ht="21" hidden="false" customHeight="true" outlineLevel="0" collapsed="false">
      <c r="B266" s="41"/>
      <c r="C266" s="9"/>
      <c r="D266" s="44"/>
      <c r="E266" s="42"/>
      <c r="F266" s="9"/>
    </row>
    <row r="267" customFormat="false" ht="21" hidden="false" customHeight="true" outlineLevel="0" collapsed="false">
      <c r="B267" s="41"/>
      <c r="C267" s="9"/>
      <c r="D267" s="44"/>
      <c r="E267" s="42"/>
      <c r="F267" s="9"/>
    </row>
    <row r="268" customFormat="false" ht="21" hidden="false" customHeight="true" outlineLevel="0" collapsed="false">
      <c r="B268" s="41"/>
      <c r="C268" s="9"/>
      <c r="D268" s="44"/>
      <c r="E268" s="42"/>
      <c r="F268" s="9"/>
    </row>
    <row r="269" customFormat="false" ht="21" hidden="false" customHeight="true" outlineLevel="0" collapsed="false">
      <c r="B269" s="41"/>
      <c r="C269" s="9"/>
      <c r="D269" s="44"/>
      <c r="E269" s="42"/>
      <c r="F269" s="9"/>
    </row>
    <row r="270" customFormat="false" ht="21" hidden="false" customHeight="true" outlineLevel="0" collapsed="false">
      <c r="B270" s="41"/>
      <c r="C270" s="9"/>
      <c r="D270" s="44"/>
      <c r="E270" s="42"/>
      <c r="F270" s="9"/>
    </row>
    <row r="271" customFormat="false" ht="21" hidden="false" customHeight="true" outlineLevel="0" collapsed="false">
      <c r="B271" s="41"/>
      <c r="C271" s="9"/>
      <c r="D271" s="44"/>
      <c r="E271" s="42"/>
      <c r="F271" s="9"/>
    </row>
    <row r="272" customFormat="false" ht="21" hidden="false" customHeight="true" outlineLevel="0" collapsed="false">
      <c r="B272" s="41"/>
      <c r="C272" s="9"/>
      <c r="D272" s="44"/>
      <c r="E272" s="42"/>
      <c r="F272" s="9"/>
    </row>
    <row r="273" customFormat="false" ht="21" hidden="false" customHeight="true" outlineLevel="0" collapsed="false">
      <c r="B273" s="41"/>
      <c r="C273" s="9"/>
      <c r="D273" s="44"/>
      <c r="E273" s="42"/>
      <c r="F273" s="9"/>
    </row>
    <row r="274" customFormat="false" ht="21" hidden="false" customHeight="true" outlineLevel="0" collapsed="false">
      <c r="B274" s="41"/>
      <c r="C274" s="9"/>
      <c r="D274" s="44"/>
      <c r="E274" s="42"/>
      <c r="F274" s="9"/>
    </row>
    <row r="275" customFormat="false" ht="21" hidden="false" customHeight="true" outlineLevel="0" collapsed="false">
      <c r="B275" s="41"/>
      <c r="C275" s="9"/>
      <c r="D275" s="44"/>
      <c r="E275" s="42"/>
      <c r="F275" s="9"/>
    </row>
    <row r="276" customFormat="false" ht="21" hidden="false" customHeight="true" outlineLevel="0" collapsed="false">
      <c r="B276" s="41"/>
      <c r="C276" s="9"/>
      <c r="D276" s="44"/>
      <c r="E276" s="42"/>
      <c r="F276" s="9"/>
    </row>
    <row r="277" customFormat="false" ht="21" hidden="false" customHeight="true" outlineLevel="0" collapsed="false">
      <c r="B277" s="41"/>
      <c r="C277" s="9"/>
      <c r="D277" s="44"/>
      <c r="E277" s="42"/>
      <c r="F277" s="9"/>
    </row>
    <row r="278" customFormat="false" ht="21" hidden="false" customHeight="true" outlineLevel="0" collapsed="false">
      <c r="B278" s="41"/>
      <c r="C278" s="9"/>
      <c r="D278" s="44"/>
      <c r="E278" s="42"/>
      <c r="F278" s="9"/>
    </row>
    <row r="279" customFormat="false" ht="21" hidden="false" customHeight="true" outlineLevel="0" collapsed="false">
      <c r="B279" s="41"/>
      <c r="C279" s="9"/>
      <c r="D279" s="44"/>
      <c r="E279" s="42"/>
      <c r="F279" s="9"/>
    </row>
    <row r="280" customFormat="false" ht="21" hidden="false" customHeight="true" outlineLevel="0" collapsed="false">
      <c r="B280" s="41"/>
      <c r="C280" s="9"/>
      <c r="D280" s="44"/>
      <c r="E280" s="42"/>
      <c r="F280" s="9"/>
    </row>
    <row r="281" customFormat="false" ht="21" hidden="false" customHeight="true" outlineLevel="0" collapsed="false">
      <c r="B281" s="41"/>
      <c r="C281" s="9"/>
      <c r="D281" s="44"/>
      <c r="E281" s="42"/>
      <c r="F281" s="9"/>
    </row>
    <row r="282" customFormat="false" ht="21" hidden="false" customHeight="true" outlineLevel="0" collapsed="false">
      <c r="B282" s="41"/>
      <c r="C282" s="9"/>
      <c r="D282" s="44"/>
      <c r="E282" s="42"/>
      <c r="F282" s="9"/>
    </row>
    <row r="283" customFormat="false" ht="21" hidden="false" customHeight="true" outlineLevel="0" collapsed="false">
      <c r="B283" s="41"/>
      <c r="C283" s="9"/>
      <c r="D283" s="44"/>
      <c r="E283" s="42"/>
      <c r="F283" s="9"/>
    </row>
    <row r="284" customFormat="false" ht="21" hidden="false" customHeight="true" outlineLevel="0" collapsed="false">
      <c r="B284" s="41"/>
      <c r="C284" s="9"/>
      <c r="D284" s="44"/>
      <c r="E284" s="42"/>
      <c r="F284" s="9"/>
    </row>
    <row r="285" customFormat="false" ht="21" hidden="false" customHeight="true" outlineLevel="0" collapsed="false">
      <c r="B285" s="41"/>
      <c r="C285" s="9"/>
      <c r="D285" s="44"/>
      <c r="E285" s="42"/>
      <c r="F285" s="9"/>
    </row>
    <row r="286" customFormat="false" ht="21" hidden="false" customHeight="true" outlineLevel="0" collapsed="false">
      <c r="B286" s="41"/>
      <c r="C286" s="9"/>
      <c r="D286" s="44"/>
      <c r="E286" s="42"/>
      <c r="F286" s="9"/>
    </row>
    <row r="287" customFormat="false" ht="21" hidden="false" customHeight="true" outlineLevel="0" collapsed="false">
      <c r="B287" s="41"/>
      <c r="C287" s="9"/>
      <c r="D287" s="44"/>
      <c r="E287" s="42"/>
      <c r="F287" s="9"/>
    </row>
    <row r="288" customFormat="false" ht="21" hidden="false" customHeight="true" outlineLevel="0" collapsed="false">
      <c r="B288" s="41"/>
      <c r="C288" s="9"/>
      <c r="D288" s="44"/>
      <c r="E288" s="42"/>
      <c r="F288" s="9"/>
    </row>
    <row r="289" customFormat="false" ht="21" hidden="false" customHeight="true" outlineLevel="0" collapsed="false">
      <c r="B289" s="41"/>
      <c r="C289" s="9"/>
      <c r="D289" s="44"/>
      <c r="E289" s="42"/>
      <c r="F289" s="9"/>
    </row>
    <row r="290" customFormat="false" ht="21" hidden="false" customHeight="true" outlineLevel="0" collapsed="false">
      <c r="B290" s="41"/>
      <c r="C290" s="9"/>
      <c r="D290" s="44"/>
      <c r="E290" s="42"/>
      <c r="F290" s="9"/>
    </row>
    <row r="291" customFormat="false" ht="21" hidden="false" customHeight="true" outlineLevel="0" collapsed="false">
      <c r="B291" s="41"/>
      <c r="C291" s="9"/>
      <c r="D291" s="44"/>
      <c r="E291" s="42"/>
      <c r="F291" s="9"/>
    </row>
    <row r="292" customFormat="false" ht="21" hidden="false" customHeight="true" outlineLevel="0" collapsed="false">
      <c r="B292" s="41"/>
      <c r="C292" s="9"/>
      <c r="D292" s="44"/>
      <c r="E292" s="42"/>
      <c r="F292" s="9"/>
    </row>
    <row r="293" customFormat="false" ht="21" hidden="false" customHeight="true" outlineLevel="0" collapsed="false">
      <c r="B293" s="41"/>
      <c r="C293" s="9"/>
      <c r="D293" s="44"/>
      <c r="E293" s="42"/>
      <c r="F293" s="9"/>
    </row>
    <row r="294" customFormat="false" ht="21" hidden="false" customHeight="true" outlineLevel="0" collapsed="false">
      <c r="B294" s="41"/>
      <c r="C294" s="9"/>
      <c r="D294" s="44"/>
      <c r="E294" s="42"/>
      <c r="F294" s="9"/>
    </row>
    <row r="295" customFormat="false" ht="21" hidden="false" customHeight="true" outlineLevel="0" collapsed="false">
      <c r="B295" s="41"/>
      <c r="C295" s="9"/>
      <c r="D295" s="44"/>
      <c r="E295" s="42"/>
      <c r="F295" s="9"/>
    </row>
    <row r="296" customFormat="false" ht="21" hidden="false" customHeight="true" outlineLevel="0" collapsed="false">
      <c r="B296" s="41"/>
      <c r="C296" s="9"/>
      <c r="D296" s="44"/>
      <c r="E296" s="42"/>
      <c r="F296" s="9"/>
    </row>
    <row r="297" customFormat="false" ht="21" hidden="false" customHeight="true" outlineLevel="0" collapsed="false">
      <c r="B297" s="41"/>
      <c r="C297" s="9"/>
      <c r="D297" s="44"/>
      <c r="E297" s="42"/>
      <c r="F297" s="9"/>
    </row>
    <row r="298" customFormat="false" ht="21" hidden="false" customHeight="true" outlineLevel="0" collapsed="false">
      <c r="B298" s="41"/>
      <c r="C298" s="9"/>
      <c r="D298" s="44"/>
      <c r="E298" s="42"/>
      <c r="F298" s="9"/>
    </row>
    <row r="299" customFormat="false" ht="21" hidden="false" customHeight="true" outlineLevel="0" collapsed="false">
      <c r="B299" s="41"/>
      <c r="C299" s="9"/>
      <c r="D299" s="44"/>
      <c r="E299" s="42"/>
      <c r="F299" s="9"/>
    </row>
    <row r="300" customFormat="false" ht="21" hidden="false" customHeight="true" outlineLevel="0" collapsed="false">
      <c r="B300" s="41"/>
      <c r="C300" s="9"/>
      <c r="D300" s="44"/>
      <c r="E300" s="42"/>
      <c r="F300" s="9"/>
    </row>
    <row r="301" customFormat="false" ht="21" hidden="false" customHeight="true" outlineLevel="0" collapsed="false">
      <c r="B301" s="41"/>
      <c r="C301" s="9"/>
      <c r="D301" s="44"/>
      <c r="E301" s="42"/>
      <c r="F301" s="9"/>
    </row>
    <row r="302" customFormat="false" ht="21" hidden="false" customHeight="true" outlineLevel="0" collapsed="false">
      <c r="B302" s="41"/>
      <c r="C302" s="9"/>
      <c r="D302" s="44"/>
      <c r="E302" s="42"/>
      <c r="F302" s="9"/>
    </row>
    <row r="303" customFormat="false" ht="21" hidden="false" customHeight="true" outlineLevel="0" collapsed="false">
      <c r="B303" s="41"/>
      <c r="C303" s="9"/>
      <c r="D303" s="44"/>
      <c r="E303" s="42"/>
      <c r="F303" s="9"/>
    </row>
    <row r="304" customFormat="false" ht="21" hidden="false" customHeight="true" outlineLevel="0" collapsed="false">
      <c r="B304" s="41"/>
      <c r="C304" s="9"/>
      <c r="D304" s="44"/>
      <c r="E304" s="42"/>
      <c r="F304" s="9"/>
    </row>
    <row r="305" customFormat="false" ht="21" hidden="false" customHeight="true" outlineLevel="0" collapsed="false">
      <c r="B305" s="41"/>
      <c r="C305" s="9"/>
      <c r="D305" s="44"/>
      <c r="E305" s="42"/>
      <c r="F305" s="9"/>
    </row>
    <row r="306" customFormat="false" ht="21" hidden="false" customHeight="true" outlineLevel="0" collapsed="false">
      <c r="B306" s="41"/>
      <c r="C306" s="9"/>
      <c r="D306" s="44"/>
      <c r="E306" s="42"/>
      <c r="F306" s="9"/>
    </row>
    <row r="307" customFormat="false" ht="21" hidden="false" customHeight="true" outlineLevel="0" collapsed="false">
      <c r="B307" s="41"/>
      <c r="C307" s="9"/>
      <c r="D307" s="44"/>
      <c r="E307" s="42"/>
      <c r="F307" s="9"/>
    </row>
    <row r="308" customFormat="false" ht="21" hidden="false" customHeight="true" outlineLevel="0" collapsed="false">
      <c r="B308" s="41"/>
      <c r="C308" s="9"/>
      <c r="D308" s="44"/>
      <c r="E308" s="42"/>
      <c r="F308" s="9"/>
    </row>
    <row r="309" customFormat="false" ht="21" hidden="false" customHeight="true" outlineLevel="0" collapsed="false">
      <c r="B309" s="41"/>
      <c r="C309" s="9"/>
      <c r="D309" s="44"/>
      <c r="E309" s="42"/>
      <c r="F309" s="9"/>
    </row>
    <row r="310" customFormat="false" ht="21" hidden="false" customHeight="true" outlineLevel="0" collapsed="false">
      <c r="B310" s="41"/>
      <c r="C310" s="9"/>
      <c r="D310" s="44"/>
      <c r="E310" s="42"/>
      <c r="F310" s="9"/>
    </row>
    <row r="311" customFormat="false" ht="21" hidden="false" customHeight="true" outlineLevel="0" collapsed="false">
      <c r="B311" s="41"/>
      <c r="C311" s="9"/>
      <c r="D311" s="44"/>
      <c r="E311" s="42"/>
      <c r="F311" s="9"/>
    </row>
    <row r="312" customFormat="false" ht="21" hidden="false" customHeight="true" outlineLevel="0" collapsed="false">
      <c r="B312" s="41"/>
      <c r="C312" s="9"/>
      <c r="D312" s="44"/>
      <c r="E312" s="42"/>
      <c r="F312" s="9"/>
    </row>
    <row r="313" customFormat="false" ht="21" hidden="false" customHeight="true" outlineLevel="0" collapsed="false">
      <c r="B313" s="41"/>
      <c r="C313" s="9"/>
      <c r="D313" s="44"/>
      <c r="E313" s="42"/>
      <c r="F313" s="9"/>
    </row>
    <row r="314" customFormat="false" ht="21" hidden="false" customHeight="true" outlineLevel="0" collapsed="false">
      <c r="B314" s="41"/>
      <c r="C314" s="9"/>
      <c r="D314" s="44"/>
      <c r="E314" s="42"/>
      <c r="F314" s="9"/>
    </row>
    <row r="315" customFormat="false" ht="21" hidden="false" customHeight="true" outlineLevel="0" collapsed="false">
      <c r="B315" s="41"/>
      <c r="C315" s="9"/>
      <c r="D315" s="44"/>
      <c r="E315" s="42"/>
      <c r="F315" s="9"/>
    </row>
    <row r="316" customFormat="false" ht="21" hidden="false" customHeight="true" outlineLevel="0" collapsed="false">
      <c r="B316" s="41"/>
      <c r="C316" s="9"/>
      <c r="D316" s="44"/>
      <c r="E316" s="42"/>
      <c r="F316" s="9"/>
    </row>
    <row r="317" customFormat="false" ht="21" hidden="false" customHeight="true" outlineLevel="0" collapsed="false">
      <c r="B317" s="41"/>
      <c r="C317" s="9"/>
      <c r="D317" s="44"/>
      <c r="E317" s="42"/>
      <c r="F317" s="9"/>
    </row>
    <row r="318" customFormat="false" ht="21" hidden="false" customHeight="true" outlineLevel="0" collapsed="false">
      <c r="B318" s="41"/>
      <c r="C318" s="9"/>
      <c r="D318" s="44"/>
      <c r="E318" s="42"/>
      <c r="F318" s="9"/>
    </row>
    <row r="319" customFormat="false" ht="21" hidden="false" customHeight="true" outlineLevel="0" collapsed="false">
      <c r="B319" s="41"/>
      <c r="C319" s="9"/>
      <c r="D319" s="44"/>
      <c r="E319" s="42"/>
      <c r="F319" s="9"/>
    </row>
    <row r="320" customFormat="false" ht="21" hidden="false" customHeight="true" outlineLevel="0" collapsed="false">
      <c r="B320" s="41"/>
      <c r="C320" s="9"/>
      <c r="D320" s="44"/>
      <c r="E320" s="42"/>
      <c r="F320" s="9"/>
    </row>
    <row r="321" customFormat="false" ht="21" hidden="false" customHeight="true" outlineLevel="0" collapsed="false">
      <c r="B321" s="41"/>
      <c r="C321" s="9"/>
      <c r="D321" s="44"/>
      <c r="E321" s="42"/>
      <c r="F321" s="9"/>
    </row>
    <row r="322" customFormat="false" ht="21" hidden="false" customHeight="true" outlineLevel="0" collapsed="false">
      <c r="B322" s="41"/>
      <c r="C322" s="9"/>
      <c r="D322" s="44"/>
      <c r="E322" s="42"/>
      <c r="F322" s="9"/>
    </row>
    <row r="323" customFormat="false" ht="21" hidden="false" customHeight="true" outlineLevel="0" collapsed="false">
      <c r="B323" s="41"/>
      <c r="C323" s="9"/>
      <c r="D323" s="44"/>
      <c r="E323" s="42"/>
      <c r="F323" s="9"/>
    </row>
    <row r="324" customFormat="false" ht="21" hidden="false" customHeight="true" outlineLevel="0" collapsed="false">
      <c r="B324" s="41"/>
      <c r="C324" s="9"/>
      <c r="D324" s="44"/>
      <c r="E324" s="42"/>
      <c r="F324" s="9"/>
    </row>
    <row r="325" customFormat="false" ht="21" hidden="false" customHeight="true" outlineLevel="0" collapsed="false">
      <c r="B325" s="41"/>
      <c r="C325" s="9"/>
      <c r="D325" s="44"/>
      <c r="E325" s="42"/>
      <c r="F325" s="9"/>
    </row>
    <row r="326" customFormat="false" ht="21" hidden="false" customHeight="true" outlineLevel="0" collapsed="false">
      <c r="B326" s="41"/>
      <c r="C326" s="9"/>
      <c r="D326" s="44"/>
      <c r="E326" s="42"/>
      <c r="F326" s="9"/>
    </row>
    <row r="327" customFormat="false" ht="21" hidden="false" customHeight="true" outlineLevel="0" collapsed="false">
      <c r="B327" s="41"/>
      <c r="C327" s="9"/>
      <c r="D327" s="44"/>
      <c r="E327" s="42"/>
      <c r="F327" s="9"/>
    </row>
    <row r="328" customFormat="false" ht="21" hidden="false" customHeight="true" outlineLevel="0" collapsed="false">
      <c r="B328" s="41"/>
      <c r="C328" s="9"/>
      <c r="D328" s="44"/>
      <c r="E328" s="42"/>
      <c r="F328" s="9"/>
    </row>
    <row r="329" customFormat="false" ht="21" hidden="false" customHeight="true" outlineLevel="0" collapsed="false">
      <c r="B329" s="41"/>
      <c r="C329" s="9"/>
      <c r="D329" s="44"/>
      <c r="E329" s="42"/>
      <c r="F329" s="9"/>
    </row>
    <row r="330" customFormat="false" ht="21" hidden="false" customHeight="true" outlineLevel="0" collapsed="false">
      <c r="B330" s="41"/>
      <c r="C330" s="9"/>
      <c r="D330" s="44"/>
      <c r="E330" s="42"/>
      <c r="F330" s="9"/>
    </row>
    <row r="331" customFormat="false" ht="21" hidden="false" customHeight="true" outlineLevel="0" collapsed="false">
      <c r="B331" s="41"/>
      <c r="C331" s="9"/>
      <c r="D331" s="44"/>
      <c r="E331" s="42"/>
      <c r="F331" s="9"/>
    </row>
    <row r="332" customFormat="false" ht="21" hidden="false" customHeight="true" outlineLevel="0" collapsed="false">
      <c r="B332" s="41"/>
      <c r="C332" s="9"/>
      <c r="D332" s="44"/>
      <c r="E332" s="42"/>
      <c r="F332" s="9"/>
    </row>
    <row r="333" customFormat="false" ht="21" hidden="false" customHeight="true" outlineLevel="0" collapsed="false">
      <c r="B333" s="41"/>
      <c r="C333" s="9"/>
      <c r="D333" s="44"/>
      <c r="E333" s="42"/>
      <c r="F333" s="9"/>
    </row>
    <row r="334" customFormat="false" ht="21" hidden="false" customHeight="true" outlineLevel="0" collapsed="false">
      <c r="B334" s="41"/>
      <c r="C334" s="9"/>
      <c r="D334" s="44"/>
      <c r="E334" s="42"/>
      <c r="F334" s="9"/>
    </row>
    <row r="335" customFormat="false" ht="21" hidden="false" customHeight="true" outlineLevel="0" collapsed="false">
      <c r="B335" s="41"/>
      <c r="C335" s="9"/>
      <c r="D335" s="44"/>
      <c r="E335" s="42"/>
      <c r="F335" s="9"/>
    </row>
    <row r="336" customFormat="false" ht="21" hidden="false" customHeight="true" outlineLevel="0" collapsed="false">
      <c r="B336" s="41"/>
      <c r="C336" s="9"/>
      <c r="D336" s="44"/>
      <c r="E336" s="42"/>
      <c r="F336" s="9"/>
    </row>
    <row r="337" customFormat="false" ht="21" hidden="false" customHeight="true" outlineLevel="0" collapsed="false">
      <c r="B337" s="41"/>
      <c r="C337" s="9"/>
      <c r="D337" s="44"/>
      <c r="E337" s="42"/>
      <c r="F337" s="9"/>
    </row>
    <row r="338" customFormat="false" ht="21" hidden="false" customHeight="true" outlineLevel="0" collapsed="false">
      <c r="B338" s="41"/>
      <c r="C338" s="9"/>
      <c r="D338" s="44"/>
      <c r="E338" s="42"/>
      <c r="F338" s="9"/>
    </row>
    <row r="339" customFormat="false" ht="21" hidden="false" customHeight="true" outlineLevel="0" collapsed="false">
      <c r="B339" s="41"/>
      <c r="C339" s="9"/>
      <c r="D339" s="44"/>
      <c r="E339" s="42"/>
      <c r="F339" s="9"/>
    </row>
    <row r="340" customFormat="false" ht="21" hidden="false" customHeight="true" outlineLevel="0" collapsed="false">
      <c r="B340" s="41"/>
      <c r="C340" s="9"/>
      <c r="D340" s="44"/>
      <c r="E340" s="42"/>
      <c r="F340" s="9"/>
    </row>
    <row r="341" customFormat="false" ht="21" hidden="false" customHeight="true" outlineLevel="0" collapsed="false">
      <c r="B341" s="41"/>
      <c r="C341" s="9"/>
      <c r="D341" s="44"/>
      <c r="E341" s="42"/>
      <c r="F341" s="9"/>
    </row>
    <row r="342" customFormat="false" ht="21" hidden="false" customHeight="true" outlineLevel="0" collapsed="false">
      <c r="B342" s="41"/>
      <c r="C342" s="9"/>
      <c r="D342" s="44"/>
      <c r="E342" s="42"/>
      <c r="F342" s="9"/>
    </row>
    <row r="343" customFormat="false" ht="21" hidden="false" customHeight="true" outlineLevel="0" collapsed="false">
      <c r="B343" s="41"/>
      <c r="C343" s="9"/>
      <c r="D343" s="44"/>
      <c r="E343" s="42"/>
      <c r="F343" s="9"/>
    </row>
    <row r="344" customFormat="false" ht="21" hidden="false" customHeight="true" outlineLevel="0" collapsed="false">
      <c r="B344" s="41"/>
      <c r="C344" s="9"/>
      <c r="D344" s="44"/>
      <c r="E344" s="42"/>
      <c r="F344" s="9"/>
    </row>
    <row r="345" customFormat="false" ht="21" hidden="false" customHeight="true" outlineLevel="0" collapsed="false">
      <c r="B345" s="41"/>
      <c r="C345" s="9"/>
      <c r="D345" s="44"/>
      <c r="E345" s="42"/>
      <c r="F345" s="9"/>
    </row>
    <row r="346" customFormat="false" ht="21" hidden="false" customHeight="true" outlineLevel="0" collapsed="false">
      <c r="B346" s="41"/>
      <c r="C346" s="9"/>
      <c r="D346" s="44"/>
      <c r="E346" s="42"/>
      <c r="F346" s="9"/>
    </row>
    <row r="347" customFormat="false" ht="21" hidden="false" customHeight="true" outlineLevel="0" collapsed="false">
      <c r="B347" s="41"/>
      <c r="C347" s="9"/>
      <c r="D347" s="44"/>
      <c r="E347" s="42"/>
      <c r="F347" s="9"/>
    </row>
    <row r="348" customFormat="false" ht="21" hidden="false" customHeight="true" outlineLevel="0" collapsed="false">
      <c r="B348" s="41"/>
      <c r="C348" s="9"/>
      <c r="D348" s="44"/>
      <c r="E348" s="42"/>
      <c r="F348" s="9"/>
    </row>
    <row r="349" customFormat="false" ht="21" hidden="false" customHeight="true" outlineLevel="0" collapsed="false">
      <c r="B349" s="41"/>
      <c r="C349" s="9"/>
      <c r="D349" s="44"/>
      <c r="E349" s="42"/>
      <c r="F349" s="9"/>
    </row>
    <row r="350" customFormat="false" ht="21" hidden="false" customHeight="true" outlineLevel="0" collapsed="false">
      <c r="B350" s="41"/>
      <c r="C350" s="9"/>
      <c r="D350" s="44"/>
      <c r="E350" s="42"/>
      <c r="F350" s="9"/>
    </row>
    <row r="351" customFormat="false" ht="21" hidden="false" customHeight="true" outlineLevel="0" collapsed="false">
      <c r="B351" s="41"/>
      <c r="C351" s="9"/>
      <c r="D351" s="44"/>
      <c r="E351" s="42"/>
      <c r="F351" s="9"/>
    </row>
    <row r="352" customFormat="false" ht="21" hidden="false" customHeight="true" outlineLevel="0" collapsed="false">
      <c r="B352" s="41"/>
      <c r="C352" s="9"/>
      <c r="D352" s="44"/>
      <c r="E352" s="42"/>
      <c r="F352" s="9"/>
    </row>
    <row r="353" customFormat="false" ht="21" hidden="false" customHeight="true" outlineLevel="0" collapsed="false">
      <c r="B353" s="41"/>
      <c r="C353" s="9"/>
      <c r="D353" s="44"/>
      <c r="E353" s="42"/>
      <c r="F353" s="9"/>
    </row>
    <row r="354" customFormat="false" ht="21" hidden="false" customHeight="true" outlineLevel="0" collapsed="false">
      <c r="B354" s="41"/>
      <c r="C354" s="9"/>
      <c r="D354" s="44"/>
      <c r="E354" s="42"/>
      <c r="F354" s="9"/>
    </row>
    <row r="355" customFormat="false" ht="21" hidden="false" customHeight="true" outlineLevel="0" collapsed="false">
      <c r="B355" s="41"/>
      <c r="C355" s="9"/>
      <c r="D355" s="44"/>
      <c r="E355" s="42"/>
      <c r="F355" s="9"/>
    </row>
    <row r="356" customFormat="false" ht="21" hidden="false" customHeight="true" outlineLevel="0" collapsed="false">
      <c r="B356" s="41"/>
      <c r="C356" s="9"/>
      <c r="D356" s="44"/>
      <c r="E356" s="42"/>
      <c r="F356" s="9"/>
    </row>
    <row r="357" customFormat="false" ht="21" hidden="false" customHeight="true" outlineLevel="0" collapsed="false">
      <c r="B357" s="41"/>
      <c r="C357" s="9"/>
      <c r="D357" s="44"/>
      <c r="E357" s="42"/>
      <c r="F357" s="9"/>
    </row>
    <row r="358" customFormat="false" ht="21" hidden="false" customHeight="true" outlineLevel="0" collapsed="false">
      <c r="B358" s="41"/>
      <c r="C358" s="9"/>
      <c r="D358" s="44"/>
      <c r="E358" s="42"/>
      <c r="F358" s="9"/>
    </row>
    <row r="359" customFormat="false" ht="21" hidden="false" customHeight="true" outlineLevel="0" collapsed="false">
      <c r="B359" s="41"/>
      <c r="C359" s="9"/>
      <c r="D359" s="44"/>
      <c r="E359" s="42"/>
      <c r="F359" s="9"/>
    </row>
    <row r="360" customFormat="false" ht="21" hidden="false" customHeight="true" outlineLevel="0" collapsed="false">
      <c r="B360" s="41"/>
      <c r="C360" s="9"/>
      <c r="D360" s="44"/>
      <c r="E360" s="42"/>
      <c r="F360" s="9"/>
    </row>
    <row r="361" customFormat="false" ht="21" hidden="false" customHeight="true" outlineLevel="0" collapsed="false">
      <c r="B361" s="41"/>
      <c r="C361" s="9"/>
      <c r="D361" s="44"/>
      <c r="E361" s="42"/>
      <c r="F361" s="9"/>
    </row>
    <row r="362" customFormat="false" ht="21" hidden="false" customHeight="true" outlineLevel="0" collapsed="false">
      <c r="B362" s="41"/>
      <c r="C362" s="9"/>
      <c r="D362" s="44"/>
      <c r="E362" s="42"/>
      <c r="F362" s="9"/>
    </row>
    <row r="363" customFormat="false" ht="21" hidden="false" customHeight="true" outlineLevel="0" collapsed="false">
      <c r="B363" s="41"/>
      <c r="C363" s="9"/>
      <c r="D363" s="44"/>
      <c r="E363" s="42"/>
      <c r="F363" s="9"/>
    </row>
    <row r="364" customFormat="false" ht="21" hidden="false" customHeight="true" outlineLevel="0" collapsed="false">
      <c r="B364" s="41"/>
      <c r="C364" s="9"/>
      <c r="D364" s="44"/>
      <c r="E364" s="42"/>
      <c r="F364" s="9"/>
    </row>
    <row r="365" customFormat="false" ht="21" hidden="false" customHeight="true" outlineLevel="0" collapsed="false">
      <c r="B365" s="41"/>
      <c r="C365" s="9"/>
      <c r="D365" s="44"/>
      <c r="E365" s="42"/>
      <c r="F365" s="9"/>
    </row>
    <row r="366" customFormat="false" ht="21" hidden="false" customHeight="true" outlineLevel="0" collapsed="false">
      <c r="B366" s="41"/>
      <c r="C366" s="9"/>
      <c r="D366" s="44"/>
      <c r="E366" s="42"/>
      <c r="F366" s="9"/>
    </row>
    <row r="367" customFormat="false" ht="21" hidden="false" customHeight="true" outlineLevel="0" collapsed="false">
      <c r="B367" s="41"/>
      <c r="C367" s="9"/>
      <c r="D367" s="44"/>
      <c r="E367" s="42"/>
      <c r="F367" s="9"/>
    </row>
    <row r="368" customFormat="false" ht="21" hidden="false" customHeight="true" outlineLevel="0" collapsed="false">
      <c r="B368" s="41"/>
      <c r="C368" s="9"/>
      <c r="D368" s="44"/>
      <c r="E368" s="42"/>
      <c r="F368" s="9"/>
    </row>
    <row r="369" customFormat="false" ht="21" hidden="false" customHeight="true" outlineLevel="0" collapsed="false">
      <c r="B369" s="41"/>
      <c r="C369" s="9"/>
      <c r="D369" s="44"/>
      <c r="E369" s="42"/>
      <c r="F369" s="9"/>
    </row>
    <row r="370" customFormat="false" ht="21" hidden="false" customHeight="true" outlineLevel="0" collapsed="false">
      <c r="B370" s="41"/>
      <c r="C370" s="9"/>
      <c r="D370" s="44"/>
      <c r="E370" s="42"/>
      <c r="F370" s="9"/>
    </row>
    <row r="371" customFormat="false" ht="21" hidden="false" customHeight="true" outlineLevel="0" collapsed="false">
      <c r="B371" s="41"/>
      <c r="C371" s="9"/>
      <c r="D371" s="44"/>
      <c r="E371" s="42"/>
      <c r="F371" s="9"/>
    </row>
    <row r="372" customFormat="false" ht="21" hidden="false" customHeight="true" outlineLevel="0" collapsed="false">
      <c r="B372" s="41"/>
      <c r="C372" s="9"/>
      <c r="D372" s="44"/>
      <c r="E372" s="42"/>
      <c r="F372" s="9"/>
    </row>
    <row r="373" customFormat="false" ht="21" hidden="false" customHeight="true" outlineLevel="0" collapsed="false">
      <c r="B373" s="41"/>
      <c r="C373" s="9"/>
      <c r="D373" s="44"/>
      <c r="E373" s="42"/>
      <c r="F373" s="9"/>
    </row>
    <row r="374" customFormat="false" ht="21" hidden="false" customHeight="true" outlineLevel="0" collapsed="false">
      <c r="B374" s="41"/>
      <c r="C374" s="9"/>
      <c r="D374" s="44"/>
      <c r="E374" s="42"/>
      <c r="F374" s="9"/>
    </row>
    <row r="375" customFormat="false" ht="21" hidden="false" customHeight="true" outlineLevel="0" collapsed="false">
      <c r="B375" s="41"/>
      <c r="C375" s="9"/>
      <c r="D375" s="44"/>
      <c r="E375" s="42"/>
      <c r="F375" s="9"/>
    </row>
    <row r="376" customFormat="false" ht="21" hidden="false" customHeight="true" outlineLevel="0" collapsed="false">
      <c r="B376" s="41"/>
      <c r="C376" s="9"/>
      <c r="D376" s="44"/>
      <c r="E376" s="42"/>
      <c r="F376" s="9"/>
    </row>
    <row r="377" customFormat="false" ht="21" hidden="false" customHeight="true" outlineLevel="0" collapsed="false">
      <c r="B377" s="41"/>
      <c r="C377" s="9"/>
      <c r="D377" s="44"/>
      <c r="E377" s="42"/>
      <c r="F377" s="9"/>
    </row>
    <row r="378" customFormat="false" ht="21" hidden="false" customHeight="true" outlineLevel="0" collapsed="false">
      <c r="B378" s="41"/>
      <c r="C378" s="9"/>
      <c r="D378" s="44"/>
      <c r="E378" s="42"/>
      <c r="F378" s="9"/>
    </row>
    <row r="379" customFormat="false" ht="21" hidden="false" customHeight="true" outlineLevel="0" collapsed="false">
      <c r="B379" s="41"/>
      <c r="C379" s="9"/>
      <c r="D379" s="44"/>
      <c r="E379" s="42"/>
      <c r="F379" s="9"/>
    </row>
    <row r="380" customFormat="false" ht="21" hidden="false" customHeight="true" outlineLevel="0" collapsed="false">
      <c r="B380" s="41"/>
      <c r="C380" s="9"/>
      <c r="D380" s="44"/>
      <c r="E380" s="42"/>
      <c r="F380" s="9"/>
    </row>
    <row r="381" customFormat="false" ht="21" hidden="false" customHeight="true" outlineLevel="0" collapsed="false">
      <c r="B381" s="41"/>
      <c r="C381" s="9"/>
      <c r="D381" s="44"/>
      <c r="E381" s="42"/>
      <c r="F381" s="9"/>
    </row>
    <row r="382" customFormat="false" ht="21" hidden="false" customHeight="true" outlineLevel="0" collapsed="false">
      <c r="B382" s="41"/>
      <c r="C382" s="9"/>
      <c r="D382" s="44"/>
      <c r="E382" s="42"/>
      <c r="F382" s="9"/>
    </row>
    <row r="383" customFormat="false" ht="21" hidden="false" customHeight="true" outlineLevel="0" collapsed="false">
      <c r="B383" s="41"/>
      <c r="C383" s="9"/>
      <c r="D383" s="44"/>
      <c r="E383" s="42"/>
      <c r="F383" s="9"/>
    </row>
    <row r="384" customFormat="false" ht="21" hidden="false" customHeight="true" outlineLevel="0" collapsed="false">
      <c r="B384" s="41"/>
      <c r="C384" s="9"/>
      <c r="D384" s="44"/>
      <c r="E384" s="42"/>
      <c r="F384" s="9"/>
    </row>
    <row r="385" customFormat="false" ht="21" hidden="false" customHeight="true" outlineLevel="0" collapsed="false">
      <c r="B385" s="41"/>
      <c r="C385" s="9"/>
      <c r="D385" s="44"/>
      <c r="E385" s="42"/>
      <c r="F385" s="9"/>
    </row>
    <row r="386" customFormat="false" ht="21" hidden="false" customHeight="true" outlineLevel="0" collapsed="false">
      <c r="B386" s="41"/>
      <c r="C386" s="9"/>
      <c r="D386" s="44"/>
      <c r="E386" s="42"/>
      <c r="F386" s="9"/>
    </row>
    <row r="387" customFormat="false" ht="21" hidden="false" customHeight="true" outlineLevel="0" collapsed="false">
      <c r="B387" s="41"/>
      <c r="C387" s="9"/>
      <c r="D387" s="44"/>
      <c r="E387" s="42"/>
      <c r="F387" s="9"/>
    </row>
    <row r="388" customFormat="false" ht="21" hidden="false" customHeight="true" outlineLevel="0" collapsed="false">
      <c r="B388" s="41"/>
      <c r="C388" s="9"/>
      <c r="D388" s="44"/>
      <c r="E388" s="42"/>
      <c r="F388" s="9"/>
    </row>
    <row r="389" customFormat="false" ht="21" hidden="false" customHeight="true" outlineLevel="0" collapsed="false">
      <c r="B389" s="41"/>
      <c r="C389" s="9"/>
      <c r="D389" s="44"/>
      <c r="E389" s="42"/>
      <c r="F389" s="9"/>
    </row>
    <row r="390" customFormat="false" ht="21" hidden="false" customHeight="true" outlineLevel="0" collapsed="false">
      <c r="B390" s="41"/>
      <c r="C390" s="9"/>
      <c r="D390" s="44"/>
      <c r="E390" s="42"/>
      <c r="F390" s="9"/>
    </row>
    <row r="391" customFormat="false" ht="21" hidden="false" customHeight="true" outlineLevel="0" collapsed="false">
      <c r="B391" s="41"/>
      <c r="C391" s="9"/>
      <c r="D391" s="44"/>
      <c r="E391" s="42"/>
      <c r="F391" s="9"/>
    </row>
    <row r="392" customFormat="false" ht="21" hidden="false" customHeight="true" outlineLevel="0" collapsed="false">
      <c r="B392" s="41"/>
      <c r="C392" s="9"/>
      <c r="D392" s="44"/>
      <c r="E392" s="42"/>
      <c r="F392" s="9"/>
    </row>
    <row r="393" customFormat="false" ht="21" hidden="false" customHeight="true" outlineLevel="0" collapsed="false">
      <c r="B393" s="41"/>
      <c r="C393" s="9"/>
      <c r="D393" s="44"/>
      <c r="E393" s="42"/>
      <c r="F393" s="9"/>
    </row>
    <row r="394" customFormat="false" ht="21" hidden="false" customHeight="true" outlineLevel="0" collapsed="false">
      <c r="B394" s="41"/>
      <c r="C394" s="9"/>
      <c r="D394" s="44"/>
      <c r="E394" s="42"/>
      <c r="F394" s="9"/>
    </row>
    <row r="395" customFormat="false" ht="21" hidden="false" customHeight="true" outlineLevel="0" collapsed="false">
      <c r="B395" s="41"/>
      <c r="C395" s="9"/>
      <c r="D395" s="44"/>
      <c r="E395" s="42"/>
      <c r="F395" s="9"/>
    </row>
    <row r="396" customFormat="false" ht="21" hidden="false" customHeight="true" outlineLevel="0" collapsed="false">
      <c r="B396" s="41"/>
      <c r="C396" s="9"/>
      <c r="D396" s="44"/>
      <c r="E396" s="42"/>
      <c r="F396" s="9"/>
    </row>
    <row r="397" customFormat="false" ht="21" hidden="false" customHeight="true" outlineLevel="0" collapsed="false">
      <c r="B397" s="41"/>
      <c r="C397" s="9"/>
      <c r="D397" s="44"/>
      <c r="E397" s="42"/>
      <c r="F397" s="9"/>
    </row>
    <row r="398" customFormat="false" ht="21" hidden="false" customHeight="true" outlineLevel="0" collapsed="false">
      <c r="B398" s="41"/>
      <c r="C398" s="9"/>
      <c r="D398" s="44"/>
      <c r="E398" s="42"/>
      <c r="F398" s="9"/>
    </row>
    <row r="399" customFormat="false" ht="21" hidden="false" customHeight="true" outlineLevel="0" collapsed="false">
      <c r="B399" s="41"/>
      <c r="C399" s="9"/>
      <c r="D399" s="44"/>
      <c r="E399" s="42"/>
      <c r="F399" s="9"/>
    </row>
    <row r="400" customFormat="false" ht="21" hidden="false" customHeight="true" outlineLevel="0" collapsed="false">
      <c r="B400" s="41"/>
      <c r="C400" s="9"/>
      <c r="D400" s="44"/>
      <c r="E400" s="42"/>
      <c r="F400" s="9"/>
    </row>
    <row r="401" customFormat="false" ht="21" hidden="false" customHeight="true" outlineLevel="0" collapsed="false">
      <c r="B401" s="41"/>
      <c r="C401" s="9"/>
      <c r="D401" s="44"/>
      <c r="E401" s="42"/>
      <c r="F401" s="9"/>
    </row>
    <row r="402" customFormat="false" ht="21" hidden="false" customHeight="true" outlineLevel="0" collapsed="false">
      <c r="B402" s="41"/>
      <c r="C402" s="9"/>
      <c r="D402" s="44"/>
      <c r="E402" s="42"/>
      <c r="F402" s="9"/>
    </row>
    <row r="403" customFormat="false" ht="21" hidden="false" customHeight="true" outlineLevel="0" collapsed="false">
      <c r="B403" s="41"/>
      <c r="C403" s="9"/>
      <c r="D403" s="44"/>
      <c r="E403" s="42"/>
      <c r="F403" s="9"/>
    </row>
    <row r="404" customFormat="false" ht="21" hidden="false" customHeight="true" outlineLevel="0" collapsed="false">
      <c r="B404" s="41"/>
      <c r="C404" s="9"/>
      <c r="D404" s="44"/>
      <c r="E404" s="42"/>
      <c r="F404" s="9"/>
    </row>
    <row r="405" customFormat="false" ht="21" hidden="false" customHeight="true" outlineLevel="0" collapsed="false">
      <c r="B405" s="41"/>
      <c r="C405" s="9"/>
      <c r="D405" s="44"/>
      <c r="E405" s="42"/>
      <c r="F405" s="9"/>
    </row>
    <row r="406" customFormat="false" ht="21" hidden="false" customHeight="true" outlineLevel="0" collapsed="false">
      <c r="B406" s="41"/>
      <c r="C406" s="9"/>
      <c r="D406" s="44"/>
      <c r="E406" s="42"/>
      <c r="F406" s="9"/>
    </row>
    <row r="407" customFormat="false" ht="21" hidden="false" customHeight="true" outlineLevel="0" collapsed="false">
      <c r="B407" s="41"/>
      <c r="C407" s="9"/>
      <c r="D407" s="44"/>
      <c r="E407" s="42"/>
      <c r="F407" s="9"/>
    </row>
    <row r="408" customFormat="false" ht="21" hidden="false" customHeight="true" outlineLevel="0" collapsed="false">
      <c r="B408" s="41"/>
      <c r="C408" s="9"/>
      <c r="D408" s="44"/>
      <c r="E408" s="42"/>
      <c r="F408" s="9"/>
    </row>
    <row r="409" customFormat="false" ht="21" hidden="false" customHeight="true" outlineLevel="0" collapsed="false">
      <c r="B409" s="41"/>
      <c r="C409" s="9"/>
      <c r="D409" s="44"/>
      <c r="E409" s="42"/>
      <c r="F409" s="9"/>
    </row>
    <row r="410" customFormat="false" ht="21" hidden="false" customHeight="true" outlineLevel="0" collapsed="false">
      <c r="B410" s="41"/>
      <c r="C410" s="9"/>
      <c r="D410" s="44"/>
      <c r="E410" s="42"/>
      <c r="F410" s="9"/>
    </row>
    <row r="411" customFormat="false" ht="21" hidden="false" customHeight="true" outlineLevel="0" collapsed="false">
      <c r="B411" s="41"/>
      <c r="C411" s="9"/>
      <c r="D411" s="44"/>
      <c r="E411" s="42"/>
      <c r="F411" s="9"/>
    </row>
    <row r="412" customFormat="false" ht="21" hidden="false" customHeight="true" outlineLevel="0" collapsed="false">
      <c r="B412" s="41"/>
      <c r="C412" s="9"/>
      <c r="D412" s="44"/>
      <c r="E412" s="42"/>
      <c r="F412" s="9"/>
    </row>
    <row r="413" customFormat="false" ht="21" hidden="false" customHeight="true" outlineLevel="0" collapsed="false">
      <c r="B413" s="41"/>
      <c r="C413" s="9"/>
      <c r="D413" s="44"/>
      <c r="E413" s="42"/>
      <c r="F413" s="9"/>
    </row>
    <row r="414" customFormat="false" ht="21" hidden="false" customHeight="true" outlineLevel="0" collapsed="false">
      <c r="B414" s="41"/>
      <c r="C414" s="9"/>
      <c r="D414" s="44"/>
      <c r="E414" s="42"/>
      <c r="F414" s="9"/>
    </row>
    <row r="415" customFormat="false" ht="21" hidden="false" customHeight="true" outlineLevel="0" collapsed="false">
      <c r="B415" s="41"/>
      <c r="C415" s="9"/>
      <c r="D415" s="44"/>
      <c r="E415" s="42"/>
      <c r="F415" s="9"/>
    </row>
    <row r="416" customFormat="false" ht="21" hidden="false" customHeight="true" outlineLevel="0" collapsed="false">
      <c r="B416" s="41"/>
      <c r="C416" s="9"/>
      <c r="D416" s="44"/>
      <c r="E416" s="42"/>
      <c r="F416" s="9"/>
    </row>
    <row r="417" customFormat="false" ht="21" hidden="false" customHeight="true" outlineLevel="0" collapsed="false">
      <c r="B417" s="41"/>
      <c r="C417" s="9"/>
      <c r="D417" s="44"/>
      <c r="E417" s="42"/>
      <c r="F417" s="9"/>
    </row>
    <row r="418" customFormat="false" ht="21" hidden="false" customHeight="true" outlineLevel="0" collapsed="false">
      <c r="B418" s="41"/>
      <c r="C418" s="9"/>
      <c r="D418" s="44"/>
      <c r="E418" s="42"/>
      <c r="F418" s="9"/>
    </row>
    <row r="419" customFormat="false" ht="21" hidden="false" customHeight="true" outlineLevel="0" collapsed="false">
      <c r="B419" s="41"/>
      <c r="C419" s="9"/>
      <c r="D419" s="44"/>
      <c r="E419" s="42"/>
      <c r="F419" s="9"/>
    </row>
    <row r="420" customFormat="false" ht="21" hidden="false" customHeight="true" outlineLevel="0" collapsed="false">
      <c r="B420" s="41"/>
      <c r="C420" s="9"/>
      <c r="D420" s="44"/>
      <c r="E420" s="42"/>
      <c r="F420" s="9"/>
    </row>
    <row r="421" customFormat="false" ht="21" hidden="false" customHeight="true" outlineLevel="0" collapsed="false">
      <c r="B421" s="41"/>
      <c r="C421" s="9"/>
      <c r="D421" s="44"/>
      <c r="E421" s="42"/>
      <c r="F421" s="9"/>
    </row>
    <row r="422" customFormat="false" ht="21" hidden="false" customHeight="true" outlineLevel="0" collapsed="false">
      <c r="B422" s="41"/>
      <c r="C422" s="9"/>
      <c r="D422" s="44"/>
      <c r="E422" s="42"/>
      <c r="F422" s="9"/>
    </row>
    <row r="423" customFormat="false" ht="21" hidden="false" customHeight="true" outlineLevel="0" collapsed="false">
      <c r="B423" s="41"/>
      <c r="C423" s="9"/>
      <c r="D423" s="44"/>
      <c r="E423" s="42"/>
      <c r="F423" s="9"/>
    </row>
    <row r="424" customFormat="false" ht="21" hidden="false" customHeight="true" outlineLevel="0" collapsed="false">
      <c r="B424" s="41"/>
      <c r="C424" s="9"/>
      <c r="D424" s="44"/>
      <c r="E424" s="42"/>
      <c r="F424" s="9"/>
    </row>
    <row r="425" customFormat="false" ht="21" hidden="false" customHeight="true" outlineLevel="0" collapsed="false">
      <c r="B425" s="41"/>
      <c r="C425" s="9"/>
      <c r="D425" s="44"/>
      <c r="E425" s="42"/>
      <c r="F425" s="9"/>
    </row>
    <row r="426" customFormat="false" ht="21" hidden="false" customHeight="true" outlineLevel="0" collapsed="false">
      <c r="B426" s="41"/>
      <c r="C426" s="9"/>
      <c r="D426" s="44"/>
      <c r="E426" s="42"/>
      <c r="F426" s="9"/>
    </row>
    <row r="427" customFormat="false" ht="21" hidden="false" customHeight="true" outlineLevel="0" collapsed="false">
      <c r="B427" s="41"/>
      <c r="C427" s="9"/>
      <c r="D427" s="44"/>
      <c r="E427" s="42"/>
      <c r="F427" s="9"/>
    </row>
    <row r="428" customFormat="false" ht="21" hidden="false" customHeight="true" outlineLevel="0" collapsed="false">
      <c r="B428" s="41"/>
      <c r="C428" s="9"/>
      <c r="D428" s="44"/>
      <c r="E428" s="42"/>
      <c r="F428" s="9"/>
    </row>
    <row r="429" customFormat="false" ht="21" hidden="false" customHeight="true" outlineLevel="0" collapsed="false">
      <c r="B429" s="41"/>
      <c r="C429" s="9"/>
      <c r="D429" s="44"/>
      <c r="E429" s="42"/>
      <c r="F429" s="9"/>
    </row>
    <row r="430" customFormat="false" ht="21" hidden="false" customHeight="true" outlineLevel="0" collapsed="false">
      <c r="B430" s="41"/>
      <c r="C430" s="9"/>
      <c r="D430" s="44"/>
      <c r="E430" s="42"/>
      <c r="F430" s="9"/>
    </row>
    <row r="431" customFormat="false" ht="21" hidden="false" customHeight="true" outlineLevel="0" collapsed="false">
      <c r="B431" s="41"/>
      <c r="C431" s="9"/>
      <c r="D431" s="44"/>
      <c r="E431" s="42"/>
      <c r="F431" s="9"/>
    </row>
    <row r="432" customFormat="false" ht="21" hidden="false" customHeight="true" outlineLevel="0" collapsed="false">
      <c r="B432" s="41"/>
      <c r="C432" s="9"/>
      <c r="D432" s="44"/>
      <c r="E432" s="42"/>
      <c r="F432" s="9"/>
    </row>
    <row r="433" customFormat="false" ht="21" hidden="false" customHeight="true" outlineLevel="0" collapsed="false">
      <c r="B433" s="41"/>
      <c r="C433" s="9"/>
      <c r="D433" s="44"/>
      <c r="E433" s="42"/>
      <c r="F433" s="9"/>
    </row>
    <row r="434" customFormat="false" ht="21" hidden="false" customHeight="true" outlineLevel="0" collapsed="false">
      <c r="B434" s="41"/>
      <c r="C434" s="9"/>
      <c r="D434" s="44"/>
      <c r="E434" s="42"/>
      <c r="F434" s="9"/>
    </row>
    <row r="435" customFormat="false" ht="21" hidden="false" customHeight="true" outlineLevel="0" collapsed="false">
      <c r="B435" s="41"/>
      <c r="C435" s="9"/>
      <c r="D435" s="44"/>
      <c r="E435" s="42"/>
      <c r="F435" s="9"/>
    </row>
    <row r="436" customFormat="false" ht="21" hidden="false" customHeight="true" outlineLevel="0" collapsed="false">
      <c r="B436" s="41"/>
      <c r="C436" s="9"/>
      <c r="D436" s="44"/>
      <c r="E436" s="42"/>
      <c r="F436" s="9"/>
    </row>
    <row r="437" customFormat="false" ht="21" hidden="false" customHeight="true" outlineLevel="0" collapsed="false">
      <c r="B437" s="41"/>
      <c r="C437" s="9"/>
      <c r="D437" s="44"/>
      <c r="E437" s="42"/>
      <c r="F437" s="9"/>
    </row>
    <row r="438" customFormat="false" ht="21" hidden="false" customHeight="true" outlineLevel="0" collapsed="false">
      <c r="B438" s="41"/>
      <c r="C438" s="9"/>
      <c r="D438" s="44"/>
      <c r="E438" s="42"/>
      <c r="F438" s="9"/>
    </row>
    <row r="439" customFormat="false" ht="21" hidden="false" customHeight="true" outlineLevel="0" collapsed="false">
      <c r="B439" s="41"/>
      <c r="C439" s="9"/>
      <c r="D439" s="44"/>
      <c r="E439" s="42"/>
      <c r="F439" s="9"/>
    </row>
    <row r="440" customFormat="false" ht="21" hidden="false" customHeight="true" outlineLevel="0" collapsed="false">
      <c r="B440" s="41"/>
      <c r="C440" s="9"/>
      <c r="D440" s="44"/>
      <c r="E440" s="42"/>
      <c r="F440" s="9"/>
    </row>
    <row r="441" customFormat="false" ht="21" hidden="false" customHeight="true" outlineLevel="0" collapsed="false">
      <c r="B441" s="41"/>
      <c r="C441" s="9"/>
      <c r="D441" s="44"/>
      <c r="E441" s="42"/>
      <c r="F441" s="9"/>
    </row>
    <row r="442" customFormat="false" ht="21" hidden="false" customHeight="true" outlineLevel="0" collapsed="false">
      <c r="B442" s="41"/>
      <c r="C442" s="9"/>
      <c r="D442" s="44"/>
      <c r="E442" s="42"/>
      <c r="F442" s="9"/>
    </row>
    <row r="443" customFormat="false" ht="21" hidden="false" customHeight="true" outlineLevel="0" collapsed="false">
      <c r="B443" s="41"/>
      <c r="C443" s="9"/>
      <c r="D443" s="44"/>
      <c r="E443" s="42"/>
      <c r="F443" s="9"/>
    </row>
    <row r="444" customFormat="false" ht="21" hidden="false" customHeight="true" outlineLevel="0" collapsed="false">
      <c r="B444" s="41"/>
      <c r="C444" s="9"/>
      <c r="D444" s="44"/>
      <c r="E444" s="42"/>
      <c r="F444" s="9"/>
    </row>
    <row r="445" customFormat="false" ht="21" hidden="false" customHeight="true" outlineLevel="0" collapsed="false">
      <c r="B445" s="41"/>
      <c r="C445" s="9"/>
      <c r="D445" s="44"/>
      <c r="E445" s="42"/>
      <c r="F445" s="9"/>
    </row>
    <row r="446" customFormat="false" ht="21" hidden="false" customHeight="true" outlineLevel="0" collapsed="false">
      <c r="B446" s="41"/>
      <c r="C446" s="9"/>
      <c r="D446" s="44"/>
      <c r="E446" s="42"/>
      <c r="F446" s="9"/>
    </row>
    <row r="447" customFormat="false" ht="21" hidden="false" customHeight="true" outlineLevel="0" collapsed="false">
      <c r="B447" s="41"/>
      <c r="C447" s="9"/>
      <c r="D447" s="44"/>
      <c r="E447" s="42"/>
      <c r="F447" s="9"/>
    </row>
    <row r="448" customFormat="false" ht="21" hidden="false" customHeight="true" outlineLevel="0" collapsed="false">
      <c r="B448" s="41"/>
      <c r="C448" s="9"/>
      <c r="D448" s="44"/>
      <c r="E448" s="42"/>
      <c r="F448" s="9"/>
    </row>
    <row r="449" customFormat="false" ht="21" hidden="false" customHeight="true" outlineLevel="0" collapsed="false">
      <c r="B449" s="41"/>
      <c r="C449" s="9"/>
      <c r="D449" s="44"/>
      <c r="E449" s="42"/>
      <c r="F449" s="9"/>
    </row>
    <row r="450" customFormat="false" ht="21" hidden="false" customHeight="true" outlineLevel="0" collapsed="false">
      <c r="B450" s="41"/>
      <c r="C450" s="9"/>
      <c r="D450" s="44"/>
      <c r="E450" s="42"/>
      <c r="F450" s="9"/>
    </row>
    <row r="451" customFormat="false" ht="21" hidden="false" customHeight="true" outlineLevel="0" collapsed="false">
      <c r="B451" s="41"/>
      <c r="C451" s="9"/>
      <c r="D451" s="44"/>
      <c r="E451" s="42"/>
      <c r="F451" s="9"/>
    </row>
    <row r="452" customFormat="false" ht="21" hidden="false" customHeight="true" outlineLevel="0" collapsed="false">
      <c r="B452" s="41"/>
      <c r="C452" s="9"/>
      <c r="D452" s="44"/>
      <c r="E452" s="42"/>
      <c r="F452" s="9"/>
    </row>
    <row r="453" customFormat="false" ht="21" hidden="false" customHeight="true" outlineLevel="0" collapsed="false">
      <c r="B453" s="41"/>
      <c r="C453" s="9"/>
      <c r="D453" s="44"/>
      <c r="E453" s="42"/>
      <c r="F453" s="9"/>
    </row>
    <row r="454" customFormat="false" ht="21" hidden="false" customHeight="true" outlineLevel="0" collapsed="false">
      <c r="B454" s="41"/>
      <c r="C454" s="9"/>
      <c r="D454" s="44"/>
      <c r="E454" s="42"/>
      <c r="F454" s="9"/>
    </row>
    <row r="455" customFormat="false" ht="21" hidden="false" customHeight="true" outlineLevel="0" collapsed="false">
      <c r="B455" s="41"/>
      <c r="C455" s="9"/>
      <c r="D455" s="44"/>
      <c r="E455" s="42"/>
      <c r="F455" s="9"/>
    </row>
    <row r="456" customFormat="false" ht="21" hidden="false" customHeight="true" outlineLevel="0" collapsed="false">
      <c r="B456" s="41"/>
      <c r="C456" s="9"/>
      <c r="D456" s="44"/>
      <c r="E456" s="42"/>
      <c r="F456" s="9"/>
    </row>
    <row r="457" customFormat="false" ht="21" hidden="false" customHeight="true" outlineLevel="0" collapsed="false">
      <c r="B457" s="41"/>
      <c r="C457" s="9"/>
      <c r="D457" s="44"/>
      <c r="E457" s="42"/>
      <c r="F457" s="9"/>
    </row>
    <row r="458" customFormat="false" ht="21" hidden="false" customHeight="true" outlineLevel="0" collapsed="false">
      <c r="B458" s="41"/>
      <c r="C458" s="9"/>
      <c r="D458" s="44"/>
      <c r="E458" s="42"/>
      <c r="F458" s="9"/>
    </row>
    <row r="459" customFormat="false" ht="21" hidden="false" customHeight="true" outlineLevel="0" collapsed="false">
      <c r="B459" s="41"/>
      <c r="C459" s="9"/>
      <c r="D459" s="44"/>
      <c r="E459" s="42"/>
      <c r="F459" s="9"/>
    </row>
    <row r="460" customFormat="false" ht="21" hidden="false" customHeight="true" outlineLevel="0" collapsed="false">
      <c r="B460" s="41"/>
      <c r="C460" s="9"/>
      <c r="D460" s="44"/>
      <c r="E460" s="42"/>
      <c r="F460" s="9"/>
    </row>
    <row r="461" customFormat="false" ht="21" hidden="false" customHeight="true" outlineLevel="0" collapsed="false">
      <c r="B461" s="41"/>
      <c r="C461" s="9"/>
      <c r="D461" s="44"/>
      <c r="E461" s="42"/>
      <c r="F461" s="9"/>
    </row>
    <row r="462" customFormat="false" ht="21" hidden="false" customHeight="true" outlineLevel="0" collapsed="false">
      <c r="B462" s="41"/>
      <c r="C462" s="9"/>
      <c r="D462" s="44"/>
      <c r="E462" s="42"/>
      <c r="F462" s="9"/>
    </row>
    <row r="463" customFormat="false" ht="21" hidden="false" customHeight="true" outlineLevel="0" collapsed="false">
      <c r="B463" s="41"/>
      <c r="C463" s="9"/>
      <c r="D463" s="44"/>
      <c r="E463" s="42"/>
      <c r="F463" s="9"/>
    </row>
    <row r="464" customFormat="false" ht="21" hidden="false" customHeight="true" outlineLevel="0" collapsed="false">
      <c r="B464" s="41"/>
      <c r="C464" s="9"/>
      <c r="D464" s="44"/>
      <c r="E464" s="42"/>
      <c r="F464" s="9"/>
    </row>
    <row r="465" customFormat="false" ht="21" hidden="false" customHeight="true" outlineLevel="0" collapsed="false">
      <c r="B465" s="41"/>
      <c r="C465" s="9"/>
      <c r="D465" s="44"/>
      <c r="E465" s="42"/>
      <c r="F465" s="9"/>
    </row>
    <row r="466" customFormat="false" ht="21" hidden="false" customHeight="true" outlineLevel="0" collapsed="false">
      <c r="B466" s="41"/>
      <c r="C466" s="9"/>
      <c r="D466" s="44"/>
      <c r="E466" s="42"/>
      <c r="F466" s="9"/>
    </row>
    <row r="467" customFormat="false" ht="21" hidden="false" customHeight="true" outlineLevel="0" collapsed="false">
      <c r="B467" s="41"/>
      <c r="C467" s="9"/>
      <c r="D467" s="44"/>
      <c r="E467" s="42"/>
      <c r="F467" s="9"/>
    </row>
    <row r="468" customFormat="false" ht="21" hidden="false" customHeight="true" outlineLevel="0" collapsed="false">
      <c r="B468" s="41"/>
      <c r="C468" s="9"/>
      <c r="D468" s="44"/>
      <c r="E468" s="42"/>
      <c r="F468" s="9"/>
    </row>
    <row r="469" customFormat="false" ht="21" hidden="false" customHeight="true" outlineLevel="0" collapsed="false">
      <c r="B469" s="41"/>
      <c r="C469" s="9"/>
      <c r="D469" s="44"/>
      <c r="E469" s="42"/>
      <c r="F469" s="9"/>
    </row>
    <row r="470" customFormat="false" ht="21" hidden="false" customHeight="true" outlineLevel="0" collapsed="false">
      <c r="B470" s="41"/>
      <c r="C470" s="9"/>
      <c r="D470" s="44"/>
      <c r="E470" s="42"/>
      <c r="F470" s="9"/>
    </row>
    <row r="471" customFormat="false" ht="21" hidden="false" customHeight="true" outlineLevel="0" collapsed="false">
      <c r="B471" s="41"/>
      <c r="C471" s="9"/>
      <c r="D471" s="44"/>
      <c r="E471" s="42"/>
      <c r="F471" s="9"/>
    </row>
    <row r="472" customFormat="false" ht="21" hidden="false" customHeight="true" outlineLevel="0" collapsed="false">
      <c r="B472" s="41"/>
      <c r="C472" s="9"/>
      <c r="D472" s="44"/>
      <c r="E472" s="42"/>
      <c r="F472" s="9"/>
    </row>
    <row r="473" customFormat="false" ht="21" hidden="false" customHeight="true" outlineLevel="0" collapsed="false">
      <c r="B473" s="41"/>
      <c r="C473" s="9"/>
      <c r="D473" s="44"/>
      <c r="E473" s="42"/>
      <c r="F473" s="9"/>
    </row>
    <row r="474" customFormat="false" ht="21" hidden="false" customHeight="true" outlineLevel="0" collapsed="false">
      <c r="B474" s="41"/>
      <c r="C474" s="9"/>
      <c r="D474" s="44"/>
      <c r="E474" s="42"/>
      <c r="F474" s="9"/>
    </row>
    <row r="475" customFormat="false" ht="21" hidden="false" customHeight="true" outlineLevel="0" collapsed="false">
      <c r="B475" s="41"/>
      <c r="C475" s="9"/>
      <c r="D475" s="44"/>
      <c r="E475" s="42"/>
      <c r="F475" s="9"/>
    </row>
    <row r="476" customFormat="false" ht="21" hidden="false" customHeight="true" outlineLevel="0" collapsed="false">
      <c r="B476" s="41"/>
      <c r="C476" s="9"/>
      <c r="D476" s="44"/>
      <c r="E476" s="42"/>
      <c r="F476" s="9"/>
    </row>
    <row r="477" customFormat="false" ht="21" hidden="false" customHeight="true" outlineLevel="0" collapsed="false">
      <c r="B477" s="41"/>
      <c r="C477" s="9"/>
      <c r="D477" s="44"/>
      <c r="E477" s="42"/>
      <c r="F477" s="9"/>
    </row>
    <row r="478" customFormat="false" ht="21" hidden="false" customHeight="true" outlineLevel="0" collapsed="false">
      <c r="B478" s="41"/>
      <c r="C478" s="9"/>
      <c r="D478" s="44"/>
      <c r="E478" s="42"/>
      <c r="F478" s="9"/>
    </row>
    <row r="479" customFormat="false" ht="21" hidden="false" customHeight="true" outlineLevel="0" collapsed="false">
      <c r="B479" s="41"/>
      <c r="C479" s="9"/>
      <c r="D479" s="44"/>
      <c r="E479" s="42"/>
      <c r="F479" s="9"/>
    </row>
    <row r="480" customFormat="false" ht="21" hidden="false" customHeight="true" outlineLevel="0" collapsed="false">
      <c r="B480" s="41"/>
      <c r="C480" s="9"/>
      <c r="D480" s="44"/>
      <c r="E480" s="42"/>
      <c r="F480" s="9"/>
    </row>
    <row r="481" customFormat="false" ht="21" hidden="false" customHeight="true" outlineLevel="0" collapsed="false">
      <c r="B481" s="41"/>
      <c r="C481" s="9"/>
      <c r="D481" s="44"/>
      <c r="E481" s="42"/>
      <c r="F481" s="9"/>
    </row>
    <row r="482" customFormat="false" ht="21" hidden="false" customHeight="true" outlineLevel="0" collapsed="false">
      <c r="B482" s="41"/>
      <c r="C482" s="9"/>
      <c r="D482" s="44"/>
      <c r="E482" s="42"/>
      <c r="F482" s="9"/>
    </row>
    <row r="483" customFormat="false" ht="21" hidden="false" customHeight="true" outlineLevel="0" collapsed="false">
      <c r="B483" s="41"/>
      <c r="C483" s="9"/>
      <c r="D483" s="44"/>
      <c r="E483" s="42"/>
      <c r="F483" s="9"/>
    </row>
    <row r="484" customFormat="false" ht="21" hidden="false" customHeight="true" outlineLevel="0" collapsed="false">
      <c r="B484" s="41"/>
      <c r="C484" s="9"/>
      <c r="D484" s="44"/>
      <c r="E484" s="42"/>
      <c r="F484" s="9"/>
    </row>
    <row r="485" customFormat="false" ht="21" hidden="false" customHeight="true" outlineLevel="0" collapsed="false">
      <c r="B485" s="41"/>
      <c r="C485" s="9"/>
      <c r="D485" s="44"/>
      <c r="E485" s="42"/>
      <c r="F485" s="9"/>
    </row>
    <row r="486" customFormat="false" ht="21" hidden="false" customHeight="true" outlineLevel="0" collapsed="false">
      <c r="B486" s="41"/>
      <c r="C486" s="9"/>
      <c r="D486" s="44"/>
      <c r="E486" s="42"/>
      <c r="F486" s="9"/>
    </row>
    <row r="487" customFormat="false" ht="21" hidden="false" customHeight="true" outlineLevel="0" collapsed="false">
      <c r="B487" s="41"/>
      <c r="C487" s="9"/>
      <c r="D487" s="44"/>
      <c r="E487" s="42"/>
      <c r="F487" s="9"/>
    </row>
    <row r="488" customFormat="false" ht="21" hidden="false" customHeight="true" outlineLevel="0" collapsed="false">
      <c r="B488" s="41"/>
      <c r="C488" s="9"/>
      <c r="D488" s="44"/>
      <c r="E488" s="42"/>
      <c r="F488" s="9"/>
    </row>
    <row r="489" customFormat="false" ht="21" hidden="false" customHeight="true" outlineLevel="0" collapsed="false">
      <c r="B489" s="41"/>
      <c r="C489" s="9"/>
      <c r="D489" s="44"/>
      <c r="E489" s="42"/>
      <c r="F489" s="9"/>
    </row>
    <row r="490" customFormat="false" ht="21" hidden="false" customHeight="true" outlineLevel="0" collapsed="false">
      <c r="B490" s="41"/>
      <c r="C490" s="9"/>
      <c r="D490" s="44"/>
      <c r="E490" s="42"/>
      <c r="F490" s="9"/>
    </row>
    <row r="491" customFormat="false" ht="21" hidden="false" customHeight="true" outlineLevel="0" collapsed="false">
      <c r="B491" s="41"/>
      <c r="C491" s="9"/>
      <c r="D491" s="44"/>
      <c r="E491" s="42"/>
      <c r="F491" s="9"/>
    </row>
    <row r="492" customFormat="false" ht="21" hidden="false" customHeight="true" outlineLevel="0" collapsed="false">
      <c r="B492" s="41"/>
      <c r="C492" s="9"/>
      <c r="D492" s="44"/>
      <c r="E492" s="42"/>
      <c r="F492" s="9"/>
    </row>
    <row r="493" customFormat="false" ht="21" hidden="false" customHeight="true" outlineLevel="0" collapsed="false">
      <c r="B493" s="41"/>
      <c r="C493" s="9"/>
      <c r="D493" s="44"/>
      <c r="E493" s="42"/>
      <c r="F493" s="9"/>
    </row>
    <row r="494" customFormat="false" ht="21" hidden="false" customHeight="true" outlineLevel="0" collapsed="false">
      <c r="B494" s="41"/>
      <c r="C494" s="9"/>
      <c r="D494" s="44"/>
      <c r="E494" s="42"/>
      <c r="F494" s="9"/>
    </row>
    <row r="495" customFormat="false" ht="21" hidden="false" customHeight="true" outlineLevel="0" collapsed="false">
      <c r="B495" s="41"/>
      <c r="C495" s="9"/>
      <c r="D495" s="44"/>
      <c r="E495" s="42"/>
      <c r="F495" s="9"/>
    </row>
    <row r="496" customFormat="false" ht="21" hidden="false" customHeight="true" outlineLevel="0" collapsed="false">
      <c r="B496" s="41"/>
      <c r="C496" s="9"/>
      <c r="D496" s="44"/>
      <c r="E496" s="42"/>
      <c r="F496" s="9"/>
    </row>
    <row r="497" customFormat="false" ht="21" hidden="false" customHeight="true" outlineLevel="0" collapsed="false">
      <c r="B497" s="41"/>
      <c r="C497" s="9"/>
      <c r="D497" s="44"/>
      <c r="E497" s="42"/>
      <c r="F497" s="9"/>
    </row>
    <row r="498" customFormat="false" ht="21" hidden="false" customHeight="true" outlineLevel="0" collapsed="false">
      <c r="B498" s="41"/>
      <c r="C498" s="9"/>
      <c r="D498" s="44"/>
      <c r="E498" s="42"/>
      <c r="F498" s="9"/>
    </row>
    <row r="499" customFormat="false" ht="21" hidden="false" customHeight="true" outlineLevel="0" collapsed="false">
      <c r="B499" s="41"/>
      <c r="C499" s="9"/>
      <c r="D499" s="44"/>
      <c r="E499" s="42"/>
      <c r="F499" s="9"/>
    </row>
    <row r="500" customFormat="false" ht="21" hidden="false" customHeight="true" outlineLevel="0" collapsed="false">
      <c r="B500" s="41"/>
      <c r="C500" s="9"/>
      <c r="D500" s="44"/>
      <c r="E500" s="42"/>
      <c r="F500" s="9"/>
    </row>
    <row r="501" customFormat="false" ht="21" hidden="false" customHeight="true" outlineLevel="0" collapsed="false">
      <c r="B501" s="41"/>
      <c r="C501" s="9"/>
      <c r="D501" s="44"/>
      <c r="E501" s="42"/>
      <c r="F501" s="9"/>
    </row>
    <row r="502" customFormat="false" ht="21" hidden="false" customHeight="true" outlineLevel="0" collapsed="false">
      <c r="B502" s="41"/>
      <c r="C502" s="9"/>
      <c r="D502" s="44"/>
      <c r="E502" s="42"/>
      <c r="F502" s="9"/>
    </row>
    <row r="503" customFormat="false" ht="21" hidden="false" customHeight="true" outlineLevel="0" collapsed="false">
      <c r="B503" s="41"/>
      <c r="C503" s="9"/>
      <c r="D503" s="44"/>
      <c r="E503" s="42"/>
      <c r="F503" s="9"/>
    </row>
    <row r="504" customFormat="false" ht="21" hidden="false" customHeight="true" outlineLevel="0" collapsed="false">
      <c r="B504" s="41"/>
      <c r="C504" s="9"/>
      <c r="D504" s="44"/>
      <c r="E504" s="42"/>
      <c r="F504" s="9"/>
    </row>
    <row r="505" customFormat="false" ht="21" hidden="false" customHeight="true" outlineLevel="0" collapsed="false">
      <c r="B505" s="41"/>
      <c r="C505" s="9"/>
      <c r="D505" s="44"/>
      <c r="E505" s="42"/>
      <c r="F505" s="9"/>
    </row>
    <row r="506" customFormat="false" ht="21" hidden="false" customHeight="true" outlineLevel="0" collapsed="false">
      <c r="B506" s="41"/>
      <c r="C506" s="9"/>
      <c r="D506" s="44"/>
      <c r="E506" s="42"/>
      <c r="F506" s="9"/>
    </row>
    <row r="507" customFormat="false" ht="21" hidden="false" customHeight="true" outlineLevel="0" collapsed="false">
      <c r="B507" s="41"/>
      <c r="C507" s="9"/>
      <c r="D507" s="44"/>
      <c r="E507" s="42"/>
      <c r="F507" s="9"/>
    </row>
    <row r="508" customFormat="false" ht="21" hidden="false" customHeight="true" outlineLevel="0" collapsed="false">
      <c r="B508" s="41"/>
      <c r="C508" s="9"/>
      <c r="D508" s="44"/>
      <c r="E508" s="42"/>
      <c r="F508" s="9"/>
    </row>
    <row r="509" customFormat="false" ht="21" hidden="false" customHeight="true" outlineLevel="0" collapsed="false">
      <c r="B509" s="41"/>
      <c r="C509" s="9"/>
      <c r="D509" s="44"/>
      <c r="E509" s="42"/>
      <c r="F509" s="9"/>
    </row>
    <row r="510" customFormat="false" ht="21" hidden="false" customHeight="true" outlineLevel="0" collapsed="false">
      <c r="B510" s="41"/>
      <c r="C510" s="9"/>
      <c r="D510" s="44"/>
      <c r="E510" s="42"/>
      <c r="F510" s="9"/>
    </row>
    <row r="511" customFormat="false" ht="21" hidden="false" customHeight="true" outlineLevel="0" collapsed="false">
      <c r="B511" s="41"/>
      <c r="C511" s="9"/>
      <c r="D511" s="44"/>
      <c r="E511" s="42"/>
      <c r="F511" s="9"/>
    </row>
    <row r="512" customFormat="false" ht="21" hidden="false" customHeight="true" outlineLevel="0" collapsed="false">
      <c r="B512" s="41"/>
      <c r="C512" s="9"/>
      <c r="D512" s="44"/>
      <c r="E512" s="42"/>
      <c r="F512" s="9"/>
    </row>
    <row r="513" customFormat="false" ht="21" hidden="false" customHeight="true" outlineLevel="0" collapsed="false">
      <c r="B513" s="41"/>
      <c r="C513" s="9"/>
      <c r="D513" s="44"/>
      <c r="E513" s="42"/>
      <c r="F513" s="9"/>
    </row>
    <row r="514" customFormat="false" ht="21" hidden="false" customHeight="true" outlineLevel="0" collapsed="false">
      <c r="B514" s="41"/>
      <c r="C514" s="9"/>
      <c r="D514" s="44"/>
      <c r="E514" s="42"/>
      <c r="F514" s="9"/>
    </row>
    <row r="515" customFormat="false" ht="21" hidden="false" customHeight="true" outlineLevel="0" collapsed="false">
      <c r="B515" s="41"/>
      <c r="C515" s="9"/>
      <c r="D515" s="44"/>
      <c r="E515" s="42"/>
      <c r="F515" s="9"/>
    </row>
    <row r="516" customFormat="false" ht="21" hidden="false" customHeight="true" outlineLevel="0" collapsed="false">
      <c r="B516" s="41"/>
      <c r="C516" s="9"/>
      <c r="D516" s="44"/>
      <c r="E516" s="42"/>
      <c r="F516" s="9"/>
    </row>
    <row r="517" customFormat="false" ht="21" hidden="false" customHeight="true" outlineLevel="0" collapsed="false">
      <c r="B517" s="41"/>
      <c r="C517" s="9"/>
      <c r="D517" s="44"/>
      <c r="E517" s="42"/>
      <c r="F517" s="9"/>
    </row>
    <row r="518" customFormat="false" ht="21" hidden="false" customHeight="true" outlineLevel="0" collapsed="false">
      <c r="B518" s="41"/>
      <c r="C518" s="9"/>
      <c r="D518" s="44"/>
      <c r="E518" s="42"/>
      <c r="F518" s="9"/>
    </row>
    <row r="519" customFormat="false" ht="21" hidden="false" customHeight="true" outlineLevel="0" collapsed="false">
      <c r="B519" s="41"/>
      <c r="C519" s="9"/>
      <c r="D519" s="44"/>
      <c r="E519" s="42"/>
      <c r="F519" s="9"/>
    </row>
    <row r="520" customFormat="false" ht="21" hidden="false" customHeight="true" outlineLevel="0" collapsed="false">
      <c r="B520" s="41"/>
      <c r="C520" s="9"/>
      <c r="D520" s="44"/>
      <c r="E520" s="42"/>
      <c r="F520" s="9"/>
    </row>
    <row r="521" customFormat="false" ht="21" hidden="false" customHeight="true" outlineLevel="0" collapsed="false">
      <c r="B521" s="41"/>
      <c r="C521" s="9"/>
      <c r="D521" s="44"/>
      <c r="E521" s="42"/>
      <c r="F521" s="9"/>
    </row>
    <row r="522" customFormat="false" ht="21" hidden="false" customHeight="true" outlineLevel="0" collapsed="false">
      <c r="B522" s="41"/>
      <c r="C522" s="9"/>
      <c r="D522" s="44"/>
      <c r="E522" s="42"/>
      <c r="F522" s="9"/>
    </row>
    <row r="523" customFormat="false" ht="21" hidden="false" customHeight="true" outlineLevel="0" collapsed="false">
      <c r="B523" s="41"/>
      <c r="C523" s="9"/>
      <c r="D523" s="44"/>
      <c r="E523" s="42"/>
      <c r="F523" s="9"/>
    </row>
    <row r="524" customFormat="false" ht="21" hidden="false" customHeight="true" outlineLevel="0" collapsed="false">
      <c r="B524" s="41"/>
      <c r="C524" s="9"/>
      <c r="D524" s="44"/>
      <c r="E524" s="42"/>
      <c r="F524" s="9"/>
    </row>
    <row r="525" customFormat="false" ht="21" hidden="false" customHeight="true" outlineLevel="0" collapsed="false">
      <c r="B525" s="41"/>
      <c r="C525" s="9"/>
      <c r="D525" s="44"/>
      <c r="E525" s="42"/>
      <c r="F525" s="9"/>
    </row>
    <row r="526" customFormat="false" ht="21" hidden="false" customHeight="true" outlineLevel="0" collapsed="false">
      <c r="B526" s="41"/>
      <c r="C526" s="9"/>
      <c r="D526" s="44"/>
      <c r="E526" s="42"/>
      <c r="F526" s="9"/>
    </row>
    <row r="527" customFormat="false" ht="21" hidden="false" customHeight="true" outlineLevel="0" collapsed="false">
      <c r="B527" s="41"/>
      <c r="C527" s="9"/>
      <c r="D527" s="44"/>
      <c r="E527" s="42"/>
      <c r="F527" s="9"/>
    </row>
    <row r="528" customFormat="false" ht="21" hidden="false" customHeight="true" outlineLevel="0" collapsed="false">
      <c r="B528" s="41"/>
      <c r="C528" s="9"/>
      <c r="D528" s="44"/>
      <c r="E528" s="42"/>
      <c r="F528" s="9"/>
    </row>
    <row r="529" customFormat="false" ht="21" hidden="false" customHeight="true" outlineLevel="0" collapsed="false">
      <c r="B529" s="41"/>
      <c r="C529" s="9"/>
      <c r="D529" s="44"/>
      <c r="E529" s="42"/>
      <c r="F529" s="9"/>
    </row>
    <row r="530" customFormat="false" ht="21" hidden="false" customHeight="true" outlineLevel="0" collapsed="false">
      <c r="B530" s="41"/>
      <c r="C530" s="9"/>
      <c r="D530" s="44"/>
      <c r="E530" s="42"/>
      <c r="F530" s="9"/>
    </row>
    <row r="531" customFormat="false" ht="21" hidden="false" customHeight="true" outlineLevel="0" collapsed="false">
      <c r="B531" s="41"/>
      <c r="C531" s="9"/>
      <c r="D531" s="44"/>
      <c r="E531" s="42"/>
      <c r="F531" s="9"/>
    </row>
    <row r="532" customFormat="false" ht="21" hidden="false" customHeight="true" outlineLevel="0" collapsed="false">
      <c r="B532" s="41"/>
      <c r="C532" s="9"/>
      <c r="D532" s="44"/>
      <c r="E532" s="42"/>
      <c r="F532" s="9"/>
    </row>
    <row r="533" customFormat="false" ht="21" hidden="false" customHeight="true" outlineLevel="0" collapsed="false">
      <c r="B533" s="41"/>
      <c r="C533" s="9"/>
      <c r="D533" s="44"/>
      <c r="E533" s="42"/>
      <c r="F533" s="9"/>
    </row>
    <row r="534" customFormat="false" ht="21" hidden="false" customHeight="true" outlineLevel="0" collapsed="false">
      <c r="B534" s="41"/>
      <c r="C534" s="9"/>
      <c r="D534" s="44"/>
      <c r="E534" s="42"/>
      <c r="F534" s="9"/>
    </row>
    <row r="535" customFormat="false" ht="21" hidden="false" customHeight="true" outlineLevel="0" collapsed="false">
      <c r="B535" s="41"/>
      <c r="C535" s="9"/>
      <c r="D535" s="44"/>
      <c r="E535" s="42"/>
      <c r="F535" s="9"/>
    </row>
    <row r="536" customFormat="false" ht="21" hidden="false" customHeight="true" outlineLevel="0" collapsed="false">
      <c r="B536" s="41"/>
      <c r="C536" s="9"/>
      <c r="D536" s="44"/>
      <c r="E536" s="42"/>
      <c r="F536" s="9"/>
    </row>
    <row r="537" customFormat="false" ht="21" hidden="false" customHeight="true" outlineLevel="0" collapsed="false">
      <c r="B537" s="41"/>
      <c r="C537" s="9"/>
      <c r="D537" s="44"/>
      <c r="E537" s="42"/>
      <c r="F537" s="9"/>
    </row>
    <row r="538" customFormat="false" ht="21" hidden="false" customHeight="true" outlineLevel="0" collapsed="false">
      <c r="B538" s="41"/>
      <c r="C538" s="9"/>
      <c r="D538" s="44"/>
      <c r="E538" s="42"/>
      <c r="F538" s="9"/>
    </row>
    <row r="539" customFormat="false" ht="21" hidden="false" customHeight="true" outlineLevel="0" collapsed="false">
      <c r="B539" s="41"/>
      <c r="C539" s="9"/>
      <c r="D539" s="44"/>
      <c r="E539" s="42"/>
      <c r="F539" s="9"/>
    </row>
    <row r="540" customFormat="false" ht="21" hidden="false" customHeight="true" outlineLevel="0" collapsed="false">
      <c r="B540" s="41"/>
      <c r="C540" s="9"/>
      <c r="D540" s="44"/>
      <c r="E540" s="42"/>
      <c r="F540" s="9"/>
    </row>
    <row r="541" customFormat="false" ht="21" hidden="false" customHeight="true" outlineLevel="0" collapsed="false">
      <c r="B541" s="41"/>
      <c r="C541" s="9"/>
      <c r="D541" s="44"/>
      <c r="E541" s="42"/>
      <c r="F541" s="9"/>
    </row>
    <row r="542" customFormat="false" ht="21" hidden="false" customHeight="true" outlineLevel="0" collapsed="false">
      <c r="B542" s="41"/>
      <c r="C542" s="9"/>
      <c r="D542" s="44"/>
      <c r="E542" s="42"/>
      <c r="F542" s="9"/>
    </row>
    <row r="543" customFormat="false" ht="21" hidden="false" customHeight="true" outlineLevel="0" collapsed="false">
      <c r="B543" s="41"/>
      <c r="C543" s="9"/>
      <c r="D543" s="44"/>
      <c r="E543" s="42"/>
      <c r="F543" s="9"/>
    </row>
    <row r="544" customFormat="false" ht="21" hidden="false" customHeight="true" outlineLevel="0" collapsed="false">
      <c r="B544" s="41"/>
      <c r="C544" s="9"/>
      <c r="D544" s="44"/>
      <c r="E544" s="42"/>
      <c r="F544" s="9"/>
    </row>
    <row r="545" customFormat="false" ht="21" hidden="false" customHeight="true" outlineLevel="0" collapsed="false">
      <c r="B545" s="41"/>
      <c r="C545" s="9"/>
      <c r="D545" s="44"/>
      <c r="E545" s="42"/>
      <c r="F545" s="9"/>
    </row>
    <row r="546" customFormat="false" ht="21" hidden="false" customHeight="true" outlineLevel="0" collapsed="false">
      <c r="B546" s="41"/>
      <c r="C546" s="9"/>
      <c r="D546" s="44"/>
      <c r="E546" s="42"/>
      <c r="F546" s="9"/>
    </row>
    <row r="547" customFormat="false" ht="21" hidden="false" customHeight="true" outlineLevel="0" collapsed="false">
      <c r="B547" s="41"/>
      <c r="C547" s="9"/>
      <c r="D547" s="44"/>
      <c r="E547" s="42"/>
      <c r="F547" s="9"/>
    </row>
    <row r="548" customFormat="false" ht="21" hidden="false" customHeight="true" outlineLevel="0" collapsed="false">
      <c r="B548" s="41"/>
      <c r="C548" s="9"/>
      <c r="D548" s="44"/>
      <c r="E548" s="42"/>
      <c r="F548" s="9"/>
    </row>
    <row r="549" customFormat="false" ht="21" hidden="false" customHeight="true" outlineLevel="0" collapsed="false">
      <c r="B549" s="41"/>
      <c r="C549" s="9"/>
      <c r="D549" s="44"/>
      <c r="E549" s="42"/>
      <c r="F549" s="9"/>
    </row>
    <row r="550" customFormat="false" ht="21" hidden="false" customHeight="true" outlineLevel="0" collapsed="false">
      <c r="B550" s="41"/>
      <c r="C550" s="9"/>
      <c r="D550" s="44"/>
      <c r="E550" s="42"/>
      <c r="F550" s="9"/>
    </row>
    <row r="551" customFormat="false" ht="21" hidden="false" customHeight="true" outlineLevel="0" collapsed="false">
      <c r="B551" s="41"/>
      <c r="C551" s="9"/>
      <c r="D551" s="44"/>
      <c r="E551" s="42"/>
      <c r="F551" s="9"/>
    </row>
    <row r="552" customFormat="false" ht="21" hidden="false" customHeight="true" outlineLevel="0" collapsed="false">
      <c r="B552" s="41"/>
      <c r="C552" s="9"/>
      <c r="D552" s="44"/>
      <c r="E552" s="42"/>
      <c r="F552" s="9"/>
    </row>
    <row r="553" customFormat="false" ht="21" hidden="false" customHeight="true" outlineLevel="0" collapsed="false">
      <c r="B553" s="41"/>
      <c r="C553" s="9"/>
      <c r="D553" s="44"/>
      <c r="E553" s="42"/>
      <c r="F553" s="9"/>
    </row>
    <row r="554" customFormat="false" ht="21" hidden="false" customHeight="true" outlineLevel="0" collapsed="false">
      <c r="B554" s="41"/>
      <c r="C554" s="9"/>
      <c r="D554" s="44"/>
      <c r="E554" s="42"/>
      <c r="F554" s="9"/>
    </row>
    <row r="555" customFormat="false" ht="21" hidden="false" customHeight="true" outlineLevel="0" collapsed="false">
      <c r="B555" s="41"/>
      <c r="C555" s="9"/>
      <c r="D555" s="44"/>
      <c r="E555" s="42"/>
      <c r="F555" s="9"/>
    </row>
    <row r="556" customFormat="false" ht="21" hidden="false" customHeight="true" outlineLevel="0" collapsed="false">
      <c r="B556" s="41"/>
      <c r="C556" s="9"/>
      <c r="D556" s="44"/>
      <c r="E556" s="42"/>
      <c r="F556" s="9"/>
    </row>
    <row r="557" customFormat="false" ht="21" hidden="false" customHeight="true" outlineLevel="0" collapsed="false">
      <c r="B557" s="41"/>
      <c r="C557" s="9"/>
      <c r="D557" s="44"/>
      <c r="E557" s="42"/>
      <c r="F557" s="9"/>
    </row>
    <row r="558" customFormat="false" ht="21" hidden="false" customHeight="true" outlineLevel="0" collapsed="false">
      <c r="B558" s="41"/>
      <c r="C558" s="9"/>
      <c r="D558" s="44"/>
      <c r="E558" s="42"/>
      <c r="F558" s="9"/>
    </row>
    <row r="559" customFormat="false" ht="21" hidden="false" customHeight="true" outlineLevel="0" collapsed="false">
      <c r="B559" s="41"/>
      <c r="C559" s="9"/>
      <c r="D559" s="44"/>
      <c r="E559" s="42"/>
      <c r="F559" s="9"/>
    </row>
    <row r="560" customFormat="false" ht="21" hidden="false" customHeight="true" outlineLevel="0" collapsed="false">
      <c r="B560" s="41"/>
      <c r="C560" s="9"/>
      <c r="D560" s="44"/>
      <c r="E560" s="42"/>
      <c r="F560" s="9"/>
    </row>
    <row r="561" customFormat="false" ht="21" hidden="false" customHeight="true" outlineLevel="0" collapsed="false">
      <c r="B561" s="41"/>
      <c r="C561" s="9"/>
      <c r="D561" s="44"/>
      <c r="E561" s="42"/>
      <c r="F561" s="9"/>
    </row>
    <row r="562" customFormat="false" ht="21" hidden="false" customHeight="true" outlineLevel="0" collapsed="false">
      <c r="B562" s="41"/>
      <c r="C562" s="9"/>
      <c r="D562" s="44"/>
      <c r="E562" s="42"/>
      <c r="F562" s="9"/>
    </row>
    <row r="563" customFormat="false" ht="21" hidden="false" customHeight="true" outlineLevel="0" collapsed="false">
      <c r="B563" s="41"/>
      <c r="C563" s="9"/>
      <c r="D563" s="44"/>
      <c r="E563" s="42"/>
      <c r="F563" s="9"/>
    </row>
    <row r="564" customFormat="false" ht="21" hidden="false" customHeight="true" outlineLevel="0" collapsed="false">
      <c r="B564" s="41"/>
      <c r="C564" s="9"/>
      <c r="D564" s="44"/>
      <c r="E564" s="42"/>
      <c r="F564" s="9"/>
    </row>
    <row r="565" customFormat="false" ht="21" hidden="false" customHeight="true" outlineLevel="0" collapsed="false">
      <c r="B565" s="41"/>
      <c r="C565" s="9"/>
      <c r="D565" s="44"/>
      <c r="E565" s="42"/>
      <c r="F565" s="9"/>
    </row>
    <row r="566" customFormat="false" ht="21" hidden="false" customHeight="true" outlineLevel="0" collapsed="false">
      <c r="B566" s="41"/>
      <c r="C566" s="9"/>
      <c r="D566" s="44"/>
      <c r="E566" s="42"/>
      <c r="F566" s="9"/>
    </row>
    <row r="567" customFormat="false" ht="21" hidden="false" customHeight="true" outlineLevel="0" collapsed="false">
      <c r="B567" s="41"/>
      <c r="C567" s="9"/>
      <c r="D567" s="44"/>
      <c r="E567" s="42"/>
      <c r="F567" s="9"/>
    </row>
    <row r="568" customFormat="false" ht="21" hidden="false" customHeight="true" outlineLevel="0" collapsed="false">
      <c r="B568" s="41"/>
      <c r="C568" s="9"/>
      <c r="D568" s="44"/>
      <c r="E568" s="42"/>
      <c r="F568" s="9"/>
    </row>
    <row r="569" customFormat="false" ht="21" hidden="false" customHeight="true" outlineLevel="0" collapsed="false">
      <c r="B569" s="41"/>
      <c r="C569" s="9"/>
      <c r="D569" s="44"/>
      <c r="E569" s="42"/>
      <c r="F569" s="9"/>
    </row>
    <row r="570" customFormat="false" ht="21" hidden="false" customHeight="true" outlineLevel="0" collapsed="false">
      <c r="B570" s="41"/>
      <c r="C570" s="9"/>
      <c r="D570" s="44"/>
      <c r="E570" s="42"/>
      <c r="F570" s="9"/>
    </row>
    <row r="571" customFormat="false" ht="21" hidden="false" customHeight="true" outlineLevel="0" collapsed="false">
      <c r="B571" s="41"/>
      <c r="C571" s="9"/>
      <c r="D571" s="44"/>
      <c r="E571" s="42"/>
      <c r="F571" s="9"/>
    </row>
    <row r="572" customFormat="false" ht="21" hidden="false" customHeight="true" outlineLevel="0" collapsed="false">
      <c r="B572" s="41"/>
      <c r="C572" s="9"/>
      <c r="D572" s="44"/>
      <c r="E572" s="42"/>
      <c r="F572" s="9"/>
    </row>
    <row r="573" customFormat="false" ht="21" hidden="false" customHeight="true" outlineLevel="0" collapsed="false">
      <c r="B573" s="41"/>
      <c r="C573" s="9"/>
      <c r="D573" s="44"/>
      <c r="E573" s="42"/>
      <c r="F573" s="9"/>
    </row>
    <row r="574" customFormat="false" ht="21" hidden="false" customHeight="true" outlineLevel="0" collapsed="false">
      <c r="B574" s="41"/>
      <c r="C574" s="9"/>
      <c r="D574" s="44"/>
      <c r="E574" s="42"/>
      <c r="F574" s="9"/>
    </row>
    <row r="575" customFormat="false" ht="21" hidden="false" customHeight="true" outlineLevel="0" collapsed="false">
      <c r="B575" s="41"/>
      <c r="C575" s="9"/>
      <c r="D575" s="44"/>
      <c r="E575" s="42"/>
      <c r="F575" s="9"/>
    </row>
    <row r="576" customFormat="false" ht="21" hidden="false" customHeight="true" outlineLevel="0" collapsed="false">
      <c r="B576" s="41"/>
      <c r="C576" s="9"/>
      <c r="D576" s="44"/>
      <c r="E576" s="42"/>
      <c r="F576" s="9"/>
    </row>
    <row r="577" customFormat="false" ht="21" hidden="false" customHeight="true" outlineLevel="0" collapsed="false">
      <c r="B577" s="41"/>
      <c r="C577" s="9"/>
      <c r="D577" s="44"/>
      <c r="E577" s="42"/>
      <c r="F577" s="9"/>
    </row>
    <row r="578" customFormat="false" ht="21" hidden="false" customHeight="true" outlineLevel="0" collapsed="false">
      <c r="B578" s="41"/>
      <c r="C578" s="9"/>
      <c r="D578" s="44"/>
      <c r="E578" s="42"/>
      <c r="F578" s="9"/>
    </row>
    <row r="579" customFormat="false" ht="21" hidden="false" customHeight="true" outlineLevel="0" collapsed="false">
      <c r="B579" s="41"/>
      <c r="C579" s="9"/>
      <c r="D579" s="44"/>
      <c r="E579" s="42"/>
      <c r="F579" s="9"/>
    </row>
    <row r="580" customFormat="false" ht="21" hidden="false" customHeight="true" outlineLevel="0" collapsed="false">
      <c r="B580" s="41"/>
      <c r="C580" s="9"/>
      <c r="D580" s="44"/>
      <c r="E580" s="42"/>
      <c r="F580" s="9"/>
    </row>
    <row r="581" customFormat="false" ht="21" hidden="false" customHeight="true" outlineLevel="0" collapsed="false">
      <c r="B581" s="41"/>
      <c r="C581" s="9"/>
      <c r="D581" s="44"/>
      <c r="E581" s="42"/>
      <c r="F581" s="9"/>
    </row>
    <row r="582" customFormat="false" ht="21" hidden="false" customHeight="true" outlineLevel="0" collapsed="false">
      <c r="B582" s="41"/>
      <c r="C582" s="9"/>
      <c r="D582" s="44"/>
      <c r="E582" s="42"/>
      <c r="F582" s="9"/>
    </row>
    <row r="583" customFormat="false" ht="21" hidden="false" customHeight="true" outlineLevel="0" collapsed="false">
      <c r="B583" s="41"/>
      <c r="C583" s="9"/>
      <c r="D583" s="44"/>
      <c r="E583" s="42"/>
      <c r="F583" s="9"/>
    </row>
    <row r="584" customFormat="false" ht="21" hidden="false" customHeight="true" outlineLevel="0" collapsed="false">
      <c r="B584" s="41"/>
      <c r="C584" s="9"/>
      <c r="D584" s="44"/>
      <c r="E584" s="42"/>
      <c r="F584" s="9"/>
    </row>
    <row r="585" customFormat="false" ht="21" hidden="false" customHeight="true" outlineLevel="0" collapsed="false">
      <c r="B585" s="41"/>
      <c r="C585" s="9"/>
      <c r="D585" s="44"/>
      <c r="E585" s="42"/>
      <c r="F585" s="9"/>
    </row>
    <row r="586" customFormat="false" ht="21" hidden="false" customHeight="true" outlineLevel="0" collapsed="false">
      <c r="B586" s="41"/>
      <c r="C586" s="9"/>
      <c r="D586" s="44"/>
      <c r="E586" s="42"/>
      <c r="F586" s="9"/>
    </row>
    <row r="587" customFormat="false" ht="21" hidden="false" customHeight="true" outlineLevel="0" collapsed="false">
      <c r="B587" s="41"/>
      <c r="C587" s="9"/>
      <c r="D587" s="44"/>
      <c r="E587" s="42"/>
      <c r="F587" s="9"/>
    </row>
    <row r="588" customFormat="false" ht="21" hidden="false" customHeight="true" outlineLevel="0" collapsed="false">
      <c r="B588" s="41"/>
      <c r="C588" s="9"/>
      <c r="D588" s="44"/>
      <c r="E588" s="42"/>
      <c r="F588" s="9"/>
    </row>
    <row r="589" customFormat="false" ht="21" hidden="false" customHeight="true" outlineLevel="0" collapsed="false">
      <c r="B589" s="41"/>
      <c r="C589" s="9"/>
      <c r="D589" s="44"/>
      <c r="E589" s="42"/>
      <c r="F589" s="9"/>
    </row>
    <row r="590" customFormat="false" ht="21" hidden="false" customHeight="true" outlineLevel="0" collapsed="false">
      <c r="B590" s="41"/>
      <c r="C590" s="9"/>
      <c r="D590" s="44"/>
      <c r="E590" s="42"/>
      <c r="F590" s="9"/>
    </row>
    <row r="591" customFormat="false" ht="21" hidden="false" customHeight="true" outlineLevel="0" collapsed="false">
      <c r="B591" s="41"/>
      <c r="C591" s="9"/>
      <c r="D591" s="44"/>
      <c r="E591" s="42"/>
      <c r="F591" s="9"/>
    </row>
    <row r="592" customFormat="false" ht="21" hidden="false" customHeight="true" outlineLevel="0" collapsed="false">
      <c r="B592" s="41"/>
      <c r="C592" s="9"/>
      <c r="D592" s="44"/>
      <c r="E592" s="42"/>
      <c r="F592" s="9"/>
    </row>
    <row r="593" customFormat="false" ht="21" hidden="false" customHeight="true" outlineLevel="0" collapsed="false">
      <c r="B593" s="41"/>
      <c r="C593" s="9"/>
      <c r="D593" s="44"/>
      <c r="E593" s="42"/>
      <c r="F593" s="9"/>
    </row>
    <row r="594" customFormat="false" ht="21" hidden="false" customHeight="true" outlineLevel="0" collapsed="false">
      <c r="B594" s="41"/>
      <c r="C594" s="9"/>
      <c r="D594" s="44"/>
      <c r="E594" s="42"/>
      <c r="F594" s="9"/>
    </row>
    <row r="595" customFormat="false" ht="21" hidden="false" customHeight="true" outlineLevel="0" collapsed="false">
      <c r="B595" s="41"/>
      <c r="C595" s="9"/>
      <c r="D595" s="44"/>
      <c r="E595" s="42"/>
      <c r="F595" s="9"/>
    </row>
    <row r="596" customFormat="false" ht="21" hidden="false" customHeight="true" outlineLevel="0" collapsed="false">
      <c r="B596" s="41"/>
      <c r="C596" s="9"/>
      <c r="D596" s="44"/>
      <c r="E596" s="42"/>
      <c r="F596" s="9"/>
    </row>
    <row r="597" customFormat="false" ht="21" hidden="false" customHeight="true" outlineLevel="0" collapsed="false">
      <c r="B597" s="41"/>
      <c r="C597" s="9"/>
      <c r="D597" s="44"/>
      <c r="E597" s="42"/>
      <c r="F597" s="9"/>
    </row>
    <row r="598" customFormat="false" ht="21" hidden="false" customHeight="true" outlineLevel="0" collapsed="false">
      <c r="B598" s="41"/>
      <c r="C598" s="9"/>
      <c r="D598" s="44"/>
      <c r="E598" s="42"/>
      <c r="F598" s="9"/>
    </row>
    <row r="599" customFormat="false" ht="21" hidden="false" customHeight="true" outlineLevel="0" collapsed="false">
      <c r="B599" s="41"/>
      <c r="C599" s="9"/>
      <c r="D599" s="44"/>
      <c r="E599" s="42"/>
      <c r="F599" s="9"/>
    </row>
    <row r="600" customFormat="false" ht="21" hidden="false" customHeight="true" outlineLevel="0" collapsed="false">
      <c r="B600" s="41"/>
      <c r="C600" s="9"/>
      <c r="D600" s="44"/>
      <c r="E600" s="42"/>
      <c r="F600" s="9"/>
    </row>
    <row r="601" customFormat="false" ht="21" hidden="false" customHeight="true" outlineLevel="0" collapsed="false">
      <c r="B601" s="41"/>
      <c r="C601" s="9"/>
      <c r="D601" s="44"/>
      <c r="E601" s="42"/>
      <c r="F601" s="9"/>
    </row>
    <row r="602" customFormat="false" ht="21" hidden="false" customHeight="true" outlineLevel="0" collapsed="false">
      <c r="B602" s="41"/>
      <c r="C602" s="9"/>
      <c r="D602" s="44"/>
      <c r="E602" s="42"/>
      <c r="F602" s="9"/>
    </row>
    <row r="603" customFormat="false" ht="21" hidden="false" customHeight="true" outlineLevel="0" collapsed="false">
      <c r="B603" s="41"/>
      <c r="C603" s="9"/>
      <c r="D603" s="44"/>
      <c r="E603" s="42"/>
      <c r="F603" s="9"/>
    </row>
    <row r="604" customFormat="false" ht="21" hidden="false" customHeight="true" outlineLevel="0" collapsed="false">
      <c r="B604" s="41"/>
      <c r="C604" s="9"/>
      <c r="D604" s="44"/>
      <c r="E604" s="42"/>
      <c r="F604" s="9"/>
    </row>
    <row r="605" customFormat="false" ht="21" hidden="false" customHeight="true" outlineLevel="0" collapsed="false">
      <c r="B605" s="41"/>
      <c r="C605" s="9"/>
      <c r="D605" s="44"/>
      <c r="E605" s="42"/>
      <c r="F605" s="9"/>
    </row>
    <row r="606" customFormat="false" ht="21" hidden="false" customHeight="true" outlineLevel="0" collapsed="false">
      <c r="B606" s="41"/>
      <c r="C606" s="9"/>
      <c r="D606" s="44"/>
      <c r="E606" s="42"/>
      <c r="F606" s="9"/>
    </row>
    <row r="607" customFormat="false" ht="21" hidden="false" customHeight="true" outlineLevel="0" collapsed="false">
      <c r="B607" s="41"/>
      <c r="C607" s="9"/>
      <c r="D607" s="44"/>
      <c r="E607" s="42"/>
      <c r="F607" s="9"/>
    </row>
    <row r="608" customFormat="false" ht="21" hidden="false" customHeight="true" outlineLevel="0" collapsed="false">
      <c r="B608" s="41"/>
      <c r="C608" s="9"/>
      <c r="D608" s="44"/>
      <c r="E608" s="42"/>
      <c r="F608" s="9"/>
    </row>
    <row r="609" customFormat="false" ht="21" hidden="false" customHeight="true" outlineLevel="0" collapsed="false">
      <c r="B609" s="41"/>
      <c r="C609" s="9"/>
      <c r="D609" s="44"/>
      <c r="E609" s="42"/>
      <c r="F609" s="9"/>
    </row>
    <row r="610" customFormat="false" ht="21" hidden="false" customHeight="true" outlineLevel="0" collapsed="false">
      <c r="B610" s="41"/>
      <c r="C610" s="9"/>
      <c r="D610" s="44"/>
      <c r="E610" s="42"/>
      <c r="F610" s="9"/>
    </row>
    <row r="611" customFormat="false" ht="21" hidden="false" customHeight="true" outlineLevel="0" collapsed="false">
      <c r="B611" s="41"/>
      <c r="C611" s="9"/>
      <c r="D611" s="44"/>
      <c r="E611" s="42"/>
      <c r="F611" s="9"/>
    </row>
    <row r="612" customFormat="false" ht="21" hidden="false" customHeight="true" outlineLevel="0" collapsed="false">
      <c r="B612" s="41"/>
      <c r="C612" s="9"/>
      <c r="D612" s="44"/>
      <c r="E612" s="42"/>
      <c r="F612" s="9"/>
    </row>
    <row r="613" customFormat="false" ht="21" hidden="false" customHeight="true" outlineLevel="0" collapsed="false">
      <c r="B613" s="41"/>
      <c r="C613" s="9"/>
      <c r="D613" s="44"/>
      <c r="E613" s="42"/>
      <c r="F613" s="9"/>
    </row>
    <row r="614" customFormat="false" ht="21" hidden="false" customHeight="true" outlineLevel="0" collapsed="false">
      <c r="B614" s="41"/>
      <c r="C614" s="9"/>
      <c r="D614" s="44"/>
      <c r="E614" s="42"/>
      <c r="F614" s="9"/>
    </row>
    <row r="615" customFormat="false" ht="21" hidden="false" customHeight="true" outlineLevel="0" collapsed="false">
      <c r="B615" s="41"/>
      <c r="C615" s="9"/>
      <c r="D615" s="44"/>
      <c r="E615" s="42"/>
      <c r="F615" s="9"/>
    </row>
    <row r="616" customFormat="false" ht="21" hidden="false" customHeight="true" outlineLevel="0" collapsed="false">
      <c r="B616" s="41"/>
      <c r="C616" s="9"/>
      <c r="D616" s="44"/>
      <c r="E616" s="42"/>
      <c r="F616" s="9"/>
    </row>
    <row r="617" customFormat="false" ht="21" hidden="false" customHeight="true" outlineLevel="0" collapsed="false">
      <c r="B617" s="41"/>
      <c r="C617" s="9"/>
      <c r="D617" s="44"/>
      <c r="E617" s="42"/>
      <c r="F617" s="9"/>
    </row>
    <row r="618" customFormat="false" ht="21" hidden="false" customHeight="true" outlineLevel="0" collapsed="false">
      <c r="B618" s="41"/>
      <c r="C618" s="9"/>
      <c r="D618" s="44"/>
      <c r="E618" s="42"/>
      <c r="F618" s="9"/>
    </row>
    <row r="619" customFormat="false" ht="21" hidden="false" customHeight="true" outlineLevel="0" collapsed="false">
      <c r="B619" s="41"/>
      <c r="C619" s="9"/>
      <c r="D619" s="44"/>
      <c r="E619" s="42"/>
      <c r="F619" s="9"/>
    </row>
    <row r="620" customFormat="false" ht="21" hidden="false" customHeight="true" outlineLevel="0" collapsed="false">
      <c r="B620" s="41"/>
      <c r="C620" s="9"/>
      <c r="D620" s="44"/>
      <c r="E620" s="42"/>
      <c r="F620" s="9"/>
    </row>
    <row r="621" customFormat="false" ht="21" hidden="false" customHeight="true" outlineLevel="0" collapsed="false">
      <c r="B621" s="41"/>
      <c r="C621" s="9"/>
      <c r="D621" s="44"/>
      <c r="E621" s="42"/>
      <c r="F621" s="9"/>
    </row>
    <row r="622" customFormat="false" ht="21" hidden="false" customHeight="true" outlineLevel="0" collapsed="false">
      <c r="B622" s="41"/>
      <c r="C622" s="9"/>
      <c r="D622" s="44"/>
      <c r="E622" s="42"/>
      <c r="F622" s="9"/>
    </row>
    <row r="623" customFormat="false" ht="21" hidden="false" customHeight="true" outlineLevel="0" collapsed="false">
      <c r="B623" s="41"/>
      <c r="C623" s="9"/>
      <c r="D623" s="44"/>
      <c r="E623" s="42"/>
      <c r="F623" s="9"/>
    </row>
    <row r="624" customFormat="false" ht="21" hidden="false" customHeight="true" outlineLevel="0" collapsed="false">
      <c r="B624" s="41"/>
      <c r="C624" s="9"/>
      <c r="D624" s="44"/>
      <c r="E624" s="42"/>
      <c r="F624" s="9"/>
    </row>
    <row r="625" customFormat="false" ht="21" hidden="false" customHeight="true" outlineLevel="0" collapsed="false">
      <c r="B625" s="41"/>
      <c r="C625" s="9"/>
      <c r="D625" s="44"/>
      <c r="E625" s="42"/>
      <c r="F625" s="9"/>
    </row>
    <row r="626" customFormat="false" ht="21" hidden="false" customHeight="true" outlineLevel="0" collapsed="false">
      <c r="B626" s="41"/>
      <c r="C626" s="9"/>
      <c r="D626" s="44"/>
      <c r="E626" s="42"/>
      <c r="F626" s="9"/>
    </row>
    <row r="627" customFormat="false" ht="21" hidden="false" customHeight="true" outlineLevel="0" collapsed="false">
      <c r="B627" s="41"/>
      <c r="C627" s="9"/>
      <c r="D627" s="44"/>
      <c r="E627" s="42"/>
      <c r="F627" s="9"/>
    </row>
    <row r="628" customFormat="false" ht="21" hidden="false" customHeight="true" outlineLevel="0" collapsed="false">
      <c r="B628" s="41"/>
      <c r="C628" s="9"/>
      <c r="D628" s="44"/>
      <c r="E628" s="42"/>
      <c r="F628" s="9"/>
    </row>
    <row r="629" customFormat="false" ht="21" hidden="false" customHeight="true" outlineLevel="0" collapsed="false">
      <c r="B629" s="41"/>
      <c r="C629" s="9"/>
      <c r="D629" s="44"/>
      <c r="E629" s="42"/>
      <c r="F629" s="9"/>
    </row>
    <row r="630" customFormat="false" ht="21" hidden="false" customHeight="true" outlineLevel="0" collapsed="false">
      <c r="B630" s="41"/>
      <c r="C630" s="9"/>
      <c r="D630" s="44"/>
      <c r="E630" s="42"/>
      <c r="F630" s="9"/>
    </row>
    <row r="631" customFormat="false" ht="21" hidden="false" customHeight="true" outlineLevel="0" collapsed="false">
      <c r="B631" s="41"/>
      <c r="C631" s="9"/>
      <c r="D631" s="44"/>
      <c r="E631" s="42"/>
      <c r="F631" s="9"/>
    </row>
    <row r="632" customFormat="false" ht="21" hidden="false" customHeight="true" outlineLevel="0" collapsed="false">
      <c r="B632" s="41"/>
      <c r="C632" s="9"/>
      <c r="D632" s="44"/>
      <c r="E632" s="42"/>
      <c r="F632" s="9"/>
    </row>
    <row r="633" customFormat="false" ht="21" hidden="false" customHeight="true" outlineLevel="0" collapsed="false">
      <c r="B633" s="41"/>
      <c r="C633" s="9"/>
      <c r="D633" s="44"/>
      <c r="E633" s="42"/>
      <c r="F633" s="9"/>
    </row>
    <row r="634" customFormat="false" ht="21" hidden="false" customHeight="true" outlineLevel="0" collapsed="false">
      <c r="B634" s="41"/>
      <c r="C634" s="9"/>
      <c r="D634" s="44"/>
      <c r="E634" s="42"/>
      <c r="F634" s="9"/>
    </row>
    <row r="635" customFormat="false" ht="21" hidden="false" customHeight="true" outlineLevel="0" collapsed="false">
      <c r="B635" s="41"/>
      <c r="C635" s="9"/>
      <c r="D635" s="44"/>
      <c r="E635" s="42"/>
      <c r="F635" s="9"/>
    </row>
    <row r="636" customFormat="false" ht="21" hidden="false" customHeight="true" outlineLevel="0" collapsed="false">
      <c r="B636" s="41"/>
      <c r="C636" s="9"/>
      <c r="D636" s="44"/>
      <c r="E636" s="42"/>
      <c r="F636" s="9"/>
    </row>
    <row r="637" customFormat="false" ht="21" hidden="false" customHeight="true" outlineLevel="0" collapsed="false">
      <c r="B637" s="41"/>
      <c r="C637" s="9"/>
      <c r="D637" s="44"/>
      <c r="E637" s="42"/>
      <c r="F637" s="9"/>
    </row>
    <row r="638" customFormat="false" ht="21" hidden="false" customHeight="true" outlineLevel="0" collapsed="false">
      <c r="B638" s="41"/>
      <c r="C638" s="9"/>
      <c r="D638" s="44"/>
      <c r="E638" s="42"/>
      <c r="F638" s="9"/>
    </row>
    <row r="639" customFormat="false" ht="21" hidden="false" customHeight="true" outlineLevel="0" collapsed="false">
      <c r="B639" s="41"/>
      <c r="C639" s="9"/>
      <c r="D639" s="44"/>
      <c r="E639" s="42"/>
      <c r="F639" s="9"/>
    </row>
    <row r="640" customFormat="false" ht="21" hidden="false" customHeight="true" outlineLevel="0" collapsed="false">
      <c r="B640" s="41"/>
      <c r="C640" s="9"/>
      <c r="D640" s="44"/>
      <c r="E640" s="42"/>
      <c r="F640" s="9"/>
    </row>
    <row r="641" customFormat="false" ht="21" hidden="false" customHeight="true" outlineLevel="0" collapsed="false">
      <c r="B641" s="41"/>
      <c r="C641" s="9"/>
      <c r="D641" s="44"/>
      <c r="E641" s="42"/>
      <c r="F641" s="9"/>
    </row>
    <row r="642" customFormat="false" ht="21" hidden="false" customHeight="true" outlineLevel="0" collapsed="false">
      <c r="B642" s="41"/>
      <c r="C642" s="9"/>
      <c r="D642" s="44"/>
      <c r="E642" s="42"/>
      <c r="F642" s="9"/>
    </row>
    <row r="643" customFormat="false" ht="21" hidden="false" customHeight="true" outlineLevel="0" collapsed="false">
      <c r="B643" s="41"/>
      <c r="C643" s="9"/>
      <c r="D643" s="44"/>
      <c r="E643" s="42"/>
      <c r="F643" s="9"/>
    </row>
    <row r="644" customFormat="false" ht="21" hidden="false" customHeight="true" outlineLevel="0" collapsed="false">
      <c r="B644" s="41"/>
      <c r="C644" s="9"/>
      <c r="D644" s="44"/>
      <c r="E644" s="42"/>
      <c r="F644" s="9"/>
    </row>
    <row r="645" customFormat="false" ht="21" hidden="false" customHeight="true" outlineLevel="0" collapsed="false">
      <c r="B645" s="41"/>
      <c r="C645" s="9"/>
      <c r="D645" s="44"/>
      <c r="E645" s="42"/>
      <c r="F645" s="9"/>
    </row>
    <row r="646" customFormat="false" ht="21" hidden="false" customHeight="true" outlineLevel="0" collapsed="false">
      <c r="B646" s="41"/>
      <c r="C646" s="9"/>
      <c r="D646" s="44"/>
      <c r="E646" s="42"/>
      <c r="F646" s="9"/>
    </row>
    <row r="647" customFormat="false" ht="21" hidden="false" customHeight="true" outlineLevel="0" collapsed="false">
      <c r="B647" s="41"/>
      <c r="C647" s="9"/>
      <c r="D647" s="44"/>
      <c r="E647" s="42"/>
      <c r="F647" s="9"/>
    </row>
    <row r="648" customFormat="false" ht="21" hidden="false" customHeight="true" outlineLevel="0" collapsed="false">
      <c r="B648" s="41"/>
      <c r="C648" s="9"/>
      <c r="D648" s="44"/>
      <c r="E648" s="42"/>
      <c r="F648" s="9"/>
    </row>
    <row r="649" customFormat="false" ht="21" hidden="false" customHeight="true" outlineLevel="0" collapsed="false">
      <c r="B649" s="41"/>
      <c r="C649" s="9"/>
      <c r="D649" s="44"/>
      <c r="E649" s="42"/>
      <c r="F649" s="9"/>
    </row>
    <row r="650" customFormat="false" ht="21" hidden="false" customHeight="true" outlineLevel="0" collapsed="false">
      <c r="B650" s="41"/>
      <c r="C650" s="9"/>
      <c r="D650" s="44"/>
      <c r="E650" s="42"/>
      <c r="F650" s="9"/>
    </row>
    <row r="651" customFormat="false" ht="21" hidden="false" customHeight="true" outlineLevel="0" collapsed="false">
      <c r="B651" s="41"/>
      <c r="C651" s="9"/>
      <c r="D651" s="44"/>
      <c r="E651" s="42"/>
      <c r="F651" s="9"/>
    </row>
    <row r="652" customFormat="false" ht="21" hidden="false" customHeight="true" outlineLevel="0" collapsed="false">
      <c r="B652" s="41"/>
      <c r="C652" s="9"/>
      <c r="D652" s="44"/>
      <c r="E652" s="42"/>
      <c r="F652" s="9"/>
    </row>
    <row r="653" customFormat="false" ht="21" hidden="false" customHeight="true" outlineLevel="0" collapsed="false">
      <c r="B653" s="41"/>
      <c r="C653" s="9"/>
      <c r="D653" s="44"/>
      <c r="E653" s="42"/>
      <c r="F653" s="9"/>
    </row>
    <row r="654" customFormat="false" ht="21" hidden="false" customHeight="true" outlineLevel="0" collapsed="false">
      <c r="B654" s="41"/>
      <c r="C654" s="9"/>
      <c r="D654" s="44"/>
      <c r="E654" s="42"/>
      <c r="F654" s="9"/>
    </row>
    <row r="655" customFormat="false" ht="21" hidden="false" customHeight="true" outlineLevel="0" collapsed="false">
      <c r="B655" s="41"/>
      <c r="C655" s="9"/>
      <c r="D655" s="44"/>
      <c r="E655" s="42"/>
      <c r="F655" s="9"/>
    </row>
    <row r="656" customFormat="false" ht="21" hidden="false" customHeight="true" outlineLevel="0" collapsed="false">
      <c r="B656" s="41"/>
      <c r="C656" s="9"/>
      <c r="D656" s="44"/>
      <c r="E656" s="42"/>
      <c r="F656" s="9"/>
    </row>
    <row r="657" customFormat="false" ht="21" hidden="false" customHeight="true" outlineLevel="0" collapsed="false">
      <c r="B657" s="41"/>
      <c r="C657" s="9"/>
      <c r="D657" s="44"/>
      <c r="E657" s="42"/>
      <c r="F657" s="9"/>
    </row>
    <row r="658" customFormat="false" ht="21" hidden="false" customHeight="true" outlineLevel="0" collapsed="false">
      <c r="B658" s="41"/>
      <c r="C658" s="9"/>
      <c r="D658" s="44"/>
      <c r="E658" s="42"/>
      <c r="F658" s="9"/>
    </row>
    <row r="659" customFormat="false" ht="21" hidden="false" customHeight="true" outlineLevel="0" collapsed="false">
      <c r="B659" s="41"/>
      <c r="C659" s="9"/>
      <c r="D659" s="44"/>
      <c r="E659" s="42"/>
      <c r="F659" s="9"/>
    </row>
    <row r="660" customFormat="false" ht="21" hidden="false" customHeight="true" outlineLevel="0" collapsed="false">
      <c r="B660" s="41"/>
      <c r="C660" s="9"/>
      <c r="D660" s="44"/>
      <c r="E660" s="42"/>
      <c r="F660" s="9"/>
    </row>
    <row r="661" customFormat="false" ht="21" hidden="false" customHeight="true" outlineLevel="0" collapsed="false">
      <c r="B661" s="41"/>
      <c r="C661" s="9"/>
      <c r="D661" s="44"/>
      <c r="E661" s="42"/>
      <c r="F661" s="9"/>
    </row>
    <row r="662" customFormat="false" ht="21" hidden="false" customHeight="true" outlineLevel="0" collapsed="false">
      <c r="B662" s="41"/>
      <c r="C662" s="9"/>
      <c r="D662" s="44"/>
      <c r="E662" s="42"/>
      <c r="F662" s="9"/>
    </row>
    <row r="663" customFormat="false" ht="21" hidden="false" customHeight="true" outlineLevel="0" collapsed="false">
      <c r="B663" s="41"/>
      <c r="C663" s="9"/>
      <c r="D663" s="44"/>
      <c r="E663" s="42"/>
      <c r="F663" s="9"/>
    </row>
    <row r="664" customFormat="false" ht="21" hidden="false" customHeight="true" outlineLevel="0" collapsed="false">
      <c r="B664" s="41"/>
      <c r="C664" s="9"/>
      <c r="D664" s="44"/>
      <c r="E664" s="42"/>
      <c r="F664" s="9"/>
    </row>
    <row r="665" customFormat="false" ht="21" hidden="false" customHeight="true" outlineLevel="0" collapsed="false">
      <c r="B665" s="41"/>
      <c r="C665" s="9"/>
      <c r="D665" s="44"/>
      <c r="E665" s="42"/>
      <c r="F665" s="9"/>
    </row>
    <row r="666" customFormat="false" ht="21" hidden="false" customHeight="true" outlineLevel="0" collapsed="false">
      <c r="B666" s="41"/>
      <c r="C666" s="9"/>
      <c r="D666" s="44"/>
      <c r="E666" s="42"/>
      <c r="F666" s="9"/>
    </row>
    <row r="667" customFormat="false" ht="21" hidden="false" customHeight="true" outlineLevel="0" collapsed="false">
      <c r="B667" s="41"/>
      <c r="C667" s="9"/>
      <c r="D667" s="44"/>
      <c r="E667" s="42"/>
      <c r="F667" s="9"/>
    </row>
    <row r="668" customFormat="false" ht="21" hidden="false" customHeight="true" outlineLevel="0" collapsed="false">
      <c r="B668" s="41"/>
      <c r="C668" s="9"/>
      <c r="D668" s="44"/>
      <c r="E668" s="42"/>
      <c r="F668" s="9"/>
    </row>
    <row r="669" customFormat="false" ht="21" hidden="false" customHeight="true" outlineLevel="0" collapsed="false">
      <c r="B669" s="41"/>
      <c r="C669" s="9"/>
      <c r="D669" s="44"/>
      <c r="E669" s="42"/>
      <c r="F669" s="9"/>
    </row>
    <row r="670" customFormat="false" ht="21" hidden="false" customHeight="true" outlineLevel="0" collapsed="false">
      <c r="B670" s="41"/>
      <c r="C670" s="9"/>
      <c r="D670" s="44"/>
      <c r="E670" s="42"/>
      <c r="F670" s="9"/>
    </row>
    <row r="671" customFormat="false" ht="21" hidden="false" customHeight="true" outlineLevel="0" collapsed="false">
      <c r="B671" s="41"/>
      <c r="C671" s="9"/>
      <c r="D671" s="44"/>
      <c r="E671" s="42"/>
      <c r="F671" s="9"/>
    </row>
    <row r="672" customFormat="false" ht="21" hidden="false" customHeight="true" outlineLevel="0" collapsed="false">
      <c r="B672" s="41"/>
      <c r="C672" s="9"/>
      <c r="D672" s="44"/>
      <c r="E672" s="42"/>
      <c r="F672" s="9"/>
    </row>
    <row r="673" customFormat="false" ht="21" hidden="false" customHeight="true" outlineLevel="0" collapsed="false">
      <c r="B673" s="41"/>
      <c r="C673" s="9"/>
      <c r="D673" s="44"/>
      <c r="E673" s="42"/>
      <c r="F673" s="9"/>
    </row>
    <row r="674" customFormat="false" ht="21" hidden="false" customHeight="true" outlineLevel="0" collapsed="false">
      <c r="B674" s="41"/>
      <c r="C674" s="9"/>
      <c r="D674" s="44"/>
      <c r="E674" s="42"/>
      <c r="F674" s="9"/>
    </row>
    <row r="675" customFormat="false" ht="21" hidden="false" customHeight="true" outlineLevel="0" collapsed="false">
      <c r="B675" s="41"/>
      <c r="C675" s="9"/>
      <c r="D675" s="44"/>
      <c r="E675" s="42"/>
      <c r="F675" s="9"/>
    </row>
    <row r="676" customFormat="false" ht="21" hidden="false" customHeight="true" outlineLevel="0" collapsed="false">
      <c r="B676" s="41"/>
      <c r="C676" s="9"/>
      <c r="D676" s="44"/>
      <c r="E676" s="42"/>
      <c r="F676" s="9"/>
    </row>
    <row r="677" customFormat="false" ht="21" hidden="false" customHeight="true" outlineLevel="0" collapsed="false">
      <c r="B677" s="41"/>
      <c r="C677" s="9"/>
      <c r="D677" s="44"/>
      <c r="E677" s="42"/>
      <c r="F677" s="9"/>
    </row>
    <row r="678" customFormat="false" ht="21" hidden="false" customHeight="true" outlineLevel="0" collapsed="false">
      <c r="B678" s="41"/>
      <c r="C678" s="9"/>
      <c r="D678" s="44"/>
      <c r="E678" s="42"/>
      <c r="F678" s="9"/>
    </row>
    <row r="679" customFormat="false" ht="21" hidden="false" customHeight="true" outlineLevel="0" collapsed="false">
      <c r="B679" s="41"/>
      <c r="C679" s="9"/>
      <c r="D679" s="44"/>
      <c r="E679" s="42"/>
      <c r="F679" s="9"/>
    </row>
    <row r="680" customFormat="false" ht="21" hidden="false" customHeight="true" outlineLevel="0" collapsed="false">
      <c r="B680" s="41"/>
      <c r="C680" s="9"/>
      <c r="D680" s="44"/>
      <c r="E680" s="42"/>
      <c r="F680" s="9"/>
    </row>
    <row r="681" customFormat="false" ht="21" hidden="false" customHeight="true" outlineLevel="0" collapsed="false">
      <c r="B681" s="41"/>
      <c r="C681" s="9"/>
      <c r="D681" s="44"/>
      <c r="E681" s="42"/>
      <c r="F681" s="9"/>
    </row>
    <row r="682" customFormat="false" ht="21" hidden="false" customHeight="true" outlineLevel="0" collapsed="false">
      <c r="B682" s="41"/>
      <c r="C682" s="9"/>
      <c r="D682" s="44"/>
      <c r="E682" s="42"/>
      <c r="F682" s="9"/>
    </row>
    <row r="683" customFormat="false" ht="21" hidden="false" customHeight="true" outlineLevel="0" collapsed="false">
      <c r="B683" s="41"/>
      <c r="C683" s="9"/>
      <c r="D683" s="44"/>
      <c r="E683" s="42"/>
      <c r="F683" s="9"/>
    </row>
    <row r="684" customFormat="false" ht="21" hidden="false" customHeight="true" outlineLevel="0" collapsed="false">
      <c r="B684" s="41"/>
      <c r="C684" s="9"/>
      <c r="D684" s="44"/>
      <c r="E684" s="42"/>
      <c r="F684" s="9"/>
    </row>
    <row r="685" customFormat="false" ht="21" hidden="false" customHeight="true" outlineLevel="0" collapsed="false">
      <c r="B685" s="41"/>
      <c r="C685" s="9"/>
      <c r="D685" s="44"/>
      <c r="E685" s="42"/>
      <c r="F685" s="9"/>
    </row>
    <row r="686" customFormat="false" ht="21" hidden="false" customHeight="true" outlineLevel="0" collapsed="false">
      <c r="B686" s="41"/>
      <c r="C686" s="9"/>
      <c r="D686" s="44"/>
      <c r="E686" s="42"/>
      <c r="F686" s="9"/>
    </row>
    <row r="687" customFormat="false" ht="21" hidden="false" customHeight="true" outlineLevel="0" collapsed="false">
      <c r="B687" s="41"/>
      <c r="C687" s="9"/>
      <c r="D687" s="44"/>
      <c r="E687" s="42"/>
      <c r="F687" s="9"/>
    </row>
    <row r="688" customFormat="false" ht="21" hidden="false" customHeight="true" outlineLevel="0" collapsed="false">
      <c r="B688" s="41"/>
      <c r="C688" s="9"/>
      <c r="D688" s="44"/>
      <c r="E688" s="42"/>
      <c r="F688" s="9"/>
    </row>
    <row r="689" customFormat="false" ht="21" hidden="false" customHeight="true" outlineLevel="0" collapsed="false">
      <c r="B689" s="41"/>
      <c r="C689" s="9"/>
      <c r="D689" s="44"/>
      <c r="E689" s="42"/>
      <c r="F689" s="9"/>
    </row>
    <row r="690" customFormat="false" ht="21" hidden="false" customHeight="true" outlineLevel="0" collapsed="false">
      <c r="B690" s="41"/>
      <c r="C690" s="9"/>
      <c r="D690" s="44"/>
      <c r="E690" s="42"/>
      <c r="F690" s="9"/>
    </row>
    <row r="691" customFormat="false" ht="21" hidden="false" customHeight="true" outlineLevel="0" collapsed="false">
      <c r="B691" s="41"/>
      <c r="C691" s="9"/>
      <c r="D691" s="44"/>
      <c r="E691" s="42"/>
      <c r="F691" s="9"/>
    </row>
    <row r="692" customFormat="false" ht="21" hidden="false" customHeight="true" outlineLevel="0" collapsed="false">
      <c r="B692" s="41"/>
      <c r="C692" s="9"/>
      <c r="D692" s="44"/>
      <c r="E692" s="42"/>
      <c r="F692" s="9"/>
    </row>
    <row r="693" customFormat="false" ht="21" hidden="false" customHeight="true" outlineLevel="0" collapsed="false">
      <c r="B693" s="41"/>
      <c r="C693" s="9"/>
      <c r="D693" s="44"/>
      <c r="E693" s="42"/>
      <c r="F693" s="9"/>
    </row>
    <row r="694" customFormat="false" ht="21" hidden="false" customHeight="true" outlineLevel="0" collapsed="false">
      <c r="B694" s="41"/>
      <c r="C694" s="9"/>
      <c r="D694" s="44"/>
      <c r="E694" s="42"/>
      <c r="F694" s="9"/>
    </row>
    <row r="695" customFormat="false" ht="21" hidden="false" customHeight="true" outlineLevel="0" collapsed="false">
      <c r="B695" s="41"/>
      <c r="C695" s="9"/>
      <c r="D695" s="44"/>
      <c r="E695" s="42"/>
      <c r="F695" s="9"/>
    </row>
    <row r="696" customFormat="false" ht="21" hidden="false" customHeight="true" outlineLevel="0" collapsed="false">
      <c r="B696" s="41"/>
      <c r="C696" s="9"/>
      <c r="D696" s="44"/>
      <c r="E696" s="42"/>
      <c r="F696" s="9"/>
    </row>
    <row r="697" customFormat="false" ht="21" hidden="false" customHeight="true" outlineLevel="0" collapsed="false">
      <c r="B697" s="41"/>
      <c r="C697" s="9"/>
      <c r="D697" s="44"/>
      <c r="E697" s="42"/>
      <c r="F697" s="9"/>
    </row>
    <row r="698" customFormat="false" ht="21" hidden="false" customHeight="true" outlineLevel="0" collapsed="false">
      <c r="B698" s="41"/>
      <c r="C698" s="9"/>
      <c r="D698" s="44"/>
      <c r="E698" s="42"/>
      <c r="F698" s="9"/>
    </row>
    <row r="699" customFormat="false" ht="21" hidden="false" customHeight="true" outlineLevel="0" collapsed="false">
      <c r="B699" s="41"/>
      <c r="C699" s="9"/>
      <c r="D699" s="44"/>
      <c r="E699" s="42"/>
      <c r="F699" s="9"/>
    </row>
    <row r="700" customFormat="false" ht="21" hidden="false" customHeight="true" outlineLevel="0" collapsed="false">
      <c r="B700" s="41"/>
      <c r="C700" s="9"/>
      <c r="D700" s="44"/>
      <c r="E700" s="42"/>
      <c r="F700" s="9"/>
    </row>
    <row r="701" customFormat="false" ht="21" hidden="false" customHeight="true" outlineLevel="0" collapsed="false">
      <c r="B701" s="41"/>
      <c r="C701" s="9"/>
      <c r="D701" s="44"/>
      <c r="E701" s="42"/>
      <c r="F701" s="9"/>
    </row>
    <row r="702" customFormat="false" ht="21" hidden="false" customHeight="true" outlineLevel="0" collapsed="false">
      <c r="B702" s="41"/>
      <c r="C702" s="9"/>
      <c r="D702" s="44"/>
      <c r="E702" s="42"/>
      <c r="F702" s="9"/>
    </row>
    <row r="703" customFormat="false" ht="21" hidden="false" customHeight="true" outlineLevel="0" collapsed="false">
      <c r="B703" s="41"/>
      <c r="C703" s="9"/>
      <c r="D703" s="44"/>
      <c r="E703" s="42"/>
      <c r="F703" s="9"/>
    </row>
    <row r="704" customFormat="false" ht="21" hidden="false" customHeight="true" outlineLevel="0" collapsed="false">
      <c r="B704" s="41"/>
      <c r="C704" s="9"/>
      <c r="D704" s="44"/>
      <c r="E704" s="42"/>
      <c r="F704" s="9"/>
    </row>
    <row r="705" customFormat="false" ht="21" hidden="false" customHeight="true" outlineLevel="0" collapsed="false">
      <c r="B705" s="41"/>
      <c r="C705" s="9"/>
      <c r="D705" s="44"/>
      <c r="E705" s="42"/>
      <c r="F705" s="9"/>
    </row>
    <row r="706" customFormat="false" ht="21" hidden="false" customHeight="true" outlineLevel="0" collapsed="false">
      <c r="B706" s="41"/>
      <c r="C706" s="9"/>
      <c r="D706" s="44"/>
      <c r="E706" s="42"/>
      <c r="F706" s="9"/>
    </row>
    <row r="707" customFormat="false" ht="21" hidden="false" customHeight="true" outlineLevel="0" collapsed="false">
      <c r="B707" s="41"/>
      <c r="C707" s="9"/>
      <c r="D707" s="44"/>
      <c r="E707" s="42"/>
      <c r="F707" s="9"/>
    </row>
    <row r="708" customFormat="false" ht="21" hidden="false" customHeight="true" outlineLevel="0" collapsed="false">
      <c r="B708" s="41"/>
      <c r="C708" s="9"/>
      <c r="D708" s="44"/>
      <c r="E708" s="42"/>
      <c r="F708" s="9"/>
    </row>
    <row r="709" customFormat="false" ht="21" hidden="false" customHeight="true" outlineLevel="0" collapsed="false">
      <c r="B709" s="41"/>
      <c r="C709" s="9"/>
      <c r="D709" s="44"/>
      <c r="E709" s="42"/>
      <c r="F709" s="9"/>
    </row>
    <row r="710" customFormat="false" ht="21" hidden="false" customHeight="true" outlineLevel="0" collapsed="false">
      <c r="B710" s="41"/>
      <c r="C710" s="9"/>
      <c r="D710" s="44"/>
      <c r="E710" s="42"/>
      <c r="F710" s="9"/>
    </row>
    <row r="711" customFormat="false" ht="21" hidden="false" customHeight="true" outlineLevel="0" collapsed="false">
      <c r="B711" s="41"/>
      <c r="C711" s="9"/>
      <c r="D711" s="44"/>
      <c r="E711" s="42"/>
      <c r="F711" s="9"/>
    </row>
    <row r="712" customFormat="false" ht="21" hidden="false" customHeight="true" outlineLevel="0" collapsed="false">
      <c r="B712" s="41"/>
      <c r="C712" s="9"/>
      <c r="D712" s="44"/>
      <c r="E712" s="42"/>
      <c r="F712" s="9"/>
    </row>
    <row r="713" customFormat="false" ht="21" hidden="false" customHeight="true" outlineLevel="0" collapsed="false">
      <c r="B713" s="41"/>
      <c r="C713" s="9"/>
      <c r="D713" s="44"/>
      <c r="E713" s="42"/>
      <c r="F713" s="9"/>
    </row>
    <row r="714" customFormat="false" ht="21" hidden="false" customHeight="true" outlineLevel="0" collapsed="false">
      <c r="B714" s="41"/>
      <c r="C714" s="9"/>
      <c r="D714" s="44"/>
      <c r="E714" s="42"/>
      <c r="F714" s="9"/>
    </row>
    <row r="715" customFormat="false" ht="21" hidden="false" customHeight="true" outlineLevel="0" collapsed="false">
      <c r="B715" s="41"/>
      <c r="C715" s="9"/>
      <c r="D715" s="44"/>
      <c r="E715" s="42"/>
      <c r="F715" s="9"/>
    </row>
    <row r="716" customFormat="false" ht="21" hidden="false" customHeight="true" outlineLevel="0" collapsed="false">
      <c r="B716" s="41"/>
      <c r="C716" s="9"/>
      <c r="D716" s="44"/>
      <c r="E716" s="42"/>
      <c r="F716" s="9"/>
    </row>
    <row r="717" customFormat="false" ht="21" hidden="false" customHeight="true" outlineLevel="0" collapsed="false">
      <c r="B717" s="41"/>
      <c r="C717" s="9"/>
      <c r="D717" s="44"/>
      <c r="E717" s="42"/>
      <c r="F717" s="9"/>
    </row>
    <row r="718" customFormat="false" ht="21" hidden="false" customHeight="true" outlineLevel="0" collapsed="false">
      <c r="B718" s="41"/>
      <c r="C718" s="9"/>
      <c r="D718" s="44"/>
      <c r="E718" s="42"/>
      <c r="F718" s="9"/>
    </row>
    <row r="719" customFormat="false" ht="21" hidden="false" customHeight="true" outlineLevel="0" collapsed="false">
      <c r="B719" s="41"/>
      <c r="C719" s="9"/>
      <c r="D719" s="44"/>
      <c r="E719" s="42"/>
      <c r="F719" s="9"/>
    </row>
    <row r="720" customFormat="false" ht="21" hidden="false" customHeight="true" outlineLevel="0" collapsed="false">
      <c r="B720" s="41"/>
      <c r="C720" s="9"/>
      <c r="D720" s="44"/>
      <c r="E720" s="42"/>
      <c r="F720" s="9"/>
    </row>
    <row r="721" customFormat="false" ht="21" hidden="false" customHeight="true" outlineLevel="0" collapsed="false">
      <c r="B721" s="41"/>
      <c r="C721" s="9"/>
      <c r="D721" s="44"/>
      <c r="E721" s="42"/>
      <c r="F721" s="9"/>
    </row>
    <row r="722" customFormat="false" ht="21" hidden="false" customHeight="true" outlineLevel="0" collapsed="false">
      <c r="B722" s="41"/>
      <c r="C722" s="9"/>
      <c r="D722" s="44"/>
      <c r="E722" s="42"/>
      <c r="F722" s="9"/>
    </row>
    <row r="723" customFormat="false" ht="21" hidden="false" customHeight="true" outlineLevel="0" collapsed="false">
      <c r="B723" s="41"/>
      <c r="C723" s="9"/>
      <c r="D723" s="44"/>
      <c r="E723" s="42"/>
      <c r="F723" s="9"/>
    </row>
    <row r="724" customFormat="false" ht="21" hidden="false" customHeight="true" outlineLevel="0" collapsed="false">
      <c r="B724" s="41"/>
      <c r="C724" s="9"/>
      <c r="D724" s="44"/>
      <c r="E724" s="42"/>
      <c r="F724" s="9"/>
    </row>
    <row r="725" customFormat="false" ht="21" hidden="false" customHeight="true" outlineLevel="0" collapsed="false">
      <c r="B725" s="41"/>
      <c r="C725" s="9"/>
      <c r="D725" s="44"/>
      <c r="E725" s="42"/>
      <c r="F725" s="9"/>
    </row>
    <row r="726" customFormat="false" ht="21" hidden="false" customHeight="true" outlineLevel="0" collapsed="false">
      <c r="B726" s="41"/>
      <c r="C726" s="9"/>
      <c r="D726" s="44"/>
      <c r="E726" s="42"/>
      <c r="F726" s="9"/>
    </row>
    <row r="727" customFormat="false" ht="21" hidden="false" customHeight="true" outlineLevel="0" collapsed="false">
      <c r="B727" s="41"/>
      <c r="C727" s="9"/>
      <c r="D727" s="44"/>
      <c r="E727" s="42"/>
      <c r="F727" s="9"/>
    </row>
    <row r="728" customFormat="false" ht="21" hidden="false" customHeight="true" outlineLevel="0" collapsed="false">
      <c r="B728" s="41"/>
      <c r="C728" s="9"/>
      <c r="D728" s="44"/>
      <c r="E728" s="42"/>
      <c r="F728" s="9"/>
    </row>
    <row r="729" customFormat="false" ht="21" hidden="false" customHeight="true" outlineLevel="0" collapsed="false">
      <c r="B729" s="41"/>
      <c r="C729" s="9"/>
      <c r="D729" s="44"/>
      <c r="E729" s="42"/>
      <c r="F729" s="9"/>
    </row>
    <row r="730" customFormat="false" ht="21" hidden="false" customHeight="true" outlineLevel="0" collapsed="false">
      <c r="B730" s="41"/>
      <c r="C730" s="9"/>
      <c r="D730" s="44"/>
      <c r="E730" s="42"/>
      <c r="F730" s="9"/>
    </row>
    <row r="731" customFormat="false" ht="21" hidden="false" customHeight="true" outlineLevel="0" collapsed="false">
      <c r="B731" s="41"/>
      <c r="C731" s="9"/>
      <c r="D731" s="44"/>
      <c r="E731" s="42"/>
      <c r="F731" s="9"/>
    </row>
    <row r="732" customFormat="false" ht="21" hidden="false" customHeight="true" outlineLevel="0" collapsed="false">
      <c r="B732" s="41"/>
      <c r="C732" s="9"/>
      <c r="D732" s="44"/>
      <c r="E732" s="42"/>
      <c r="F732" s="9"/>
    </row>
    <row r="733" customFormat="false" ht="21" hidden="false" customHeight="true" outlineLevel="0" collapsed="false">
      <c r="B733" s="41"/>
      <c r="C733" s="9"/>
      <c r="D733" s="44"/>
      <c r="E733" s="42"/>
      <c r="F733" s="9"/>
    </row>
    <row r="734" customFormat="false" ht="21" hidden="false" customHeight="true" outlineLevel="0" collapsed="false">
      <c r="B734" s="41"/>
      <c r="C734" s="9"/>
      <c r="D734" s="44"/>
      <c r="E734" s="42"/>
      <c r="F734" s="9"/>
    </row>
    <row r="735" customFormat="false" ht="21" hidden="false" customHeight="true" outlineLevel="0" collapsed="false">
      <c r="B735" s="41"/>
      <c r="C735" s="9"/>
      <c r="D735" s="44"/>
      <c r="E735" s="42"/>
      <c r="F735" s="9"/>
    </row>
    <row r="736" customFormat="false" ht="21" hidden="false" customHeight="true" outlineLevel="0" collapsed="false">
      <c r="B736" s="41"/>
      <c r="C736" s="9"/>
      <c r="D736" s="44"/>
      <c r="E736" s="42"/>
      <c r="F736" s="9"/>
    </row>
    <row r="737" customFormat="false" ht="21" hidden="false" customHeight="true" outlineLevel="0" collapsed="false">
      <c r="B737" s="41"/>
      <c r="C737" s="9"/>
      <c r="D737" s="44"/>
      <c r="E737" s="42"/>
      <c r="F737" s="9"/>
    </row>
    <row r="738" customFormat="false" ht="21" hidden="false" customHeight="true" outlineLevel="0" collapsed="false">
      <c r="B738" s="41"/>
      <c r="C738" s="9"/>
      <c r="D738" s="44"/>
      <c r="E738" s="42"/>
      <c r="F738" s="9"/>
    </row>
    <row r="739" customFormat="false" ht="21" hidden="false" customHeight="true" outlineLevel="0" collapsed="false">
      <c r="B739" s="41"/>
      <c r="C739" s="9"/>
      <c r="D739" s="44"/>
      <c r="E739" s="42"/>
      <c r="F739" s="9"/>
    </row>
    <row r="740" customFormat="false" ht="21" hidden="false" customHeight="true" outlineLevel="0" collapsed="false">
      <c r="B740" s="41"/>
      <c r="C740" s="9"/>
      <c r="D740" s="44"/>
      <c r="E740" s="42"/>
      <c r="F740" s="9"/>
    </row>
    <row r="741" customFormat="false" ht="21" hidden="false" customHeight="true" outlineLevel="0" collapsed="false">
      <c r="B741" s="41"/>
      <c r="C741" s="9"/>
      <c r="D741" s="44"/>
      <c r="E741" s="42"/>
      <c r="F741" s="9"/>
    </row>
    <row r="742" customFormat="false" ht="21" hidden="false" customHeight="true" outlineLevel="0" collapsed="false">
      <c r="B742" s="41"/>
      <c r="C742" s="9"/>
      <c r="D742" s="44"/>
      <c r="E742" s="42"/>
      <c r="F742" s="9"/>
    </row>
    <row r="743" customFormat="false" ht="21" hidden="false" customHeight="true" outlineLevel="0" collapsed="false">
      <c r="B743" s="41"/>
      <c r="C743" s="9"/>
      <c r="D743" s="44"/>
      <c r="E743" s="42"/>
      <c r="F743" s="9"/>
    </row>
    <row r="744" customFormat="false" ht="21" hidden="false" customHeight="true" outlineLevel="0" collapsed="false">
      <c r="B744" s="41"/>
      <c r="C744" s="9"/>
      <c r="D744" s="44"/>
      <c r="E744" s="42"/>
      <c r="F744" s="9"/>
    </row>
    <row r="745" customFormat="false" ht="21" hidden="false" customHeight="true" outlineLevel="0" collapsed="false">
      <c r="B745" s="41"/>
      <c r="C745" s="9"/>
      <c r="D745" s="44"/>
      <c r="E745" s="42"/>
      <c r="F745" s="9"/>
    </row>
    <row r="746" customFormat="false" ht="21" hidden="false" customHeight="true" outlineLevel="0" collapsed="false">
      <c r="B746" s="41"/>
      <c r="C746" s="9"/>
      <c r="D746" s="44"/>
      <c r="E746" s="42"/>
      <c r="F746" s="9"/>
    </row>
    <row r="747" customFormat="false" ht="21" hidden="false" customHeight="true" outlineLevel="0" collapsed="false">
      <c r="B747" s="41"/>
      <c r="C747" s="9"/>
      <c r="D747" s="44"/>
      <c r="E747" s="42"/>
      <c r="F747" s="9"/>
    </row>
    <row r="748" customFormat="false" ht="21" hidden="false" customHeight="true" outlineLevel="0" collapsed="false">
      <c r="B748" s="41"/>
      <c r="C748" s="9"/>
      <c r="D748" s="44"/>
      <c r="E748" s="42"/>
      <c r="F748" s="9"/>
    </row>
    <row r="749" customFormat="false" ht="21" hidden="false" customHeight="true" outlineLevel="0" collapsed="false">
      <c r="B749" s="41"/>
      <c r="C749" s="9"/>
      <c r="D749" s="44"/>
      <c r="E749" s="42"/>
      <c r="F749" s="9"/>
    </row>
    <row r="750" customFormat="false" ht="21" hidden="false" customHeight="true" outlineLevel="0" collapsed="false">
      <c r="B750" s="41"/>
      <c r="C750" s="9"/>
      <c r="D750" s="44"/>
      <c r="E750" s="42"/>
      <c r="F750" s="9"/>
    </row>
    <row r="751" customFormat="false" ht="21" hidden="false" customHeight="true" outlineLevel="0" collapsed="false">
      <c r="B751" s="41"/>
      <c r="C751" s="9"/>
      <c r="D751" s="44"/>
      <c r="E751" s="42"/>
      <c r="F751" s="9"/>
    </row>
    <row r="752" customFormat="false" ht="21" hidden="false" customHeight="true" outlineLevel="0" collapsed="false">
      <c r="B752" s="41"/>
      <c r="C752" s="9"/>
      <c r="D752" s="44"/>
      <c r="E752" s="42"/>
      <c r="F752" s="9"/>
    </row>
    <row r="753" customFormat="false" ht="21" hidden="false" customHeight="true" outlineLevel="0" collapsed="false">
      <c r="B753" s="41"/>
      <c r="C753" s="9"/>
      <c r="D753" s="44"/>
      <c r="E753" s="42"/>
      <c r="F753" s="9"/>
    </row>
    <row r="754" customFormat="false" ht="21" hidden="false" customHeight="true" outlineLevel="0" collapsed="false">
      <c r="B754" s="41"/>
      <c r="C754" s="9"/>
      <c r="D754" s="44"/>
      <c r="E754" s="42"/>
      <c r="F754" s="9"/>
    </row>
    <row r="755" customFormat="false" ht="21" hidden="false" customHeight="true" outlineLevel="0" collapsed="false">
      <c r="B755" s="41"/>
      <c r="C755" s="9"/>
      <c r="D755" s="44"/>
      <c r="E755" s="42"/>
      <c r="F755" s="9"/>
    </row>
    <row r="756" customFormat="false" ht="21" hidden="false" customHeight="true" outlineLevel="0" collapsed="false">
      <c r="B756" s="41"/>
      <c r="C756" s="9"/>
      <c r="D756" s="44"/>
      <c r="E756" s="42"/>
      <c r="F756" s="9"/>
    </row>
    <row r="757" customFormat="false" ht="21" hidden="false" customHeight="true" outlineLevel="0" collapsed="false">
      <c r="B757" s="41"/>
      <c r="C757" s="9"/>
      <c r="D757" s="44"/>
      <c r="E757" s="42"/>
      <c r="F757" s="9"/>
    </row>
    <row r="758" customFormat="false" ht="21" hidden="false" customHeight="true" outlineLevel="0" collapsed="false">
      <c r="B758" s="41"/>
      <c r="C758" s="9"/>
      <c r="D758" s="44"/>
      <c r="E758" s="42"/>
      <c r="F758" s="9"/>
    </row>
    <row r="759" customFormat="false" ht="21" hidden="false" customHeight="true" outlineLevel="0" collapsed="false">
      <c r="B759" s="41"/>
      <c r="C759" s="9"/>
      <c r="D759" s="44"/>
      <c r="E759" s="42"/>
      <c r="F759" s="9"/>
    </row>
    <row r="760" customFormat="false" ht="21" hidden="false" customHeight="true" outlineLevel="0" collapsed="false">
      <c r="B760" s="41"/>
      <c r="C760" s="9"/>
      <c r="D760" s="44"/>
      <c r="E760" s="42"/>
      <c r="F760" s="9"/>
    </row>
    <row r="761" customFormat="false" ht="21" hidden="false" customHeight="true" outlineLevel="0" collapsed="false">
      <c r="B761" s="41"/>
      <c r="C761" s="9"/>
      <c r="D761" s="44"/>
      <c r="E761" s="42"/>
      <c r="F761" s="9"/>
    </row>
    <row r="762" customFormat="false" ht="21" hidden="false" customHeight="true" outlineLevel="0" collapsed="false">
      <c r="B762" s="41"/>
      <c r="C762" s="9"/>
      <c r="D762" s="44"/>
      <c r="E762" s="42"/>
      <c r="F762" s="9"/>
    </row>
    <row r="763" customFormat="false" ht="21" hidden="false" customHeight="true" outlineLevel="0" collapsed="false">
      <c r="B763" s="41"/>
      <c r="C763" s="9"/>
      <c r="D763" s="44"/>
      <c r="E763" s="42"/>
      <c r="F763" s="9"/>
    </row>
    <row r="764" customFormat="false" ht="21" hidden="false" customHeight="true" outlineLevel="0" collapsed="false">
      <c r="B764" s="41"/>
      <c r="C764" s="9"/>
      <c r="D764" s="44"/>
      <c r="E764" s="42"/>
      <c r="F764" s="9"/>
    </row>
    <row r="765" customFormat="false" ht="21" hidden="false" customHeight="true" outlineLevel="0" collapsed="false">
      <c r="B765" s="41"/>
      <c r="C765" s="9"/>
      <c r="D765" s="44"/>
      <c r="E765" s="42"/>
      <c r="F765" s="9"/>
    </row>
    <row r="766" customFormat="false" ht="21" hidden="false" customHeight="true" outlineLevel="0" collapsed="false">
      <c r="B766" s="41"/>
      <c r="C766" s="9"/>
      <c r="D766" s="44"/>
      <c r="E766" s="42"/>
      <c r="F766" s="9"/>
    </row>
    <row r="767" customFormat="false" ht="21" hidden="false" customHeight="true" outlineLevel="0" collapsed="false">
      <c r="B767" s="41"/>
      <c r="C767" s="9"/>
      <c r="D767" s="44"/>
      <c r="E767" s="42"/>
      <c r="F767" s="9"/>
    </row>
    <row r="768" customFormat="false" ht="21" hidden="false" customHeight="true" outlineLevel="0" collapsed="false">
      <c r="B768" s="41"/>
      <c r="C768" s="9"/>
      <c r="D768" s="44"/>
      <c r="E768" s="42"/>
      <c r="F768" s="9"/>
    </row>
    <row r="769" customFormat="false" ht="21" hidden="false" customHeight="true" outlineLevel="0" collapsed="false">
      <c r="B769" s="41"/>
      <c r="C769" s="9"/>
      <c r="D769" s="44"/>
      <c r="E769" s="42"/>
      <c r="F769" s="9"/>
    </row>
    <row r="770" customFormat="false" ht="21" hidden="false" customHeight="true" outlineLevel="0" collapsed="false">
      <c r="B770" s="41"/>
      <c r="C770" s="9"/>
      <c r="D770" s="44"/>
      <c r="E770" s="42"/>
      <c r="F770" s="9"/>
    </row>
    <row r="771" customFormat="false" ht="21" hidden="false" customHeight="true" outlineLevel="0" collapsed="false">
      <c r="B771" s="41"/>
      <c r="C771" s="9"/>
      <c r="D771" s="44"/>
      <c r="E771" s="42"/>
      <c r="F771" s="9"/>
    </row>
    <row r="772" customFormat="false" ht="21" hidden="false" customHeight="true" outlineLevel="0" collapsed="false">
      <c r="B772" s="41"/>
      <c r="C772" s="9"/>
      <c r="D772" s="44"/>
      <c r="E772" s="42"/>
      <c r="F772" s="9"/>
    </row>
    <row r="773" customFormat="false" ht="21" hidden="false" customHeight="true" outlineLevel="0" collapsed="false">
      <c r="B773" s="41"/>
      <c r="C773" s="9"/>
      <c r="D773" s="44"/>
      <c r="E773" s="42"/>
      <c r="F773" s="9"/>
    </row>
    <row r="774" customFormat="false" ht="21" hidden="false" customHeight="true" outlineLevel="0" collapsed="false">
      <c r="B774" s="41"/>
      <c r="C774" s="9"/>
      <c r="D774" s="44"/>
      <c r="E774" s="42"/>
      <c r="F774" s="9"/>
    </row>
    <row r="775" customFormat="false" ht="21" hidden="false" customHeight="true" outlineLevel="0" collapsed="false">
      <c r="B775" s="41"/>
      <c r="C775" s="9"/>
      <c r="D775" s="44"/>
      <c r="E775" s="42"/>
      <c r="F775" s="9"/>
    </row>
    <row r="776" customFormat="false" ht="21" hidden="false" customHeight="true" outlineLevel="0" collapsed="false">
      <c r="B776" s="41"/>
      <c r="C776" s="9"/>
      <c r="D776" s="44"/>
      <c r="E776" s="42"/>
      <c r="F776" s="9"/>
    </row>
    <row r="777" customFormat="false" ht="21" hidden="false" customHeight="true" outlineLevel="0" collapsed="false">
      <c r="B777" s="41"/>
      <c r="C777" s="9"/>
      <c r="D777" s="44"/>
      <c r="E777" s="42"/>
      <c r="F777" s="9"/>
    </row>
    <row r="778" customFormat="false" ht="21" hidden="false" customHeight="true" outlineLevel="0" collapsed="false">
      <c r="B778" s="41"/>
      <c r="C778" s="9"/>
      <c r="D778" s="44"/>
      <c r="E778" s="42"/>
      <c r="F778" s="9"/>
    </row>
    <row r="779" customFormat="false" ht="21" hidden="false" customHeight="true" outlineLevel="0" collapsed="false">
      <c r="B779" s="41"/>
      <c r="C779" s="9"/>
      <c r="D779" s="44"/>
      <c r="E779" s="42"/>
      <c r="F779" s="9"/>
    </row>
    <row r="780" customFormat="false" ht="21" hidden="false" customHeight="true" outlineLevel="0" collapsed="false">
      <c r="B780" s="41"/>
      <c r="C780" s="9"/>
      <c r="D780" s="44"/>
      <c r="E780" s="42"/>
      <c r="F780" s="9"/>
    </row>
    <row r="781" customFormat="false" ht="21" hidden="false" customHeight="true" outlineLevel="0" collapsed="false">
      <c r="B781" s="41"/>
      <c r="C781" s="9"/>
      <c r="D781" s="44"/>
      <c r="E781" s="42"/>
      <c r="F781" s="9"/>
    </row>
    <row r="782" customFormat="false" ht="21" hidden="false" customHeight="true" outlineLevel="0" collapsed="false">
      <c r="B782" s="41"/>
      <c r="C782" s="9"/>
      <c r="D782" s="44"/>
      <c r="E782" s="42"/>
      <c r="F782" s="9"/>
    </row>
    <row r="783" customFormat="false" ht="21" hidden="false" customHeight="true" outlineLevel="0" collapsed="false">
      <c r="B783" s="41"/>
      <c r="C783" s="9"/>
      <c r="D783" s="44"/>
      <c r="E783" s="42"/>
      <c r="F783" s="9"/>
    </row>
    <row r="784" customFormat="false" ht="21" hidden="false" customHeight="true" outlineLevel="0" collapsed="false">
      <c r="B784" s="41"/>
      <c r="C784" s="9"/>
      <c r="D784" s="44"/>
      <c r="E784" s="42"/>
      <c r="F784" s="9"/>
    </row>
    <row r="785" customFormat="false" ht="21" hidden="false" customHeight="true" outlineLevel="0" collapsed="false">
      <c r="B785" s="41"/>
      <c r="C785" s="9"/>
      <c r="D785" s="44"/>
      <c r="E785" s="42"/>
      <c r="F785" s="9"/>
    </row>
    <row r="786" customFormat="false" ht="21" hidden="false" customHeight="true" outlineLevel="0" collapsed="false">
      <c r="B786" s="41"/>
      <c r="C786" s="9"/>
      <c r="D786" s="44"/>
      <c r="E786" s="42"/>
      <c r="F786" s="9"/>
    </row>
    <row r="787" customFormat="false" ht="21" hidden="false" customHeight="true" outlineLevel="0" collapsed="false">
      <c r="B787" s="41"/>
      <c r="C787" s="9"/>
      <c r="D787" s="44"/>
      <c r="E787" s="42"/>
      <c r="F787" s="9"/>
    </row>
    <row r="788" customFormat="false" ht="21" hidden="false" customHeight="true" outlineLevel="0" collapsed="false">
      <c r="B788" s="41"/>
      <c r="C788" s="9"/>
      <c r="D788" s="44"/>
      <c r="E788" s="42"/>
      <c r="F788" s="9"/>
    </row>
    <row r="789" customFormat="false" ht="21" hidden="false" customHeight="true" outlineLevel="0" collapsed="false">
      <c r="B789" s="41"/>
      <c r="C789" s="9"/>
      <c r="D789" s="44"/>
      <c r="E789" s="42"/>
      <c r="F789" s="9"/>
    </row>
    <row r="790" customFormat="false" ht="21" hidden="false" customHeight="true" outlineLevel="0" collapsed="false">
      <c r="B790" s="41"/>
      <c r="C790" s="9"/>
      <c r="D790" s="44"/>
      <c r="E790" s="42"/>
      <c r="F790" s="9"/>
    </row>
    <row r="791" customFormat="false" ht="21" hidden="false" customHeight="true" outlineLevel="0" collapsed="false">
      <c r="B791" s="41"/>
      <c r="C791" s="9"/>
      <c r="D791" s="44"/>
      <c r="E791" s="42"/>
      <c r="F791" s="9"/>
    </row>
    <row r="792" customFormat="false" ht="21" hidden="false" customHeight="true" outlineLevel="0" collapsed="false">
      <c r="B792" s="41"/>
      <c r="C792" s="9"/>
      <c r="D792" s="44"/>
      <c r="E792" s="42"/>
      <c r="F792" s="9"/>
    </row>
    <row r="793" customFormat="false" ht="21" hidden="false" customHeight="true" outlineLevel="0" collapsed="false">
      <c r="B793" s="41"/>
      <c r="C793" s="9"/>
      <c r="D793" s="44"/>
      <c r="E793" s="42"/>
      <c r="F793" s="9"/>
    </row>
    <row r="794" customFormat="false" ht="21" hidden="false" customHeight="true" outlineLevel="0" collapsed="false">
      <c r="B794" s="41"/>
      <c r="C794" s="9"/>
      <c r="D794" s="44"/>
      <c r="E794" s="42"/>
      <c r="F794" s="9"/>
    </row>
    <row r="795" customFormat="false" ht="21" hidden="false" customHeight="true" outlineLevel="0" collapsed="false">
      <c r="B795" s="41"/>
      <c r="C795" s="9"/>
      <c r="D795" s="44"/>
      <c r="E795" s="42"/>
      <c r="F795" s="9"/>
    </row>
    <row r="796" customFormat="false" ht="21" hidden="false" customHeight="true" outlineLevel="0" collapsed="false">
      <c r="B796" s="41"/>
      <c r="C796" s="9"/>
      <c r="D796" s="44"/>
      <c r="E796" s="42"/>
      <c r="F796" s="9"/>
    </row>
    <row r="797" customFormat="false" ht="21" hidden="false" customHeight="true" outlineLevel="0" collapsed="false">
      <c r="B797" s="41"/>
      <c r="C797" s="9"/>
      <c r="D797" s="44"/>
      <c r="E797" s="42"/>
      <c r="F797" s="9"/>
    </row>
    <row r="798" customFormat="false" ht="21" hidden="false" customHeight="true" outlineLevel="0" collapsed="false">
      <c r="B798" s="41"/>
      <c r="C798" s="9"/>
      <c r="D798" s="44"/>
      <c r="E798" s="42"/>
      <c r="F798" s="9"/>
    </row>
    <row r="799" customFormat="false" ht="21" hidden="false" customHeight="true" outlineLevel="0" collapsed="false">
      <c r="B799" s="41"/>
      <c r="C799" s="9"/>
      <c r="D799" s="44"/>
      <c r="E799" s="42"/>
      <c r="F799" s="9"/>
    </row>
    <row r="800" customFormat="false" ht="21" hidden="false" customHeight="true" outlineLevel="0" collapsed="false">
      <c r="B800" s="41"/>
      <c r="C800" s="9"/>
      <c r="D800" s="44"/>
      <c r="E800" s="42"/>
      <c r="F800" s="9"/>
    </row>
    <row r="801" customFormat="false" ht="21" hidden="false" customHeight="true" outlineLevel="0" collapsed="false">
      <c r="B801" s="41"/>
      <c r="C801" s="9"/>
      <c r="D801" s="44"/>
      <c r="E801" s="42"/>
      <c r="F801" s="9"/>
    </row>
    <row r="802" customFormat="false" ht="21" hidden="false" customHeight="true" outlineLevel="0" collapsed="false">
      <c r="B802" s="41"/>
      <c r="C802" s="9"/>
      <c r="D802" s="44"/>
      <c r="E802" s="42"/>
      <c r="F802" s="9"/>
    </row>
    <row r="803" customFormat="false" ht="21" hidden="false" customHeight="true" outlineLevel="0" collapsed="false">
      <c r="B803" s="41"/>
      <c r="C803" s="9"/>
      <c r="D803" s="44"/>
      <c r="E803" s="42"/>
      <c r="F803" s="9"/>
    </row>
    <row r="804" customFormat="false" ht="21" hidden="false" customHeight="true" outlineLevel="0" collapsed="false">
      <c r="B804" s="41"/>
      <c r="C804" s="9"/>
      <c r="D804" s="44"/>
      <c r="E804" s="42"/>
      <c r="F804" s="9"/>
    </row>
    <row r="805" customFormat="false" ht="21" hidden="false" customHeight="true" outlineLevel="0" collapsed="false">
      <c r="B805" s="41"/>
      <c r="C805" s="9"/>
      <c r="D805" s="44"/>
      <c r="E805" s="42"/>
      <c r="F805" s="9"/>
    </row>
    <row r="806" customFormat="false" ht="21" hidden="false" customHeight="true" outlineLevel="0" collapsed="false">
      <c r="B806" s="41"/>
      <c r="C806" s="9"/>
      <c r="D806" s="44"/>
      <c r="E806" s="42"/>
      <c r="F806" s="9"/>
    </row>
    <row r="807" customFormat="false" ht="21" hidden="false" customHeight="true" outlineLevel="0" collapsed="false">
      <c r="B807" s="41"/>
      <c r="C807" s="9"/>
      <c r="D807" s="44"/>
      <c r="E807" s="42"/>
      <c r="F807" s="9"/>
    </row>
    <row r="808" customFormat="false" ht="21" hidden="false" customHeight="true" outlineLevel="0" collapsed="false">
      <c r="B808" s="41"/>
      <c r="C808" s="9"/>
      <c r="D808" s="44"/>
      <c r="E808" s="42"/>
      <c r="F808" s="9"/>
    </row>
    <row r="809" customFormat="false" ht="21" hidden="false" customHeight="true" outlineLevel="0" collapsed="false">
      <c r="B809" s="41"/>
      <c r="C809" s="9"/>
      <c r="D809" s="44"/>
      <c r="E809" s="42"/>
      <c r="F809" s="9"/>
    </row>
    <row r="810" customFormat="false" ht="21" hidden="false" customHeight="true" outlineLevel="0" collapsed="false">
      <c r="B810" s="41"/>
      <c r="C810" s="9"/>
      <c r="D810" s="44"/>
      <c r="E810" s="42"/>
      <c r="F810" s="9"/>
    </row>
    <row r="811" customFormat="false" ht="21" hidden="false" customHeight="true" outlineLevel="0" collapsed="false">
      <c r="B811" s="41"/>
      <c r="C811" s="9"/>
      <c r="D811" s="44"/>
      <c r="E811" s="42"/>
      <c r="F811" s="9"/>
    </row>
    <row r="812" customFormat="false" ht="21" hidden="false" customHeight="true" outlineLevel="0" collapsed="false">
      <c r="B812" s="41"/>
      <c r="C812" s="9"/>
      <c r="D812" s="44"/>
      <c r="E812" s="42"/>
      <c r="F812" s="9"/>
    </row>
    <row r="813" customFormat="false" ht="21" hidden="false" customHeight="true" outlineLevel="0" collapsed="false">
      <c r="B813" s="41"/>
      <c r="C813" s="9"/>
      <c r="D813" s="44"/>
      <c r="E813" s="42"/>
      <c r="F813" s="9"/>
    </row>
    <row r="814" customFormat="false" ht="21" hidden="false" customHeight="true" outlineLevel="0" collapsed="false">
      <c r="B814" s="41"/>
      <c r="C814" s="9"/>
      <c r="D814" s="44"/>
      <c r="E814" s="42"/>
      <c r="F814" s="9"/>
    </row>
    <row r="815" customFormat="false" ht="21" hidden="false" customHeight="true" outlineLevel="0" collapsed="false">
      <c r="B815" s="41"/>
      <c r="C815" s="9"/>
      <c r="D815" s="44"/>
      <c r="E815" s="42"/>
      <c r="F815" s="9"/>
    </row>
    <row r="816" customFormat="false" ht="21" hidden="false" customHeight="true" outlineLevel="0" collapsed="false">
      <c r="B816" s="41"/>
      <c r="C816" s="9"/>
      <c r="D816" s="44"/>
      <c r="E816" s="42"/>
      <c r="F816" s="9"/>
    </row>
    <row r="817" customFormat="false" ht="21" hidden="false" customHeight="true" outlineLevel="0" collapsed="false">
      <c r="B817" s="41"/>
      <c r="C817" s="9"/>
      <c r="D817" s="44"/>
      <c r="E817" s="42"/>
      <c r="F817" s="9"/>
    </row>
    <row r="818" customFormat="false" ht="21" hidden="false" customHeight="true" outlineLevel="0" collapsed="false">
      <c r="B818" s="41"/>
      <c r="C818" s="9"/>
      <c r="D818" s="44"/>
      <c r="E818" s="42"/>
      <c r="F818" s="9"/>
    </row>
    <row r="819" customFormat="false" ht="21" hidden="false" customHeight="true" outlineLevel="0" collapsed="false">
      <c r="B819" s="41"/>
      <c r="C819" s="9"/>
      <c r="D819" s="44"/>
      <c r="E819" s="42"/>
      <c r="F819" s="9"/>
    </row>
    <row r="820" customFormat="false" ht="21" hidden="false" customHeight="true" outlineLevel="0" collapsed="false">
      <c r="B820" s="41"/>
      <c r="C820" s="9"/>
      <c r="D820" s="44"/>
      <c r="E820" s="42"/>
      <c r="F820" s="9"/>
    </row>
    <row r="821" customFormat="false" ht="21" hidden="false" customHeight="true" outlineLevel="0" collapsed="false">
      <c r="B821" s="41"/>
      <c r="C821" s="9"/>
      <c r="D821" s="44"/>
      <c r="E821" s="42"/>
      <c r="F821" s="9"/>
    </row>
    <row r="822" customFormat="false" ht="21" hidden="false" customHeight="true" outlineLevel="0" collapsed="false">
      <c r="B822" s="41"/>
      <c r="C822" s="9"/>
      <c r="D822" s="44"/>
      <c r="E822" s="42"/>
      <c r="F822" s="9"/>
    </row>
    <row r="823" customFormat="false" ht="21" hidden="false" customHeight="true" outlineLevel="0" collapsed="false">
      <c r="B823" s="41"/>
      <c r="C823" s="9"/>
      <c r="D823" s="44"/>
      <c r="E823" s="42"/>
      <c r="F823" s="9"/>
    </row>
    <row r="824" customFormat="false" ht="21" hidden="false" customHeight="true" outlineLevel="0" collapsed="false">
      <c r="B824" s="41"/>
      <c r="C824" s="9"/>
      <c r="D824" s="44"/>
      <c r="E824" s="42"/>
      <c r="F824" s="9"/>
    </row>
    <row r="825" customFormat="false" ht="21" hidden="false" customHeight="true" outlineLevel="0" collapsed="false">
      <c r="B825" s="41"/>
      <c r="C825" s="9"/>
      <c r="D825" s="44"/>
      <c r="E825" s="42"/>
      <c r="F825" s="9"/>
    </row>
    <row r="826" customFormat="false" ht="21" hidden="false" customHeight="true" outlineLevel="0" collapsed="false">
      <c r="B826" s="41"/>
      <c r="C826" s="9"/>
      <c r="D826" s="44"/>
      <c r="E826" s="42"/>
      <c r="F826" s="9"/>
    </row>
    <row r="827" customFormat="false" ht="21" hidden="false" customHeight="true" outlineLevel="0" collapsed="false">
      <c r="B827" s="41"/>
      <c r="C827" s="9"/>
      <c r="D827" s="44"/>
      <c r="E827" s="42"/>
      <c r="F827" s="9"/>
    </row>
    <row r="828" customFormat="false" ht="21" hidden="false" customHeight="true" outlineLevel="0" collapsed="false">
      <c r="B828" s="41"/>
      <c r="C828" s="9"/>
      <c r="D828" s="44"/>
      <c r="E828" s="42"/>
      <c r="F828" s="9"/>
    </row>
    <row r="829" customFormat="false" ht="21" hidden="false" customHeight="true" outlineLevel="0" collapsed="false">
      <c r="B829" s="41"/>
      <c r="C829" s="9"/>
      <c r="D829" s="44"/>
      <c r="E829" s="42"/>
      <c r="F829" s="9"/>
    </row>
    <row r="830" customFormat="false" ht="21" hidden="false" customHeight="true" outlineLevel="0" collapsed="false">
      <c r="B830" s="41"/>
      <c r="C830" s="9"/>
      <c r="D830" s="44"/>
      <c r="E830" s="42"/>
      <c r="F830" s="9"/>
    </row>
    <row r="831" customFormat="false" ht="21" hidden="false" customHeight="true" outlineLevel="0" collapsed="false">
      <c r="B831" s="41"/>
      <c r="C831" s="9"/>
      <c r="D831" s="44"/>
      <c r="E831" s="42"/>
      <c r="F831" s="9"/>
    </row>
    <row r="832" customFormat="false" ht="21" hidden="false" customHeight="true" outlineLevel="0" collapsed="false">
      <c r="B832" s="41"/>
      <c r="C832" s="9"/>
      <c r="D832" s="44"/>
      <c r="E832" s="42"/>
      <c r="F832" s="9"/>
    </row>
    <row r="833" customFormat="false" ht="21" hidden="false" customHeight="true" outlineLevel="0" collapsed="false">
      <c r="B833" s="41"/>
      <c r="C833" s="9"/>
      <c r="D833" s="44"/>
      <c r="E833" s="42"/>
      <c r="F833" s="9"/>
    </row>
    <row r="834" customFormat="false" ht="21" hidden="false" customHeight="true" outlineLevel="0" collapsed="false">
      <c r="B834" s="41"/>
      <c r="C834" s="9"/>
      <c r="D834" s="44"/>
      <c r="E834" s="42"/>
      <c r="F834" s="9"/>
    </row>
    <row r="835" customFormat="false" ht="21" hidden="false" customHeight="true" outlineLevel="0" collapsed="false">
      <c r="B835" s="41"/>
      <c r="C835" s="9"/>
      <c r="D835" s="44"/>
      <c r="E835" s="42"/>
      <c r="F835" s="9"/>
    </row>
    <row r="836" customFormat="false" ht="21" hidden="false" customHeight="true" outlineLevel="0" collapsed="false">
      <c r="B836" s="41"/>
      <c r="C836" s="9"/>
      <c r="D836" s="44"/>
      <c r="E836" s="42"/>
      <c r="F836" s="9"/>
    </row>
    <row r="837" customFormat="false" ht="21" hidden="false" customHeight="true" outlineLevel="0" collapsed="false">
      <c r="B837" s="41"/>
      <c r="C837" s="9"/>
      <c r="D837" s="44"/>
      <c r="E837" s="42"/>
      <c r="F837" s="9"/>
    </row>
    <row r="838" customFormat="false" ht="21" hidden="false" customHeight="true" outlineLevel="0" collapsed="false">
      <c r="B838" s="41"/>
      <c r="C838" s="9"/>
      <c r="D838" s="44"/>
      <c r="E838" s="42"/>
      <c r="F838" s="9"/>
    </row>
    <row r="839" customFormat="false" ht="21" hidden="false" customHeight="true" outlineLevel="0" collapsed="false">
      <c r="B839" s="41"/>
      <c r="C839" s="9"/>
      <c r="D839" s="44"/>
      <c r="E839" s="42"/>
      <c r="F839" s="9"/>
    </row>
    <row r="840" customFormat="false" ht="21" hidden="false" customHeight="true" outlineLevel="0" collapsed="false">
      <c r="B840" s="41"/>
      <c r="C840" s="9"/>
      <c r="D840" s="44"/>
      <c r="E840" s="42"/>
      <c r="F840" s="9"/>
    </row>
    <row r="841" customFormat="false" ht="21" hidden="false" customHeight="true" outlineLevel="0" collapsed="false">
      <c r="B841" s="41"/>
      <c r="C841" s="9"/>
      <c r="D841" s="44"/>
      <c r="E841" s="42"/>
      <c r="F841" s="9"/>
    </row>
    <row r="842" customFormat="false" ht="21" hidden="false" customHeight="true" outlineLevel="0" collapsed="false">
      <c r="B842" s="41"/>
      <c r="C842" s="9"/>
      <c r="D842" s="44"/>
      <c r="E842" s="42"/>
      <c r="F842" s="9"/>
    </row>
    <row r="843" customFormat="false" ht="21" hidden="false" customHeight="true" outlineLevel="0" collapsed="false">
      <c r="B843" s="41"/>
      <c r="C843" s="9"/>
      <c r="D843" s="44"/>
      <c r="E843" s="42"/>
      <c r="F843" s="9"/>
    </row>
    <row r="844" customFormat="false" ht="21" hidden="false" customHeight="true" outlineLevel="0" collapsed="false">
      <c r="B844" s="41"/>
      <c r="C844" s="9"/>
      <c r="D844" s="44"/>
      <c r="E844" s="42"/>
      <c r="F844" s="9"/>
    </row>
    <row r="845" customFormat="false" ht="21" hidden="false" customHeight="true" outlineLevel="0" collapsed="false">
      <c r="B845" s="41"/>
      <c r="C845" s="9"/>
      <c r="D845" s="44"/>
      <c r="E845" s="42"/>
      <c r="F845" s="9"/>
    </row>
    <row r="846" customFormat="false" ht="21" hidden="false" customHeight="true" outlineLevel="0" collapsed="false">
      <c r="B846" s="41"/>
      <c r="C846" s="9"/>
      <c r="D846" s="44"/>
      <c r="E846" s="42"/>
      <c r="F846" s="9"/>
    </row>
    <row r="847" customFormat="false" ht="21" hidden="false" customHeight="true" outlineLevel="0" collapsed="false">
      <c r="B847" s="41"/>
      <c r="C847" s="9"/>
      <c r="D847" s="44"/>
      <c r="E847" s="42"/>
      <c r="F847" s="9"/>
    </row>
    <row r="848" customFormat="false" ht="21" hidden="false" customHeight="true" outlineLevel="0" collapsed="false">
      <c r="B848" s="41"/>
      <c r="C848" s="9"/>
      <c r="D848" s="44"/>
      <c r="E848" s="42"/>
      <c r="F848" s="9"/>
    </row>
    <row r="849" customFormat="false" ht="21" hidden="false" customHeight="true" outlineLevel="0" collapsed="false">
      <c r="B849" s="41"/>
      <c r="C849" s="9"/>
      <c r="D849" s="44"/>
      <c r="E849" s="42"/>
      <c r="F849" s="9"/>
    </row>
    <row r="850" customFormat="false" ht="21" hidden="false" customHeight="true" outlineLevel="0" collapsed="false">
      <c r="B850" s="41"/>
      <c r="C850" s="9"/>
      <c r="D850" s="44"/>
      <c r="E850" s="42"/>
      <c r="F850" s="9"/>
    </row>
    <row r="851" customFormat="false" ht="21" hidden="false" customHeight="true" outlineLevel="0" collapsed="false">
      <c r="B851" s="41"/>
      <c r="C851" s="9"/>
      <c r="D851" s="44"/>
      <c r="E851" s="42"/>
      <c r="F851" s="9"/>
    </row>
    <row r="852" customFormat="false" ht="21" hidden="false" customHeight="true" outlineLevel="0" collapsed="false">
      <c r="B852" s="41"/>
      <c r="C852" s="9"/>
      <c r="D852" s="44"/>
      <c r="E852" s="42"/>
      <c r="F852" s="9"/>
    </row>
    <row r="853" customFormat="false" ht="21" hidden="false" customHeight="true" outlineLevel="0" collapsed="false">
      <c r="B853" s="41"/>
      <c r="C853" s="9"/>
      <c r="D853" s="44"/>
      <c r="E853" s="42"/>
      <c r="F853" s="9"/>
    </row>
    <row r="854" customFormat="false" ht="21" hidden="false" customHeight="true" outlineLevel="0" collapsed="false">
      <c r="B854" s="41"/>
      <c r="C854" s="9"/>
      <c r="D854" s="44"/>
      <c r="E854" s="42"/>
      <c r="F854" s="9"/>
    </row>
    <row r="855" customFormat="false" ht="21" hidden="false" customHeight="true" outlineLevel="0" collapsed="false">
      <c r="B855" s="41"/>
      <c r="C855" s="9"/>
      <c r="D855" s="44"/>
      <c r="E855" s="42"/>
      <c r="F855" s="9"/>
    </row>
    <row r="856" customFormat="false" ht="21" hidden="false" customHeight="true" outlineLevel="0" collapsed="false">
      <c r="B856" s="41"/>
      <c r="C856" s="9"/>
      <c r="D856" s="44"/>
      <c r="E856" s="42"/>
      <c r="F856" s="9"/>
    </row>
    <row r="857" customFormat="false" ht="21" hidden="false" customHeight="true" outlineLevel="0" collapsed="false">
      <c r="B857" s="41"/>
      <c r="C857" s="9"/>
      <c r="D857" s="44"/>
      <c r="E857" s="42"/>
      <c r="F857" s="9"/>
    </row>
    <row r="858" customFormat="false" ht="21" hidden="false" customHeight="true" outlineLevel="0" collapsed="false">
      <c r="B858" s="41"/>
      <c r="C858" s="9"/>
      <c r="D858" s="44"/>
      <c r="E858" s="42"/>
      <c r="F858" s="9"/>
    </row>
    <row r="859" customFormat="false" ht="21" hidden="false" customHeight="true" outlineLevel="0" collapsed="false">
      <c r="B859" s="41"/>
      <c r="C859" s="9"/>
      <c r="D859" s="44"/>
      <c r="E859" s="42"/>
      <c r="F859" s="9"/>
    </row>
    <row r="860" customFormat="false" ht="21" hidden="false" customHeight="true" outlineLevel="0" collapsed="false">
      <c r="B860" s="41"/>
      <c r="C860" s="9"/>
      <c r="D860" s="44"/>
      <c r="E860" s="42"/>
      <c r="F860" s="9"/>
    </row>
    <row r="861" customFormat="false" ht="21" hidden="false" customHeight="true" outlineLevel="0" collapsed="false">
      <c r="B861" s="41"/>
      <c r="C861" s="9"/>
      <c r="D861" s="44"/>
      <c r="E861" s="42"/>
      <c r="F861" s="9"/>
    </row>
    <row r="862" customFormat="false" ht="21" hidden="false" customHeight="true" outlineLevel="0" collapsed="false">
      <c r="B862" s="41"/>
      <c r="C862" s="9"/>
      <c r="D862" s="44"/>
      <c r="E862" s="42"/>
      <c r="F862" s="9"/>
    </row>
    <row r="863" customFormat="false" ht="21" hidden="false" customHeight="true" outlineLevel="0" collapsed="false">
      <c r="B863" s="41"/>
      <c r="C863" s="9"/>
      <c r="D863" s="44"/>
      <c r="E863" s="42"/>
      <c r="F863" s="9"/>
    </row>
    <row r="864" customFormat="false" ht="21" hidden="false" customHeight="true" outlineLevel="0" collapsed="false">
      <c r="B864" s="41"/>
      <c r="C864" s="9"/>
      <c r="D864" s="44"/>
      <c r="E864" s="42"/>
      <c r="F864" s="9"/>
    </row>
    <row r="865" customFormat="false" ht="21" hidden="false" customHeight="true" outlineLevel="0" collapsed="false">
      <c r="B865" s="41"/>
      <c r="C865" s="9"/>
      <c r="D865" s="44"/>
      <c r="E865" s="42"/>
      <c r="F865" s="9"/>
    </row>
    <row r="866" customFormat="false" ht="21" hidden="false" customHeight="true" outlineLevel="0" collapsed="false">
      <c r="B866" s="41"/>
      <c r="C866" s="9"/>
      <c r="D866" s="44"/>
      <c r="E866" s="42"/>
      <c r="F866" s="9"/>
    </row>
    <row r="867" customFormat="false" ht="21" hidden="false" customHeight="true" outlineLevel="0" collapsed="false">
      <c r="B867" s="41"/>
      <c r="C867" s="9"/>
      <c r="D867" s="44"/>
      <c r="E867" s="42"/>
      <c r="F867" s="9"/>
    </row>
    <row r="868" customFormat="false" ht="21" hidden="false" customHeight="true" outlineLevel="0" collapsed="false">
      <c r="B868" s="41"/>
      <c r="C868" s="9"/>
      <c r="D868" s="44"/>
      <c r="E868" s="42"/>
      <c r="F868" s="9"/>
    </row>
    <row r="869" customFormat="false" ht="21" hidden="false" customHeight="true" outlineLevel="0" collapsed="false">
      <c r="B869" s="41"/>
      <c r="C869" s="9"/>
      <c r="D869" s="44"/>
      <c r="E869" s="42"/>
      <c r="F869" s="9"/>
    </row>
    <row r="870" customFormat="false" ht="21" hidden="false" customHeight="true" outlineLevel="0" collapsed="false">
      <c r="B870" s="41"/>
      <c r="C870" s="9"/>
      <c r="D870" s="44"/>
      <c r="E870" s="42"/>
      <c r="F870" s="9"/>
    </row>
    <row r="871" customFormat="false" ht="21" hidden="false" customHeight="true" outlineLevel="0" collapsed="false">
      <c r="B871" s="41"/>
      <c r="C871" s="9"/>
      <c r="D871" s="44"/>
      <c r="E871" s="42"/>
      <c r="F871" s="9"/>
    </row>
    <row r="872" customFormat="false" ht="21" hidden="false" customHeight="true" outlineLevel="0" collapsed="false">
      <c r="B872" s="41"/>
      <c r="C872" s="9"/>
      <c r="D872" s="44"/>
      <c r="E872" s="42"/>
      <c r="F872" s="9"/>
    </row>
    <row r="873" customFormat="false" ht="21" hidden="false" customHeight="true" outlineLevel="0" collapsed="false">
      <c r="B873" s="41"/>
      <c r="C873" s="9"/>
      <c r="D873" s="44"/>
      <c r="E873" s="42"/>
      <c r="F873" s="9"/>
    </row>
    <row r="874" customFormat="false" ht="21" hidden="false" customHeight="true" outlineLevel="0" collapsed="false">
      <c r="B874" s="41"/>
      <c r="C874" s="9"/>
      <c r="D874" s="44"/>
      <c r="E874" s="42"/>
      <c r="F874" s="9"/>
    </row>
    <row r="875" customFormat="false" ht="21" hidden="false" customHeight="true" outlineLevel="0" collapsed="false">
      <c r="B875" s="41"/>
      <c r="C875" s="9"/>
      <c r="D875" s="44"/>
      <c r="E875" s="42"/>
      <c r="F875" s="9"/>
    </row>
    <row r="876" customFormat="false" ht="21" hidden="false" customHeight="true" outlineLevel="0" collapsed="false">
      <c r="B876" s="41"/>
      <c r="C876" s="9"/>
      <c r="D876" s="44"/>
      <c r="E876" s="42"/>
      <c r="F876" s="9"/>
    </row>
    <row r="877" customFormat="false" ht="21" hidden="false" customHeight="true" outlineLevel="0" collapsed="false">
      <c r="B877" s="41"/>
      <c r="C877" s="9"/>
      <c r="D877" s="44"/>
      <c r="E877" s="42"/>
      <c r="F877" s="9"/>
    </row>
    <row r="878" customFormat="false" ht="21" hidden="false" customHeight="true" outlineLevel="0" collapsed="false">
      <c r="B878" s="41"/>
      <c r="C878" s="9"/>
      <c r="D878" s="44"/>
      <c r="E878" s="42"/>
      <c r="F878" s="9"/>
    </row>
    <row r="879" customFormat="false" ht="21" hidden="false" customHeight="true" outlineLevel="0" collapsed="false">
      <c r="B879" s="41"/>
      <c r="C879" s="9"/>
      <c r="D879" s="44"/>
      <c r="E879" s="42"/>
      <c r="F879" s="9"/>
    </row>
    <row r="880" customFormat="false" ht="21" hidden="false" customHeight="true" outlineLevel="0" collapsed="false">
      <c r="B880" s="41"/>
      <c r="C880" s="9"/>
      <c r="D880" s="44"/>
      <c r="E880" s="42"/>
      <c r="F880" s="9"/>
    </row>
    <row r="881" customFormat="false" ht="21" hidden="false" customHeight="true" outlineLevel="0" collapsed="false">
      <c r="B881" s="41"/>
      <c r="C881" s="9"/>
      <c r="D881" s="44"/>
      <c r="E881" s="42"/>
      <c r="F881" s="9"/>
    </row>
    <row r="882" customFormat="false" ht="21" hidden="false" customHeight="true" outlineLevel="0" collapsed="false">
      <c r="B882" s="41"/>
      <c r="C882" s="9"/>
      <c r="D882" s="44"/>
      <c r="E882" s="42"/>
      <c r="F882" s="9"/>
    </row>
    <row r="883" customFormat="false" ht="21" hidden="false" customHeight="true" outlineLevel="0" collapsed="false">
      <c r="B883" s="41"/>
      <c r="C883" s="9"/>
      <c r="D883" s="44"/>
      <c r="E883" s="42"/>
      <c r="F883" s="9"/>
    </row>
    <row r="884" customFormat="false" ht="21" hidden="false" customHeight="true" outlineLevel="0" collapsed="false">
      <c r="B884" s="41"/>
      <c r="C884" s="9"/>
      <c r="D884" s="44"/>
      <c r="E884" s="42"/>
      <c r="F884" s="9"/>
    </row>
    <row r="885" customFormat="false" ht="21" hidden="false" customHeight="true" outlineLevel="0" collapsed="false">
      <c r="B885" s="41"/>
      <c r="C885" s="9"/>
      <c r="D885" s="44"/>
      <c r="E885" s="42"/>
      <c r="F885" s="9"/>
    </row>
    <row r="886" customFormat="false" ht="21" hidden="false" customHeight="true" outlineLevel="0" collapsed="false">
      <c r="B886" s="41"/>
      <c r="C886" s="9"/>
      <c r="D886" s="44"/>
      <c r="E886" s="42"/>
      <c r="F886" s="9"/>
    </row>
    <row r="887" customFormat="false" ht="21" hidden="false" customHeight="true" outlineLevel="0" collapsed="false">
      <c r="B887" s="41"/>
      <c r="C887" s="9"/>
      <c r="D887" s="44"/>
      <c r="E887" s="42"/>
      <c r="F887" s="9"/>
    </row>
    <row r="888" customFormat="false" ht="21" hidden="false" customHeight="true" outlineLevel="0" collapsed="false">
      <c r="B888" s="41"/>
      <c r="C888" s="9"/>
      <c r="D888" s="44"/>
      <c r="E888" s="42"/>
      <c r="F888" s="9"/>
    </row>
    <row r="889" customFormat="false" ht="21" hidden="false" customHeight="true" outlineLevel="0" collapsed="false">
      <c r="B889" s="41"/>
      <c r="C889" s="9"/>
      <c r="D889" s="44"/>
      <c r="E889" s="42"/>
      <c r="F889" s="9"/>
    </row>
    <row r="890" customFormat="false" ht="21" hidden="false" customHeight="true" outlineLevel="0" collapsed="false">
      <c r="B890" s="41"/>
      <c r="C890" s="9"/>
      <c r="D890" s="44"/>
      <c r="E890" s="42"/>
      <c r="F890" s="9"/>
    </row>
    <row r="891" customFormat="false" ht="21" hidden="false" customHeight="true" outlineLevel="0" collapsed="false">
      <c r="B891" s="41"/>
      <c r="C891" s="9"/>
      <c r="D891" s="44"/>
      <c r="E891" s="42"/>
      <c r="F891" s="9"/>
    </row>
    <row r="892" customFormat="false" ht="21" hidden="false" customHeight="true" outlineLevel="0" collapsed="false">
      <c r="B892" s="41"/>
      <c r="C892" s="9"/>
      <c r="D892" s="44"/>
      <c r="E892" s="42"/>
      <c r="F892" s="9"/>
    </row>
    <row r="893" customFormat="false" ht="21" hidden="false" customHeight="true" outlineLevel="0" collapsed="false">
      <c r="B893" s="41"/>
      <c r="C893" s="9"/>
      <c r="D893" s="44"/>
      <c r="E893" s="42"/>
      <c r="F893" s="9"/>
    </row>
    <row r="894" customFormat="false" ht="21" hidden="false" customHeight="true" outlineLevel="0" collapsed="false">
      <c r="B894" s="41"/>
      <c r="C894" s="9"/>
      <c r="D894" s="44"/>
      <c r="E894" s="42"/>
      <c r="F894" s="9"/>
    </row>
    <row r="895" customFormat="false" ht="21" hidden="false" customHeight="true" outlineLevel="0" collapsed="false">
      <c r="B895" s="41"/>
      <c r="C895" s="9"/>
      <c r="D895" s="44"/>
      <c r="E895" s="42"/>
      <c r="F895" s="9"/>
    </row>
    <row r="896" customFormat="false" ht="21" hidden="false" customHeight="true" outlineLevel="0" collapsed="false">
      <c r="B896" s="41"/>
      <c r="C896" s="9"/>
      <c r="D896" s="44"/>
      <c r="E896" s="42"/>
      <c r="F896" s="9"/>
    </row>
    <row r="897" customFormat="false" ht="21" hidden="false" customHeight="true" outlineLevel="0" collapsed="false">
      <c r="B897" s="41"/>
      <c r="C897" s="9"/>
      <c r="D897" s="44"/>
      <c r="E897" s="42"/>
      <c r="F897" s="9"/>
    </row>
    <row r="898" customFormat="false" ht="21" hidden="false" customHeight="true" outlineLevel="0" collapsed="false">
      <c r="B898" s="41"/>
      <c r="C898" s="9"/>
      <c r="D898" s="44"/>
      <c r="E898" s="42"/>
      <c r="F898" s="9"/>
    </row>
    <row r="899" customFormat="false" ht="21" hidden="false" customHeight="true" outlineLevel="0" collapsed="false">
      <c r="B899" s="41"/>
      <c r="C899" s="9"/>
      <c r="D899" s="44"/>
      <c r="E899" s="42"/>
      <c r="F899" s="9"/>
    </row>
    <row r="900" customFormat="false" ht="21" hidden="false" customHeight="true" outlineLevel="0" collapsed="false">
      <c r="B900" s="41"/>
      <c r="C900" s="9"/>
      <c r="D900" s="44"/>
      <c r="E900" s="42"/>
      <c r="F900" s="9"/>
    </row>
    <row r="901" customFormat="false" ht="21" hidden="false" customHeight="true" outlineLevel="0" collapsed="false">
      <c r="B901" s="41"/>
      <c r="C901" s="9"/>
      <c r="D901" s="44"/>
      <c r="E901" s="42"/>
      <c r="F901" s="9"/>
    </row>
    <row r="902" customFormat="false" ht="21" hidden="false" customHeight="true" outlineLevel="0" collapsed="false">
      <c r="B902" s="41"/>
      <c r="C902" s="9"/>
      <c r="D902" s="44"/>
      <c r="E902" s="42"/>
      <c r="F902" s="9"/>
    </row>
    <row r="903" customFormat="false" ht="21" hidden="false" customHeight="true" outlineLevel="0" collapsed="false">
      <c r="B903" s="41"/>
      <c r="C903" s="9"/>
      <c r="D903" s="44"/>
      <c r="E903" s="42"/>
      <c r="F903" s="9"/>
    </row>
    <row r="904" customFormat="false" ht="21" hidden="false" customHeight="true" outlineLevel="0" collapsed="false">
      <c r="B904" s="41"/>
      <c r="C904" s="9"/>
      <c r="D904" s="44"/>
      <c r="E904" s="42"/>
      <c r="F904" s="9"/>
    </row>
    <row r="905" customFormat="false" ht="21" hidden="false" customHeight="true" outlineLevel="0" collapsed="false">
      <c r="B905" s="41"/>
      <c r="C905" s="9"/>
      <c r="D905" s="44"/>
      <c r="E905" s="42"/>
      <c r="F905" s="9"/>
    </row>
    <row r="906" customFormat="false" ht="21" hidden="false" customHeight="true" outlineLevel="0" collapsed="false">
      <c r="B906" s="41"/>
      <c r="C906" s="9"/>
      <c r="D906" s="44"/>
      <c r="E906" s="42"/>
      <c r="F906" s="9"/>
    </row>
    <row r="907" customFormat="false" ht="21" hidden="false" customHeight="true" outlineLevel="0" collapsed="false">
      <c r="B907" s="41"/>
      <c r="C907" s="9"/>
      <c r="D907" s="44"/>
      <c r="E907" s="42"/>
      <c r="F907" s="9"/>
    </row>
    <row r="908" customFormat="false" ht="21" hidden="false" customHeight="true" outlineLevel="0" collapsed="false">
      <c r="B908" s="41"/>
      <c r="C908" s="9"/>
      <c r="D908" s="44"/>
      <c r="E908" s="42"/>
      <c r="F908" s="9"/>
    </row>
    <row r="909" customFormat="false" ht="21" hidden="false" customHeight="true" outlineLevel="0" collapsed="false">
      <c r="B909" s="41"/>
      <c r="C909" s="9"/>
      <c r="D909" s="44"/>
      <c r="E909" s="42"/>
      <c r="F909" s="9"/>
    </row>
    <row r="910" customFormat="false" ht="21" hidden="false" customHeight="true" outlineLevel="0" collapsed="false">
      <c r="B910" s="41"/>
      <c r="C910" s="9"/>
      <c r="D910" s="44"/>
      <c r="E910" s="42"/>
      <c r="F910" s="9"/>
    </row>
    <row r="911" customFormat="false" ht="21" hidden="false" customHeight="true" outlineLevel="0" collapsed="false">
      <c r="B911" s="41"/>
      <c r="C911" s="9"/>
      <c r="D911" s="44"/>
      <c r="E911" s="42"/>
      <c r="F911" s="9"/>
    </row>
    <row r="912" customFormat="false" ht="21" hidden="false" customHeight="true" outlineLevel="0" collapsed="false">
      <c r="B912" s="41"/>
      <c r="C912" s="9"/>
      <c r="D912" s="44"/>
      <c r="E912" s="42"/>
      <c r="F912" s="9"/>
    </row>
    <row r="913" customFormat="false" ht="21" hidden="false" customHeight="true" outlineLevel="0" collapsed="false">
      <c r="B913" s="41"/>
      <c r="C913" s="9"/>
      <c r="D913" s="44"/>
      <c r="E913" s="42"/>
      <c r="F913" s="9"/>
    </row>
    <row r="914" customFormat="false" ht="21" hidden="false" customHeight="true" outlineLevel="0" collapsed="false">
      <c r="B914" s="41"/>
      <c r="C914" s="9"/>
      <c r="D914" s="44"/>
      <c r="E914" s="42"/>
      <c r="F914" s="9"/>
    </row>
    <row r="915" customFormat="false" ht="21" hidden="false" customHeight="true" outlineLevel="0" collapsed="false">
      <c r="B915" s="41"/>
      <c r="C915" s="9"/>
      <c r="D915" s="44"/>
      <c r="E915" s="42"/>
      <c r="F915" s="9"/>
    </row>
    <row r="916" customFormat="false" ht="21" hidden="false" customHeight="true" outlineLevel="0" collapsed="false">
      <c r="B916" s="41"/>
      <c r="C916" s="9"/>
      <c r="D916" s="44"/>
      <c r="E916" s="42"/>
      <c r="F916" s="9"/>
    </row>
    <row r="917" customFormat="false" ht="21" hidden="false" customHeight="true" outlineLevel="0" collapsed="false">
      <c r="B917" s="41"/>
      <c r="C917" s="9"/>
      <c r="D917" s="44"/>
      <c r="E917" s="42"/>
      <c r="F917" s="9"/>
    </row>
    <row r="918" customFormat="false" ht="21" hidden="false" customHeight="true" outlineLevel="0" collapsed="false">
      <c r="B918" s="41"/>
      <c r="C918" s="9"/>
      <c r="D918" s="44"/>
      <c r="E918" s="42"/>
      <c r="F918" s="9"/>
    </row>
    <row r="919" customFormat="false" ht="21" hidden="false" customHeight="true" outlineLevel="0" collapsed="false">
      <c r="B919" s="41"/>
      <c r="C919" s="9"/>
      <c r="D919" s="44"/>
      <c r="E919" s="42"/>
      <c r="F919" s="9"/>
    </row>
    <row r="920" customFormat="false" ht="21" hidden="false" customHeight="true" outlineLevel="0" collapsed="false">
      <c r="B920" s="41"/>
      <c r="C920" s="9"/>
      <c r="D920" s="44"/>
      <c r="E920" s="42"/>
      <c r="F920" s="9"/>
    </row>
    <row r="921" customFormat="false" ht="21" hidden="false" customHeight="true" outlineLevel="0" collapsed="false">
      <c r="B921" s="41"/>
      <c r="C921" s="9"/>
      <c r="D921" s="44"/>
      <c r="E921" s="42"/>
      <c r="F921" s="9"/>
    </row>
    <row r="922" customFormat="false" ht="21" hidden="false" customHeight="true" outlineLevel="0" collapsed="false">
      <c r="B922" s="41"/>
      <c r="C922" s="9"/>
      <c r="D922" s="44"/>
      <c r="E922" s="42"/>
      <c r="F922" s="9"/>
    </row>
    <row r="923" customFormat="false" ht="21" hidden="false" customHeight="true" outlineLevel="0" collapsed="false">
      <c r="B923" s="41"/>
      <c r="C923" s="9"/>
      <c r="D923" s="44"/>
      <c r="E923" s="42"/>
      <c r="F923" s="9"/>
    </row>
    <row r="924" customFormat="false" ht="21" hidden="false" customHeight="true" outlineLevel="0" collapsed="false">
      <c r="B924" s="41"/>
      <c r="C924" s="9"/>
      <c r="D924" s="44"/>
      <c r="E924" s="42"/>
      <c r="F924" s="9"/>
    </row>
    <row r="925" customFormat="false" ht="21" hidden="false" customHeight="true" outlineLevel="0" collapsed="false">
      <c r="B925" s="41"/>
      <c r="C925" s="9"/>
      <c r="D925" s="44"/>
      <c r="E925" s="42"/>
      <c r="F925" s="9"/>
    </row>
    <row r="926" customFormat="false" ht="21" hidden="false" customHeight="true" outlineLevel="0" collapsed="false">
      <c r="B926" s="41"/>
      <c r="C926" s="9"/>
      <c r="D926" s="44"/>
      <c r="E926" s="42"/>
      <c r="F926" s="9"/>
    </row>
    <row r="927" customFormat="false" ht="21" hidden="false" customHeight="true" outlineLevel="0" collapsed="false">
      <c r="B927" s="41"/>
      <c r="C927" s="9"/>
      <c r="D927" s="44"/>
      <c r="E927" s="42"/>
      <c r="F927" s="9"/>
    </row>
    <row r="928" customFormat="false" ht="21" hidden="false" customHeight="true" outlineLevel="0" collapsed="false">
      <c r="B928" s="41"/>
      <c r="C928" s="9"/>
      <c r="D928" s="44"/>
      <c r="E928" s="42"/>
      <c r="F928" s="9"/>
    </row>
    <row r="929" customFormat="false" ht="21" hidden="false" customHeight="true" outlineLevel="0" collapsed="false">
      <c r="B929" s="41"/>
      <c r="C929" s="9"/>
      <c r="D929" s="44"/>
      <c r="E929" s="42"/>
      <c r="F929" s="9"/>
    </row>
    <row r="930" customFormat="false" ht="21" hidden="false" customHeight="true" outlineLevel="0" collapsed="false">
      <c r="B930" s="41"/>
      <c r="C930" s="9"/>
      <c r="D930" s="44"/>
      <c r="E930" s="42"/>
      <c r="F930" s="9"/>
    </row>
    <row r="931" customFormat="false" ht="21" hidden="false" customHeight="true" outlineLevel="0" collapsed="false">
      <c r="B931" s="41"/>
      <c r="C931" s="9"/>
      <c r="D931" s="44"/>
      <c r="E931" s="42"/>
      <c r="F931" s="9"/>
    </row>
    <row r="932" customFormat="false" ht="21" hidden="false" customHeight="true" outlineLevel="0" collapsed="false">
      <c r="B932" s="41"/>
      <c r="C932" s="9"/>
      <c r="D932" s="44"/>
      <c r="E932" s="42"/>
      <c r="F932" s="9"/>
    </row>
    <row r="933" customFormat="false" ht="21" hidden="false" customHeight="true" outlineLevel="0" collapsed="false">
      <c r="B933" s="41"/>
      <c r="C933" s="9"/>
      <c r="D933" s="44"/>
      <c r="E933" s="42"/>
      <c r="F933" s="9"/>
    </row>
    <row r="934" customFormat="false" ht="21" hidden="false" customHeight="true" outlineLevel="0" collapsed="false">
      <c r="B934" s="41"/>
      <c r="C934" s="9"/>
      <c r="D934" s="44"/>
      <c r="E934" s="42"/>
      <c r="F934" s="9"/>
    </row>
    <row r="935" customFormat="false" ht="21" hidden="false" customHeight="true" outlineLevel="0" collapsed="false">
      <c r="B935" s="41"/>
      <c r="C935" s="9"/>
      <c r="D935" s="44"/>
      <c r="E935" s="42"/>
      <c r="F935" s="9"/>
    </row>
    <row r="936" customFormat="false" ht="21" hidden="false" customHeight="true" outlineLevel="0" collapsed="false">
      <c r="B936" s="41"/>
      <c r="C936" s="9"/>
      <c r="D936" s="44"/>
      <c r="E936" s="42"/>
      <c r="F936" s="9"/>
    </row>
    <row r="937" customFormat="false" ht="21" hidden="false" customHeight="true" outlineLevel="0" collapsed="false">
      <c r="B937" s="41"/>
      <c r="C937" s="9"/>
      <c r="D937" s="44"/>
      <c r="E937" s="42"/>
      <c r="F937" s="9"/>
    </row>
    <row r="938" customFormat="false" ht="21" hidden="false" customHeight="true" outlineLevel="0" collapsed="false">
      <c r="B938" s="41"/>
      <c r="C938" s="9"/>
      <c r="D938" s="44"/>
      <c r="E938" s="42"/>
      <c r="F938" s="9"/>
    </row>
    <row r="939" customFormat="false" ht="21" hidden="false" customHeight="true" outlineLevel="0" collapsed="false">
      <c r="B939" s="41"/>
      <c r="C939" s="9"/>
      <c r="D939" s="44"/>
      <c r="E939" s="42"/>
      <c r="F939" s="9"/>
    </row>
    <row r="940" customFormat="false" ht="21" hidden="false" customHeight="true" outlineLevel="0" collapsed="false">
      <c r="B940" s="41"/>
      <c r="C940" s="9"/>
      <c r="D940" s="44"/>
      <c r="E940" s="42"/>
      <c r="F940" s="9"/>
    </row>
    <row r="941" customFormat="false" ht="21" hidden="false" customHeight="true" outlineLevel="0" collapsed="false">
      <c r="B941" s="41"/>
      <c r="C941" s="9"/>
      <c r="D941" s="44"/>
      <c r="E941" s="42"/>
      <c r="F941" s="9"/>
    </row>
    <row r="942" customFormat="false" ht="21" hidden="false" customHeight="true" outlineLevel="0" collapsed="false">
      <c r="B942" s="41"/>
      <c r="C942" s="9"/>
      <c r="D942" s="44"/>
      <c r="E942" s="42"/>
      <c r="F942" s="9"/>
    </row>
    <row r="943" customFormat="false" ht="21" hidden="false" customHeight="true" outlineLevel="0" collapsed="false">
      <c r="B943" s="41"/>
      <c r="C943" s="9"/>
      <c r="D943" s="44"/>
      <c r="E943" s="42"/>
      <c r="F943" s="9"/>
    </row>
    <row r="944" customFormat="false" ht="21" hidden="false" customHeight="true" outlineLevel="0" collapsed="false">
      <c r="B944" s="41"/>
      <c r="C944" s="9"/>
      <c r="D944" s="44"/>
      <c r="E944" s="42"/>
      <c r="F944" s="9"/>
    </row>
    <row r="945" customFormat="false" ht="21" hidden="false" customHeight="true" outlineLevel="0" collapsed="false">
      <c r="B945" s="41"/>
      <c r="C945" s="9"/>
      <c r="D945" s="44"/>
      <c r="E945" s="42"/>
      <c r="F945" s="9"/>
    </row>
    <row r="946" customFormat="false" ht="21" hidden="false" customHeight="true" outlineLevel="0" collapsed="false">
      <c r="B946" s="41"/>
      <c r="C946" s="9"/>
      <c r="D946" s="44"/>
      <c r="E946" s="42"/>
      <c r="F946" s="9"/>
    </row>
    <row r="947" customFormat="false" ht="21" hidden="false" customHeight="true" outlineLevel="0" collapsed="false">
      <c r="B947" s="41"/>
      <c r="C947" s="9"/>
      <c r="D947" s="44"/>
      <c r="E947" s="42"/>
      <c r="F947" s="9"/>
    </row>
    <row r="948" customFormat="false" ht="21" hidden="false" customHeight="true" outlineLevel="0" collapsed="false">
      <c r="B948" s="41"/>
      <c r="C948" s="9"/>
      <c r="D948" s="44"/>
      <c r="E948" s="42"/>
      <c r="F948" s="9"/>
    </row>
    <row r="949" customFormat="false" ht="21" hidden="false" customHeight="true" outlineLevel="0" collapsed="false">
      <c r="B949" s="41"/>
      <c r="C949" s="9"/>
      <c r="D949" s="44"/>
      <c r="E949" s="42"/>
      <c r="F949" s="9"/>
    </row>
    <row r="950" customFormat="false" ht="21" hidden="false" customHeight="true" outlineLevel="0" collapsed="false">
      <c r="B950" s="41"/>
      <c r="C950" s="9"/>
      <c r="D950" s="44"/>
      <c r="E950" s="42"/>
      <c r="F950" s="9"/>
    </row>
    <row r="951" customFormat="false" ht="21" hidden="false" customHeight="true" outlineLevel="0" collapsed="false">
      <c r="B951" s="41"/>
      <c r="C951" s="9"/>
      <c r="D951" s="44"/>
      <c r="E951" s="42"/>
      <c r="F951" s="9"/>
    </row>
    <row r="952" customFormat="false" ht="21" hidden="false" customHeight="true" outlineLevel="0" collapsed="false">
      <c r="B952" s="41"/>
      <c r="C952" s="9"/>
      <c r="D952" s="44"/>
      <c r="E952" s="42"/>
      <c r="F952" s="9"/>
    </row>
    <row r="953" customFormat="false" ht="21" hidden="false" customHeight="true" outlineLevel="0" collapsed="false">
      <c r="B953" s="41"/>
      <c r="C953" s="9"/>
      <c r="D953" s="44"/>
      <c r="E953" s="42"/>
      <c r="F953" s="9"/>
    </row>
    <row r="954" customFormat="false" ht="21" hidden="false" customHeight="true" outlineLevel="0" collapsed="false">
      <c r="B954" s="41"/>
      <c r="C954" s="9"/>
      <c r="D954" s="44"/>
      <c r="E954" s="42"/>
      <c r="F954" s="9"/>
    </row>
    <row r="955" customFormat="false" ht="21" hidden="false" customHeight="true" outlineLevel="0" collapsed="false">
      <c r="B955" s="41"/>
      <c r="C955" s="9"/>
      <c r="D955" s="44"/>
      <c r="E955" s="42"/>
      <c r="F955" s="9"/>
    </row>
    <row r="956" customFormat="false" ht="21" hidden="false" customHeight="true" outlineLevel="0" collapsed="false">
      <c r="B956" s="41"/>
      <c r="C956" s="9"/>
      <c r="D956" s="44"/>
      <c r="E956" s="42"/>
      <c r="F956" s="9"/>
    </row>
    <row r="957" customFormat="false" ht="21" hidden="false" customHeight="true" outlineLevel="0" collapsed="false">
      <c r="B957" s="41"/>
      <c r="C957" s="9"/>
      <c r="D957" s="44"/>
      <c r="E957" s="42"/>
      <c r="F957" s="9"/>
    </row>
    <row r="958" customFormat="false" ht="21" hidden="false" customHeight="true" outlineLevel="0" collapsed="false">
      <c r="B958" s="41"/>
      <c r="C958" s="9"/>
      <c r="D958" s="44"/>
      <c r="E958" s="42"/>
      <c r="F958" s="9"/>
    </row>
    <row r="959" customFormat="false" ht="21" hidden="false" customHeight="true" outlineLevel="0" collapsed="false">
      <c r="B959" s="41"/>
      <c r="C959" s="9"/>
      <c r="D959" s="44"/>
      <c r="E959" s="42"/>
      <c r="F959" s="9"/>
    </row>
    <row r="960" customFormat="false" ht="21" hidden="false" customHeight="true" outlineLevel="0" collapsed="false">
      <c r="B960" s="41"/>
      <c r="C960" s="9"/>
      <c r="D960" s="44"/>
      <c r="E960" s="42"/>
      <c r="F960" s="9"/>
    </row>
    <row r="961" customFormat="false" ht="21" hidden="false" customHeight="true" outlineLevel="0" collapsed="false">
      <c r="B961" s="41"/>
      <c r="C961" s="9"/>
      <c r="D961" s="44"/>
      <c r="E961" s="42"/>
      <c r="F961" s="9"/>
    </row>
    <row r="962" customFormat="false" ht="21" hidden="false" customHeight="true" outlineLevel="0" collapsed="false">
      <c r="B962" s="41"/>
      <c r="C962" s="9"/>
      <c r="D962" s="44"/>
      <c r="E962" s="42"/>
      <c r="F962" s="9"/>
    </row>
    <row r="963" customFormat="false" ht="21" hidden="false" customHeight="true" outlineLevel="0" collapsed="false">
      <c r="B963" s="41"/>
      <c r="C963" s="9"/>
      <c r="D963" s="44"/>
      <c r="E963" s="42"/>
      <c r="F963" s="9"/>
    </row>
    <row r="964" customFormat="false" ht="21" hidden="false" customHeight="true" outlineLevel="0" collapsed="false">
      <c r="B964" s="41"/>
      <c r="C964" s="9"/>
      <c r="D964" s="44"/>
      <c r="E964" s="42"/>
      <c r="F964" s="9"/>
    </row>
    <row r="965" customFormat="false" ht="21" hidden="false" customHeight="true" outlineLevel="0" collapsed="false">
      <c r="B965" s="41"/>
      <c r="C965" s="9"/>
      <c r="D965" s="44"/>
      <c r="E965" s="42"/>
      <c r="F965" s="9"/>
    </row>
    <row r="966" customFormat="false" ht="21" hidden="false" customHeight="true" outlineLevel="0" collapsed="false">
      <c r="B966" s="41"/>
      <c r="C966" s="9"/>
      <c r="D966" s="44"/>
      <c r="E966" s="42"/>
      <c r="F966" s="9"/>
    </row>
    <row r="967" customFormat="false" ht="21" hidden="false" customHeight="true" outlineLevel="0" collapsed="false">
      <c r="B967" s="41"/>
      <c r="C967" s="9"/>
      <c r="D967" s="44"/>
      <c r="E967" s="42"/>
      <c r="F967" s="9"/>
    </row>
    <row r="968" customFormat="false" ht="21" hidden="false" customHeight="true" outlineLevel="0" collapsed="false">
      <c r="B968" s="41"/>
      <c r="C968" s="9"/>
      <c r="D968" s="44"/>
      <c r="E968" s="42"/>
      <c r="F968" s="9"/>
    </row>
    <row r="969" customFormat="false" ht="21" hidden="false" customHeight="true" outlineLevel="0" collapsed="false">
      <c r="B969" s="41"/>
      <c r="C969" s="9"/>
      <c r="D969" s="44"/>
      <c r="E969" s="42"/>
      <c r="F969" s="9"/>
    </row>
    <row r="970" customFormat="false" ht="21" hidden="false" customHeight="true" outlineLevel="0" collapsed="false">
      <c r="B970" s="41"/>
      <c r="C970" s="9"/>
      <c r="D970" s="44"/>
      <c r="E970" s="42"/>
      <c r="F970" s="9"/>
    </row>
    <row r="971" customFormat="false" ht="21" hidden="false" customHeight="true" outlineLevel="0" collapsed="false">
      <c r="B971" s="41"/>
      <c r="C971" s="9"/>
      <c r="D971" s="44"/>
      <c r="E971" s="42"/>
      <c r="F971" s="9"/>
    </row>
    <row r="972" customFormat="false" ht="21" hidden="false" customHeight="true" outlineLevel="0" collapsed="false">
      <c r="B972" s="41"/>
      <c r="C972" s="9"/>
      <c r="D972" s="44"/>
      <c r="E972" s="42"/>
      <c r="F972" s="9"/>
    </row>
    <row r="973" customFormat="false" ht="21" hidden="false" customHeight="true" outlineLevel="0" collapsed="false">
      <c r="B973" s="41"/>
      <c r="C973" s="9"/>
      <c r="D973" s="44"/>
      <c r="E973" s="42"/>
      <c r="F973" s="9"/>
    </row>
    <row r="974" customFormat="false" ht="21" hidden="false" customHeight="true" outlineLevel="0" collapsed="false">
      <c r="B974" s="41"/>
      <c r="C974" s="9"/>
      <c r="D974" s="44"/>
      <c r="E974" s="42"/>
      <c r="F974" s="9"/>
    </row>
    <row r="975" customFormat="false" ht="21" hidden="false" customHeight="true" outlineLevel="0" collapsed="false">
      <c r="B975" s="41"/>
      <c r="C975" s="9"/>
      <c r="D975" s="44"/>
      <c r="E975" s="42"/>
      <c r="F975" s="9"/>
    </row>
    <row r="976" customFormat="false" ht="21" hidden="false" customHeight="true" outlineLevel="0" collapsed="false">
      <c r="B976" s="41"/>
      <c r="C976" s="9"/>
      <c r="D976" s="44"/>
      <c r="E976" s="42"/>
      <c r="F976" s="9"/>
    </row>
    <row r="977" customFormat="false" ht="21" hidden="false" customHeight="true" outlineLevel="0" collapsed="false">
      <c r="B977" s="41"/>
      <c r="C977" s="9"/>
      <c r="D977" s="44"/>
      <c r="E977" s="42"/>
      <c r="F977" s="9"/>
    </row>
    <row r="978" customFormat="false" ht="21" hidden="false" customHeight="true" outlineLevel="0" collapsed="false">
      <c r="B978" s="41"/>
      <c r="C978" s="9"/>
      <c r="D978" s="44"/>
      <c r="E978" s="42"/>
      <c r="F978" s="9"/>
    </row>
    <row r="979" customFormat="false" ht="21" hidden="false" customHeight="true" outlineLevel="0" collapsed="false">
      <c r="B979" s="41"/>
      <c r="C979" s="9"/>
      <c r="D979" s="44"/>
      <c r="E979" s="42"/>
      <c r="F979" s="9"/>
    </row>
    <row r="980" customFormat="false" ht="21" hidden="false" customHeight="true" outlineLevel="0" collapsed="false">
      <c r="B980" s="41"/>
      <c r="C980" s="9"/>
      <c r="D980" s="44"/>
      <c r="E980" s="42"/>
      <c r="F980" s="9"/>
    </row>
    <row r="981" customFormat="false" ht="21" hidden="false" customHeight="true" outlineLevel="0" collapsed="false">
      <c r="B981" s="41"/>
      <c r="C981" s="9"/>
      <c r="D981" s="44"/>
      <c r="E981" s="42"/>
      <c r="F981" s="9"/>
    </row>
    <row r="982" customFormat="false" ht="21" hidden="false" customHeight="true" outlineLevel="0" collapsed="false">
      <c r="B982" s="41"/>
      <c r="C982" s="9"/>
      <c r="D982" s="44"/>
      <c r="E982" s="42"/>
      <c r="F982" s="9"/>
    </row>
    <row r="983" customFormat="false" ht="21" hidden="false" customHeight="true" outlineLevel="0" collapsed="false">
      <c r="B983" s="41"/>
      <c r="C983" s="9"/>
      <c r="D983" s="44"/>
      <c r="E983" s="42"/>
      <c r="F983" s="9"/>
    </row>
    <row r="984" customFormat="false" ht="21" hidden="false" customHeight="true" outlineLevel="0" collapsed="false">
      <c r="B984" s="41"/>
      <c r="C984" s="9"/>
      <c r="D984" s="44"/>
      <c r="E984" s="42"/>
      <c r="F984" s="9"/>
    </row>
    <row r="985" customFormat="false" ht="21" hidden="false" customHeight="true" outlineLevel="0" collapsed="false">
      <c r="B985" s="41"/>
      <c r="C985" s="9"/>
      <c r="D985" s="44"/>
      <c r="E985" s="42"/>
      <c r="F985" s="9"/>
    </row>
    <row r="986" customFormat="false" ht="21" hidden="false" customHeight="true" outlineLevel="0" collapsed="false">
      <c r="B986" s="41"/>
      <c r="C986" s="9"/>
      <c r="D986" s="44"/>
      <c r="E986" s="42"/>
      <c r="F986" s="9"/>
    </row>
    <row r="987" customFormat="false" ht="21" hidden="false" customHeight="true" outlineLevel="0" collapsed="false">
      <c r="B987" s="41"/>
      <c r="C987" s="9"/>
      <c r="D987" s="44"/>
      <c r="E987" s="42"/>
      <c r="F987" s="9"/>
    </row>
    <row r="988" customFormat="false" ht="21" hidden="false" customHeight="true" outlineLevel="0" collapsed="false">
      <c r="B988" s="41"/>
      <c r="C988" s="9"/>
      <c r="D988" s="44"/>
      <c r="E988" s="42"/>
      <c r="F988" s="9"/>
    </row>
    <row r="989" customFormat="false" ht="21" hidden="false" customHeight="true" outlineLevel="0" collapsed="false">
      <c r="B989" s="41"/>
      <c r="C989" s="9"/>
      <c r="D989" s="44"/>
      <c r="E989" s="42"/>
      <c r="F989" s="9"/>
    </row>
    <row r="990" customFormat="false" ht="21" hidden="false" customHeight="true" outlineLevel="0" collapsed="false">
      <c r="B990" s="41"/>
      <c r="C990" s="9"/>
      <c r="D990" s="44"/>
      <c r="E990" s="42"/>
      <c r="F990" s="9"/>
    </row>
    <row r="991" customFormat="false" ht="21" hidden="false" customHeight="true" outlineLevel="0" collapsed="false">
      <c r="B991" s="41"/>
      <c r="C991" s="9"/>
      <c r="D991" s="44"/>
      <c r="E991" s="42"/>
      <c r="F991" s="9"/>
    </row>
    <row r="992" customFormat="false" ht="21" hidden="false" customHeight="true" outlineLevel="0" collapsed="false">
      <c r="B992" s="41"/>
      <c r="C992" s="9"/>
      <c r="D992" s="44"/>
      <c r="E992" s="42"/>
      <c r="F992" s="9"/>
    </row>
    <row r="993" customFormat="false" ht="21" hidden="false" customHeight="true" outlineLevel="0" collapsed="false">
      <c r="B993" s="41"/>
      <c r="C993" s="9"/>
      <c r="D993" s="44"/>
      <c r="E993" s="42"/>
      <c r="F993" s="9"/>
    </row>
    <row r="994" customFormat="false" ht="21" hidden="false" customHeight="true" outlineLevel="0" collapsed="false">
      <c r="B994" s="41"/>
      <c r="C994" s="9"/>
      <c r="D994" s="44"/>
      <c r="E994" s="42"/>
      <c r="F994" s="9"/>
    </row>
    <row r="995" customFormat="false" ht="21" hidden="false" customHeight="true" outlineLevel="0" collapsed="false">
      <c r="B995" s="41"/>
      <c r="C995" s="9"/>
      <c r="D995" s="44"/>
      <c r="E995" s="42"/>
      <c r="F995" s="9"/>
    </row>
    <row r="996" customFormat="false" ht="21" hidden="false" customHeight="true" outlineLevel="0" collapsed="false">
      <c r="B996" s="41"/>
      <c r="C996" s="9"/>
      <c r="D996" s="44"/>
      <c r="E996" s="42"/>
      <c r="F996" s="9"/>
    </row>
    <row r="997" customFormat="false" ht="21" hidden="false" customHeight="true" outlineLevel="0" collapsed="false">
      <c r="B997" s="41"/>
      <c r="C997" s="9"/>
      <c r="D997" s="44"/>
      <c r="E997" s="42"/>
      <c r="F997" s="9"/>
    </row>
    <row r="998" customFormat="false" ht="21" hidden="false" customHeight="true" outlineLevel="0" collapsed="false">
      <c r="B998" s="41"/>
      <c r="C998" s="9"/>
      <c r="D998" s="44"/>
      <c r="E998" s="42"/>
      <c r="F998" s="9"/>
    </row>
    <row r="999" customFormat="false" ht="21" hidden="false" customHeight="true" outlineLevel="0" collapsed="false">
      <c r="B999" s="41"/>
      <c r="C999" s="9"/>
      <c r="D999" s="44"/>
      <c r="E999" s="42"/>
      <c r="F999" s="9"/>
    </row>
    <row r="1000" customFormat="false" ht="21" hidden="false" customHeight="true" outlineLevel="0" collapsed="false">
      <c r="B1000" s="41"/>
      <c r="C1000" s="9"/>
      <c r="D1000" s="44"/>
      <c r="E1000" s="42"/>
      <c r="F1000" s="9"/>
    </row>
    <row r="1001" customFormat="false" ht="21" hidden="false" customHeight="true" outlineLevel="0" collapsed="false">
      <c r="B1001" s="41"/>
      <c r="C1001" s="9"/>
      <c r="D1001" s="44"/>
      <c r="E1001" s="42"/>
      <c r="F1001" s="9"/>
    </row>
    <row r="1002" customFormat="false" ht="21" hidden="false" customHeight="true" outlineLevel="0" collapsed="false">
      <c r="B1002" s="41"/>
      <c r="C1002" s="9"/>
      <c r="D1002" s="44"/>
      <c r="E1002" s="42"/>
      <c r="F1002" s="9"/>
    </row>
    <row r="1003" customFormat="false" ht="21" hidden="false" customHeight="true" outlineLevel="0" collapsed="false">
      <c r="B1003" s="41"/>
      <c r="C1003" s="9"/>
      <c r="D1003" s="44"/>
      <c r="E1003" s="42"/>
      <c r="F1003" s="9"/>
    </row>
    <row r="1004" customFormat="false" ht="21" hidden="false" customHeight="true" outlineLevel="0" collapsed="false">
      <c r="B1004" s="41"/>
      <c r="C1004" s="9"/>
      <c r="D1004" s="44"/>
      <c r="E1004" s="42"/>
      <c r="F1004" s="9"/>
    </row>
    <row r="1005" customFormat="false" ht="21" hidden="false" customHeight="true" outlineLevel="0" collapsed="false">
      <c r="B1005" s="41"/>
      <c r="C1005" s="9"/>
      <c r="D1005" s="44"/>
      <c r="E1005" s="42"/>
      <c r="F1005" s="9"/>
    </row>
    <row r="1006" customFormat="false" ht="21" hidden="false" customHeight="true" outlineLevel="0" collapsed="false">
      <c r="B1006" s="41"/>
      <c r="C1006" s="9"/>
      <c r="D1006" s="44"/>
      <c r="E1006" s="42"/>
      <c r="F1006" s="9"/>
    </row>
    <row r="1007" customFormat="false" ht="21" hidden="false" customHeight="true" outlineLevel="0" collapsed="false">
      <c r="B1007" s="41"/>
      <c r="C1007" s="9"/>
      <c r="D1007" s="44"/>
      <c r="E1007" s="42"/>
      <c r="F1007" s="9"/>
    </row>
    <row r="1008" customFormat="false" ht="21" hidden="false" customHeight="true" outlineLevel="0" collapsed="false">
      <c r="B1008" s="41"/>
      <c r="C1008" s="9"/>
      <c r="D1008" s="44"/>
      <c r="E1008" s="42"/>
      <c r="F1008" s="9"/>
    </row>
    <row r="1009" customFormat="false" ht="21" hidden="false" customHeight="true" outlineLevel="0" collapsed="false"/>
    <row r="1010" customFormat="false" ht="21" hidden="false" customHeight="true" outlineLevel="0" collapsed="false"/>
    <row r="1011" customFormat="false" ht="21" hidden="false" customHeight="true" outlineLevel="0" collapsed="false"/>
    <row r="1012" customFormat="false" ht="21" hidden="false" customHeight="true" outlineLevel="0" collapsed="false"/>
    <row r="1013" customFormat="false" ht="21" hidden="false" customHeight="true" outlineLevel="0" collapsed="false"/>
    <row r="1014" customFormat="false" ht="21" hidden="false" customHeight="true" outlineLevel="0" collapsed="false"/>
    <row r="1015" customFormat="false" ht="21" hidden="false" customHeight="true" outlineLevel="0" collapsed="false"/>
    <row r="1016" customFormat="false" ht="21" hidden="false" customHeight="true" outlineLevel="0" collapsed="false"/>
    <row r="1017" customFormat="false" ht="21" hidden="false" customHeight="true" outlineLevel="0" collapsed="false"/>
    <row r="1018" customFormat="false" ht="21" hidden="false" customHeight="true" outlineLevel="0" collapsed="false"/>
    <row r="1019" customFormat="false" ht="21" hidden="false" customHeight="true" outlineLevel="0" collapsed="false"/>
    <row r="1020" customFormat="false" ht="21" hidden="false" customHeight="true" outlineLevel="0" collapsed="false"/>
    <row r="1021" customFormat="false" ht="21" hidden="false" customHeight="true" outlineLevel="0" collapsed="false"/>
    <row r="1022" customFormat="false" ht="21" hidden="false" customHeight="true" outlineLevel="0" collapsed="false"/>
    <row r="1023" customFormat="false" ht="21" hidden="false" customHeight="true" outlineLevel="0" collapsed="false"/>
    <row r="1024" customFormat="false" ht="21" hidden="false" customHeight="true" outlineLevel="0" collapsed="false"/>
    <row r="1025" customFormat="false" ht="21" hidden="false" customHeight="true" outlineLevel="0" collapsed="false"/>
    <row r="1026" customFormat="false" ht="21" hidden="false" customHeight="true" outlineLevel="0" collapsed="false"/>
    <row r="1027" customFormat="false" ht="21" hidden="false" customHeight="true" outlineLevel="0" collapsed="false"/>
    <row r="1028" customFormat="false" ht="21" hidden="false" customHeight="true" outlineLevel="0" collapsed="false"/>
    <row r="1029" customFormat="false" ht="21" hidden="false" customHeight="true" outlineLevel="0" collapsed="false"/>
    <row r="1030" customFormat="false" ht="21" hidden="false" customHeight="true" outlineLevel="0" collapsed="false"/>
    <row r="1031" customFormat="false" ht="21" hidden="false" customHeight="true" outlineLevel="0" collapsed="false"/>
    <row r="1032" customFormat="false" ht="21" hidden="false" customHeight="true" outlineLevel="0" collapsed="false"/>
    <row r="1033" customFormat="false" ht="21" hidden="false" customHeight="true" outlineLevel="0" collapsed="false"/>
    <row r="1034" customFormat="false" ht="21" hidden="false" customHeight="true" outlineLevel="0" collapsed="false"/>
    <row r="1035" customFormat="false" ht="21" hidden="false" customHeight="true" outlineLevel="0" collapsed="false"/>
    <row r="1036" customFormat="false" ht="21" hidden="false" customHeight="true" outlineLevel="0" collapsed="false"/>
    <row r="1037" customFormat="false" ht="21" hidden="false" customHeight="true" outlineLevel="0" collapsed="false"/>
    <row r="1038" customFormat="false" ht="21" hidden="false" customHeight="true" outlineLevel="0" collapsed="false"/>
    <row r="1039" customFormat="false" ht="21" hidden="false" customHeight="true" outlineLevel="0" collapsed="false"/>
    <row r="1040" customFormat="false" ht="21" hidden="false" customHeight="true" outlineLevel="0" collapsed="false"/>
    <row r="1041" customFormat="false" ht="21" hidden="false" customHeight="true" outlineLevel="0" collapsed="false"/>
    <row r="1042" customFormat="false" ht="21" hidden="false" customHeight="true" outlineLevel="0" collapsed="false"/>
    <row r="1043" customFormat="false" ht="21" hidden="false" customHeight="true" outlineLevel="0" collapsed="false"/>
    <row r="1044" customFormat="false" ht="21" hidden="false" customHeight="true" outlineLevel="0" collapsed="false"/>
    <row r="1045" customFormat="false" ht="21" hidden="false" customHeight="true" outlineLevel="0" collapsed="false"/>
    <row r="1046" customFormat="false" ht="21" hidden="false" customHeight="true" outlineLevel="0" collapsed="false"/>
    <row r="1047" customFormat="false" ht="21" hidden="false" customHeight="true" outlineLevel="0" collapsed="false"/>
    <row r="1048" customFormat="false" ht="21" hidden="false" customHeight="true" outlineLevel="0" collapsed="false"/>
    <row r="1049" customFormat="false" ht="21" hidden="false" customHeight="true" outlineLevel="0" collapsed="false"/>
    <row r="1050" customFormat="false" ht="21" hidden="false" customHeight="true" outlineLevel="0" collapsed="false"/>
    <row r="1051" customFormat="false" ht="21" hidden="false" customHeight="true" outlineLevel="0" collapsed="false"/>
    <row r="1052" customFormat="false" ht="21" hidden="false" customHeight="true" outlineLevel="0" collapsed="false"/>
    <row r="1053" customFormat="false" ht="21" hidden="false" customHeight="true" outlineLevel="0" collapsed="false"/>
    <row r="1054" customFormat="false" ht="21" hidden="false" customHeight="true" outlineLevel="0" collapsed="false"/>
    <row r="1055" customFormat="false" ht="21" hidden="false" customHeight="true" outlineLevel="0" collapsed="false"/>
    <row r="1056" customFormat="false" ht="21" hidden="false" customHeight="true" outlineLevel="0" collapsed="false"/>
    <row r="1057" customFormat="false" ht="21" hidden="false" customHeight="true" outlineLevel="0" collapsed="false"/>
    <row r="1058" customFormat="false" ht="21" hidden="false" customHeight="true" outlineLevel="0" collapsed="false"/>
    <row r="1059" customFormat="false" ht="21" hidden="false" customHeight="true" outlineLevel="0" collapsed="false"/>
    <row r="1060" customFormat="false" ht="21" hidden="false" customHeight="true" outlineLevel="0" collapsed="false"/>
    <row r="1061" customFormat="false" ht="21" hidden="false" customHeight="true" outlineLevel="0" collapsed="false"/>
    <row r="1062" customFormat="false" ht="21" hidden="false" customHeight="true" outlineLevel="0" collapsed="false"/>
    <row r="1063" customFormat="false" ht="21" hidden="false" customHeight="true" outlineLevel="0" collapsed="false"/>
    <row r="1064" customFormat="false" ht="21" hidden="false" customHeight="true" outlineLevel="0" collapsed="false"/>
    <row r="1065" customFormat="false" ht="21" hidden="false" customHeight="true" outlineLevel="0" collapsed="false"/>
    <row r="1066" customFormat="false" ht="21" hidden="false" customHeight="true" outlineLevel="0" collapsed="false"/>
    <row r="1067" customFormat="false" ht="21" hidden="false" customHeight="true" outlineLevel="0" collapsed="false"/>
    <row r="1068" customFormat="false" ht="21" hidden="false" customHeight="true" outlineLevel="0" collapsed="false"/>
    <row r="1069" customFormat="false" ht="21" hidden="false" customHeight="true" outlineLevel="0" collapsed="false"/>
    <row r="1070" customFormat="false" ht="21" hidden="false" customHeight="true" outlineLevel="0" collapsed="false"/>
    <row r="1071" customFormat="false" ht="21" hidden="false" customHeight="true" outlineLevel="0" collapsed="false"/>
    <row r="1072" customFormat="false" ht="21" hidden="false" customHeight="true" outlineLevel="0" collapsed="false"/>
    <row r="1073" customFormat="false" ht="21" hidden="false" customHeight="true" outlineLevel="0" collapsed="false"/>
    <row r="1074" customFormat="false" ht="21" hidden="false" customHeight="true" outlineLevel="0" collapsed="false"/>
    <row r="1075" customFormat="false" ht="21" hidden="false" customHeight="true" outlineLevel="0" collapsed="false"/>
    <row r="1076" customFormat="false" ht="21" hidden="false" customHeight="true" outlineLevel="0" collapsed="false"/>
    <row r="1077" customFormat="false" ht="21" hidden="false" customHeight="true" outlineLevel="0" collapsed="false"/>
    <row r="1078" customFormat="false" ht="21" hidden="false" customHeight="true" outlineLevel="0" collapsed="false"/>
    <row r="1079" customFormat="false" ht="21" hidden="false" customHeight="true" outlineLevel="0" collapsed="false"/>
    <row r="1080" customFormat="false" ht="21" hidden="false" customHeight="true" outlineLevel="0" collapsed="false"/>
    <row r="1081" customFormat="false" ht="21" hidden="false" customHeight="true" outlineLevel="0" collapsed="false"/>
    <row r="1082" customFormat="false" ht="21" hidden="false" customHeight="true" outlineLevel="0" collapsed="false"/>
    <row r="1083" customFormat="false" ht="21" hidden="false" customHeight="true" outlineLevel="0" collapsed="false"/>
    <row r="1084" customFormat="false" ht="21" hidden="false" customHeight="true" outlineLevel="0" collapsed="false"/>
    <row r="1085" customFormat="false" ht="21" hidden="false" customHeight="true" outlineLevel="0" collapsed="false"/>
    <row r="1086" customFormat="false" ht="21" hidden="false" customHeight="true" outlineLevel="0" collapsed="false"/>
    <row r="1087" customFormat="false" ht="21" hidden="false" customHeight="true" outlineLevel="0" collapsed="false"/>
    <row r="1088" customFormat="false" ht="21" hidden="false" customHeight="true" outlineLevel="0" collapsed="false"/>
    <row r="1089" customFormat="false" ht="21" hidden="false" customHeight="true" outlineLevel="0" collapsed="false"/>
    <row r="1090" customFormat="false" ht="21" hidden="false" customHeight="true" outlineLevel="0" collapsed="false"/>
    <row r="1091" customFormat="false" ht="21" hidden="false" customHeight="true" outlineLevel="0" collapsed="false"/>
    <row r="1092" customFormat="false" ht="21" hidden="false" customHeight="true" outlineLevel="0" collapsed="false"/>
    <row r="1093" customFormat="false" ht="21" hidden="false" customHeight="true" outlineLevel="0" collapsed="false"/>
    <row r="1094" customFormat="false" ht="21" hidden="false" customHeight="true" outlineLevel="0" collapsed="false"/>
    <row r="1095" customFormat="false" ht="21" hidden="false" customHeight="true" outlineLevel="0" collapsed="false"/>
    <row r="1096" customFormat="false" ht="21" hidden="false" customHeight="true" outlineLevel="0" collapsed="false"/>
    <row r="1097" customFormat="false" ht="21" hidden="false" customHeight="true" outlineLevel="0" collapsed="false"/>
    <row r="1098" customFormat="false" ht="21" hidden="false" customHeight="true" outlineLevel="0" collapsed="false"/>
    <row r="1099" customFormat="false" ht="21" hidden="false" customHeight="true" outlineLevel="0" collapsed="false"/>
    <row r="1100" customFormat="false" ht="21" hidden="false" customHeight="true" outlineLevel="0" collapsed="false"/>
    <row r="1101" customFormat="false" ht="21" hidden="false" customHeight="true" outlineLevel="0" collapsed="false"/>
    <row r="1102" customFormat="false" ht="21" hidden="false" customHeight="true" outlineLevel="0" collapsed="false"/>
    <row r="1103" customFormat="false" ht="21" hidden="false" customHeight="true" outlineLevel="0" collapsed="false"/>
    <row r="1104" customFormat="false" ht="21" hidden="false" customHeight="true" outlineLevel="0" collapsed="false"/>
    <row r="1105" customFormat="false" ht="21" hidden="false" customHeight="true" outlineLevel="0" collapsed="false"/>
    <row r="1106" customFormat="false" ht="21" hidden="false" customHeight="true" outlineLevel="0" collapsed="false"/>
    <row r="1107" customFormat="false" ht="21" hidden="false" customHeight="true" outlineLevel="0" collapsed="false"/>
    <row r="1108" customFormat="false" ht="21" hidden="false" customHeight="true" outlineLevel="0" collapsed="false"/>
    <row r="1109" customFormat="false" ht="21" hidden="false" customHeight="true" outlineLevel="0" collapsed="false"/>
    <row r="1110" customFormat="false" ht="21" hidden="false" customHeight="true" outlineLevel="0" collapsed="false"/>
    <row r="1111" customFormat="false" ht="21" hidden="false" customHeight="true" outlineLevel="0" collapsed="false"/>
    <row r="1112" customFormat="false" ht="21" hidden="false" customHeight="true" outlineLevel="0" collapsed="false"/>
    <row r="1113" customFormat="false" ht="21" hidden="false" customHeight="true" outlineLevel="0" collapsed="false"/>
    <row r="1114" customFormat="false" ht="21" hidden="false" customHeight="true" outlineLevel="0" collapsed="false"/>
    <row r="1115" customFormat="false" ht="21" hidden="false" customHeight="true" outlineLevel="0" collapsed="false"/>
    <row r="1116" customFormat="false" ht="21" hidden="false" customHeight="true" outlineLevel="0" collapsed="false"/>
    <row r="1117" customFormat="false" ht="21" hidden="false" customHeight="true" outlineLevel="0" collapsed="false"/>
    <row r="1118" customFormat="false" ht="21" hidden="false" customHeight="true" outlineLevel="0" collapsed="false"/>
    <row r="1119" customFormat="false" ht="21" hidden="false" customHeight="true" outlineLevel="0" collapsed="false"/>
    <row r="1120" customFormat="false" ht="21" hidden="false" customHeight="true" outlineLevel="0" collapsed="false"/>
    <row r="1121" customFormat="false" ht="21" hidden="false" customHeight="true" outlineLevel="0" collapsed="false"/>
    <row r="1122" customFormat="false" ht="21" hidden="false" customHeight="true" outlineLevel="0" collapsed="false"/>
    <row r="1123" customFormat="false" ht="21" hidden="false" customHeight="true" outlineLevel="0" collapsed="false"/>
    <row r="1124" customFormat="false" ht="21" hidden="false" customHeight="true" outlineLevel="0" collapsed="false"/>
    <row r="1125" customFormat="false" ht="21" hidden="false" customHeight="true" outlineLevel="0" collapsed="false"/>
    <row r="1126" customFormat="false" ht="21" hidden="false" customHeight="true" outlineLevel="0" collapsed="false"/>
    <row r="1127" customFormat="false" ht="21" hidden="false" customHeight="true" outlineLevel="0" collapsed="false"/>
    <row r="1128" customFormat="false" ht="21" hidden="false" customHeight="true" outlineLevel="0" collapsed="false"/>
    <row r="1129" customFormat="false" ht="21" hidden="false" customHeight="true" outlineLevel="0" collapsed="false"/>
    <row r="1130" customFormat="false" ht="21" hidden="false" customHeight="true" outlineLevel="0" collapsed="false"/>
    <row r="1131" customFormat="false" ht="21" hidden="false" customHeight="true" outlineLevel="0" collapsed="false"/>
    <row r="1132" customFormat="false" ht="21" hidden="false" customHeight="true" outlineLevel="0" collapsed="false"/>
    <row r="1133" customFormat="false" ht="21" hidden="false" customHeight="true" outlineLevel="0" collapsed="false"/>
    <row r="1134" customFormat="false" ht="21" hidden="false" customHeight="true" outlineLevel="0" collapsed="false"/>
    <row r="1135" customFormat="false" ht="21" hidden="false" customHeight="true" outlineLevel="0" collapsed="false"/>
    <row r="1136" customFormat="false" ht="21" hidden="false" customHeight="true" outlineLevel="0" collapsed="false"/>
    <row r="1137" customFormat="false" ht="21" hidden="false" customHeight="true" outlineLevel="0" collapsed="false"/>
    <row r="1138" customFormat="false" ht="21" hidden="false" customHeight="true" outlineLevel="0" collapsed="false"/>
    <row r="1139" customFormat="false" ht="21" hidden="false" customHeight="true" outlineLevel="0" collapsed="false"/>
    <row r="1140" customFormat="false" ht="21" hidden="false" customHeight="true" outlineLevel="0" collapsed="false"/>
    <row r="1141" customFormat="false" ht="21" hidden="false" customHeight="true" outlineLevel="0" collapsed="false"/>
    <row r="1142" customFormat="false" ht="21" hidden="false" customHeight="true" outlineLevel="0" collapsed="false"/>
    <row r="1143" customFormat="false" ht="21" hidden="false" customHeight="true" outlineLevel="0" collapsed="false"/>
    <row r="1144" customFormat="false" ht="21" hidden="false" customHeight="true" outlineLevel="0" collapsed="false"/>
    <row r="1145" customFormat="false" ht="21" hidden="false" customHeight="true" outlineLevel="0" collapsed="false"/>
    <row r="1146" customFormat="false" ht="21" hidden="false" customHeight="true" outlineLevel="0" collapsed="false"/>
    <row r="1147" customFormat="false" ht="21" hidden="false" customHeight="true" outlineLevel="0" collapsed="false"/>
    <row r="1148" customFormat="false" ht="21" hidden="false" customHeight="true" outlineLevel="0" collapsed="false"/>
    <row r="1149" customFormat="false" ht="21" hidden="false" customHeight="true" outlineLevel="0" collapsed="false"/>
    <row r="1150" customFormat="false" ht="21" hidden="false" customHeight="true" outlineLevel="0" collapsed="false"/>
    <row r="1151" customFormat="false" ht="21" hidden="false" customHeight="true" outlineLevel="0" collapsed="false"/>
    <row r="1152" customFormat="false" ht="21" hidden="false" customHeight="true" outlineLevel="0" collapsed="false"/>
    <row r="1153" customFormat="false" ht="21" hidden="false" customHeight="true" outlineLevel="0" collapsed="false"/>
    <row r="1154" customFormat="false" ht="21" hidden="false" customHeight="true" outlineLevel="0" collapsed="false"/>
    <row r="1155" customFormat="false" ht="21" hidden="false" customHeight="true" outlineLevel="0" collapsed="false"/>
    <row r="1156" customFormat="false" ht="21" hidden="false" customHeight="true" outlineLevel="0" collapsed="false"/>
    <row r="1157" customFormat="false" ht="21" hidden="false" customHeight="true" outlineLevel="0" collapsed="false"/>
    <row r="1158" customFormat="false" ht="21" hidden="false" customHeight="true" outlineLevel="0" collapsed="false"/>
    <row r="1159" customFormat="false" ht="21" hidden="false" customHeight="true" outlineLevel="0" collapsed="false"/>
    <row r="1160" customFormat="false" ht="21" hidden="false" customHeight="true" outlineLevel="0" collapsed="false"/>
    <row r="1161" customFormat="false" ht="21" hidden="false" customHeight="true" outlineLevel="0" collapsed="false"/>
    <row r="1162" customFormat="false" ht="21" hidden="false" customHeight="true" outlineLevel="0" collapsed="false"/>
    <row r="1163" customFormat="false" ht="21" hidden="false" customHeight="true" outlineLevel="0" collapsed="false"/>
    <row r="1164" customFormat="false" ht="21" hidden="false" customHeight="true" outlineLevel="0" collapsed="false"/>
    <row r="1165" customFormat="false" ht="21" hidden="false" customHeight="true" outlineLevel="0" collapsed="false"/>
    <row r="1166" customFormat="false" ht="21" hidden="false" customHeight="true" outlineLevel="0" collapsed="false"/>
    <row r="1167" customFormat="false" ht="21" hidden="false" customHeight="true" outlineLevel="0" collapsed="false"/>
    <row r="1168" customFormat="false" ht="21" hidden="false" customHeight="true" outlineLevel="0" collapsed="false"/>
    <row r="1169" customFormat="false" ht="21" hidden="false" customHeight="true" outlineLevel="0" collapsed="false"/>
    <row r="1170" customFormat="false" ht="21" hidden="false" customHeight="true" outlineLevel="0" collapsed="false"/>
    <row r="1171" customFormat="false" ht="21" hidden="false" customHeight="true" outlineLevel="0" collapsed="false"/>
    <row r="1172" customFormat="false" ht="21" hidden="false" customHeight="true" outlineLevel="0" collapsed="false"/>
    <row r="1173" customFormat="false" ht="21" hidden="false" customHeight="true" outlineLevel="0" collapsed="false"/>
    <row r="1174" customFormat="false" ht="21" hidden="false" customHeight="true" outlineLevel="0" collapsed="false"/>
    <row r="1175" customFormat="false" ht="21" hidden="false" customHeight="true" outlineLevel="0" collapsed="false"/>
    <row r="1176" customFormat="false" ht="21" hidden="false" customHeight="true" outlineLevel="0" collapsed="false"/>
    <row r="1177" customFormat="false" ht="21" hidden="false" customHeight="true" outlineLevel="0" collapsed="false"/>
    <row r="1178" customFormat="false" ht="21" hidden="false" customHeight="true" outlineLevel="0" collapsed="false"/>
    <row r="1179" customFormat="false" ht="21" hidden="false" customHeight="true" outlineLevel="0" collapsed="false"/>
    <row r="1180" customFormat="false" ht="21" hidden="false" customHeight="true" outlineLevel="0" collapsed="false"/>
    <row r="1181" customFormat="false" ht="21" hidden="false" customHeight="true" outlineLevel="0" collapsed="false"/>
    <row r="1182" customFormat="false" ht="21" hidden="false" customHeight="true" outlineLevel="0" collapsed="false"/>
    <row r="1183" customFormat="false" ht="21" hidden="false" customHeight="true" outlineLevel="0" collapsed="false"/>
    <row r="1184" customFormat="false" ht="21" hidden="false" customHeight="true" outlineLevel="0" collapsed="false"/>
    <row r="1185" customFormat="false" ht="21" hidden="false" customHeight="true" outlineLevel="0" collapsed="false"/>
    <row r="1186" customFormat="false" ht="21" hidden="false" customHeight="true" outlineLevel="0" collapsed="false"/>
    <row r="1187" customFormat="false" ht="21" hidden="false" customHeight="true" outlineLevel="0" collapsed="false"/>
    <row r="1188" customFormat="false" ht="21" hidden="false" customHeight="true" outlineLevel="0" collapsed="false"/>
    <row r="1189" customFormat="false" ht="21" hidden="false" customHeight="true" outlineLevel="0" collapsed="false"/>
    <row r="1190" customFormat="false" ht="21" hidden="false" customHeight="true" outlineLevel="0" collapsed="false"/>
    <row r="1191" customFormat="false" ht="21" hidden="false" customHeight="true" outlineLevel="0" collapsed="false"/>
    <row r="1192" customFormat="false" ht="21" hidden="false" customHeight="true" outlineLevel="0" collapsed="false"/>
    <row r="1193" customFormat="false" ht="21" hidden="false" customHeight="true" outlineLevel="0" collapsed="false"/>
    <row r="1194" customFormat="false" ht="21" hidden="false" customHeight="true" outlineLevel="0" collapsed="false"/>
    <row r="1195" customFormat="false" ht="21" hidden="false" customHeight="true" outlineLevel="0" collapsed="false"/>
    <row r="1196" customFormat="false" ht="21" hidden="false" customHeight="true" outlineLevel="0" collapsed="false"/>
    <row r="1197" customFormat="false" ht="21" hidden="false" customHeight="true" outlineLevel="0" collapsed="false"/>
    <row r="1198" customFormat="false" ht="21" hidden="false" customHeight="true" outlineLevel="0" collapsed="false"/>
    <row r="1199" customFormat="false" ht="21" hidden="false" customHeight="true" outlineLevel="0" collapsed="false"/>
    <row r="1200" customFormat="false" ht="21" hidden="false" customHeight="true" outlineLevel="0" collapsed="false"/>
    <row r="1201" customFormat="false" ht="21" hidden="false" customHeight="true" outlineLevel="0" collapsed="false"/>
    <row r="1202" customFormat="false" ht="21" hidden="false" customHeight="true" outlineLevel="0" collapsed="false"/>
    <row r="1203" customFormat="false" ht="21" hidden="false" customHeight="true" outlineLevel="0" collapsed="false"/>
    <row r="1204" customFormat="false" ht="21" hidden="false" customHeight="true" outlineLevel="0" collapsed="false"/>
    <row r="1205" customFormat="false" ht="21" hidden="false" customHeight="true" outlineLevel="0" collapsed="false"/>
    <row r="1206" customFormat="false" ht="21" hidden="false" customHeight="true" outlineLevel="0" collapsed="false"/>
    <row r="1207" customFormat="false" ht="21" hidden="false" customHeight="true" outlineLevel="0" collapsed="false"/>
    <row r="1208" customFormat="false" ht="21" hidden="false" customHeight="true" outlineLevel="0" collapsed="false"/>
    <row r="1209" customFormat="false" ht="21" hidden="false" customHeight="true" outlineLevel="0" collapsed="false"/>
    <row r="1210" customFormat="false" ht="21" hidden="false" customHeight="true" outlineLevel="0" collapsed="false"/>
    <row r="1211" customFormat="false" ht="21" hidden="false" customHeight="true" outlineLevel="0" collapsed="false"/>
    <row r="1212" customFormat="false" ht="21" hidden="false" customHeight="true" outlineLevel="0" collapsed="false"/>
    <row r="1213" customFormat="false" ht="21" hidden="false" customHeight="true" outlineLevel="0" collapsed="false"/>
    <row r="1214" customFormat="false" ht="21" hidden="false" customHeight="true" outlineLevel="0" collapsed="false"/>
    <row r="1215" customFormat="false" ht="21" hidden="false" customHeight="true" outlineLevel="0" collapsed="false"/>
    <row r="1216" customFormat="false" ht="21" hidden="false" customHeight="true" outlineLevel="0" collapsed="false"/>
    <row r="1217" customFormat="false" ht="21" hidden="false" customHeight="true" outlineLevel="0" collapsed="false"/>
    <row r="1218" customFormat="false" ht="21" hidden="false" customHeight="true" outlineLevel="0" collapsed="false"/>
    <row r="1219" customFormat="false" ht="21" hidden="false" customHeight="true" outlineLevel="0" collapsed="false"/>
    <row r="1220" customFormat="false" ht="21" hidden="false" customHeight="true" outlineLevel="0" collapsed="false"/>
    <row r="1221" customFormat="false" ht="21" hidden="false" customHeight="true" outlineLevel="0" collapsed="false"/>
    <row r="1222" customFormat="false" ht="21" hidden="false" customHeight="true" outlineLevel="0" collapsed="false"/>
    <row r="1223" customFormat="false" ht="21" hidden="false" customHeight="true" outlineLevel="0" collapsed="false"/>
    <row r="1224" customFormat="false" ht="21" hidden="false" customHeight="true" outlineLevel="0" collapsed="false"/>
    <row r="1225" customFormat="false" ht="21" hidden="false" customHeight="true" outlineLevel="0" collapsed="false"/>
    <row r="1226" customFormat="false" ht="21" hidden="false" customHeight="true" outlineLevel="0" collapsed="false"/>
    <row r="1227" customFormat="false" ht="21" hidden="false" customHeight="true" outlineLevel="0" collapsed="false"/>
    <row r="1228" customFormat="false" ht="21" hidden="false" customHeight="true" outlineLevel="0" collapsed="false"/>
    <row r="1229" customFormat="false" ht="21" hidden="false" customHeight="true" outlineLevel="0" collapsed="false"/>
    <row r="1230" customFormat="false" ht="21" hidden="false" customHeight="true" outlineLevel="0" collapsed="false"/>
    <row r="1231" customFormat="false" ht="21" hidden="false" customHeight="true" outlineLevel="0" collapsed="false"/>
    <row r="1232" customFormat="false" ht="21" hidden="false" customHeight="true" outlineLevel="0" collapsed="false"/>
    <row r="1233" customFormat="false" ht="21" hidden="false" customHeight="true" outlineLevel="0" collapsed="false"/>
    <row r="1234" customFormat="false" ht="21" hidden="false" customHeight="true" outlineLevel="0" collapsed="false"/>
    <row r="1235" customFormat="false" ht="21" hidden="false" customHeight="true" outlineLevel="0" collapsed="false"/>
    <row r="1236" customFormat="false" ht="21" hidden="false" customHeight="true" outlineLevel="0" collapsed="false"/>
    <row r="1237" customFormat="false" ht="21" hidden="false" customHeight="true" outlineLevel="0" collapsed="false"/>
    <row r="1238" customFormat="false" ht="21" hidden="false" customHeight="true" outlineLevel="0" collapsed="false"/>
    <row r="1239" customFormat="false" ht="21" hidden="false" customHeight="true" outlineLevel="0" collapsed="false"/>
    <row r="1240" customFormat="false" ht="21" hidden="false" customHeight="true" outlineLevel="0" collapsed="false"/>
    <row r="1241" customFormat="false" ht="21" hidden="false" customHeight="true" outlineLevel="0" collapsed="false"/>
    <row r="1242" customFormat="false" ht="21" hidden="false" customHeight="true" outlineLevel="0" collapsed="false"/>
    <row r="1243" customFormat="false" ht="21" hidden="false" customHeight="true" outlineLevel="0" collapsed="false"/>
    <row r="1244" customFormat="false" ht="21" hidden="false" customHeight="true" outlineLevel="0" collapsed="false"/>
    <row r="1245" customFormat="false" ht="21" hidden="false" customHeight="true" outlineLevel="0" collapsed="false"/>
    <row r="1246" customFormat="false" ht="21" hidden="false" customHeight="true" outlineLevel="0" collapsed="false"/>
    <row r="1247" customFormat="false" ht="21" hidden="false" customHeight="true" outlineLevel="0" collapsed="false"/>
    <row r="1248" customFormat="false" ht="21" hidden="false" customHeight="true" outlineLevel="0" collapsed="false"/>
    <row r="1249" customFormat="false" ht="21" hidden="false" customHeight="true" outlineLevel="0" collapsed="false"/>
    <row r="1250" customFormat="false" ht="21" hidden="false" customHeight="true" outlineLevel="0" collapsed="false"/>
    <row r="1251" customFormat="false" ht="21" hidden="false" customHeight="true" outlineLevel="0" collapsed="false"/>
    <row r="1252" customFormat="false" ht="21" hidden="false" customHeight="true" outlineLevel="0" collapsed="false"/>
    <row r="1253" customFormat="false" ht="21" hidden="false" customHeight="true" outlineLevel="0" collapsed="false"/>
    <row r="1254" customFormat="false" ht="21" hidden="false" customHeight="true" outlineLevel="0" collapsed="false"/>
    <row r="1255" customFormat="false" ht="21" hidden="false" customHeight="true" outlineLevel="0" collapsed="false"/>
    <row r="1256" customFormat="false" ht="21" hidden="false" customHeight="true" outlineLevel="0" collapsed="false"/>
    <row r="1257" customFormat="false" ht="21" hidden="false" customHeight="true" outlineLevel="0" collapsed="false"/>
    <row r="1258" customFormat="false" ht="21" hidden="false" customHeight="true" outlineLevel="0" collapsed="false"/>
    <row r="1259" customFormat="false" ht="21" hidden="false" customHeight="true" outlineLevel="0" collapsed="false"/>
    <row r="1260" customFormat="false" ht="21" hidden="false" customHeight="true" outlineLevel="0" collapsed="false"/>
    <row r="1261" customFormat="false" ht="21" hidden="false" customHeight="true" outlineLevel="0" collapsed="false"/>
    <row r="1262" customFormat="false" ht="21" hidden="false" customHeight="true" outlineLevel="0" collapsed="false"/>
    <row r="1263" customFormat="false" ht="21" hidden="false" customHeight="true" outlineLevel="0" collapsed="false"/>
    <row r="1264" customFormat="false" ht="21" hidden="false" customHeight="true" outlineLevel="0" collapsed="false"/>
    <row r="1265" customFormat="false" ht="21" hidden="false" customHeight="true" outlineLevel="0" collapsed="false"/>
    <row r="1266" customFormat="false" ht="21" hidden="false" customHeight="true" outlineLevel="0" collapsed="false"/>
    <row r="1267" customFormat="false" ht="21" hidden="false" customHeight="true" outlineLevel="0" collapsed="false"/>
    <row r="1268" customFormat="false" ht="21" hidden="false" customHeight="true" outlineLevel="0" collapsed="false"/>
    <row r="1269" customFormat="false" ht="21" hidden="false" customHeight="true" outlineLevel="0" collapsed="false"/>
    <row r="1270" customFormat="false" ht="21" hidden="false" customHeight="true" outlineLevel="0" collapsed="false"/>
    <row r="1271" customFormat="false" ht="21" hidden="false" customHeight="true" outlineLevel="0" collapsed="false"/>
    <row r="1272" customFormat="false" ht="21" hidden="false" customHeight="true" outlineLevel="0" collapsed="false"/>
    <row r="1273" customFormat="false" ht="21" hidden="false" customHeight="true" outlineLevel="0" collapsed="false"/>
    <row r="1274" customFormat="false" ht="21" hidden="false" customHeight="true" outlineLevel="0" collapsed="false"/>
    <row r="1275" customFormat="false" ht="21" hidden="false" customHeight="true" outlineLevel="0" collapsed="false"/>
    <row r="1276" customFormat="false" ht="21" hidden="false" customHeight="true" outlineLevel="0" collapsed="false"/>
    <row r="1277" customFormat="false" ht="21" hidden="false" customHeight="true" outlineLevel="0" collapsed="false"/>
    <row r="1278" customFormat="false" ht="21" hidden="false" customHeight="true" outlineLevel="0" collapsed="false"/>
    <row r="1279" customFormat="false" ht="21" hidden="false" customHeight="true" outlineLevel="0" collapsed="false"/>
    <row r="1280" customFormat="false" ht="21" hidden="false" customHeight="true" outlineLevel="0" collapsed="false"/>
    <row r="1281" customFormat="false" ht="21" hidden="false" customHeight="true" outlineLevel="0" collapsed="false"/>
    <row r="1282" customFormat="false" ht="21" hidden="false" customHeight="true" outlineLevel="0" collapsed="false"/>
    <row r="1283" customFormat="false" ht="21" hidden="false" customHeight="true" outlineLevel="0" collapsed="false"/>
    <row r="1284" customFormat="false" ht="21" hidden="false" customHeight="true" outlineLevel="0" collapsed="false"/>
    <row r="1285" customFormat="false" ht="21" hidden="false" customHeight="true" outlineLevel="0" collapsed="false"/>
    <row r="1286" customFormat="false" ht="21" hidden="false" customHeight="true" outlineLevel="0" collapsed="false"/>
    <row r="1287" customFormat="false" ht="21" hidden="false" customHeight="true" outlineLevel="0" collapsed="false"/>
    <row r="1288" customFormat="false" ht="21" hidden="false" customHeight="true" outlineLevel="0" collapsed="false"/>
    <row r="1289" customFormat="false" ht="21" hidden="false" customHeight="true" outlineLevel="0" collapsed="false"/>
    <row r="1290" customFormat="false" ht="21" hidden="false" customHeight="true" outlineLevel="0" collapsed="false"/>
    <row r="1291" customFormat="false" ht="21" hidden="false" customHeight="true" outlineLevel="0" collapsed="false"/>
    <row r="1292" customFormat="false" ht="21" hidden="false" customHeight="true" outlineLevel="0" collapsed="false"/>
    <row r="1293" customFormat="false" ht="21" hidden="false" customHeight="true" outlineLevel="0" collapsed="false"/>
    <row r="1294" customFormat="false" ht="21" hidden="false" customHeight="true" outlineLevel="0" collapsed="false"/>
    <row r="1295" customFormat="false" ht="21" hidden="false" customHeight="true" outlineLevel="0" collapsed="false"/>
    <row r="1296" customFormat="false" ht="21" hidden="false" customHeight="true" outlineLevel="0" collapsed="false"/>
    <row r="1297" customFormat="false" ht="21" hidden="false" customHeight="true" outlineLevel="0" collapsed="false"/>
    <row r="1298" customFormat="false" ht="21" hidden="false" customHeight="true" outlineLevel="0" collapsed="false"/>
    <row r="1299" customFormat="false" ht="21" hidden="false" customHeight="true" outlineLevel="0" collapsed="false"/>
    <row r="1300" customFormat="false" ht="21" hidden="false" customHeight="true" outlineLevel="0" collapsed="false"/>
    <row r="1301" customFormat="false" ht="21" hidden="false" customHeight="true" outlineLevel="0" collapsed="false"/>
    <row r="1302" customFormat="false" ht="21" hidden="false" customHeight="true" outlineLevel="0" collapsed="false"/>
    <row r="1303" customFormat="false" ht="21" hidden="false" customHeight="true" outlineLevel="0" collapsed="false"/>
    <row r="1304" customFormat="false" ht="21" hidden="false" customHeight="true" outlineLevel="0" collapsed="false"/>
    <row r="1305" customFormat="false" ht="21" hidden="false" customHeight="true" outlineLevel="0" collapsed="false"/>
    <row r="1306" customFormat="false" ht="21" hidden="false" customHeight="true" outlineLevel="0" collapsed="false"/>
    <row r="1307" customFormat="false" ht="21" hidden="false" customHeight="true" outlineLevel="0" collapsed="false"/>
    <row r="1308" customFormat="false" ht="21" hidden="false" customHeight="true" outlineLevel="0" collapsed="false"/>
    <row r="1309" customFormat="false" ht="21" hidden="false" customHeight="true" outlineLevel="0" collapsed="false"/>
    <row r="1310" customFormat="false" ht="21" hidden="false" customHeight="true" outlineLevel="0" collapsed="false"/>
    <row r="1311" customFormat="false" ht="21" hidden="false" customHeight="true" outlineLevel="0" collapsed="false"/>
    <row r="1312" customFormat="false" ht="21" hidden="false" customHeight="true" outlineLevel="0" collapsed="false"/>
    <row r="1313" customFormat="false" ht="21" hidden="false" customHeight="true" outlineLevel="0" collapsed="false"/>
    <row r="1314" customFormat="false" ht="21" hidden="false" customHeight="true" outlineLevel="0" collapsed="false"/>
    <row r="1315" customFormat="false" ht="21" hidden="false" customHeight="true" outlineLevel="0" collapsed="false"/>
    <row r="1316" customFormat="false" ht="21" hidden="false" customHeight="true" outlineLevel="0" collapsed="false"/>
    <row r="1317" customFormat="false" ht="21" hidden="false" customHeight="true" outlineLevel="0" collapsed="false"/>
    <row r="1318" customFormat="false" ht="21" hidden="false" customHeight="true" outlineLevel="0" collapsed="false"/>
    <row r="1319" customFormat="false" ht="21" hidden="false" customHeight="true" outlineLevel="0" collapsed="false"/>
    <row r="1320" customFormat="false" ht="21" hidden="false" customHeight="true" outlineLevel="0" collapsed="false"/>
    <row r="1321" customFormat="false" ht="21" hidden="false" customHeight="true" outlineLevel="0" collapsed="false"/>
    <row r="1322" customFormat="false" ht="21" hidden="false" customHeight="true" outlineLevel="0" collapsed="false"/>
    <row r="1323" customFormat="false" ht="21" hidden="false" customHeight="true" outlineLevel="0" collapsed="false"/>
    <row r="1324" customFormat="false" ht="21" hidden="false" customHeight="true" outlineLevel="0" collapsed="false"/>
    <row r="1325" customFormat="false" ht="21" hidden="false" customHeight="true" outlineLevel="0" collapsed="false"/>
    <row r="1326" customFormat="false" ht="21" hidden="false" customHeight="true" outlineLevel="0" collapsed="false"/>
    <row r="1327" customFormat="false" ht="21" hidden="false" customHeight="true" outlineLevel="0" collapsed="false"/>
    <row r="1328" customFormat="false" ht="21" hidden="false" customHeight="true" outlineLevel="0" collapsed="false"/>
    <row r="1329" customFormat="false" ht="21" hidden="false" customHeight="true" outlineLevel="0" collapsed="false"/>
    <row r="1330" customFormat="false" ht="21" hidden="false" customHeight="true" outlineLevel="0" collapsed="false"/>
    <row r="1331" customFormat="false" ht="21" hidden="false" customHeight="true" outlineLevel="0" collapsed="false"/>
    <row r="1332" customFormat="false" ht="21" hidden="false" customHeight="true" outlineLevel="0" collapsed="false"/>
    <row r="1333" customFormat="false" ht="21" hidden="false" customHeight="true" outlineLevel="0" collapsed="false"/>
    <row r="1334" customFormat="false" ht="21" hidden="false" customHeight="true" outlineLevel="0" collapsed="false"/>
    <row r="1335" customFormat="false" ht="21" hidden="false" customHeight="true" outlineLevel="0" collapsed="false"/>
    <row r="1336" customFormat="false" ht="21" hidden="false" customHeight="true" outlineLevel="0" collapsed="false"/>
    <row r="1337" customFormat="false" ht="21" hidden="false" customHeight="true" outlineLevel="0" collapsed="false"/>
    <row r="1338" customFormat="false" ht="21" hidden="false" customHeight="true" outlineLevel="0" collapsed="false"/>
    <row r="1339" customFormat="false" ht="21" hidden="false" customHeight="true" outlineLevel="0" collapsed="false"/>
    <row r="1340" customFormat="false" ht="21" hidden="false" customHeight="true" outlineLevel="0" collapsed="false"/>
    <row r="1341" customFormat="false" ht="21" hidden="false" customHeight="true" outlineLevel="0" collapsed="false"/>
    <row r="1342" customFormat="false" ht="21" hidden="false" customHeight="true" outlineLevel="0" collapsed="false"/>
    <row r="1343" customFormat="false" ht="21" hidden="false" customHeight="true" outlineLevel="0" collapsed="false"/>
    <row r="1344" customFormat="false" ht="21" hidden="false" customHeight="true" outlineLevel="0" collapsed="false"/>
    <row r="1345" customFormat="false" ht="21" hidden="false" customHeight="true" outlineLevel="0" collapsed="false"/>
    <row r="1346" customFormat="false" ht="21" hidden="false" customHeight="true" outlineLevel="0" collapsed="false"/>
    <row r="1347" customFormat="false" ht="21" hidden="false" customHeight="true" outlineLevel="0" collapsed="false"/>
    <row r="1348" customFormat="false" ht="21" hidden="false" customHeight="true" outlineLevel="0" collapsed="false"/>
    <row r="1349" customFormat="false" ht="21" hidden="false" customHeight="true" outlineLevel="0" collapsed="false"/>
    <row r="1350" customFormat="false" ht="21" hidden="false" customHeight="true" outlineLevel="0" collapsed="false"/>
    <row r="1351" customFormat="false" ht="21" hidden="false" customHeight="true" outlineLevel="0" collapsed="false"/>
    <row r="1352" customFormat="false" ht="21" hidden="false" customHeight="true" outlineLevel="0" collapsed="false"/>
    <row r="1353" customFormat="false" ht="21" hidden="false" customHeight="true" outlineLevel="0" collapsed="false"/>
    <row r="1354" customFormat="false" ht="21" hidden="false" customHeight="true" outlineLevel="0" collapsed="false"/>
    <row r="1355" customFormat="false" ht="21" hidden="false" customHeight="true" outlineLevel="0" collapsed="false"/>
    <row r="1356" customFormat="false" ht="21" hidden="false" customHeight="true" outlineLevel="0" collapsed="false"/>
    <row r="1357" customFormat="false" ht="21" hidden="false" customHeight="true" outlineLevel="0" collapsed="false"/>
    <row r="1358" customFormat="false" ht="21" hidden="false" customHeight="true" outlineLevel="0" collapsed="false"/>
    <row r="1359" customFormat="false" ht="21" hidden="false" customHeight="true" outlineLevel="0" collapsed="false"/>
    <row r="1360" customFormat="false" ht="21" hidden="false" customHeight="true" outlineLevel="0" collapsed="false"/>
    <row r="1361" customFormat="false" ht="21" hidden="false" customHeight="true" outlineLevel="0" collapsed="false"/>
    <row r="1362" customFormat="false" ht="21" hidden="false" customHeight="true" outlineLevel="0" collapsed="false"/>
    <row r="1363" customFormat="false" ht="21" hidden="false" customHeight="true" outlineLevel="0" collapsed="false"/>
    <row r="1364" customFormat="false" ht="21" hidden="false" customHeight="true" outlineLevel="0" collapsed="false"/>
    <row r="1365" customFormat="false" ht="21" hidden="false" customHeight="true" outlineLevel="0" collapsed="false"/>
    <row r="1366" customFormat="false" ht="21" hidden="false" customHeight="true" outlineLevel="0" collapsed="false"/>
    <row r="1367" customFormat="false" ht="21" hidden="false" customHeight="true" outlineLevel="0" collapsed="false"/>
    <row r="1368" customFormat="false" ht="21" hidden="false" customHeight="true" outlineLevel="0" collapsed="false"/>
    <row r="1369" customFormat="false" ht="21" hidden="false" customHeight="true" outlineLevel="0" collapsed="false"/>
    <row r="1370" customFormat="false" ht="21" hidden="false" customHeight="true" outlineLevel="0" collapsed="false"/>
    <row r="1371" customFormat="false" ht="21" hidden="false" customHeight="true" outlineLevel="0" collapsed="false"/>
    <row r="1372" customFormat="false" ht="21" hidden="false" customHeight="true" outlineLevel="0" collapsed="false"/>
    <row r="1373" customFormat="false" ht="21" hidden="false" customHeight="true" outlineLevel="0" collapsed="false"/>
    <row r="1374" customFormat="false" ht="21" hidden="false" customHeight="true" outlineLevel="0" collapsed="false"/>
    <row r="1375" customFormat="false" ht="21" hidden="false" customHeight="true" outlineLevel="0" collapsed="false"/>
    <row r="1376" customFormat="false" ht="21" hidden="false" customHeight="true" outlineLevel="0" collapsed="false"/>
    <row r="1377" customFormat="false" ht="21" hidden="false" customHeight="true" outlineLevel="0" collapsed="false"/>
    <row r="1378" customFormat="false" ht="21" hidden="false" customHeight="true" outlineLevel="0" collapsed="false"/>
    <row r="1379" customFormat="false" ht="21" hidden="false" customHeight="true" outlineLevel="0" collapsed="false"/>
    <row r="1380" customFormat="false" ht="21" hidden="false" customHeight="true" outlineLevel="0" collapsed="false"/>
    <row r="1381" customFormat="false" ht="21" hidden="false" customHeight="true" outlineLevel="0" collapsed="false"/>
    <row r="1382" customFormat="false" ht="21" hidden="false" customHeight="true" outlineLevel="0" collapsed="false"/>
    <row r="1383" customFormat="false" ht="21" hidden="false" customHeight="true" outlineLevel="0" collapsed="false"/>
    <row r="1384" customFormat="false" ht="21" hidden="false" customHeight="true" outlineLevel="0" collapsed="false"/>
    <row r="1385" customFormat="false" ht="21" hidden="false" customHeight="true" outlineLevel="0" collapsed="false"/>
    <row r="1386" customFormat="false" ht="21" hidden="false" customHeight="true" outlineLevel="0" collapsed="false"/>
    <row r="1387" customFormat="false" ht="21" hidden="false" customHeight="true" outlineLevel="0" collapsed="false"/>
    <row r="1388" customFormat="false" ht="21" hidden="false" customHeight="true" outlineLevel="0" collapsed="false"/>
    <row r="1389" customFormat="false" ht="21" hidden="false" customHeight="true" outlineLevel="0" collapsed="false"/>
    <row r="1390" customFormat="false" ht="21" hidden="false" customHeight="true" outlineLevel="0" collapsed="false"/>
    <row r="1391" customFormat="false" ht="21" hidden="false" customHeight="true" outlineLevel="0" collapsed="false"/>
    <row r="1392" customFormat="false" ht="21" hidden="false" customHeight="true" outlineLevel="0" collapsed="false"/>
    <row r="1393" customFormat="false" ht="21" hidden="false" customHeight="true" outlineLevel="0" collapsed="false"/>
    <row r="1394" customFormat="false" ht="21" hidden="false" customHeight="true" outlineLevel="0" collapsed="false"/>
    <row r="1395" customFormat="false" ht="21" hidden="false" customHeight="true" outlineLevel="0" collapsed="false"/>
    <row r="1396" customFormat="false" ht="21" hidden="false" customHeight="true" outlineLevel="0" collapsed="false"/>
    <row r="1397" customFormat="false" ht="21" hidden="false" customHeight="true" outlineLevel="0" collapsed="false"/>
    <row r="1398" customFormat="false" ht="21" hidden="false" customHeight="true" outlineLevel="0" collapsed="false"/>
    <row r="1399" customFormat="false" ht="21" hidden="false" customHeight="true" outlineLevel="0" collapsed="false"/>
    <row r="1400" customFormat="false" ht="21" hidden="false" customHeight="true" outlineLevel="0" collapsed="false"/>
    <row r="1401" customFormat="false" ht="21" hidden="false" customHeight="true" outlineLevel="0" collapsed="false"/>
    <row r="1402" customFormat="false" ht="21" hidden="false" customHeight="true" outlineLevel="0" collapsed="false"/>
    <row r="1403" customFormat="false" ht="21" hidden="false" customHeight="true" outlineLevel="0" collapsed="false"/>
    <row r="1404" customFormat="false" ht="21" hidden="false" customHeight="true" outlineLevel="0" collapsed="false"/>
    <row r="1405" customFormat="false" ht="21" hidden="false" customHeight="true" outlineLevel="0" collapsed="false"/>
    <row r="1406" customFormat="false" ht="21" hidden="false" customHeight="true" outlineLevel="0" collapsed="false"/>
    <row r="1407" customFormat="false" ht="21" hidden="false" customHeight="true" outlineLevel="0" collapsed="false"/>
    <row r="1408" customFormat="false" ht="21" hidden="false" customHeight="true" outlineLevel="0" collapsed="false"/>
    <row r="1409" customFormat="false" ht="21" hidden="false" customHeight="true" outlineLevel="0" collapsed="false"/>
    <row r="1410" customFormat="false" ht="21" hidden="false" customHeight="true" outlineLevel="0" collapsed="false"/>
    <row r="1411" customFormat="false" ht="21" hidden="false" customHeight="true" outlineLevel="0" collapsed="false"/>
    <row r="1412" customFormat="false" ht="21" hidden="false" customHeight="true" outlineLevel="0" collapsed="false"/>
    <row r="1413" customFormat="false" ht="21" hidden="false" customHeight="true" outlineLevel="0" collapsed="false"/>
    <row r="1414" customFormat="false" ht="21" hidden="false" customHeight="true" outlineLevel="0" collapsed="false"/>
    <row r="1415" customFormat="false" ht="21" hidden="false" customHeight="true" outlineLevel="0" collapsed="false"/>
    <row r="1416" customFormat="false" ht="21" hidden="false" customHeight="true" outlineLevel="0" collapsed="false"/>
    <row r="1417" customFormat="false" ht="21" hidden="false" customHeight="true" outlineLevel="0" collapsed="false"/>
    <row r="1418" customFormat="false" ht="21" hidden="false" customHeight="true" outlineLevel="0" collapsed="false"/>
    <row r="1419" customFormat="false" ht="21" hidden="false" customHeight="true" outlineLevel="0" collapsed="false"/>
    <row r="1420" customFormat="false" ht="21" hidden="false" customHeight="true" outlineLevel="0" collapsed="false"/>
    <row r="1421" customFormat="false" ht="21" hidden="false" customHeight="true" outlineLevel="0" collapsed="false"/>
    <row r="1422" customFormat="false" ht="21" hidden="false" customHeight="true" outlineLevel="0" collapsed="false"/>
    <row r="1423" customFormat="false" ht="21" hidden="false" customHeight="true" outlineLevel="0" collapsed="false"/>
    <row r="1424" customFormat="false" ht="21" hidden="false" customHeight="true" outlineLevel="0" collapsed="false"/>
    <row r="1425" customFormat="false" ht="21" hidden="false" customHeight="true" outlineLevel="0" collapsed="false"/>
    <row r="1426" customFormat="false" ht="21" hidden="false" customHeight="true" outlineLevel="0" collapsed="false"/>
    <row r="1427" customFormat="false" ht="21" hidden="false" customHeight="true" outlineLevel="0" collapsed="false"/>
    <row r="1428" customFormat="false" ht="21" hidden="false" customHeight="true" outlineLevel="0" collapsed="false"/>
    <row r="1429" customFormat="false" ht="21" hidden="false" customHeight="true" outlineLevel="0" collapsed="false"/>
    <row r="1430" customFormat="false" ht="21" hidden="false" customHeight="true" outlineLevel="0" collapsed="false"/>
    <row r="1431" customFormat="false" ht="21" hidden="false" customHeight="true" outlineLevel="0" collapsed="false"/>
    <row r="1432" customFormat="false" ht="21" hidden="false" customHeight="true" outlineLevel="0" collapsed="false"/>
    <row r="1433" customFormat="false" ht="21" hidden="false" customHeight="true" outlineLevel="0" collapsed="false"/>
    <row r="1434" customFormat="false" ht="21" hidden="false" customHeight="true" outlineLevel="0" collapsed="false"/>
    <row r="1435" customFormat="false" ht="21" hidden="false" customHeight="true" outlineLevel="0" collapsed="false"/>
    <row r="1436" customFormat="false" ht="21" hidden="false" customHeight="true" outlineLevel="0" collapsed="false"/>
    <row r="1437" customFormat="false" ht="21" hidden="false" customHeight="true" outlineLevel="0" collapsed="false"/>
    <row r="1438" customFormat="false" ht="21" hidden="false" customHeight="true" outlineLevel="0" collapsed="false"/>
    <row r="1439" customFormat="false" ht="21" hidden="false" customHeight="true" outlineLevel="0" collapsed="false"/>
    <row r="1440" customFormat="false" ht="21" hidden="false" customHeight="true" outlineLevel="0" collapsed="false"/>
    <row r="1441" customFormat="false" ht="21" hidden="false" customHeight="true" outlineLevel="0" collapsed="false"/>
    <row r="1442" customFormat="false" ht="21" hidden="false" customHeight="true" outlineLevel="0" collapsed="false"/>
    <row r="1443" customFormat="false" ht="21" hidden="false" customHeight="true" outlineLevel="0" collapsed="false"/>
    <row r="1444" customFormat="false" ht="21" hidden="false" customHeight="true" outlineLevel="0" collapsed="false"/>
    <row r="1445" customFormat="false" ht="21" hidden="false" customHeight="true" outlineLevel="0" collapsed="false"/>
    <row r="1446" customFormat="false" ht="21" hidden="false" customHeight="true" outlineLevel="0" collapsed="false"/>
    <row r="1447" customFormat="false" ht="21" hidden="false" customHeight="true" outlineLevel="0" collapsed="false"/>
    <row r="1448" customFormat="false" ht="21" hidden="false" customHeight="true" outlineLevel="0" collapsed="false"/>
    <row r="1449" customFormat="false" ht="21" hidden="false" customHeight="true" outlineLevel="0" collapsed="false"/>
    <row r="1450" customFormat="false" ht="21" hidden="false" customHeight="true" outlineLevel="0" collapsed="false"/>
    <row r="1451" customFormat="false" ht="21" hidden="false" customHeight="true" outlineLevel="0" collapsed="false"/>
    <row r="1452" customFormat="false" ht="21" hidden="false" customHeight="true" outlineLevel="0" collapsed="false"/>
    <row r="1453" customFormat="false" ht="21" hidden="false" customHeight="true" outlineLevel="0" collapsed="false"/>
    <row r="1454" customFormat="false" ht="21" hidden="false" customHeight="true" outlineLevel="0" collapsed="false"/>
    <row r="1455" customFormat="false" ht="21" hidden="false" customHeight="true" outlineLevel="0" collapsed="false"/>
    <row r="1456" customFormat="false" ht="21" hidden="false" customHeight="true" outlineLevel="0" collapsed="false"/>
    <row r="1457" customFormat="false" ht="21" hidden="false" customHeight="true" outlineLevel="0" collapsed="false"/>
    <row r="1458" customFormat="false" ht="21" hidden="false" customHeight="true" outlineLevel="0" collapsed="false"/>
    <row r="1459" customFormat="false" ht="21" hidden="false" customHeight="true" outlineLevel="0" collapsed="false"/>
    <row r="1460" customFormat="false" ht="21" hidden="false" customHeight="true" outlineLevel="0" collapsed="false"/>
    <row r="1461" customFormat="false" ht="21" hidden="false" customHeight="true" outlineLevel="0" collapsed="false"/>
    <row r="1462" customFormat="false" ht="21" hidden="false" customHeight="true" outlineLevel="0" collapsed="false"/>
    <row r="1463" customFormat="false" ht="21" hidden="false" customHeight="true" outlineLevel="0" collapsed="false"/>
    <row r="1464" customFormat="false" ht="21" hidden="false" customHeight="true" outlineLevel="0" collapsed="false"/>
    <row r="1465" customFormat="false" ht="21" hidden="false" customHeight="true" outlineLevel="0" collapsed="false"/>
    <row r="1466" customFormat="false" ht="21" hidden="false" customHeight="true" outlineLevel="0" collapsed="false"/>
    <row r="1467" customFormat="false" ht="21" hidden="false" customHeight="true" outlineLevel="0" collapsed="false"/>
    <row r="1468" customFormat="false" ht="21" hidden="false" customHeight="true" outlineLevel="0" collapsed="false"/>
    <row r="1469" customFormat="false" ht="21" hidden="false" customHeight="true" outlineLevel="0" collapsed="false"/>
    <row r="1470" customFormat="false" ht="21" hidden="false" customHeight="true" outlineLevel="0" collapsed="false"/>
    <row r="1471" customFormat="false" ht="21" hidden="false" customHeight="true" outlineLevel="0" collapsed="false"/>
    <row r="1472" customFormat="false" ht="21" hidden="false" customHeight="true" outlineLevel="0" collapsed="false"/>
    <row r="1473" customFormat="false" ht="21" hidden="false" customHeight="true" outlineLevel="0" collapsed="false"/>
    <row r="1474" customFormat="false" ht="21" hidden="false" customHeight="true" outlineLevel="0" collapsed="false"/>
    <row r="1475" customFormat="false" ht="21" hidden="false" customHeight="true" outlineLevel="0" collapsed="false"/>
    <row r="1476" customFormat="false" ht="21" hidden="false" customHeight="true" outlineLevel="0" collapsed="false"/>
    <row r="1477" customFormat="false" ht="21" hidden="false" customHeight="true" outlineLevel="0" collapsed="false"/>
    <row r="1478" customFormat="false" ht="21" hidden="false" customHeight="true" outlineLevel="0" collapsed="false"/>
    <row r="1479" customFormat="false" ht="21" hidden="false" customHeight="true" outlineLevel="0" collapsed="false"/>
    <row r="1480" customFormat="false" ht="21" hidden="false" customHeight="true" outlineLevel="0" collapsed="false"/>
    <row r="1481" customFormat="false" ht="21" hidden="false" customHeight="true" outlineLevel="0" collapsed="false"/>
    <row r="1482" customFormat="false" ht="21" hidden="false" customHeight="true" outlineLevel="0" collapsed="false"/>
    <row r="1483" customFormat="false" ht="21" hidden="false" customHeight="true" outlineLevel="0" collapsed="false"/>
    <row r="1484" customFormat="false" ht="21" hidden="false" customHeight="true" outlineLevel="0" collapsed="false"/>
    <row r="1485" customFormat="false" ht="21" hidden="false" customHeight="true" outlineLevel="0" collapsed="false"/>
    <row r="1486" customFormat="false" ht="21" hidden="false" customHeight="true" outlineLevel="0" collapsed="false"/>
    <row r="1487" customFormat="false" ht="21" hidden="false" customHeight="true" outlineLevel="0" collapsed="false"/>
    <row r="1488" customFormat="false" ht="21" hidden="false" customHeight="true" outlineLevel="0" collapsed="false"/>
    <row r="1489" customFormat="false" ht="21" hidden="false" customHeight="true" outlineLevel="0" collapsed="false"/>
    <row r="1490" customFormat="false" ht="21" hidden="false" customHeight="true" outlineLevel="0" collapsed="false"/>
    <row r="1491" customFormat="false" ht="21" hidden="false" customHeight="true" outlineLevel="0" collapsed="false"/>
    <row r="1492" customFormat="false" ht="21" hidden="false" customHeight="true" outlineLevel="0" collapsed="false"/>
    <row r="1493" customFormat="false" ht="21" hidden="false" customHeight="true" outlineLevel="0" collapsed="false"/>
    <row r="1494" customFormat="false" ht="21" hidden="false" customHeight="true" outlineLevel="0" collapsed="false"/>
    <row r="1495" customFormat="false" ht="21" hidden="false" customHeight="true" outlineLevel="0" collapsed="false"/>
    <row r="1496" customFormat="false" ht="21" hidden="false" customHeight="true" outlineLevel="0" collapsed="false"/>
    <row r="1497" customFormat="false" ht="21" hidden="false" customHeight="true" outlineLevel="0" collapsed="false"/>
    <row r="1498" customFormat="false" ht="21" hidden="false" customHeight="true" outlineLevel="0" collapsed="false"/>
    <row r="1499" customFormat="false" ht="21" hidden="false" customHeight="true" outlineLevel="0" collapsed="false"/>
    <row r="1500" customFormat="false" ht="21" hidden="false" customHeight="true" outlineLevel="0" collapsed="false"/>
    <row r="1501" customFormat="false" ht="21" hidden="false" customHeight="true" outlineLevel="0" collapsed="false"/>
    <row r="1502" customFormat="false" ht="21" hidden="false" customHeight="true" outlineLevel="0" collapsed="false"/>
    <row r="1503" customFormat="false" ht="21" hidden="false" customHeight="true" outlineLevel="0" collapsed="false"/>
    <row r="1504" customFormat="false" ht="21" hidden="false" customHeight="true" outlineLevel="0" collapsed="false"/>
    <row r="1505" customFormat="false" ht="21" hidden="false" customHeight="true" outlineLevel="0" collapsed="false"/>
    <row r="1506" customFormat="false" ht="21" hidden="false" customHeight="true" outlineLevel="0" collapsed="false"/>
    <row r="1507" customFormat="false" ht="21" hidden="false" customHeight="true" outlineLevel="0" collapsed="false"/>
    <row r="1508" customFormat="false" ht="21" hidden="false" customHeight="true" outlineLevel="0" collapsed="false"/>
    <row r="1509" customFormat="false" ht="21" hidden="false" customHeight="true" outlineLevel="0" collapsed="false"/>
    <row r="1510" customFormat="false" ht="21" hidden="false" customHeight="true" outlineLevel="0" collapsed="false"/>
    <row r="1511" customFormat="false" ht="21" hidden="false" customHeight="true" outlineLevel="0" collapsed="false"/>
    <row r="1512" customFormat="false" ht="21" hidden="false" customHeight="true" outlineLevel="0" collapsed="false"/>
    <row r="1513" customFormat="false" ht="21" hidden="false" customHeight="true" outlineLevel="0" collapsed="false"/>
    <row r="1514" customFormat="false" ht="21" hidden="false" customHeight="true" outlineLevel="0" collapsed="false"/>
    <row r="1515" customFormat="false" ht="21" hidden="false" customHeight="true" outlineLevel="0" collapsed="false"/>
    <row r="1516" customFormat="false" ht="21" hidden="false" customHeight="true" outlineLevel="0" collapsed="false"/>
    <row r="1517" customFormat="false" ht="21" hidden="false" customHeight="true" outlineLevel="0" collapsed="false"/>
    <row r="1518" customFormat="false" ht="21" hidden="false" customHeight="true" outlineLevel="0" collapsed="false"/>
    <row r="1519" customFormat="false" ht="21" hidden="false" customHeight="true" outlineLevel="0" collapsed="false"/>
    <row r="1520" customFormat="false" ht="21" hidden="false" customHeight="true" outlineLevel="0" collapsed="false"/>
    <row r="1521" customFormat="false" ht="21" hidden="false" customHeight="true" outlineLevel="0" collapsed="false"/>
    <row r="1522" customFormat="false" ht="21" hidden="false" customHeight="true" outlineLevel="0" collapsed="false"/>
    <row r="1523" customFormat="false" ht="21" hidden="false" customHeight="true" outlineLevel="0" collapsed="false"/>
    <row r="1524" customFormat="false" ht="21" hidden="false" customHeight="true" outlineLevel="0" collapsed="false"/>
    <row r="1525" customFormat="false" ht="21" hidden="false" customHeight="true" outlineLevel="0" collapsed="false"/>
    <row r="1526" customFormat="false" ht="21" hidden="false" customHeight="true" outlineLevel="0" collapsed="false"/>
    <row r="1527" customFormat="false" ht="21" hidden="false" customHeight="true" outlineLevel="0" collapsed="false"/>
    <row r="1528" customFormat="false" ht="21" hidden="false" customHeight="true" outlineLevel="0" collapsed="false"/>
    <row r="1529" customFormat="false" ht="21" hidden="false" customHeight="true" outlineLevel="0" collapsed="false"/>
    <row r="1530" customFormat="false" ht="21" hidden="false" customHeight="true" outlineLevel="0" collapsed="false"/>
    <row r="1531" customFormat="false" ht="21" hidden="false" customHeight="true" outlineLevel="0" collapsed="false"/>
    <row r="1532" customFormat="false" ht="21" hidden="false" customHeight="true" outlineLevel="0" collapsed="false"/>
    <row r="1533" customFormat="false" ht="21" hidden="false" customHeight="true" outlineLevel="0" collapsed="false"/>
    <row r="1534" customFormat="false" ht="21" hidden="false" customHeight="true" outlineLevel="0" collapsed="false"/>
    <row r="1535" customFormat="false" ht="21" hidden="false" customHeight="true" outlineLevel="0" collapsed="false"/>
    <row r="1536" customFormat="false" ht="21" hidden="false" customHeight="true" outlineLevel="0" collapsed="false"/>
    <row r="1537" customFormat="false" ht="21" hidden="false" customHeight="true" outlineLevel="0" collapsed="false"/>
    <row r="1538" customFormat="false" ht="21" hidden="false" customHeight="true" outlineLevel="0" collapsed="false"/>
    <row r="1539" customFormat="false" ht="21" hidden="false" customHeight="true" outlineLevel="0" collapsed="false"/>
    <row r="1540" customFormat="false" ht="21" hidden="false" customHeight="true" outlineLevel="0" collapsed="false"/>
    <row r="1541" customFormat="false" ht="21" hidden="false" customHeight="true" outlineLevel="0" collapsed="false"/>
    <row r="1542" customFormat="false" ht="21" hidden="false" customHeight="true" outlineLevel="0" collapsed="false"/>
    <row r="1543" customFormat="false" ht="21" hidden="false" customHeight="true" outlineLevel="0" collapsed="false"/>
    <row r="1544" customFormat="false" ht="21" hidden="false" customHeight="true" outlineLevel="0" collapsed="false"/>
    <row r="1545" customFormat="false" ht="21" hidden="false" customHeight="true" outlineLevel="0" collapsed="false"/>
    <row r="1546" customFormat="false" ht="21" hidden="false" customHeight="true" outlineLevel="0" collapsed="false"/>
    <row r="1547" customFormat="false" ht="21" hidden="false" customHeight="true" outlineLevel="0" collapsed="false"/>
    <row r="1548" customFormat="false" ht="21" hidden="false" customHeight="true" outlineLevel="0" collapsed="false"/>
    <row r="1549" customFormat="false" ht="21" hidden="false" customHeight="true" outlineLevel="0" collapsed="false"/>
    <row r="1550" customFormat="false" ht="21" hidden="false" customHeight="true" outlineLevel="0" collapsed="false"/>
    <row r="1551" customFormat="false" ht="21" hidden="false" customHeight="true" outlineLevel="0" collapsed="false"/>
    <row r="1552" customFormat="false" ht="21" hidden="false" customHeight="true" outlineLevel="0" collapsed="false"/>
    <row r="1553" customFormat="false" ht="21" hidden="false" customHeight="true" outlineLevel="0" collapsed="false"/>
    <row r="1554" customFormat="false" ht="21" hidden="false" customHeight="true" outlineLevel="0" collapsed="false"/>
    <row r="1555" customFormat="false" ht="21" hidden="false" customHeight="true" outlineLevel="0" collapsed="false"/>
    <row r="1556" customFormat="false" ht="21" hidden="false" customHeight="true" outlineLevel="0" collapsed="false"/>
    <row r="1557" customFormat="false" ht="21" hidden="false" customHeight="true" outlineLevel="0" collapsed="false"/>
    <row r="1558" customFormat="false" ht="21" hidden="false" customHeight="true" outlineLevel="0" collapsed="false"/>
    <row r="1559" customFormat="false" ht="21" hidden="false" customHeight="true" outlineLevel="0" collapsed="false"/>
    <row r="1560" customFormat="false" ht="21" hidden="false" customHeight="true" outlineLevel="0" collapsed="false"/>
    <row r="1561" customFormat="false" ht="21" hidden="false" customHeight="true" outlineLevel="0" collapsed="false"/>
    <row r="1562" customFormat="false" ht="21" hidden="false" customHeight="true" outlineLevel="0" collapsed="false"/>
    <row r="1563" customFormat="false" ht="21" hidden="false" customHeight="true" outlineLevel="0" collapsed="false"/>
    <row r="1564" customFormat="false" ht="21" hidden="false" customHeight="true" outlineLevel="0" collapsed="false"/>
    <row r="1565" customFormat="false" ht="21" hidden="false" customHeight="true" outlineLevel="0" collapsed="false"/>
    <row r="1566" customFormat="false" ht="21" hidden="false" customHeight="true" outlineLevel="0" collapsed="false"/>
    <row r="1567" customFormat="false" ht="21" hidden="false" customHeight="true" outlineLevel="0" collapsed="false"/>
    <row r="1568" customFormat="false" ht="21" hidden="false" customHeight="true" outlineLevel="0" collapsed="false"/>
    <row r="1569" customFormat="false" ht="21" hidden="false" customHeight="true" outlineLevel="0" collapsed="false"/>
    <row r="1570" customFormat="false" ht="21" hidden="false" customHeight="true" outlineLevel="0" collapsed="false"/>
    <row r="1571" customFormat="false" ht="21" hidden="false" customHeight="true" outlineLevel="0" collapsed="false"/>
    <row r="1572" customFormat="false" ht="21" hidden="false" customHeight="true" outlineLevel="0" collapsed="false"/>
    <row r="1573" customFormat="false" ht="21" hidden="false" customHeight="true" outlineLevel="0" collapsed="false"/>
    <row r="1574" customFormat="false" ht="21" hidden="false" customHeight="true" outlineLevel="0" collapsed="false"/>
    <row r="1575" customFormat="false" ht="21" hidden="false" customHeight="true" outlineLevel="0" collapsed="false"/>
    <row r="1576" customFormat="false" ht="21" hidden="false" customHeight="true" outlineLevel="0" collapsed="false"/>
    <row r="1577" customFormat="false" ht="21" hidden="false" customHeight="true" outlineLevel="0" collapsed="false"/>
    <row r="1578" customFormat="false" ht="21" hidden="false" customHeight="true" outlineLevel="0" collapsed="false"/>
    <row r="1579" customFormat="false" ht="21" hidden="false" customHeight="true" outlineLevel="0" collapsed="false"/>
    <row r="1580" customFormat="false" ht="21" hidden="false" customHeight="true" outlineLevel="0" collapsed="false"/>
    <row r="1581" customFormat="false" ht="21" hidden="false" customHeight="true" outlineLevel="0" collapsed="false"/>
    <row r="1582" customFormat="false" ht="21" hidden="false" customHeight="true" outlineLevel="0" collapsed="false"/>
    <row r="1583" customFormat="false" ht="21" hidden="false" customHeight="true" outlineLevel="0" collapsed="false"/>
    <row r="1584" customFormat="false" ht="21" hidden="false" customHeight="true" outlineLevel="0" collapsed="false"/>
    <row r="1585" customFormat="false" ht="21" hidden="false" customHeight="true" outlineLevel="0" collapsed="false"/>
    <row r="1586" customFormat="false" ht="21" hidden="false" customHeight="true" outlineLevel="0" collapsed="false"/>
    <row r="1587" customFormat="false" ht="21" hidden="false" customHeight="true" outlineLevel="0" collapsed="false"/>
    <row r="1588" customFormat="false" ht="21" hidden="false" customHeight="true" outlineLevel="0" collapsed="false"/>
    <row r="1589" customFormat="false" ht="21" hidden="false" customHeight="true" outlineLevel="0" collapsed="false"/>
    <row r="1590" customFormat="false" ht="21" hidden="false" customHeight="true" outlineLevel="0" collapsed="false"/>
    <row r="1591" customFormat="false" ht="21" hidden="false" customHeight="true" outlineLevel="0" collapsed="false"/>
    <row r="1592" customFormat="false" ht="21" hidden="false" customHeight="true" outlineLevel="0" collapsed="false"/>
    <row r="1593" customFormat="false" ht="21" hidden="false" customHeight="true" outlineLevel="0" collapsed="false"/>
    <row r="1594" customFormat="false" ht="21" hidden="false" customHeight="true" outlineLevel="0" collapsed="false"/>
    <row r="1595" customFormat="false" ht="21" hidden="false" customHeight="true" outlineLevel="0" collapsed="false"/>
    <row r="1596" customFormat="false" ht="21" hidden="false" customHeight="true" outlineLevel="0" collapsed="false"/>
    <row r="1597" customFormat="false" ht="21" hidden="false" customHeight="true" outlineLevel="0" collapsed="false"/>
    <row r="1598" customFormat="false" ht="21" hidden="false" customHeight="true" outlineLevel="0" collapsed="false"/>
    <row r="1599" customFormat="false" ht="21" hidden="false" customHeight="true" outlineLevel="0" collapsed="false"/>
    <row r="1600" customFormat="false" ht="21" hidden="false" customHeight="true" outlineLevel="0" collapsed="false"/>
    <row r="1601" customFormat="false" ht="21" hidden="false" customHeight="true" outlineLevel="0" collapsed="false"/>
    <row r="1602" customFormat="false" ht="21" hidden="false" customHeight="true" outlineLevel="0" collapsed="false"/>
    <row r="1603" customFormat="false" ht="21" hidden="false" customHeight="true" outlineLevel="0" collapsed="false"/>
    <row r="1604" customFormat="false" ht="21" hidden="false" customHeight="true" outlineLevel="0" collapsed="false"/>
    <row r="1605" customFormat="false" ht="21" hidden="false" customHeight="true" outlineLevel="0" collapsed="false"/>
    <row r="1606" customFormat="false" ht="21" hidden="false" customHeight="true" outlineLevel="0" collapsed="false"/>
    <row r="1607" customFormat="false" ht="21" hidden="false" customHeight="true" outlineLevel="0" collapsed="false"/>
    <row r="1608" customFormat="false" ht="21" hidden="false" customHeight="true" outlineLevel="0" collapsed="false"/>
    <row r="1609" customFormat="false" ht="21" hidden="false" customHeight="true" outlineLevel="0" collapsed="false"/>
    <row r="1610" customFormat="false" ht="21" hidden="false" customHeight="true" outlineLevel="0" collapsed="false"/>
    <row r="1611" customFormat="false" ht="21" hidden="false" customHeight="true" outlineLevel="0" collapsed="false"/>
    <row r="1612" customFormat="false" ht="21" hidden="false" customHeight="true" outlineLevel="0" collapsed="false"/>
    <row r="1613" customFormat="false" ht="21" hidden="false" customHeight="true" outlineLevel="0" collapsed="false"/>
    <row r="1614" customFormat="false" ht="21" hidden="false" customHeight="true" outlineLevel="0" collapsed="false"/>
    <row r="1615" customFormat="false" ht="21" hidden="false" customHeight="true" outlineLevel="0" collapsed="false"/>
    <row r="1616" customFormat="false" ht="21" hidden="false" customHeight="true" outlineLevel="0" collapsed="false"/>
    <row r="1617" customFormat="false" ht="21" hidden="false" customHeight="true" outlineLevel="0" collapsed="false"/>
    <row r="1618" customFormat="false" ht="21" hidden="false" customHeight="true" outlineLevel="0" collapsed="false"/>
    <row r="1619" customFormat="false" ht="21" hidden="false" customHeight="true" outlineLevel="0" collapsed="false"/>
    <row r="1620" customFormat="false" ht="21" hidden="false" customHeight="true" outlineLevel="0" collapsed="false"/>
    <row r="1621" customFormat="false" ht="21" hidden="false" customHeight="true" outlineLevel="0" collapsed="false"/>
    <row r="1622" customFormat="false" ht="21" hidden="false" customHeight="true" outlineLevel="0" collapsed="false"/>
    <row r="1623" customFormat="false" ht="21" hidden="false" customHeight="true" outlineLevel="0" collapsed="false"/>
    <row r="1624" customFormat="false" ht="21" hidden="false" customHeight="true" outlineLevel="0" collapsed="false"/>
    <row r="1625" customFormat="false" ht="21" hidden="false" customHeight="true" outlineLevel="0" collapsed="false"/>
    <row r="1626" customFormat="false" ht="21" hidden="false" customHeight="true" outlineLevel="0" collapsed="false"/>
    <row r="1627" customFormat="false" ht="21" hidden="false" customHeight="true" outlineLevel="0" collapsed="false"/>
    <row r="1628" customFormat="false" ht="21" hidden="false" customHeight="true" outlineLevel="0" collapsed="false"/>
    <row r="1629" customFormat="false" ht="21" hidden="false" customHeight="true" outlineLevel="0" collapsed="false"/>
    <row r="1630" customFormat="false" ht="21" hidden="false" customHeight="true" outlineLevel="0" collapsed="false"/>
    <row r="1631" customFormat="false" ht="21" hidden="false" customHeight="true" outlineLevel="0" collapsed="false"/>
    <row r="1632" customFormat="false" ht="21" hidden="false" customHeight="true" outlineLevel="0" collapsed="false"/>
    <row r="1633" customFormat="false" ht="21" hidden="false" customHeight="true" outlineLevel="0" collapsed="false"/>
    <row r="1634" customFormat="false" ht="21" hidden="false" customHeight="true" outlineLevel="0" collapsed="false"/>
    <row r="1635" customFormat="false" ht="21" hidden="false" customHeight="true" outlineLevel="0" collapsed="false"/>
    <row r="1636" customFormat="false" ht="21" hidden="false" customHeight="true" outlineLevel="0" collapsed="false"/>
    <row r="1637" customFormat="false" ht="21" hidden="false" customHeight="true" outlineLevel="0" collapsed="false"/>
    <row r="1638" customFormat="false" ht="21" hidden="false" customHeight="true" outlineLevel="0" collapsed="false"/>
    <row r="1639" customFormat="false" ht="21" hidden="false" customHeight="true" outlineLevel="0" collapsed="false"/>
    <row r="1640" customFormat="false" ht="21" hidden="false" customHeight="true" outlineLevel="0" collapsed="false"/>
    <row r="1641" customFormat="false" ht="21" hidden="false" customHeight="true" outlineLevel="0" collapsed="false"/>
    <row r="1642" customFormat="false" ht="21" hidden="false" customHeight="true" outlineLevel="0" collapsed="false"/>
    <row r="1643" customFormat="false" ht="21" hidden="false" customHeight="true" outlineLevel="0" collapsed="false"/>
    <row r="1644" customFormat="false" ht="21" hidden="false" customHeight="true" outlineLevel="0" collapsed="false"/>
    <row r="1645" customFormat="false" ht="21" hidden="false" customHeight="true" outlineLevel="0" collapsed="false"/>
    <row r="1646" customFormat="false" ht="21" hidden="false" customHeight="true" outlineLevel="0" collapsed="false"/>
    <row r="1647" customFormat="false" ht="21" hidden="false" customHeight="true" outlineLevel="0" collapsed="false"/>
    <row r="1648" customFormat="false" ht="21" hidden="false" customHeight="true" outlineLevel="0" collapsed="false"/>
    <row r="1649" customFormat="false" ht="21" hidden="false" customHeight="true" outlineLevel="0" collapsed="false"/>
    <row r="1650" customFormat="false" ht="21" hidden="false" customHeight="true" outlineLevel="0" collapsed="false"/>
    <row r="1651" customFormat="false" ht="21" hidden="false" customHeight="true" outlineLevel="0" collapsed="false"/>
    <row r="1652" customFormat="false" ht="21" hidden="false" customHeight="true" outlineLevel="0" collapsed="false"/>
    <row r="1653" customFormat="false" ht="21" hidden="false" customHeight="true" outlineLevel="0" collapsed="false"/>
    <row r="1654" customFormat="false" ht="21" hidden="false" customHeight="true" outlineLevel="0" collapsed="false"/>
    <row r="1655" customFormat="false" ht="21" hidden="false" customHeight="true" outlineLevel="0" collapsed="false"/>
    <row r="1656" customFormat="false" ht="21" hidden="false" customHeight="true" outlineLevel="0" collapsed="false"/>
    <row r="1657" customFormat="false" ht="21" hidden="false" customHeight="true" outlineLevel="0" collapsed="false"/>
    <row r="1658" customFormat="false" ht="21" hidden="false" customHeight="true" outlineLevel="0" collapsed="false"/>
    <row r="1659" customFormat="false" ht="21" hidden="false" customHeight="true" outlineLevel="0" collapsed="false"/>
    <row r="1660" customFormat="false" ht="21" hidden="false" customHeight="true" outlineLevel="0" collapsed="false"/>
    <row r="1661" customFormat="false" ht="21" hidden="false" customHeight="true" outlineLevel="0" collapsed="false"/>
    <row r="1662" customFormat="false" ht="21" hidden="false" customHeight="true" outlineLevel="0" collapsed="false"/>
    <row r="1663" customFormat="false" ht="21" hidden="false" customHeight="true" outlineLevel="0" collapsed="false"/>
    <row r="1664" customFormat="false" ht="21" hidden="false" customHeight="true" outlineLevel="0" collapsed="false"/>
    <row r="1665" customFormat="false" ht="21" hidden="false" customHeight="true" outlineLevel="0" collapsed="false"/>
    <row r="1666" customFormat="false" ht="21" hidden="false" customHeight="true" outlineLevel="0" collapsed="false"/>
    <row r="1667" customFormat="false" ht="21" hidden="false" customHeight="true" outlineLevel="0" collapsed="false"/>
    <row r="1668" customFormat="false" ht="21" hidden="false" customHeight="true" outlineLevel="0" collapsed="false"/>
    <row r="1669" customFormat="false" ht="21" hidden="false" customHeight="true" outlineLevel="0" collapsed="false"/>
    <row r="1670" customFormat="false" ht="21" hidden="false" customHeight="true" outlineLevel="0" collapsed="false"/>
    <row r="1671" customFormat="false" ht="21" hidden="false" customHeight="true" outlineLevel="0" collapsed="false"/>
    <row r="1672" customFormat="false" ht="21" hidden="false" customHeight="true" outlineLevel="0" collapsed="false"/>
    <row r="1673" customFormat="false" ht="21" hidden="false" customHeight="true" outlineLevel="0" collapsed="false"/>
    <row r="1674" customFormat="false" ht="21" hidden="false" customHeight="true" outlineLevel="0" collapsed="false"/>
    <row r="1675" customFormat="false" ht="21" hidden="false" customHeight="true" outlineLevel="0" collapsed="false"/>
    <row r="1676" customFormat="false" ht="21" hidden="false" customHeight="true" outlineLevel="0" collapsed="false"/>
    <row r="1677" customFormat="false" ht="21" hidden="false" customHeight="true" outlineLevel="0" collapsed="false"/>
    <row r="1678" customFormat="false" ht="21" hidden="false" customHeight="true" outlineLevel="0" collapsed="false"/>
    <row r="1679" customFormat="false" ht="21" hidden="false" customHeight="true" outlineLevel="0" collapsed="false"/>
    <row r="1680" customFormat="false" ht="21" hidden="false" customHeight="true" outlineLevel="0" collapsed="false"/>
    <row r="1681" customFormat="false" ht="21" hidden="false" customHeight="true" outlineLevel="0" collapsed="false"/>
    <row r="1682" customFormat="false" ht="21" hidden="false" customHeight="true" outlineLevel="0" collapsed="false"/>
    <row r="1683" customFormat="false" ht="21" hidden="false" customHeight="true" outlineLevel="0" collapsed="false"/>
    <row r="1684" customFormat="false" ht="21" hidden="false" customHeight="true" outlineLevel="0" collapsed="false"/>
    <row r="1685" customFormat="false" ht="21" hidden="false" customHeight="true" outlineLevel="0" collapsed="false"/>
    <row r="1686" customFormat="false" ht="21" hidden="false" customHeight="true" outlineLevel="0" collapsed="false"/>
    <row r="1687" customFormat="false" ht="21" hidden="false" customHeight="true" outlineLevel="0" collapsed="false"/>
    <row r="1688" customFormat="false" ht="21" hidden="false" customHeight="true" outlineLevel="0" collapsed="false"/>
    <row r="1689" customFormat="false" ht="21" hidden="false" customHeight="true" outlineLevel="0" collapsed="false"/>
    <row r="1690" customFormat="false" ht="21" hidden="false" customHeight="true" outlineLevel="0" collapsed="false"/>
    <row r="1691" customFormat="false" ht="21" hidden="false" customHeight="true" outlineLevel="0" collapsed="false"/>
    <row r="1692" customFormat="false" ht="21" hidden="false" customHeight="true" outlineLevel="0" collapsed="false"/>
    <row r="1693" customFormat="false" ht="21" hidden="false" customHeight="true" outlineLevel="0" collapsed="false"/>
    <row r="1694" customFormat="false" ht="21" hidden="false" customHeight="true" outlineLevel="0" collapsed="false"/>
    <row r="1695" customFormat="false" ht="21" hidden="false" customHeight="true" outlineLevel="0" collapsed="false"/>
    <row r="1696" customFormat="false" ht="21" hidden="false" customHeight="true" outlineLevel="0" collapsed="false"/>
    <row r="1697" customFormat="false" ht="21" hidden="false" customHeight="true" outlineLevel="0" collapsed="false"/>
    <row r="1698" customFormat="false" ht="21" hidden="false" customHeight="true" outlineLevel="0" collapsed="false"/>
    <row r="1699" customFormat="false" ht="21" hidden="false" customHeight="true" outlineLevel="0" collapsed="false"/>
    <row r="1700" customFormat="false" ht="21" hidden="false" customHeight="true" outlineLevel="0" collapsed="false"/>
    <row r="1701" customFormat="false" ht="21" hidden="false" customHeight="true" outlineLevel="0" collapsed="false"/>
    <row r="1702" customFormat="false" ht="21" hidden="false" customHeight="true" outlineLevel="0" collapsed="false"/>
    <row r="1703" customFormat="false" ht="21" hidden="false" customHeight="true" outlineLevel="0" collapsed="false"/>
    <row r="1704" customFormat="false" ht="21" hidden="false" customHeight="true" outlineLevel="0" collapsed="false"/>
    <row r="1705" customFormat="false" ht="21" hidden="false" customHeight="true" outlineLevel="0" collapsed="false"/>
    <row r="1706" customFormat="false" ht="21" hidden="false" customHeight="true" outlineLevel="0" collapsed="false"/>
    <row r="1707" customFormat="false" ht="21" hidden="false" customHeight="true" outlineLevel="0" collapsed="false"/>
    <row r="1708" customFormat="false" ht="21" hidden="false" customHeight="true" outlineLevel="0" collapsed="false"/>
    <row r="1709" customFormat="false" ht="21" hidden="false" customHeight="true" outlineLevel="0" collapsed="false"/>
    <row r="1710" customFormat="false" ht="21" hidden="false" customHeight="true" outlineLevel="0" collapsed="false"/>
    <row r="1711" customFormat="false" ht="21" hidden="false" customHeight="true" outlineLevel="0" collapsed="false"/>
    <row r="1712" customFormat="false" ht="21" hidden="false" customHeight="true" outlineLevel="0" collapsed="false"/>
    <row r="1713" customFormat="false" ht="21" hidden="false" customHeight="true" outlineLevel="0" collapsed="false"/>
    <row r="1714" customFormat="false" ht="21" hidden="false" customHeight="true" outlineLevel="0" collapsed="false"/>
    <row r="1715" customFormat="false" ht="21" hidden="false" customHeight="true" outlineLevel="0" collapsed="false"/>
    <row r="1716" customFormat="false" ht="21" hidden="false" customHeight="true" outlineLevel="0" collapsed="false"/>
    <row r="1717" customFormat="false" ht="21" hidden="false" customHeight="true" outlineLevel="0" collapsed="false"/>
    <row r="1718" customFormat="false" ht="21" hidden="false" customHeight="true" outlineLevel="0" collapsed="false"/>
    <row r="1719" customFormat="false" ht="21" hidden="false" customHeight="true" outlineLevel="0" collapsed="false"/>
    <row r="1720" customFormat="false" ht="21" hidden="false" customHeight="true" outlineLevel="0" collapsed="false"/>
    <row r="1721" customFormat="false" ht="21" hidden="false" customHeight="true" outlineLevel="0" collapsed="false"/>
    <row r="1722" customFormat="false" ht="21" hidden="false" customHeight="true" outlineLevel="0" collapsed="false"/>
    <row r="1723" customFormat="false" ht="21" hidden="false" customHeight="true" outlineLevel="0" collapsed="false"/>
    <row r="1724" customFormat="false" ht="21" hidden="false" customHeight="true" outlineLevel="0" collapsed="false"/>
    <row r="1725" customFormat="false" ht="21" hidden="false" customHeight="true" outlineLevel="0" collapsed="false"/>
    <row r="1726" customFormat="false" ht="21" hidden="false" customHeight="true" outlineLevel="0" collapsed="false"/>
    <row r="1727" customFormat="false" ht="21" hidden="false" customHeight="true" outlineLevel="0" collapsed="false"/>
    <row r="1728" customFormat="false" ht="21" hidden="false" customHeight="true" outlineLevel="0" collapsed="false"/>
    <row r="1729" customFormat="false" ht="21" hidden="false" customHeight="true" outlineLevel="0" collapsed="false"/>
    <row r="1730" customFormat="false" ht="21" hidden="false" customHeight="true" outlineLevel="0" collapsed="false"/>
    <row r="1731" customFormat="false" ht="21" hidden="false" customHeight="true" outlineLevel="0" collapsed="false"/>
    <row r="1732" customFormat="false" ht="21" hidden="false" customHeight="true" outlineLevel="0" collapsed="false"/>
    <row r="1733" customFormat="false" ht="21" hidden="false" customHeight="true" outlineLevel="0" collapsed="false"/>
    <row r="1734" customFormat="false" ht="21" hidden="false" customHeight="true" outlineLevel="0" collapsed="false"/>
    <row r="1735" customFormat="false" ht="21" hidden="false" customHeight="true" outlineLevel="0" collapsed="false"/>
    <row r="1736" customFormat="false" ht="21" hidden="false" customHeight="true" outlineLevel="0" collapsed="false"/>
    <row r="1737" customFormat="false" ht="21" hidden="false" customHeight="true" outlineLevel="0" collapsed="false"/>
    <row r="1738" customFormat="false" ht="21" hidden="false" customHeight="true" outlineLevel="0" collapsed="false"/>
    <row r="1739" customFormat="false" ht="21" hidden="false" customHeight="true" outlineLevel="0" collapsed="false"/>
    <row r="1740" customFormat="false" ht="21" hidden="false" customHeight="true" outlineLevel="0" collapsed="false"/>
    <row r="1741" customFormat="false" ht="21" hidden="false" customHeight="true" outlineLevel="0" collapsed="false"/>
    <row r="1742" customFormat="false" ht="21" hidden="false" customHeight="true" outlineLevel="0" collapsed="false"/>
    <row r="1743" customFormat="false" ht="21" hidden="false" customHeight="true" outlineLevel="0" collapsed="false"/>
    <row r="1744" customFormat="false" ht="21" hidden="false" customHeight="true" outlineLevel="0" collapsed="false"/>
    <row r="1745" customFormat="false" ht="21" hidden="false" customHeight="true" outlineLevel="0" collapsed="false"/>
    <row r="1746" customFormat="false" ht="21" hidden="false" customHeight="true" outlineLevel="0" collapsed="false"/>
    <row r="1747" customFormat="false" ht="21" hidden="false" customHeight="true" outlineLevel="0" collapsed="false"/>
    <row r="1748" customFormat="false" ht="21" hidden="false" customHeight="true" outlineLevel="0" collapsed="false"/>
    <row r="1749" customFormat="false" ht="21" hidden="false" customHeight="true" outlineLevel="0" collapsed="false"/>
    <row r="1750" customFormat="false" ht="21" hidden="false" customHeight="true" outlineLevel="0" collapsed="false"/>
    <row r="1751" customFormat="false" ht="21" hidden="false" customHeight="true" outlineLevel="0" collapsed="false"/>
    <row r="1752" customFormat="false" ht="21" hidden="false" customHeight="true" outlineLevel="0" collapsed="false"/>
    <row r="1753" customFormat="false" ht="21" hidden="false" customHeight="true" outlineLevel="0" collapsed="false"/>
    <row r="1754" customFormat="false" ht="21" hidden="false" customHeight="true" outlineLevel="0" collapsed="false"/>
    <row r="1755" customFormat="false" ht="21" hidden="false" customHeight="true" outlineLevel="0" collapsed="false"/>
    <row r="1756" customFormat="false" ht="21" hidden="false" customHeight="true" outlineLevel="0" collapsed="false"/>
    <row r="1757" customFormat="false" ht="21" hidden="false" customHeight="true" outlineLevel="0" collapsed="false"/>
    <row r="1758" customFormat="false" ht="21" hidden="false" customHeight="true" outlineLevel="0" collapsed="false"/>
    <row r="1759" customFormat="false" ht="21" hidden="false" customHeight="true" outlineLevel="0" collapsed="false"/>
    <row r="1760" customFormat="false" ht="21" hidden="false" customHeight="true" outlineLevel="0" collapsed="false"/>
    <row r="1761" customFormat="false" ht="21" hidden="false" customHeight="true" outlineLevel="0" collapsed="false"/>
    <row r="1762" customFormat="false" ht="21" hidden="false" customHeight="true" outlineLevel="0" collapsed="false"/>
    <row r="1763" customFormat="false" ht="21" hidden="false" customHeight="true" outlineLevel="0" collapsed="false"/>
    <row r="1764" customFormat="false" ht="21" hidden="false" customHeight="true" outlineLevel="0" collapsed="false"/>
    <row r="1765" customFormat="false" ht="21" hidden="false" customHeight="true" outlineLevel="0" collapsed="false"/>
    <row r="1766" customFormat="false" ht="21" hidden="false" customHeight="true" outlineLevel="0" collapsed="false"/>
    <row r="1767" customFormat="false" ht="21" hidden="false" customHeight="true" outlineLevel="0" collapsed="false"/>
    <row r="1768" customFormat="false" ht="21" hidden="false" customHeight="true" outlineLevel="0" collapsed="false"/>
    <row r="1769" customFormat="false" ht="21" hidden="false" customHeight="true" outlineLevel="0" collapsed="false"/>
    <row r="1770" customFormat="false" ht="21" hidden="false" customHeight="true" outlineLevel="0" collapsed="false"/>
    <row r="1771" customFormat="false" ht="21" hidden="false" customHeight="true" outlineLevel="0" collapsed="false"/>
    <row r="1772" customFormat="false" ht="21" hidden="false" customHeight="true" outlineLevel="0" collapsed="false"/>
    <row r="1773" customFormat="false" ht="21" hidden="false" customHeight="true" outlineLevel="0" collapsed="false"/>
    <row r="1774" customFormat="false" ht="21" hidden="false" customHeight="true" outlineLevel="0" collapsed="false"/>
    <row r="1775" customFormat="false" ht="21" hidden="false" customHeight="true" outlineLevel="0" collapsed="false"/>
    <row r="1776" customFormat="false" ht="21" hidden="false" customHeight="true" outlineLevel="0" collapsed="false"/>
    <row r="1777" customFormat="false" ht="21" hidden="false" customHeight="true" outlineLevel="0" collapsed="false"/>
    <row r="1778" customFormat="false" ht="21" hidden="false" customHeight="true" outlineLevel="0" collapsed="false"/>
    <row r="1779" customFormat="false" ht="21" hidden="false" customHeight="true" outlineLevel="0" collapsed="false"/>
    <row r="1780" customFormat="false" ht="21" hidden="false" customHeight="true" outlineLevel="0" collapsed="false"/>
    <row r="1781" customFormat="false" ht="21" hidden="false" customHeight="true" outlineLevel="0" collapsed="false"/>
    <row r="1782" customFormat="false" ht="21" hidden="false" customHeight="true" outlineLevel="0" collapsed="false"/>
    <row r="1783" customFormat="false" ht="21" hidden="false" customHeight="true" outlineLevel="0" collapsed="false"/>
    <row r="1784" customFormat="false" ht="21" hidden="false" customHeight="true" outlineLevel="0" collapsed="false"/>
    <row r="1785" customFormat="false" ht="21" hidden="false" customHeight="true" outlineLevel="0" collapsed="false"/>
    <row r="1786" customFormat="false" ht="21" hidden="false" customHeight="true" outlineLevel="0" collapsed="false"/>
    <row r="1787" customFormat="false" ht="21" hidden="false" customHeight="true" outlineLevel="0" collapsed="false"/>
    <row r="1788" customFormat="false" ht="21" hidden="false" customHeight="true" outlineLevel="0" collapsed="false"/>
    <row r="1789" customFormat="false" ht="21" hidden="false" customHeight="true" outlineLevel="0" collapsed="false"/>
    <row r="1790" customFormat="false" ht="21" hidden="false" customHeight="true" outlineLevel="0" collapsed="false"/>
    <row r="1791" customFormat="false" ht="21" hidden="false" customHeight="true" outlineLevel="0" collapsed="false"/>
    <row r="1792" customFormat="false" ht="21" hidden="false" customHeight="true" outlineLevel="0" collapsed="false"/>
    <row r="1793" customFormat="false" ht="21" hidden="false" customHeight="true" outlineLevel="0" collapsed="false"/>
    <row r="1794" customFormat="false" ht="21" hidden="false" customHeight="true" outlineLevel="0" collapsed="false"/>
    <row r="1795" customFormat="false" ht="21" hidden="false" customHeight="true" outlineLevel="0" collapsed="false"/>
    <row r="1796" customFormat="false" ht="21" hidden="false" customHeight="true" outlineLevel="0" collapsed="false"/>
    <row r="1797" customFormat="false" ht="21" hidden="false" customHeight="true" outlineLevel="0" collapsed="false"/>
    <row r="1798" customFormat="false" ht="21" hidden="false" customHeight="true" outlineLevel="0" collapsed="false"/>
    <row r="1799" customFormat="false" ht="21" hidden="false" customHeight="true" outlineLevel="0" collapsed="false"/>
    <row r="1800" customFormat="false" ht="21" hidden="false" customHeight="true" outlineLevel="0" collapsed="false"/>
    <row r="1801" customFormat="false" ht="21" hidden="false" customHeight="true" outlineLevel="0" collapsed="false"/>
    <row r="1802" customFormat="false" ht="21" hidden="false" customHeight="true" outlineLevel="0" collapsed="false"/>
    <row r="1803" customFormat="false" ht="21" hidden="false" customHeight="true" outlineLevel="0" collapsed="false"/>
    <row r="1804" customFormat="false" ht="21" hidden="false" customHeight="true" outlineLevel="0" collapsed="false"/>
    <row r="1805" customFormat="false" ht="21" hidden="false" customHeight="true" outlineLevel="0" collapsed="false"/>
    <row r="1806" customFormat="false" ht="21" hidden="false" customHeight="true" outlineLevel="0" collapsed="false"/>
    <row r="1807" customFormat="false" ht="21" hidden="false" customHeight="true" outlineLevel="0" collapsed="false"/>
    <row r="1808" customFormat="false" ht="21" hidden="false" customHeight="true" outlineLevel="0" collapsed="false"/>
    <row r="1809" customFormat="false" ht="21" hidden="false" customHeight="true" outlineLevel="0" collapsed="false"/>
    <row r="1810" customFormat="false" ht="21" hidden="false" customHeight="true" outlineLevel="0" collapsed="false"/>
    <row r="1811" customFormat="false" ht="21" hidden="false" customHeight="true" outlineLevel="0" collapsed="false"/>
    <row r="1812" customFormat="false" ht="21" hidden="false" customHeight="true" outlineLevel="0" collapsed="false"/>
    <row r="1813" customFormat="false" ht="21" hidden="false" customHeight="true" outlineLevel="0" collapsed="false"/>
    <row r="1814" customFormat="false" ht="21" hidden="false" customHeight="true" outlineLevel="0" collapsed="false"/>
    <row r="1815" customFormat="false" ht="21" hidden="false" customHeight="true" outlineLevel="0" collapsed="false"/>
    <row r="1816" customFormat="false" ht="21" hidden="false" customHeight="true" outlineLevel="0" collapsed="false"/>
    <row r="1817" customFormat="false" ht="21" hidden="false" customHeight="true" outlineLevel="0" collapsed="false"/>
    <row r="1818" customFormat="false" ht="21" hidden="false" customHeight="true" outlineLevel="0" collapsed="false"/>
    <row r="1819" customFormat="false" ht="21" hidden="false" customHeight="true" outlineLevel="0" collapsed="false"/>
    <row r="1820" customFormat="false" ht="21" hidden="false" customHeight="true" outlineLevel="0" collapsed="false"/>
    <row r="1821" customFormat="false" ht="21" hidden="false" customHeight="true" outlineLevel="0" collapsed="false"/>
    <row r="1822" customFormat="false" ht="21" hidden="false" customHeight="true" outlineLevel="0" collapsed="false"/>
    <row r="1823" customFormat="false" ht="21" hidden="false" customHeight="true" outlineLevel="0" collapsed="false"/>
    <row r="1824" customFormat="false" ht="21" hidden="false" customHeight="true" outlineLevel="0" collapsed="false"/>
    <row r="1825" customFormat="false" ht="21" hidden="false" customHeight="true" outlineLevel="0" collapsed="false"/>
    <row r="1826" customFormat="false" ht="21" hidden="false" customHeight="true" outlineLevel="0" collapsed="false"/>
    <row r="1827" customFormat="false" ht="21" hidden="false" customHeight="true" outlineLevel="0" collapsed="false"/>
    <row r="1828" customFormat="false" ht="21" hidden="false" customHeight="true" outlineLevel="0" collapsed="false"/>
    <row r="1829" customFormat="false" ht="21" hidden="false" customHeight="true" outlineLevel="0" collapsed="false"/>
    <row r="1830" customFormat="false" ht="21" hidden="false" customHeight="true" outlineLevel="0" collapsed="false"/>
    <row r="1831" customFormat="false" ht="21" hidden="false" customHeight="true" outlineLevel="0" collapsed="false"/>
    <row r="1832" customFormat="false" ht="21" hidden="false" customHeight="true" outlineLevel="0" collapsed="false"/>
    <row r="1833" customFormat="false" ht="21" hidden="false" customHeight="true" outlineLevel="0" collapsed="false"/>
    <row r="1834" customFormat="false" ht="21" hidden="false" customHeight="true" outlineLevel="0" collapsed="false"/>
    <row r="1835" customFormat="false" ht="21" hidden="false" customHeight="true" outlineLevel="0" collapsed="false"/>
    <row r="1836" customFormat="false" ht="21" hidden="false" customHeight="true" outlineLevel="0" collapsed="false"/>
    <row r="1837" customFormat="false" ht="21" hidden="false" customHeight="true" outlineLevel="0" collapsed="false"/>
    <row r="1838" customFormat="false" ht="21" hidden="false" customHeight="true" outlineLevel="0" collapsed="false"/>
    <row r="1839" customFormat="false" ht="21" hidden="false" customHeight="true" outlineLevel="0" collapsed="false"/>
    <row r="1840" customFormat="false" ht="21" hidden="false" customHeight="true" outlineLevel="0" collapsed="false"/>
    <row r="1841" customFormat="false" ht="21" hidden="false" customHeight="true" outlineLevel="0" collapsed="false"/>
    <row r="1842" customFormat="false" ht="21" hidden="false" customHeight="true" outlineLevel="0" collapsed="false"/>
    <row r="1843" customFormat="false" ht="21" hidden="false" customHeight="true" outlineLevel="0" collapsed="false"/>
    <row r="1844" customFormat="false" ht="21" hidden="false" customHeight="true" outlineLevel="0" collapsed="false"/>
    <row r="1845" customFormat="false" ht="21" hidden="false" customHeight="true" outlineLevel="0" collapsed="false"/>
    <row r="1846" customFormat="false" ht="21" hidden="false" customHeight="true" outlineLevel="0" collapsed="false"/>
    <row r="1847" customFormat="false" ht="21" hidden="false" customHeight="true" outlineLevel="0" collapsed="false"/>
    <row r="1848" customFormat="false" ht="21" hidden="false" customHeight="true" outlineLevel="0" collapsed="false"/>
    <row r="1849" customFormat="false" ht="21" hidden="false" customHeight="true" outlineLevel="0" collapsed="false"/>
    <row r="1850" customFormat="false" ht="21" hidden="false" customHeight="true" outlineLevel="0" collapsed="false"/>
    <row r="1851" customFormat="false" ht="21" hidden="false" customHeight="true" outlineLevel="0" collapsed="false"/>
    <row r="1852" customFormat="false" ht="21" hidden="false" customHeight="true" outlineLevel="0" collapsed="false"/>
    <row r="1853" customFormat="false" ht="21" hidden="false" customHeight="true" outlineLevel="0" collapsed="false"/>
    <row r="1854" customFormat="false" ht="21" hidden="false" customHeight="true" outlineLevel="0" collapsed="false"/>
    <row r="1855" customFormat="false" ht="21" hidden="false" customHeight="true" outlineLevel="0" collapsed="false"/>
    <row r="1856" customFormat="false" ht="21" hidden="false" customHeight="true" outlineLevel="0" collapsed="false"/>
    <row r="1857" customFormat="false" ht="21" hidden="false" customHeight="true" outlineLevel="0" collapsed="false"/>
    <row r="1858" customFormat="false" ht="21" hidden="false" customHeight="true" outlineLevel="0" collapsed="false"/>
    <row r="1859" customFormat="false" ht="21" hidden="false" customHeight="true" outlineLevel="0" collapsed="false"/>
    <row r="1860" customFormat="false" ht="21" hidden="false" customHeight="true" outlineLevel="0" collapsed="false"/>
    <row r="1861" customFormat="false" ht="21" hidden="false" customHeight="true" outlineLevel="0" collapsed="false"/>
    <row r="1862" customFormat="false" ht="21" hidden="false" customHeight="true" outlineLevel="0" collapsed="false"/>
    <row r="1863" customFormat="false" ht="21" hidden="false" customHeight="true" outlineLevel="0" collapsed="false"/>
    <row r="1864" customFormat="false" ht="21" hidden="false" customHeight="true" outlineLevel="0" collapsed="false"/>
    <row r="1865" customFormat="false" ht="21" hidden="false" customHeight="true" outlineLevel="0" collapsed="false"/>
    <row r="1866" customFormat="false" ht="21" hidden="false" customHeight="true" outlineLevel="0" collapsed="false"/>
    <row r="1867" customFormat="false" ht="21" hidden="false" customHeight="true" outlineLevel="0" collapsed="false"/>
    <row r="1868" customFormat="false" ht="21" hidden="false" customHeight="true" outlineLevel="0" collapsed="false"/>
    <row r="1869" customFormat="false" ht="21" hidden="false" customHeight="true" outlineLevel="0" collapsed="false"/>
    <row r="1870" customFormat="false" ht="21" hidden="false" customHeight="true" outlineLevel="0" collapsed="false"/>
    <row r="1871" customFormat="false" ht="21" hidden="false" customHeight="true" outlineLevel="0" collapsed="false"/>
    <row r="1872" customFormat="false" ht="21" hidden="false" customHeight="true" outlineLevel="0" collapsed="false"/>
    <row r="1873" customFormat="false" ht="21" hidden="false" customHeight="true" outlineLevel="0" collapsed="false"/>
    <row r="1874" customFormat="false" ht="21" hidden="false" customHeight="true" outlineLevel="0" collapsed="false"/>
    <row r="1875" customFormat="false" ht="21" hidden="false" customHeight="true" outlineLevel="0" collapsed="false"/>
    <row r="1876" customFormat="false" ht="21" hidden="false" customHeight="true" outlineLevel="0" collapsed="false"/>
    <row r="1877" customFormat="false" ht="21" hidden="false" customHeight="true" outlineLevel="0" collapsed="false"/>
    <row r="1878" customFormat="false" ht="21" hidden="false" customHeight="true" outlineLevel="0" collapsed="false"/>
    <row r="1879" customFormat="false" ht="21" hidden="false" customHeight="true" outlineLevel="0" collapsed="false"/>
    <row r="1880" customFormat="false" ht="21" hidden="false" customHeight="true" outlineLevel="0" collapsed="false"/>
    <row r="1881" customFormat="false" ht="21" hidden="false" customHeight="true" outlineLevel="0" collapsed="false"/>
    <row r="1882" customFormat="false" ht="21" hidden="false" customHeight="true" outlineLevel="0" collapsed="false"/>
    <row r="1883" customFormat="false" ht="21" hidden="false" customHeight="true" outlineLevel="0" collapsed="false"/>
    <row r="1884" customFormat="false" ht="21" hidden="false" customHeight="true" outlineLevel="0" collapsed="false"/>
    <row r="1885" customFormat="false" ht="21" hidden="false" customHeight="true" outlineLevel="0" collapsed="false"/>
    <row r="1886" customFormat="false" ht="21" hidden="false" customHeight="true" outlineLevel="0" collapsed="false"/>
    <row r="1887" customFormat="false" ht="21" hidden="false" customHeight="true" outlineLevel="0" collapsed="false"/>
    <row r="1888" customFormat="false" ht="21" hidden="false" customHeight="true" outlineLevel="0" collapsed="false"/>
    <row r="1889" customFormat="false" ht="21" hidden="false" customHeight="true" outlineLevel="0" collapsed="false"/>
    <row r="1890" customFormat="false" ht="21" hidden="false" customHeight="true" outlineLevel="0" collapsed="false"/>
    <row r="1891" customFormat="false" ht="21" hidden="false" customHeight="true" outlineLevel="0" collapsed="false"/>
    <row r="1892" customFormat="false" ht="21" hidden="false" customHeight="true" outlineLevel="0" collapsed="false"/>
    <row r="1893" customFormat="false" ht="21" hidden="false" customHeight="true" outlineLevel="0" collapsed="false"/>
    <row r="1894" customFormat="false" ht="21" hidden="false" customHeight="true" outlineLevel="0" collapsed="false"/>
    <row r="1895" customFormat="false" ht="21" hidden="false" customHeight="true" outlineLevel="0" collapsed="false"/>
    <row r="1896" customFormat="false" ht="21" hidden="false" customHeight="true" outlineLevel="0" collapsed="false"/>
    <row r="1897" customFormat="false" ht="21" hidden="false" customHeight="true" outlineLevel="0" collapsed="false"/>
    <row r="1898" customFormat="false" ht="21" hidden="false" customHeight="true" outlineLevel="0" collapsed="false"/>
    <row r="1899" customFormat="false" ht="21" hidden="false" customHeight="true" outlineLevel="0" collapsed="false"/>
    <row r="1900" customFormat="false" ht="21" hidden="false" customHeight="true" outlineLevel="0" collapsed="false"/>
    <row r="1901" customFormat="false" ht="21" hidden="false" customHeight="true" outlineLevel="0" collapsed="false"/>
    <row r="1902" customFormat="false" ht="21" hidden="false" customHeight="true" outlineLevel="0" collapsed="false"/>
    <row r="1903" customFormat="false" ht="21" hidden="false" customHeight="true" outlineLevel="0" collapsed="false"/>
    <row r="1904" customFormat="false" ht="21" hidden="false" customHeight="true" outlineLevel="0" collapsed="false"/>
    <row r="1905" customFormat="false" ht="21" hidden="false" customHeight="true" outlineLevel="0" collapsed="false"/>
    <row r="1906" customFormat="false" ht="21" hidden="false" customHeight="true" outlineLevel="0" collapsed="false"/>
    <row r="1907" customFormat="false" ht="21" hidden="false" customHeight="true" outlineLevel="0" collapsed="false"/>
    <row r="1908" customFormat="false" ht="21" hidden="false" customHeight="true" outlineLevel="0" collapsed="false"/>
    <row r="1909" customFormat="false" ht="21" hidden="false" customHeight="true" outlineLevel="0" collapsed="false"/>
    <row r="1910" customFormat="false" ht="21" hidden="false" customHeight="true" outlineLevel="0" collapsed="false"/>
    <row r="1911" customFormat="false" ht="21" hidden="false" customHeight="true" outlineLevel="0" collapsed="false"/>
    <row r="1912" customFormat="false" ht="21" hidden="false" customHeight="true" outlineLevel="0" collapsed="false"/>
    <row r="1913" customFormat="false" ht="21" hidden="false" customHeight="true" outlineLevel="0" collapsed="false"/>
    <row r="1914" customFormat="false" ht="21" hidden="false" customHeight="true" outlineLevel="0" collapsed="false"/>
    <row r="1915" customFormat="false" ht="21" hidden="false" customHeight="true" outlineLevel="0" collapsed="false"/>
    <row r="1916" customFormat="false" ht="21" hidden="false" customHeight="true" outlineLevel="0" collapsed="false"/>
    <row r="1917" customFormat="false" ht="21" hidden="false" customHeight="true" outlineLevel="0" collapsed="false"/>
    <row r="1918" customFormat="false" ht="21" hidden="false" customHeight="true" outlineLevel="0" collapsed="false"/>
    <row r="1919" customFormat="false" ht="21" hidden="false" customHeight="true" outlineLevel="0" collapsed="false"/>
    <row r="1920" customFormat="false" ht="21" hidden="false" customHeight="true" outlineLevel="0" collapsed="false"/>
    <row r="1921" customFormat="false" ht="21" hidden="false" customHeight="true" outlineLevel="0" collapsed="false"/>
    <row r="1922" customFormat="false" ht="21" hidden="false" customHeight="true" outlineLevel="0" collapsed="false"/>
    <row r="1923" customFormat="false" ht="21" hidden="false" customHeight="true" outlineLevel="0" collapsed="false"/>
    <row r="1924" customFormat="false" ht="21" hidden="false" customHeight="true" outlineLevel="0" collapsed="false"/>
    <row r="1925" customFormat="false" ht="21" hidden="false" customHeight="true" outlineLevel="0" collapsed="false"/>
    <row r="1926" customFormat="false" ht="21" hidden="false" customHeight="true" outlineLevel="0" collapsed="false"/>
    <row r="1927" customFormat="false" ht="21" hidden="false" customHeight="true" outlineLevel="0" collapsed="false"/>
    <row r="1928" customFormat="false" ht="21" hidden="false" customHeight="true" outlineLevel="0" collapsed="false"/>
    <row r="1929" customFormat="false" ht="21" hidden="false" customHeight="true" outlineLevel="0" collapsed="false"/>
    <row r="1930" customFormat="false" ht="21" hidden="false" customHeight="true" outlineLevel="0" collapsed="false"/>
    <row r="1931" customFormat="false" ht="21" hidden="false" customHeight="true" outlineLevel="0" collapsed="false"/>
    <row r="1932" customFormat="false" ht="21" hidden="false" customHeight="true" outlineLevel="0" collapsed="false"/>
    <row r="1933" customFormat="false" ht="21" hidden="false" customHeight="true" outlineLevel="0" collapsed="false"/>
    <row r="1934" customFormat="false" ht="21" hidden="false" customHeight="true" outlineLevel="0" collapsed="false"/>
    <row r="1935" customFormat="false" ht="21" hidden="false" customHeight="true" outlineLevel="0" collapsed="false"/>
    <row r="1936" customFormat="false" ht="21" hidden="false" customHeight="true" outlineLevel="0" collapsed="false"/>
    <row r="1937" customFormat="false" ht="21" hidden="false" customHeight="true" outlineLevel="0" collapsed="false"/>
    <row r="1938" customFormat="false" ht="21" hidden="false" customHeight="true" outlineLevel="0" collapsed="false"/>
    <row r="1939" customFormat="false" ht="21" hidden="false" customHeight="true" outlineLevel="0" collapsed="false"/>
    <row r="1940" customFormat="false" ht="21" hidden="false" customHeight="true" outlineLevel="0" collapsed="false"/>
    <row r="1941" customFormat="false" ht="21" hidden="false" customHeight="true" outlineLevel="0" collapsed="false"/>
    <row r="1942" customFormat="false" ht="21" hidden="false" customHeight="true" outlineLevel="0" collapsed="false"/>
    <row r="1943" customFormat="false" ht="21" hidden="false" customHeight="true" outlineLevel="0" collapsed="false"/>
    <row r="1944" customFormat="false" ht="21" hidden="false" customHeight="true" outlineLevel="0" collapsed="false"/>
    <row r="1945" customFormat="false" ht="21" hidden="false" customHeight="true" outlineLevel="0" collapsed="false"/>
    <row r="1946" customFormat="false" ht="21" hidden="false" customHeight="true" outlineLevel="0" collapsed="false"/>
    <row r="1947" customFormat="false" ht="21" hidden="false" customHeight="true" outlineLevel="0" collapsed="false"/>
    <row r="1948" customFormat="false" ht="21" hidden="false" customHeight="true" outlineLevel="0" collapsed="false"/>
    <row r="1949" customFormat="false" ht="21" hidden="false" customHeight="true" outlineLevel="0" collapsed="false"/>
    <row r="1950" customFormat="false" ht="21" hidden="false" customHeight="true" outlineLevel="0" collapsed="false"/>
    <row r="1951" customFormat="false" ht="21" hidden="false" customHeight="true" outlineLevel="0" collapsed="false"/>
    <row r="1952" customFormat="false" ht="21" hidden="false" customHeight="true" outlineLevel="0" collapsed="false"/>
    <row r="1953" customFormat="false" ht="21" hidden="false" customHeight="true" outlineLevel="0" collapsed="false"/>
    <row r="1954" customFormat="false" ht="21" hidden="false" customHeight="true" outlineLevel="0" collapsed="false"/>
    <row r="1955" customFormat="false" ht="21" hidden="false" customHeight="true" outlineLevel="0" collapsed="false"/>
    <row r="1956" customFormat="false" ht="21" hidden="false" customHeight="true" outlineLevel="0" collapsed="false"/>
    <row r="1957" customFormat="false" ht="21" hidden="false" customHeight="true" outlineLevel="0" collapsed="false"/>
    <row r="1958" customFormat="false" ht="21" hidden="false" customHeight="true" outlineLevel="0" collapsed="false"/>
    <row r="1959" customFormat="false" ht="21" hidden="false" customHeight="true" outlineLevel="0" collapsed="false"/>
    <row r="1960" customFormat="false" ht="21" hidden="false" customHeight="true" outlineLevel="0" collapsed="false"/>
    <row r="1961" customFormat="false" ht="21" hidden="false" customHeight="true" outlineLevel="0" collapsed="false"/>
    <row r="1962" customFormat="false" ht="21" hidden="false" customHeight="true" outlineLevel="0" collapsed="false"/>
    <row r="1963" customFormat="false" ht="21" hidden="false" customHeight="true" outlineLevel="0" collapsed="false"/>
    <row r="1964" customFormat="false" ht="21" hidden="false" customHeight="true" outlineLevel="0" collapsed="false"/>
    <row r="1965" customFormat="false" ht="21" hidden="false" customHeight="true" outlineLevel="0" collapsed="false"/>
    <row r="1966" customFormat="false" ht="21" hidden="false" customHeight="true" outlineLevel="0" collapsed="false"/>
    <row r="1967" customFormat="false" ht="21" hidden="false" customHeight="true" outlineLevel="0" collapsed="false"/>
    <row r="1968" customFormat="false" ht="21" hidden="false" customHeight="true" outlineLevel="0" collapsed="false"/>
    <row r="1969" customFormat="false" ht="21" hidden="false" customHeight="true" outlineLevel="0" collapsed="false"/>
    <row r="1970" customFormat="false" ht="21" hidden="false" customHeight="true" outlineLevel="0" collapsed="false"/>
    <row r="1971" customFormat="false" ht="21" hidden="false" customHeight="true" outlineLevel="0" collapsed="false"/>
    <row r="1972" customFormat="false" ht="21" hidden="false" customHeight="true" outlineLevel="0" collapsed="false"/>
    <row r="1973" customFormat="false" ht="21" hidden="false" customHeight="true" outlineLevel="0" collapsed="false"/>
    <row r="1974" customFormat="false" ht="21" hidden="false" customHeight="true" outlineLevel="0" collapsed="false"/>
    <row r="1975" customFormat="false" ht="21" hidden="false" customHeight="true" outlineLevel="0" collapsed="false"/>
    <row r="1976" customFormat="false" ht="21" hidden="false" customHeight="true" outlineLevel="0" collapsed="false"/>
    <row r="1977" customFormat="false" ht="21" hidden="false" customHeight="true" outlineLevel="0" collapsed="false"/>
    <row r="1978" customFormat="false" ht="21" hidden="false" customHeight="true" outlineLevel="0" collapsed="false"/>
    <row r="1979" customFormat="false" ht="21" hidden="false" customHeight="true" outlineLevel="0" collapsed="false"/>
    <row r="1980" customFormat="false" ht="21" hidden="false" customHeight="true" outlineLevel="0" collapsed="false"/>
    <row r="1981" customFormat="false" ht="21" hidden="false" customHeight="true" outlineLevel="0" collapsed="false"/>
    <row r="1982" customFormat="false" ht="21" hidden="false" customHeight="true" outlineLevel="0" collapsed="false"/>
    <row r="1983" customFormat="false" ht="21" hidden="false" customHeight="true" outlineLevel="0" collapsed="false"/>
    <row r="1984" customFormat="false" ht="21" hidden="false" customHeight="true" outlineLevel="0" collapsed="false"/>
    <row r="1985" customFormat="false" ht="21" hidden="false" customHeight="true" outlineLevel="0" collapsed="false"/>
    <row r="1986" customFormat="false" ht="21" hidden="false" customHeight="true" outlineLevel="0" collapsed="false"/>
    <row r="1987" customFormat="false" ht="21" hidden="false" customHeight="true" outlineLevel="0" collapsed="false"/>
    <row r="1988" customFormat="false" ht="21" hidden="false" customHeight="true" outlineLevel="0" collapsed="false"/>
    <row r="1989" customFormat="false" ht="21" hidden="false" customHeight="true" outlineLevel="0" collapsed="false"/>
    <row r="1990" customFormat="false" ht="21" hidden="false" customHeight="true" outlineLevel="0" collapsed="false"/>
    <row r="1991" customFormat="false" ht="21" hidden="false" customHeight="true" outlineLevel="0" collapsed="false"/>
    <row r="1992" customFormat="false" ht="21" hidden="false" customHeight="true" outlineLevel="0" collapsed="false"/>
    <row r="1993" customFormat="false" ht="21" hidden="false" customHeight="true" outlineLevel="0" collapsed="false"/>
    <row r="1994" customFormat="false" ht="21" hidden="false" customHeight="true" outlineLevel="0" collapsed="false"/>
    <row r="1995" customFormat="false" ht="21" hidden="false" customHeight="true" outlineLevel="0" collapsed="false"/>
    <row r="1996" customFormat="false" ht="21" hidden="false" customHeight="true" outlineLevel="0" collapsed="false"/>
    <row r="1997" customFormat="false" ht="21" hidden="false" customHeight="true" outlineLevel="0" collapsed="false"/>
    <row r="1998" customFormat="false" ht="21" hidden="false" customHeight="true" outlineLevel="0" collapsed="false"/>
    <row r="1999" customFormat="false" ht="21" hidden="false" customHeight="true" outlineLevel="0" collapsed="false"/>
    <row r="2000" customFormat="false" ht="21" hidden="false" customHeight="true" outlineLevel="0" collapsed="false"/>
    <row r="2001" customFormat="false" ht="21" hidden="false" customHeight="true" outlineLevel="0" collapsed="false"/>
    <row r="2002" customFormat="false" ht="21" hidden="false" customHeight="true" outlineLevel="0" collapsed="false"/>
    <row r="2003" customFormat="false" ht="21" hidden="false" customHeight="true" outlineLevel="0" collapsed="false"/>
    <row r="2004" customFormat="false" ht="21" hidden="false" customHeight="true" outlineLevel="0" collapsed="false"/>
    <row r="2005" customFormat="false" ht="21" hidden="false" customHeight="true" outlineLevel="0" collapsed="false"/>
    <row r="2006" customFormat="false" ht="21" hidden="false" customHeight="true" outlineLevel="0" collapsed="false"/>
    <row r="2007" customFormat="false" ht="21" hidden="false" customHeight="true" outlineLevel="0" collapsed="false"/>
    <row r="2008" customFormat="false" ht="21" hidden="false" customHeight="true" outlineLevel="0" collapsed="false"/>
    <row r="2009" customFormat="false" ht="21" hidden="false" customHeight="true" outlineLevel="0" collapsed="false"/>
    <row r="2010" customFormat="false" ht="21" hidden="false" customHeight="true" outlineLevel="0" collapsed="false"/>
    <row r="2011" customFormat="false" ht="21" hidden="false" customHeight="true" outlineLevel="0" collapsed="false"/>
    <row r="2012" customFormat="false" ht="21" hidden="false" customHeight="true" outlineLevel="0" collapsed="false"/>
    <row r="2013" customFormat="false" ht="21" hidden="false" customHeight="true" outlineLevel="0" collapsed="false"/>
    <row r="2014" customFormat="false" ht="21" hidden="false" customHeight="true" outlineLevel="0" collapsed="false"/>
    <row r="2015" customFormat="false" ht="21" hidden="false" customHeight="true" outlineLevel="0" collapsed="false"/>
    <row r="2016" customFormat="false" ht="21" hidden="false" customHeight="true" outlineLevel="0" collapsed="false"/>
    <row r="2017" customFormat="false" ht="21" hidden="false" customHeight="true" outlineLevel="0" collapsed="false"/>
    <row r="2018" customFormat="false" ht="21" hidden="false" customHeight="true" outlineLevel="0" collapsed="false"/>
    <row r="2019" customFormat="false" ht="21" hidden="false" customHeight="true" outlineLevel="0" collapsed="false"/>
    <row r="2020" customFormat="false" ht="21" hidden="false" customHeight="true" outlineLevel="0" collapsed="false"/>
    <row r="2021" customFormat="false" ht="21" hidden="false" customHeight="true" outlineLevel="0" collapsed="false"/>
    <row r="2022" customFormat="false" ht="21" hidden="false" customHeight="true" outlineLevel="0" collapsed="false"/>
    <row r="2023" customFormat="false" ht="21" hidden="false" customHeight="true" outlineLevel="0" collapsed="false"/>
    <row r="2024" customFormat="false" ht="21" hidden="false" customHeight="true" outlineLevel="0" collapsed="false"/>
    <row r="2025" customFormat="false" ht="21" hidden="false" customHeight="true" outlineLevel="0" collapsed="false"/>
    <row r="2026" customFormat="false" ht="21" hidden="false" customHeight="true" outlineLevel="0" collapsed="false"/>
    <row r="2027" customFormat="false" ht="21" hidden="false" customHeight="true" outlineLevel="0" collapsed="false"/>
    <row r="2028" customFormat="false" ht="21" hidden="false" customHeight="true" outlineLevel="0" collapsed="false"/>
    <row r="2029" customFormat="false" ht="21" hidden="false" customHeight="true" outlineLevel="0" collapsed="false"/>
    <row r="2030" customFormat="false" ht="21" hidden="false" customHeight="true" outlineLevel="0" collapsed="false"/>
    <row r="2031" customFormat="false" ht="21" hidden="false" customHeight="true" outlineLevel="0" collapsed="false"/>
    <row r="2032" customFormat="false" ht="21" hidden="false" customHeight="true" outlineLevel="0" collapsed="false"/>
    <row r="2033" customFormat="false" ht="21" hidden="false" customHeight="true" outlineLevel="0" collapsed="false"/>
    <row r="2034" customFormat="false" ht="21" hidden="false" customHeight="true" outlineLevel="0" collapsed="false"/>
    <row r="2035" customFormat="false" ht="21" hidden="false" customHeight="true" outlineLevel="0" collapsed="false"/>
    <row r="2036" customFormat="false" ht="21" hidden="false" customHeight="true" outlineLevel="0" collapsed="false"/>
    <row r="2037" customFormat="false" ht="21" hidden="false" customHeight="true" outlineLevel="0" collapsed="false"/>
    <row r="2038" customFormat="false" ht="21" hidden="false" customHeight="true" outlineLevel="0" collapsed="false"/>
    <row r="2039" customFormat="false" ht="21" hidden="false" customHeight="true" outlineLevel="0" collapsed="false"/>
    <row r="2040" customFormat="false" ht="21" hidden="false" customHeight="true" outlineLevel="0" collapsed="false"/>
    <row r="2041" customFormat="false" ht="21" hidden="false" customHeight="true" outlineLevel="0" collapsed="false"/>
    <row r="2042" customFormat="false" ht="21" hidden="false" customHeight="true" outlineLevel="0" collapsed="false"/>
    <row r="2043" customFormat="false" ht="21" hidden="false" customHeight="true" outlineLevel="0" collapsed="false"/>
    <row r="2044" customFormat="false" ht="21" hidden="false" customHeight="true" outlineLevel="0" collapsed="false"/>
    <row r="2045" customFormat="false" ht="21" hidden="false" customHeight="true" outlineLevel="0" collapsed="false"/>
    <row r="2046" customFormat="false" ht="21" hidden="false" customHeight="true" outlineLevel="0" collapsed="false"/>
    <row r="2047" customFormat="false" ht="21" hidden="false" customHeight="true" outlineLevel="0" collapsed="false"/>
    <row r="2048" customFormat="false" ht="21" hidden="false" customHeight="true" outlineLevel="0" collapsed="false"/>
    <row r="2049" customFormat="false" ht="21" hidden="false" customHeight="true" outlineLevel="0" collapsed="false"/>
    <row r="2050" customFormat="false" ht="21" hidden="false" customHeight="true" outlineLevel="0" collapsed="false"/>
    <row r="2051" customFormat="false" ht="21" hidden="false" customHeight="true" outlineLevel="0" collapsed="false"/>
    <row r="2052" customFormat="false" ht="21" hidden="false" customHeight="true" outlineLevel="0" collapsed="false"/>
    <row r="2053" customFormat="false" ht="21" hidden="false" customHeight="true" outlineLevel="0" collapsed="false"/>
    <row r="2054" customFormat="false" ht="21" hidden="false" customHeight="true" outlineLevel="0" collapsed="false"/>
    <row r="2055" customFormat="false" ht="21" hidden="false" customHeight="true" outlineLevel="0" collapsed="false"/>
    <row r="2056" customFormat="false" ht="21" hidden="false" customHeight="true" outlineLevel="0" collapsed="false"/>
    <row r="2057" customFormat="false" ht="21" hidden="false" customHeight="true" outlineLevel="0" collapsed="false"/>
    <row r="2058" customFormat="false" ht="21" hidden="false" customHeight="true" outlineLevel="0" collapsed="false"/>
    <row r="2059" customFormat="false" ht="21" hidden="false" customHeight="true" outlineLevel="0" collapsed="false"/>
    <row r="2060" customFormat="false" ht="21" hidden="false" customHeight="true" outlineLevel="0" collapsed="false"/>
    <row r="2061" customFormat="false" ht="21" hidden="false" customHeight="true" outlineLevel="0" collapsed="false"/>
    <row r="2062" customFormat="false" ht="21" hidden="false" customHeight="true" outlineLevel="0" collapsed="false"/>
    <row r="2063" customFormat="false" ht="21" hidden="false" customHeight="true" outlineLevel="0" collapsed="false"/>
    <row r="2064" customFormat="false" ht="21" hidden="false" customHeight="true" outlineLevel="0" collapsed="false"/>
    <row r="2065" customFormat="false" ht="21" hidden="false" customHeight="true" outlineLevel="0" collapsed="false"/>
    <row r="2066" customFormat="false" ht="21" hidden="false" customHeight="true" outlineLevel="0" collapsed="false"/>
    <row r="2067" customFormat="false" ht="21" hidden="false" customHeight="true" outlineLevel="0" collapsed="false"/>
    <row r="2068" customFormat="false" ht="21" hidden="false" customHeight="true" outlineLevel="0" collapsed="false"/>
    <row r="2069" customFormat="false" ht="21" hidden="false" customHeight="true" outlineLevel="0" collapsed="false"/>
    <row r="2070" customFormat="false" ht="21" hidden="false" customHeight="true" outlineLevel="0" collapsed="false"/>
    <row r="2071" customFormat="false" ht="21" hidden="false" customHeight="true" outlineLevel="0" collapsed="false"/>
    <row r="2072" customFormat="false" ht="21" hidden="false" customHeight="true" outlineLevel="0" collapsed="false"/>
    <row r="2073" customFormat="false" ht="21" hidden="false" customHeight="true" outlineLevel="0" collapsed="false"/>
    <row r="2074" customFormat="false" ht="21" hidden="false" customHeight="true" outlineLevel="0" collapsed="false"/>
    <row r="2075" customFormat="false" ht="21" hidden="false" customHeight="true" outlineLevel="0" collapsed="false"/>
    <row r="2076" customFormat="false" ht="21" hidden="false" customHeight="true" outlineLevel="0" collapsed="false"/>
    <row r="2077" customFormat="false" ht="21" hidden="false" customHeight="true" outlineLevel="0" collapsed="false"/>
    <row r="2078" customFormat="false" ht="21" hidden="false" customHeight="true" outlineLevel="0" collapsed="false"/>
    <row r="2079" customFormat="false" ht="21" hidden="false" customHeight="true" outlineLevel="0" collapsed="false"/>
    <row r="2080" customFormat="false" ht="21" hidden="false" customHeight="true" outlineLevel="0" collapsed="false"/>
    <row r="2081" customFormat="false" ht="21" hidden="false" customHeight="true" outlineLevel="0" collapsed="false"/>
    <row r="2082" customFormat="false" ht="21" hidden="false" customHeight="true" outlineLevel="0" collapsed="false"/>
    <row r="2083" customFormat="false" ht="21" hidden="false" customHeight="true" outlineLevel="0" collapsed="false"/>
    <row r="2084" customFormat="false" ht="21" hidden="false" customHeight="true" outlineLevel="0" collapsed="false"/>
    <row r="2085" customFormat="false" ht="21" hidden="false" customHeight="true" outlineLevel="0" collapsed="false"/>
    <row r="2086" customFormat="false" ht="21" hidden="false" customHeight="true" outlineLevel="0" collapsed="false"/>
    <row r="2087" customFormat="false" ht="21" hidden="false" customHeight="true" outlineLevel="0" collapsed="false"/>
    <row r="2088" customFormat="false" ht="21" hidden="false" customHeight="true" outlineLevel="0" collapsed="false"/>
    <row r="2089" customFormat="false" ht="21" hidden="false" customHeight="true" outlineLevel="0" collapsed="false"/>
    <row r="2090" customFormat="false" ht="21" hidden="false" customHeight="true" outlineLevel="0" collapsed="false"/>
    <row r="2091" customFormat="false" ht="21" hidden="false" customHeight="true" outlineLevel="0" collapsed="false"/>
    <row r="2092" customFormat="false" ht="21" hidden="false" customHeight="true" outlineLevel="0" collapsed="false"/>
    <row r="2093" customFormat="false" ht="21" hidden="false" customHeight="true" outlineLevel="0" collapsed="false"/>
    <row r="2094" customFormat="false" ht="21" hidden="false" customHeight="true" outlineLevel="0" collapsed="false"/>
    <row r="2095" customFormat="false" ht="21" hidden="false" customHeight="true" outlineLevel="0" collapsed="false"/>
    <row r="2096" customFormat="false" ht="21" hidden="false" customHeight="true" outlineLevel="0" collapsed="false"/>
    <row r="2097" customFormat="false" ht="21" hidden="false" customHeight="true" outlineLevel="0" collapsed="false"/>
    <row r="2098" customFormat="false" ht="21" hidden="false" customHeight="true" outlineLevel="0" collapsed="false"/>
    <row r="2099" customFormat="false" ht="21" hidden="false" customHeight="true" outlineLevel="0" collapsed="false"/>
    <row r="2100" customFormat="false" ht="21" hidden="false" customHeight="true" outlineLevel="0" collapsed="false"/>
    <row r="2101" customFormat="false" ht="21" hidden="false" customHeight="true" outlineLevel="0" collapsed="false"/>
    <row r="2102" customFormat="false" ht="21" hidden="false" customHeight="true" outlineLevel="0" collapsed="false"/>
    <row r="2103" customFormat="false" ht="21" hidden="false" customHeight="true" outlineLevel="0" collapsed="false"/>
    <row r="2104" customFormat="false" ht="21" hidden="false" customHeight="true" outlineLevel="0" collapsed="false"/>
    <row r="2105" customFormat="false" ht="21" hidden="false" customHeight="true" outlineLevel="0" collapsed="false"/>
    <row r="2106" customFormat="false" ht="21" hidden="false" customHeight="true" outlineLevel="0" collapsed="false"/>
    <row r="2107" customFormat="false" ht="21" hidden="false" customHeight="true" outlineLevel="0" collapsed="false"/>
    <row r="2108" customFormat="false" ht="21" hidden="false" customHeight="true" outlineLevel="0" collapsed="false"/>
    <row r="2109" customFormat="false" ht="21" hidden="false" customHeight="true" outlineLevel="0" collapsed="false"/>
    <row r="2110" customFormat="false" ht="21" hidden="false" customHeight="true" outlineLevel="0" collapsed="false"/>
    <row r="2111" customFormat="false" ht="21" hidden="false" customHeight="true" outlineLevel="0" collapsed="false"/>
    <row r="2112" customFormat="false" ht="21" hidden="false" customHeight="true" outlineLevel="0" collapsed="false"/>
    <row r="2113" customFormat="false" ht="21" hidden="false" customHeight="true" outlineLevel="0" collapsed="false"/>
    <row r="2114" customFormat="false" ht="21" hidden="false" customHeight="true" outlineLevel="0" collapsed="false"/>
    <row r="2115" customFormat="false" ht="21" hidden="false" customHeight="true" outlineLevel="0" collapsed="false"/>
    <row r="2116" customFormat="false" ht="21" hidden="false" customHeight="true" outlineLevel="0" collapsed="false"/>
    <row r="2117" customFormat="false" ht="21" hidden="false" customHeight="true" outlineLevel="0" collapsed="false"/>
    <row r="2118" customFormat="false" ht="21" hidden="false" customHeight="true" outlineLevel="0" collapsed="false"/>
    <row r="2119" customFormat="false" ht="21" hidden="false" customHeight="true" outlineLevel="0" collapsed="false"/>
    <row r="2120" customFormat="false" ht="21" hidden="false" customHeight="true" outlineLevel="0" collapsed="false"/>
    <row r="2121" customFormat="false" ht="21" hidden="false" customHeight="true" outlineLevel="0" collapsed="false"/>
    <row r="2122" customFormat="false" ht="21" hidden="false" customHeight="true" outlineLevel="0" collapsed="false"/>
    <row r="2123" customFormat="false" ht="21" hidden="false" customHeight="true" outlineLevel="0" collapsed="false"/>
    <row r="2124" customFormat="false" ht="21" hidden="false" customHeight="true" outlineLevel="0" collapsed="false"/>
    <row r="2125" customFormat="false" ht="21" hidden="false" customHeight="true" outlineLevel="0" collapsed="false"/>
    <row r="2126" customFormat="false" ht="21" hidden="false" customHeight="true" outlineLevel="0" collapsed="false"/>
    <row r="2127" customFormat="false" ht="21" hidden="false" customHeight="true" outlineLevel="0" collapsed="false"/>
    <row r="2128" customFormat="false" ht="21" hidden="false" customHeight="true" outlineLevel="0" collapsed="false"/>
    <row r="2129" customFormat="false" ht="21" hidden="false" customHeight="true" outlineLevel="0" collapsed="false"/>
    <row r="2130" customFormat="false" ht="21" hidden="false" customHeight="true" outlineLevel="0" collapsed="false"/>
    <row r="2131" customFormat="false" ht="21" hidden="false" customHeight="true" outlineLevel="0" collapsed="false"/>
    <row r="2132" customFormat="false" ht="21" hidden="false" customHeight="true" outlineLevel="0" collapsed="false"/>
    <row r="2133" customFormat="false" ht="21" hidden="false" customHeight="true" outlineLevel="0" collapsed="false"/>
    <row r="2134" customFormat="false" ht="21" hidden="false" customHeight="true" outlineLevel="0" collapsed="false"/>
    <row r="2135" customFormat="false" ht="21" hidden="false" customHeight="true" outlineLevel="0" collapsed="false"/>
    <row r="2136" customFormat="false" ht="21" hidden="false" customHeight="true" outlineLevel="0" collapsed="false"/>
    <row r="2137" customFormat="false" ht="21" hidden="false" customHeight="true" outlineLevel="0" collapsed="false"/>
    <row r="2138" customFormat="false" ht="21" hidden="false" customHeight="true" outlineLevel="0" collapsed="false"/>
    <row r="2139" customFormat="false" ht="21" hidden="false" customHeight="true" outlineLevel="0" collapsed="false"/>
    <row r="2140" customFormat="false" ht="21" hidden="false" customHeight="true" outlineLevel="0" collapsed="false"/>
    <row r="2141" customFormat="false" ht="21" hidden="false" customHeight="true" outlineLevel="0" collapsed="false"/>
    <row r="2142" customFormat="false" ht="21" hidden="false" customHeight="true" outlineLevel="0" collapsed="false"/>
    <row r="2143" customFormat="false" ht="21" hidden="false" customHeight="true" outlineLevel="0" collapsed="false"/>
    <row r="2144" customFormat="false" ht="21" hidden="false" customHeight="true" outlineLevel="0" collapsed="false"/>
    <row r="2145" customFormat="false" ht="21" hidden="false" customHeight="true" outlineLevel="0" collapsed="false"/>
    <row r="2146" customFormat="false" ht="21" hidden="false" customHeight="true" outlineLevel="0" collapsed="false"/>
    <row r="2147" customFormat="false" ht="21" hidden="false" customHeight="true" outlineLevel="0" collapsed="false"/>
    <row r="2148" customFormat="false" ht="21" hidden="false" customHeight="true" outlineLevel="0" collapsed="false"/>
    <row r="2149" customFormat="false" ht="21" hidden="false" customHeight="true" outlineLevel="0" collapsed="false"/>
    <row r="2150" customFormat="false" ht="21" hidden="false" customHeight="true" outlineLevel="0" collapsed="false"/>
    <row r="2151" customFormat="false" ht="21" hidden="false" customHeight="true" outlineLevel="0" collapsed="false"/>
    <row r="2152" customFormat="false" ht="21" hidden="false" customHeight="true" outlineLevel="0" collapsed="false"/>
    <row r="2153" customFormat="false" ht="21" hidden="false" customHeight="true" outlineLevel="0" collapsed="false"/>
    <row r="2154" customFormat="false" ht="21" hidden="false" customHeight="true" outlineLevel="0" collapsed="false"/>
    <row r="2155" customFormat="false" ht="21" hidden="false" customHeight="true" outlineLevel="0" collapsed="false"/>
    <row r="2156" customFormat="false" ht="21" hidden="false" customHeight="true" outlineLevel="0" collapsed="false"/>
    <row r="2157" customFormat="false" ht="21" hidden="false" customHeight="true" outlineLevel="0" collapsed="false"/>
    <row r="2158" customFormat="false" ht="21" hidden="false" customHeight="true" outlineLevel="0" collapsed="false"/>
    <row r="2159" customFormat="false" ht="21" hidden="false" customHeight="true" outlineLevel="0" collapsed="false"/>
    <row r="2160" customFormat="false" ht="21" hidden="false" customHeight="true" outlineLevel="0" collapsed="false"/>
    <row r="2161" customFormat="false" ht="21" hidden="false" customHeight="true" outlineLevel="0" collapsed="false"/>
    <row r="2162" customFormat="false" ht="21" hidden="false" customHeight="true" outlineLevel="0" collapsed="false"/>
    <row r="2163" customFormat="false" ht="21" hidden="false" customHeight="true" outlineLevel="0" collapsed="false"/>
    <row r="2164" customFormat="false" ht="21" hidden="false" customHeight="true" outlineLevel="0" collapsed="false"/>
    <row r="2165" customFormat="false" ht="21" hidden="false" customHeight="true" outlineLevel="0" collapsed="false"/>
    <row r="2166" customFormat="false" ht="21" hidden="false" customHeight="true" outlineLevel="0" collapsed="false"/>
    <row r="2167" customFormat="false" ht="21" hidden="false" customHeight="true" outlineLevel="0" collapsed="false"/>
    <row r="2168" customFormat="false" ht="21" hidden="false" customHeight="true" outlineLevel="0" collapsed="false"/>
    <row r="2169" customFormat="false" ht="21" hidden="false" customHeight="true" outlineLevel="0" collapsed="false"/>
    <row r="2170" customFormat="false" ht="21" hidden="false" customHeight="true" outlineLevel="0" collapsed="false"/>
    <row r="2171" customFormat="false" ht="21" hidden="false" customHeight="true" outlineLevel="0" collapsed="false"/>
    <row r="2172" customFormat="false" ht="21" hidden="false" customHeight="true" outlineLevel="0" collapsed="false"/>
    <row r="2173" customFormat="false" ht="21" hidden="false" customHeight="true" outlineLevel="0" collapsed="false"/>
    <row r="2174" customFormat="false" ht="21" hidden="false" customHeight="true" outlineLevel="0" collapsed="false"/>
    <row r="2175" customFormat="false" ht="21" hidden="false" customHeight="true" outlineLevel="0" collapsed="false"/>
    <row r="2176" customFormat="false" ht="21" hidden="false" customHeight="true" outlineLevel="0" collapsed="false"/>
    <row r="2177" customFormat="false" ht="21" hidden="false" customHeight="true" outlineLevel="0" collapsed="false"/>
    <row r="2178" customFormat="false" ht="21" hidden="false" customHeight="true" outlineLevel="0" collapsed="false"/>
    <row r="2179" customFormat="false" ht="21" hidden="false" customHeight="true" outlineLevel="0" collapsed="false"/>
    <row r="2180" customFormat="false" ht="21" hidden="false" customHeight="true" outlineLevel="0" collapsed="false"/>
    <row r="2181" customFormat="false" ht="21" hidden="false" customHeight="true" outlineLevel="0" collapsed="false"/>
    <row r="2182" customFormat="false" ht="21" hidden="false" customHeight="true" outlineLevel="0" collapsed="false"/>
    <row r="2183" customFormat="false" ht="21" hidden="false" customHeight="true" outlineLevel="0" collapsed="false"/>
    <row r="2184" customFormat="false" ht="21" hidden="false" customHeight="true" outlineLevel="0" collapsed="false"/>
    <row r="2185" customFormat="false" ht="21" hidden="false" customHeight="true" outlineLevel="0" collapsed="false"/>
    <row r="2186" customFormat="false" ht="21" hidden="false" customHeight="true" outlineLevel="0" collapsed="false"/>
    <row r="2187" customFormat="false" ht="21" hidden="false" customHeight="true" outlineLevel="0" collapsed="false"/>
    <row r="2188" customFormat="false" ht="21" hidden="false" customHeight="true" outlineLevel="0" collapsed="false"/>
    <row r="2189" customFormat="false" ht="21" hidden="false" customHeight="true" outlineLevel="0" collapsed="false"/>
    <row r="2190" customFormat="false" ht="21" hidden="false" customHeight="true" outlineLevel="0" collapsed="false"/>
    <row r="2191" customFormat="false" ht="21" hidden="false" customHeight="true" outlineLevel="0" collapsed="false"/>
    <row r="2192" customFormat="false" ht="21" hidden="false" customHeight="true" outlineLevel="0" collapsed="false"/>
    <row r="2193" customFormat="false" ht="21" hidden="false" customHeight="true" outlineLevel="0" collapsed="false"/>
    <row r="2194" customFormat="false" ht="21" hidden="false" customHeight="true" outlineLevel="0" collapsed="false"/>
    <row r="2195" customFormat="false" ht="21" hidden="false" customHeight="true" outlineLevel="0" collapsed="false"/>
    <row r="2196" customFormat="false" ht="21" hidden="false" customHeight="true" outlineLevel="0" collapsed="false"/>
    <row r="2197" customFormat="false" ht="21" hidden="false" customHeight="true" outlineLevel="0" collapsed="false"/>
    <row r="2198" customFormat="false" ht="21" hidden="false" customHeight="true" outlineLevel="0" collapsed="false"/>
    <row r="2199" customFormat="false" ht="21" hidden="false" customHeight="true" outlineLevel="0" collapsed="false"/>
    <row r="2200" customFormat="false" ht="21" hidden="false" customHeight="true" outlineLevel="0" collapsed="false"/>
    <row r="2201" customFormat="false" ht="21" hidden="false" customHeight="true" outlineLevel="0" collapsed="false"/>
    <row r="2202" customFormat="false" ht="21" hidden="false" customHeight="true" outlineLevel="0" collapsed="false"/>
    <row r="2203" customFormat="false" ht="21" hidden="false" customHeight="true" outlineLevel="0" collapsed="false"/>
    <row r="2204" customFormat="false" ht="21" hidden="false" customHeight="true" outlineLevel="0" collapsed="false"/>
    <row r="2205" customFormat="false" ht="21" hidden="false" customHeight="true" outlineLevel="0" collapsed="false"/>
    <row r="2206" customFormat="false" ht="21" hidden="false" customHeight="true" outlineLevel="0" collapsed="false"/>
    <row r="2207" customFormat="false" ht="21" hidden="false" customHeight="true" outlineLevel="0" collapsed="false"/>
    <row r="2208" customFormat="false" ht="21" hidden="false" customHeight="true" outlineLevel="0" collapsed="false"/>
    <row r="2209" customFormat="false" ht="21" hidden="false" customHeight="true" outlineLevel="0" collapsed="false"/>
    <row r="2210" customFormat="false" ht="21" hidden="false" customHeight="true" outlineLevel="0" collapsed="false"/>
    <row r="2211" customFormat="false" ht="21" hidden="false" customHeight="true" outlineLevel="0" collapsed="false"/>
    <row r="2212" customFormat="false" ht="21" hidden="false" customHeight="true" outlineLevel="0" collapsed="false"/>
    <row r="2213" customFormat="false" ht="21" hidden="false" customHeight="true" outlineLevel="0" collapsed="false"/>
    <row r="2214" customFormat="false" ht="21" hidden="false" customHeight="true" outlineLevel="0" collapsed="false"/>
    <row r="2215" customFormat="false" ht="21" hidden="false" customHeight="true" outlineLevel="0" collapsed="false"/>
    <row r="2216" customFormat="false" ht="21" hidden="false" customHeight="true" outlineLevel="0" collapsed="false"/>
    <row r="2217" customFormat="false" ht="21" hidden="false" customHeight="true" outlineLevel="0" collapsed="false"/>
    <row r="2218" customFormat="false" ht="21" hidden="false" customHeight="true" outlineLevel="0" collapsed="false"/>
    <row r="2219" customFormat="false" ht="21" hidden="false" customHeight="true" outlineLevel="0" collapsed="false"/>
    <row r="2220" customFormat="false" ht="21" hidden="false" customHeight="true" outlineLevel="0" collapsed="false"/>
    <row r="2221" customFormat="false" ht="21" hidden="false" customHeight="true" outlineLevel="0" collapsed="false"/>
    <row r="2222" customFormat="false" ht="21" hidden="false" customHeight="true" outlineLevel="0" collapsed="false"/>
    <row r="2223" customFormat="false" ht="21" hidden="false" customHeight="true" outlineLevel="0" collapsed="false"/>
    <row r="2224" customFormat="false" ht="21" hidden="false" customHeight="true" outlineLevel="0" collapsed="false"/>
    <row r="2225" customFormat="false" ht="21" hidden="false" customHeight="true" outlineLevel="0" collapsed="false"/>
    <row r="2226" customFormat="false" ht="21" hidden="false" customHeight="true" outlineLevel="0" collapsed="false"/>
    <row r="2227" customFormat="false" ht="21" hidden="false" customHeight="true" outlineLevel="0" collapsed="false"/>
    <row r="2228" customFormat="false" ht="21" hidden="false" customHeight="true" outlineLevel="0" collapsed="false"/>
    <row r="2229" customFormat="false" ht="21" hidden="false" customHeight="true" outlineLevel="0" collapsed="false"/>
    <row r="2230" customFormat="false" ht="21" hidden="false" customHeight="true" outlineLevel="0" collapsed="false"/>
    <row r="2231" customFormat="false" ht="21" hidden="false" customHeight="true" outlineLevel="0" collapsed="false"/>
    <row r="2232" customFormat="false" ht="21" hidden="false" customHeight="true" outlineLevel="0" collapsed="false"/>
    <row r="2233" customFormat="false" ht="21" hidden="false" customHeight="true" outlineLevel="0" collapsed="false"/>
    <row r="2234" customFormat="false" ht="21" hidden="false" customHeight="true" outlineLevel="0" collapsed="false"/>
    <row r="2235" customFormat="false" ht="21" hidden="false" customHeight="true" outlineLevel="0" collapsed="false"/>
    <row r="2236" customFormat="false" ht="21" hidden="false" customHeight="true" outlineLevel="0" collapsed="false"/>
    <row r="2237" customFormat="false" ht="21" hidden="false" customHeight="true" outlineLevel="0" collapsed="false"/>
    <row r="2238" customFormat="false" ht="21" hidden="false" customHeight="true" outlineLevel="0" collapsed="false"/>
    <row r="2239" customFormat="false" ht="21" hidden="false" customHeight="true" outlineLevel="0" collapsed="false"/>
    <row r="2240" customFormat="false" ht="21" hidden="false" customHeight="true" outlineLevel="0" collapsed="false"/>
    <row r="2241" customFormat="false" ht="21" hidden="false" customHeight="true" outlineLevel="0" collapsed="false"/>
    <row r="2242" customFormat="false" ht="21" hidden="false" customHeight="true" outlineLevel="0" collapsed="false"/>
    <row r="2243" customFormat="false" ht="21" hidden="false" customHeight="true" outlineLevel="0" collapsed="false"/>
    <row r="2244" customFormat="false" ht="21" hidden="false" customHeight="true" outlineLevel="0" collapsed="false"/>
    <row r="2245" customFormat="false" ht="21" hidden="false" customHeight="true" outlineLevel="0" collapsed="false"/>
    <row r="2246" customFormat="false" ht="21" hidden="false" customHeight="true" outlineLevel="0" collapsed="false"/>
    <row r="2247" customFormat="false" ht="21" hidden="false" customHeight="true" outlineLevel="0" collapsed="false"/>
    <row r="2248" customFormat="false" ht="21" hidden="false" customHeight="true" outlineLevel="0" collapsed="false"/>
    <row r="2249" customFormat="false" ht="21" hidden="false" customHeight="true" outlineLevel="0" collapsed="false"/>
    <row r="2250" customFormat="false" ht="21" hidden="false" customHeight="true" outlineLevel="0" collapsed="false"/>
    <row r="2251" customFormat="false" ht="21" hidden="false" customHeight="true" outlineLevel="0" collapsed="false"/>
    <row r="2252" customFormat="false" ht="21" hidden="false" customHeight="true" outlineLevel="0" collapsed="false"/>
    <row r="2253" customFormat="false" ht="21" hidden="false" customHeight="true" outlineLevel="0" collapsed="false"/>
    <row r="2254" customFormat="false" ht="21" hidden="false" customHeight="true" outlineLevel="0" collapsed="false"/>
    <row r="2255" customFormat="false" ht="21" hidden="false" customHeight="true" outlineLevel="0" collapsed="false"/>
    <row r="2256" customFormat="false" ht="21" hidden="false" customHeight="true" outlineLevel="0" collapsed="false"/>
    <row r="2257" customFormat="false" ht="21" hidden="false" customHeight="true" outlineLevel="0" collapsed="false"/>
    <row r="2258" customFormat="false" ht="21" hidden="false" customHeight="true" outlineLevel="0" collapsed="false"/>
    <row r="2259" customFormat="false" ht="21" hidden="false" customHeight="true" outlineLevel="0" collapsed="false"/>
    <row r="2260" customFormat="false" ht="21" hidden="false" customHeight="true" outlineLevel="0" collapsed="false"/>
    <row r="2261" customFormat="false" ht="21" hidden="false" customHeight="true" outlineLevel="0" collapsed="false"/>
    <row r="2262" customFormat="false" ht="21" hidden="false" customHeight="true" outlineLevel="0" collapsed="false"/>
    <row r="2263" customFormat="false" ht="21" hidden="false" customHeight="true" outlineLevel="0" collapsed="false"/>
    <row r="2264" customFormat="false" ht="21" hidden="false" customHeight="true" outlineLevel="0" collapsed="false"/>
    <row r="2265" customFormat="false" ht="21" hidden="false" customHeight="true" outlineLevel="0" collapsed="false"/>
    <row r="2266" customFormat="false" ht="21" hidden="false" customHeight="true" outlineLevel="0" collapsed="false"/>
    <row r="2267" customFormat="false" ht="21" hidden="false" customHeight="true" outlineLevel="0" collapsed="false"/>
    <row r="2268" customFormat="false" ht="21" hidden="false" customHeight="true" outlineLevel="0" collapsed="false"/>
    <row r="2269" customFormat="false" ht="21" hidden="false" customHeight="true" outlineLevel="0" collapsed="false"/>
    <row r="2270" customFormat="false" ht="21" hidden="false" customHeight="true" outlineLevel="0" collapsed="false"/>
    <row r="2271" customFormat="false" ht="21" hidden="false" customHeight="true" outlineLevel="0" collapsed="false"/>
    <row r="2272" customFormat="false" ht="21" hidden="false" customHeight="true" outlineLevel="0" collapsed="false"/>
    <row r="2273" customFormat="false" ht="21" hidden="false" customHeight="true" outlineLevel="0" collapsed="false"/>
    <row r="2274" customFormat="false" ht="21" hidden="false" customHeight="true" outlineLevel="0" collapsed="false"/>
    <row r="2275" customFormat="false" ht="21" hidden="false" customHeight="true" outlineLevel="0" collapsed="false"/>
    <row r="2276" customFormat="false" ht="21" hidden="false" customHeight="true" outlineLevel="0" collapsed="false"/>
    <row r="2277" customFormat="false" ht="21" hidden="false" customHeight="true" outlineLevel="0" collapsed="false"/>
    <row r="2278" customFormat="false" ht="21" hidden="false" customHeight="true" outlineLevel="0" collapsed="false"/>
    <row r="2279" customFormat="false" ht="21" hidden="false" customHeight="true" outlineLevel="0" collapsed="false"/>
    <row r="2280" customFormat="false" ht="21" hidden="false" customHeight="true" outlineLevel="0" collapsed="false"/>
    <row r="2281" customFormat="false" ht="21" hidden="false" customHeight="true" outlineLevel="0" collapsed="false"/>
    <row r="2282" customFormat="false" ht="21" hidden="false" customHeight="true" outlineLevel="0" collapsed="false"/>
    <row r="2283" customFormat="false" ht="21" hidden="false" customHeight="true" outlineLevel="0" collapsed="false"/>
    <row r="2284" customFormat="false" ht="21" hidden="false" customHeight="true" outlineLevel="0" collapsed="false"/>
    <row r="2285" customFormat="false" ht="21" hidden="false" customHeight="true" outlineLevel="0" collapsed="false"/>
    <row r="2286" customFormat="false" ht="21" hidden="false" customHeight="true" outlineLevel="0" collapsed="false"/>
    <row r="2287" customFormat="false" ht="21" hidden="false" customHeight="true" outlineLevel="0" collapsed="false"/>
    <row r="2288" customFormat="false" ht="21" hidden="false" customHeight="true" outlineLevel="0" collapsed="false"/>
    <row r="2289" customFormat="false" ht="21" hidden="false" customHeight="true" outlineLevel="0" collapsed="false"/>
    <row r="2290" customFormat="false" ht="21" hidden="false" customHeight="true" outlineLevel="0" collapsed="false"/>
    <row r="2291" customFormat="false" ht="21" hidden="false" customHeight="true" outlineLevel="0" collapsed="false"/>
    <row r="2292" customFormat="false" ht="21" hidden="false" customHeight="true" outlineLevel="0" collapsed="false"/>
    <row r="2293" customFormat="false" ht="21" hidden="false" customHeight="true" outlineLevel="0" collapsed="false"/>
    <row r="2294" customFormat="false" ht="21" hidden="false" customHeight="true" outlineLevel="0" collapsed="false"/>
    <row r="2295" customFormat="false" ht="21" hidden="false" customHeight="true" outlineLevel="0" collapsed="false"/>
    <row r="2296" customFormat="false" ht="21" hidden="false" customHeight="true" outlineLevel="0" collapsed="false"/>
    <row r="2297" customFormat="false" ht="21" hidden="false" customHeight="true" outlineLevel="0" collapsed="false"/>
    <row r="2298" customFormat="false" ht="21" hidden="false" customHeight="true" outlineLevel="0" collapsed="false"/>
    <row r="2299" customFormat="false" ht="21" hidden="false" customHeight="true" outlineLevel="0" collapsed="false"/>
    <row r="2300" customFormat="false" ht="21" hidden="false" customHeight="true" outlineLevel="0" collapsed="false"/>
    <row r="2301" customFormat="false" ht="21" hidden="false" customHeight="true" outlineLevel="0" collapsed="false"/>
    <row r="2302" customFormat="false" ht="21" hidden="false" customHeight="true" outlineLevel="0" collapsed="false"/>
    <row r="2303" customFormat="false" ht="21" hidden="false" customHeight="true" outlineLevel="0" collapsed="false"/>
    <row r="2304" customFormat="false" ht="21" hidden="false" customHeight="true" outlineLevel="0" collapsed="false"/>
    <row r="2305" customFormat="false" ht="21" hidden="false" customHeight="true" outlineLevel="0" collapsed="false"/>
    <row r="2306" customFormat="false" ht="21" hidden="false" customHeight="true" outlineLevel="0" collapsed="false"/>
    <row r="2307" customFormat="false" ht="21" hidden="false" customHeight="true" outlineLevel="0" collapsed="false"/>
    <row r="2308" customFormat="false" ht="21" hidden="false" customHeight="true" outlineLevel="0" collapsed="false"/>
    <row r="2309" customFormat="false" ht="21" hidden="false" customHeight="true" outlineLevel="0" collapsed="false"/>
    <row r="2310" customFormat="false" ht="21" hidden="false" customHeight="true" outlineLevel="0" collapsed="false"/>
    <row r="2311" customFormat="false" ht="21" hidden="false" customHeight="true" outlineLevel="0" collapsed="false"/>
    <row r="2312" customFormat="false" ht="21" hidden="false" customHeight="true" outlineLevel="0" collapsed="false"/>
    <row r="2313" customFormat="false" ht="21" hidden="false" customHeight="true" outlineLevel="0" collapsed="false"/>
    <row r="2314" customFormat="false" ht="21" hidden="false" customHeight="true" outlineLevel="0" collapsed="false"/>
    <row r="2315" customFormat="false" ht="21" hidden="false" customHeight="true" outlineLevel="0" collapsed="false"/>
    <row r="2316" customFormat="false" ht="21" hidden="false" customHeight="true" outlineLevel="0" collapsed="false"/>
    <row r="2317" customFormat="false" ht="21" hidden="false" customHeight="true" outlineLevel="0" collapsed="false"/>
    <row r="2318" customFormat="false" ht="21" hidden="false" customHeight="true" outlineLevel="0" collapsed="false"/>
    <row r="2319" customFormat="false" ht="21" hidden="false" customHeight="true" outlineLevel="0" collapsed="false"/>
    <row r="2320" customFormat="false" ht="21" hidden="false" customHeight="true" outlineLevel="0" collapsed="false"/>
    <row r="2321" customFormat="false" ht="21" hidden="false" customHeight="true" outlineLevel="0" collapsed="false"/>
    <row r="2322" customFormat="false" ht="21" hidden="false" customHeight="true" outlineLevel="0" collapsed="false"/>
    <row r="2323" customFormat="false" ht="21" hidden="false" customHeight="true" outlineLevel="0" collapsed="false"/>
    <row r="2324" customFormat="false" ht="21" hidden="false" customHeight="true" outlineLevel="0" collapsed="false"/>
    <row r="2325" customFormat="false" ht="21" hidden="false" customHeight="true" outlineLevel="0" collapsed="false"/>
    <row r="2326" customFormat="false" ht="21" hidden="false" customHeight="true" outlineLevel="0" collapsed="false"/>
    <row r="2327" customFormat="false" ht="21" hidden="false" customHeight="true" outlineLevel="0" collapsed="false"/>
    <row r="2328" customFormat="false" ht="21" hidden="false" customHeight="true" outlineLevel="0" collapsed="false"/>
    <row r="2329" customFormat="false" ht="21" hidden="false" customHeight="true" outlineLevel="0" collapsed="false"/>
    <row r="2330" customFormat="false" ht="21" hidden="false" customHeight="true" outlineLevel="0" collapsed="false"/>
    <row r="2331" customFormat="false" ht="21" hidden="false" customHeight="true" outlineLevel="0" collapsed="false"/>
    <row r="2332" customFormat="false" ht="21" hidden="false" customHeight="true" outlineLevel="0" collapsed="false"/>
    <row r="2333" customFormat="false" ht="21" hidden="false" customHeight="true" outlineLevel="0" collapsed="false"/>
    <row r="2334" customFormat="false" ht="21" hidden="false" customHeight="true" outlineLevel="0" collapsed="false"/>
    <row r="2335" customFormat="false" ht="21" hidden="false" customHeight="true" outlineLevel="0" collapsed="false"/>
    <row r="2336" customFormat="false" ht="21" hidden="false" customHeight="true" outlineLevel="0" collapsed="false"/>
    <row r="2337" customFormat="false" ht="21" hidden="false" customHeight="true" outlineLevel="0" collapsed="false"/>
    <row r="2338" customFormat="false" ht="21" hidden="false" customHeight="true" outlineLevel="0" collapsed="false"/>
    <row r="2339" customFormat="false" ht="21" hidden="false" customHeight="true" outlineLevel="0" collapsed="false"/>
    <row r="2340" customFormat="false" ht="21" hidden="false" customHeight="true" outlineLevel="0" collapsed="false"/>
    <row r="2341" customFormat="false" ht="21" hidden="false" customHeight="true" outlineLevel="0" collapsed="false"/>
    <row r="2342" customFormat="false" ht="21" hidden="false" customHeight="true" outlineLevel="0" collapsed="false"/>
    <row r="2343" customFormat="false" ht="21" hidden="false" customHeight="true" outlineLevel="0" collapsed="false"/>
    <row r="2344" customFormat="false" ht="21" hidden="false" customHeight="true" outlineLevel="0" collapsed="false"/>
    <row r="2345" customFormat="false" ht="21" hidden="false" customHeight="true" outlineLevel="0" collapsed="false"/>
    <row r="2346" customFormat="false" ht="21" hidden="false" customHeight="true" outlineLevel="0" collapsed="false"/>
    <row r="2347" customFormat="false" ht="21" hidden="false" customHeight="true" outlineLevel="0" collapsed="false"/>
    <row r="2348" customFormat="false" ht="21" hidden="false" customHeight="true" outlineLevel="0" collapsed="false"/>
    <row r="2349" customFormat="false" ht="21" hidden="false" customHeight="true" outlineLevel="0" collapsed="false"/>
    <row r="2350" customFormat="false" ht="21" hidden="false" customHeight="true" outlineLevel="0" collapsed="false"/>
    <row r="2351" customFormat="false" ht="21" hidden="false" customHeight="true" outlineLevel="0" collapsed="false"/>
    <row r="2352" customFormat="false" ht="21" hidden="false" customHeight="true" outlineLevel="0" collapsed="false"/>
    <row r="2353" customFormat="false" ht="21" hidden="false" customHeight="true" outlineLevel="0" collapsed="false"/>
    <row r="2354" customFormat="false" ht="21" hidden="false" customHeight="true" outlineLevel="0" collapsed="false"/>
    <row r="2355" customFormat="false" ht="21" hidden="false" customHeight="true" outlineLevel="0" collapsed="false"/>
    <row r="2356" customFormat="false" ht="21" hidden="false" customHeight="true" outlineLevel="0" collapsed="false"/>
    <row r="2357" customFormat="false" ht="21" hidden="false" customHeight="true" outlineLevel="0" collapsed="false"/>
    <row r="2358" customFormat="false" ht="21" hidden="false" customHeight="true" outlineLevel="0" collapsed="false"/>
    <row r="2359" customFormat="false" ht="21" hidden="false" customHeight="true" outlineLevel="0" collapsed="false"/>
    <row r="2360" customFormat="false" ht="21" hidden="false" customHeight="true" outlineLevel="0" collapsed="false"/>
    <row r="2361" customFormat="false" ht="21" hidden="false" customHeight="true" outlineLevel="0" collapsed="false"/>
    <row r="2362" customFormat="false" ht="21" hidden="false" customHeight="true" outlineLevel="0" collapsed="false"/>
    <row r="2363" customFormat="false" ht="21" hidden="false" customHeight="true" outlineLevel="0" collapsed="false"/>
    <row r="2364" customFormat="false" ht="21" hidden="false" customHeight="true" outlineLevel="0" collapsed="false"/>
    <row r="2365" customFormat="false" ht="21" hidden="false" customHeight="true" outlineLevel="0" collapsed="false"/>
    <row r="2366" customFormat="false" ht="21" hidden="false" customHeight="true" outlineLevel="0" collapsed="false"/>
    <row r="2367" customFormat="false" ht="21" hidden="false" customHeight="true" outlineLevel="0" collapsed="false"/>
    <row r="2368" customFormat="false" ht="21" hidden="false" customHeight="true" outlineLevel="0" collapsed="false"/>
    <row r="2369" customFormat="false" ht="21" hidden="false" customHeight="true" outlineLevel="0" collapsed="false"/>
    <row r="2370" customFormat="false" ht="21" hidden="false" customHeight="true" outlineLevel="0" collapsed="false"/>
    <row r="2371" customFormat="false" ht="21" hidden="false" customHeight="true" outlineLevel="0" collapsed="false"/>
    <row r="2372" customFormat="false" ht="21" hidden="false" customHeight="true" outlineLevel="0" collapsed="false"/>
    <row r="2373" customFormat="false" ht="21" hidden="false" customHeight="true" outlineLevel="0" collapsed="false"/>
    <row r="2374" customFormat="false" ht="21" hidden="false" customHeight="true" outlineLevel="0" collapsed="false"/>
    <row r="2375" customFormat="false" ht="21" hidden="false" customHeight="true" outlineLevel="0" collapsed="false"/>
    <row r="2376" customFormat="false" ht="21" hidden="false" customHeight="true" outlineLevel="0" collapsed="false"/>
    <row r="2377" customFormat="false" ht="21" hidden="false" customHeight="true" outlineLevel="0" collapsed="false"/>
    <row r="2378" customFormat="false" ht="21" hidden="false" customHeight="true" outlineLevel="0" collapsed="false"/>
    <row r="2379" customFormat="false" ht="21" hidden="false" customHeight="true" outlineLevel="0" collapsed="false"/>
    <row r="2380" customFormat="false" ht="21" hidden="false" customHeight="true" outlineLevel="0" collapsed="false"/>
    <row r="2381" customFormat="false" ht="21" hidden="false" customHeight="true" outlineLevel="0" collapsed="false"/>
    <row r="2382" customFormat="false" ht="21" hidden="false" customHeight="true" outlineLevel="0" collapsed="false"/>
    <row r="2383" customFormat="false" ht="21" hidden="false" customHeight="true" outlineLevel="0" collapsed="false"/>
    <row r="2384" customFormat="false" ht="21" hidden="false" customHeight="true" outlineLevel="0" collapsed="false"/>
    <row r="2385" customFormat="false" ht="21" hidden="false" customHeight="true" outlineLevel="0" collapsed="false"/>
    <row r="2386" customFormat="false" ht="21" hidden="false" customHeight="true" outlineLevel="0" collapsed="false"/>
    <row r="2387" customFormat="false" ht="21" hidden="false" customHeight="true" outlineLevel="0" collapsed="false"/>
    <row r="2388" customFormat="false" ht="21" hidden="false" customHeight="true" outlineLevel="0" collapsed="false"/>
    <row r="2389" customFormat="false" ht="21" hidden="false" customHeight="true" outlineLevel="0" collapsed="false"/>
    <row r="2390" customFormat="false" ht="21" hidden="false" customHeight="true" outlineLevel="0" collapsed="false"/>
    <row r="2391" customFormat="false" ht="21" hidden="false" customHeight="true" outlineLevel="0" collapsed="false"/>
    <row r="2392" customFormat="false" ht="21" hidden="false" customHeight="true" outlineLevel="0" collapsed="false"/>
    <row r="2393" customFormat="false" ht="21" hidden="false" customHeight="true" outlineLevel="0" collapsed="false"/>
    <row r="2394" customFormat="false" ht="21" hidden="false" customHeight="true" outlineLevel="0" collapsed="false"/>
    <row r="2395" customFormat="false" ht="21" hidden="false" customHeight="true" outlineLevel="0" collapsed="false"/>
    <row r="2396" customFormat="false" ht="21" hidden="false" customHeight="true" outlineLevel="0" collapsed="false"/>
    <row r="2397" customFormat="false" ht="21" hidden="false" customHeight="true" outlineLevel="0" collapsed="false"/>
    <row r="2398" customFormat="false" ht="21" hidden="false" customHeight="true" outlineLevel="0" collapsed="false"/>
    <row r="2399" customFormat="false" ht="21" hidden="false" customHeight="true" outlineLevel="0" collapsed="false"/>
    <row r="2400" customFormat="false" ht="21" hidden="false" customHeight="true" outlineLevel="0" collapsed="false"/>
    <row r="2401" customFormat="false" ht="21" hidden="false" customHeight="true" outlineLevel="0" collapsed="false"/>
    <row r="2402" customFormat="false" ht="21" hidden="false" customHeight="true" outlineLevel="0" collapsed="false"/>
    <row r="2403" customFormat="false" ht="21" hidden="false" customHeight="true" outlineLevel="0" collapsed="false"/>
    <row r="2404" customFormat="false" ht="21" hidden="false" customHeight="true" outlineLevel="0" collapsed="false"/>
    <row r="2405" customFormat="false" ht="21" hidden="false" customHeight="true" outlineLevel="0" collapsed="false"/>
    <row r="2406" customFormat="false" ht="21" hidden="false" customHeight="true" outlineLevel="0" collapsed="false"/>
    <row r="2407" customFormat="false" ht="21" hidden="false" customHeight="true" outlineLevel="0" collapsed="false"/>
    <row r="2408" customFormat="false" ht="21" hidden="false" customHeight="true" outlineLevel="0" collapsed="false"/>
    <row r="2409" customFormat="false" ht="21" hidden="false" customHeight="true" outlineLevel="0" collapsed="false"/>
    <row r="2410" customFormat="false" ht="21" hidden="false" customHeight="true" outlineLevel="0" collapsed="false"/>
    <row r="2411" customFormat="false" ht="21" hidden="false" customHeight="true" outlineLevel="0" collapsed="false"/>
    <row r="2412" customFormat="false" ht="21" hidden="false" customHeight="true" outlineLevel="0" collapsed="false"/>
    <row r="2413" customFormat="false" ht="21" hidden="false" customHeight="true" outlineLevel="0" collapsed="false"/>
    <row r="2414" customFormat="false" ht="21" hidden="false" customHeight="true" outlineLevel="0" collapsed="false"/>
    <row r="2415" customFormat="false" ht="21" hidden="false" customHeight="true" outlineLevel="0" collapsed="false"/>
    <row r="2416" customFormat="false" ht="21" hidden="false" customHeight="true" outlineLevel="0" collapsed="false"/>
    <row r="2417" customFormat="false" ht="21" hidden="false" customHeight="true" outlineLevel="0" collapsed="false"/>
    <row r="2418" customFormat="false" ht="21" hidden="false" customHeight="true" outlineLevel="0" collapsed="false"/>
    <row r="2419" customFormat="false" ht="21" hidden="false" customHeight="true" outlineLevel="0" collapsed="false"/>
    <row r="2420" customFormat="false" ht="21" hidden="false" customHeight="true" outlineLevel="0" collapsed="false"/>
    <row r="2421" customFormat="false" ht="21" hidden="false" customHeight="true" outlineLevel="0" collapsed="false"/>
    <row r="2422" customFormat="false" ht="21" hidden="false" customHeight="true" outlineLevel="0" collapsed="false"/>
    <row r="2423" customFormat="false" ht="21" hidden="false" customHeight="true" outlineLevel="0" collapsed="false"/>
    <row r="2424" customFormat="false" ht="21" hidden="false" customHeight="true" outlineLevel="0" collapsed="false"/>
    <row r="2425" customFormat="false" ht="21" hidden="false" customHeight="true" outlineLevel="0" collapsed="false"/>
    <row r="2426" customFormat="false" ht="21" hidden="false" customHeight="true" outlineLevel="0" collapsed="false"/>
    <row r="2427" customFormat="false" ht="21" hidden="false" customHeight="true" outlineLevel="0" collapsed="false"/>
    <row r="2428" customFormat="false" ht="21" hidden="false" customHeight="true" outlineLevel="0" collapsed="false"/>
    <row r="2429" customFormat="false" ht="21" hidden="false" customHeight="true" outlineLevel="0" collapsed="false"/>
    <row r="2430" customFormat="false" ht="21" hidden="false" customHeight="true" outlineLevel="0" collapsed="false"/>
    <row r="2431" customFormat="false" ht="21" hidden="false" customHeight="true" outlineLevel="0" collapsed="false"/>
    <row r="2432" customFormat="false" ht="21" hidden="false" customHeight="true" outlineLevel="0" collapsed="false"/>
    <row r="2433" customFormat="false" ht="21" hidden="false" customHeight="true" outlineLevel="0" collapsed="false"/>
    <row r="2434" customFormat="false" ht="21" hidden="false" customHeight="true" outlineLevel="0" collapsed="false"/>
    <row r="2435" customFormat="false" ht="21" hidden="false" customHeight="true" outlineLevel="0" collapsed="false"/>
    <row r="2436" customFormat="false" ht="21" hidden="false" customHeight="true" outlineLevel="0" collapsed="false"/>
    <row r="2437" customFormat="false" ht="21" hidden="false" customHeight="true" outlineLevel="0" collapsed="false"/>
    <row r="2438" customFormat="false" ht="21" hidden="false" customHeight="true" outlineLevel="0" collapsed="false"/>
    <row r="2439" customFormat="false" ht="21" hidden="false" customHeight="true" outlineLevel="0" collapsed="false"/>
    <row r="2440" customFormat="false" ht="21" hidden="false" customHeight="true" outlineLevel="0" collapsed="false"/>
    <row r="2441" customFormat="false" ht="21" hidden="false" customHeight="true" outlineLevel="0" collapsed="false"/>
    <row r="2442" customFormat="false" ht="21" hidden="false" customHeight="true" outlineLevel="0" collapsed="false"/>
    <row r="2443" customFormat="false" ht="21" hidden="false" customHeight="true" outlineLevel="0" collapsed="false"/>
    <row r="2444" customFormat="false" ht="21" hidden="false" customHeight="true" outlineLevel="0" collapsed="false"/>
    <row r="2445" customFormat="false" ht="21" hidden="false" customHeight="true" outlineLevel="0" collapsed="false"/>
    <row r="2446" customFormat="false" ht="21" hidden="false" customHeight="true" outlineLevel="0" collapsed="false"/>
    <row r="2447" customFormat="false" ht="21" hidden="false" customHeight="true" outlineLevel="0" collapsed="false"/>
    <row r="2448" customFormat="false" ht="21" hidden="false" customHeight="true" outlineLevel="0" collapsed="false"/>
    <row r="2449" customFormat="false" ht="21" hidden="false" customHeight="true" outlineLevel="0" collapsed="false"/>
    <row r="2450" customFormat="false" ht="21" hidden="false" customHeight="true" outlineLevel="0" collapsed="false"/>
    <row r="2451" customFormat="false" ht="21" hidden="false" customHeight="true" outlineLevel="0" collapsed="false"/>
    <row r="2452" customFormat="false" ht="21" hidden="false" customHeight="true" outlineLevel="0" collapsed="false"/>
    <row r="2453" customFormat="false" ht="21" hidden="false" customHeight="true" outlineLevel="0" collapsed="false"/>
    <row r="2454" customFormat="false" ht="21" hidden="false" customHeight="true" outlineLevel="0" collapsed="false"/>
    <row r="2455" customFormat="false" ht="21" hidden="false" customHeight="true" outlineLevel="0" collapsed="false"/>
    <row r="2456" customFormat="false" ht="21" hidden="false" customHeight="true" outlineLevel="0" collapsed="false"/>
    <row r="2457" customFormat="false" ht="21" hidden="false" customHeight="true" outlineLevel="0" collapsed="false"/>
    <row r="2458" customFormat="false" ht="21" hidden="false" customHeight="true" outlineLevel="0" collapsed="false"/>
    <row r="2459" customFormat="false" ht="21" hidden="false" customHeight="true" outlineLevel="0" collapsed="false"/>
    <row r="2460" customFormat="false" ht="21" hidden="false" customHeight="true" outlineLevel="0" collapsed="false"/>
    <row r="2461" customFormat="false" ht="21" hidden="false" customHeight="true" outlineLevel="0" collapsed="false"/>
    <row r="2462" customFormat="false" ht="21" hidden="false" customHeight="true" outlineLevel="0" collapsed="false"/>
    <row r="2463" customFormat="false" ht="21" hidden="false" customHeight="true" outlineLevel="0" collapsed="false"/>
    <row r="2464" customFormat="false" ht="21" hidden="false" customHeight="true" outlineLevel="0" collapsed="false"/>
    <row r="2465" customFormat="false" ht="21" hidden="false" customHeight="true" outlineLevel="0" collapsed="false"/>
    <row r="2466" customFormat="false" ht="21" hidden="false" customHeight="true" outlineLevel="0" collapsed="false"/>
    <row r="2467" customFormat="false" ht="21" hidden="false" customHeight="true" outlineLevel="0" collapsed="false"/>
    <row r="2468" customFormat="false" ht="21" hidden="false" customHeight="true" outlineLevel="0" collapsed="false"/>
    <row r="2469" customFormat="false" ht="21" hidden="false" customHeight="true" outlineLevel="0" collapsed="false"/>
    <row r="2470" customFormat="false" ht="21" hidden="false" customHeight="true" outlineLevel="0" collapsed="false"/>
    <row r="2471" customFormat="false" ht="21" hidden="false" customHeight="true" outlineLevel="0" collapsed="false"/>
    <row r="2472" customFormat="false" ht="21" hidden="false" customHeight="true" outlineLevel="0" collapsed="false"/>
    <row r="2473" customFormat="false" ht="21" hidden="false" customHeight="true" outlineLevel="0" collapsed="false"/>
    <row r="2474" customFormat="false" ht="21" hidden="false" customHeight="true" outlineLevel="0" collapsed="false"/>
    <row r="2475" customFormat="false" ht="21" hidden="false" customHeight="true" outlineLevel="0" collapsed="false"/>
    <row r="2476" customFormat="false" ht="21" hidden="false" customHeight="true" outlineLevel="0" collapsed="false"/>
    <row r="2477" customFormat="false" ht="21" hidden="false" customHeight="true" outlineLevel="0" collapsed="false"/>
    <row r="2478" customFormat="false" ht="21" hidden="false" customHeight="true" outlineLevel="0" collapsed="false"/>
    <row r="2479" customFormat="false" ht="21" hidden="false" customHeight="true" outlineLevel="0" collapsed="false"/>
    <row r="2480" customFormat="false" ht="21" hidden="false" customHeight="true" outlineLevel="0" collapsed="false"/>
    <row r="2481" customFormat="false" ht="21" hidden="false" customHeight="true" outlineLevel="0" collapsed="false"/>
    <row r="2482" customFormat="false" ht="21" hidden="false" customHeight="true" outlineLevel="0" collapsed="false"/>
    <row r="2483" customFormat="false" ht="21" hidden="false" customHeight="true" outlineLevel="0" collapsed="false"/>
    <row r="2484" customFormat="false" ht="21" hidden="false" customHeight="true" outlineLevel="0" collapsed="false"/>
    <row r="2485" customFormat="false" ht="21" hidden="false" customHeight="true" outlineLevel="0" collapsed="false"/>
    <row r="2486" customFormat="false" ht="21" hidden="false" customHeight="true" outlineLevel="0" collapsed="false"/>
    <row r="2487" customFormat="false" ht="21" hidden="false" customHeight="true" outlineLevel="0" collapsed="false"/>
    <row r="2488" customFormat="false" ht="21" hidden="false" customHeight="true" outlineLevel="0" collapsed="false"/>
    <row r="2489" customFormat="false" ht="21" hidden="false" customHeight="true" outlineLevel="0" collapsed="false"/>
    <row r="2490" customFormat="false" ht="21" hidden="false" customHeight="true" outlineLevel="0" collapsed="false"/>
    <row r="2491" customFormat="false" ht="21" hidden="false" customHeight="true" outlineLevel="0" collapsed="false"/>
    <row r="2492" customFormat="false" ht="21" hidden="false" customHeight="true" outlineLevel="0" collapsed="false"/>
    <row r="2493" customFormat="false" ht="21" hidden="false" customHeight="true" outlineLevel="0" collapsed="false"/>
    <row r="2494" customFormat="false" ht="21" hidden="false" customHeight="true" outlineLevel="0" collapsed="false"/>
    <row r="2495" customFormat="false" ht="21" hidden="false" customHeight="true" outlineLevel="0" collapsed="false"/>
    <row r="2496" customFormat="false" ht="21" hidden="false" customHeight="true" outlineLevel="0" collapsed="false"/>
    <row r="2497" customFormat="false" ht="21" hidden="false" customHeight="true" outlineLevel="0" collapsed="false"/>
    <row r="2498" customFormat="false" ht="21" hidden="false" customHeight="true" outlineLevel="0" collapsed="false"/>
    <row r="2499" customFormat="false" ht="21" hidden="false" customHeight="true" outlineLevel="0" collapsed="false"/>
    <row r="2500" customFormat="false" ht="21" hidden="false" customHeight="true" outlineLevel="0" collapsed="false"/>
    <row r="2501" customFormat="false" ht="21" hidden="false" customHeight="true" outlineLevel="0" collapsed="false"/>
    <row r="2502" customFormat="false" ht="21" hidden="false" customHeight="true" outlineLevel="0" collapsed="false"/>
    <row r="2503" customFormat="false" ht="21" hidden="false" customHeight="true" outlineLevel="0" collapsed="false"/>
    <row r="2504" customFormat="false" ht="21" hidden="false" customHeight="true" outlineLevel="0" collapsed="false"/>
    <row r="2505" customFormat="false" ht="21" hidden="false" customHeight="true" outlineLevel="0" collapsed="false"/>
    <row r="2506" customFormat="false" ht="21" hidden="false" customHeight="true" outlineLevel="0" collapsed="false"/>
    <row r="2507" customFormat="false" ht="21" hidden="false" customHeight="true" outlineLevel="0" collapsed="false"/>
    <row r="2508" customFormat="false" ht="21" hidden="false" customHeight="true" outlineLevel="0" collapsed="false"/>
    <row r="2509" customFormat="false" ht="21" hidden="false" customHeight="true" outlineLevel="0" collapsed="false"/>
    <row r="2510" customFormat="false" ht="21" hidden="false" customHeight="true" outlineLevel="0" collapsed="false"/>
    <row r="2511" customFormat="false" ht="21" hidden="false" customHeight="true" outlineLevel="0" collapsed="false"/>
    <row r="2512" customFormat="false" ht="21" hidden="false" customHeight="true" outlineLevel="0" collapsed="false"/>
    <row r="2513" customFormat="false" ht="21" hidden="false" customHeight="true" outlineLevel="0" collapsed="false"/>
    <row r="2514" customFormat="false" ht="21" hidden="false" customHeight="true" outlineLevel="0" collapsed="false"/>
    <row r="2515" customFormat="false" ht="21" hidden="false" customHeight="true" outlineLevel="0" collapsed="false"/>
    <row r="2516" customFormat="false" ht="21" hidden="false" customHeight="true" outlineLevel="0" collapsed="false"/>
    <row r="2517" customFormat="false" ht="21" hidden="false" customHeight="true" outlineLevel="0" collapsed="false"/>
    <row r="2518" customFormat="false" ht="21" hidden="false" customHeight="true" outlineLevel="0" collapsed="false"/>
    <row r="2519" customFormat="false" ht="21" hidden="false" customHeight="true" outlineLevel="0" collapsed="false"/>
    <row r="2520" customFormat="false" ht="21" hidden="false" customHeight="true" outlineLevel="0" collapsed="false"/>
    <row r="2521" customFormat="false" ht="21" hidden="false" customHeight="true" outlineLevel="0" collapsed="false"/>
    <row r="2522" customFormat="false" ht="21" hidden="false" customHeight="true" outlineLevel="0" collapsed="false"/>
    <row r="2523" customFormat="false" ht="21" hidden="false" customHeight="true" outlineLevel="0" collapsed="false"/>
    <row r="2524" customFormat="false" ht="21" hidden="false" customHeight="true" outlineLevel="0" collapsed="false"/>
    <row r="2525" customFormat="false" ht="21" hidden="false" customHeight="true" outlineLevel="0" collapsed="false"/>
    <row r="2526" customFormat="false" ht="21" hidden="false" customHeight="true" outlineLevel="0" collapsed="false"/>
    <row r="2527" customFormat="false" ht="21" hidden="false" customHeight="true" outlineLevel="0" collapsed="false"/>
    <row r="2528" customFormat="false" ht="21" hidden="false" customHeight="true" outlineLevel="0" collapsed="false"/>
    <row r="2529" customFormat="false" ht="21" hidden="false" customHeight="true" outlineLevel="0" collapsed="false"/>
    <row r="2530" customFormat="false" ht="21" hidden="false" customHeight="true" outlineLevel="0" collapsed="false"/>
    <row r="2531" customFormat="false" ht="21" hidden="false" customHeight="true" outlineLevel="0" collapsed="false"/>
    <row r="2532" customFormat="false" ht="21" hidden="false" customHeight="true" outlineLevel="0" collapsed="false"/>
    <row r="2533" customFormat="false" ht="21" hidden="false" customHeight="true" outlineLevel="0" collapsed="false"/>
    <row r="2534" customFormat="false" ht="21" hidden="false" customHeight="true" outlineLevel="0" collapsed="false"/>
    <row r="2535" customFormat="false" ht="21" hidden="false" customHeight="true" outlineLevel="0" collapsed="false"/>
    <row r="2536" customFormat="false" ht="21" hidden="false" customHeight="true" outlineLevel="0" collapsed="false"/>
    <row r="2537" customFormat="false" ht="21" hidden="false" customHeight="true" outlineLevel="0" collapsed="false"/>
    <row r="2538" customFormat="false" ht="21" hidden="false" customHeight="true" outlineLevel="0" collapsed="false"/>
    <row r="2539" customFormat="false" ht="21" hidden="false" customHeight="true" outlineLevel="0" collapsed="false"/>
    <row r="2540" customFormat="false" ht="21" hidden="false" customHeight="true" outlineLevel="0" collapsed="false"/>
    <row r="2541" customFormat="false" ht="21" hidden="false" customHeight="true" outlineLevel="0" collapsed="false"/>
    <row r="2542" customFormat="false" ht="21" hidden="false" customHeight="true" outlineLevel="0" collapsed="false"/>
    <row r="2543" customFormat="false" ht="21" hidden="false" customHeight="true" outlineLevel="0" collapsed="false"/>
    <row r="2544" customFormat="false" ht="21" hidden="false" customHeight="true" outlineLevel="0" collapsed="false"/>
    <row r="2545" customFormat="false" ht="21" hidden="false" customHeight="true" outlineLevel="0" collapsed="false"/>
    <row r="2546" customFormat="false" ht="21" hidden="false" customHeight="true" outlineLevel="0" collapsed="false"/>
    <row r="2547" customFormat="false" ht="21" hidden="false" customHeight="true" outlineLevel="0" collapsed="false"/>
    <row r="2548" customFormat="false" ht="21" hidden="false" customHeight="true" outlineLevel="0" collapsed="false"/>
    <row r="2549" customFormat="false" ht="21" hidden="false" customHeight="true" outlineLevel="0" collapsed="false"/>
    <row r="2550" customFormat="false" ht="21" hidden="false" customHeight="true" outlineLevel="0" collapsed="false"/>
    <row r="2551" customFormat="false" ht="21" hidden="false" customHeight="true" outlineLevel="0" collapsed="false"/>
    <row r="2552" customFormat="false" ht="21" hidden="false" customHeight="true" outlineLevel="0" collapsed="false"/>
    <row r="2553" customFormat="false" ht="21" hidden="false" customHeight="true" outlineLevel="0" collapsed="false"/>
    <row r="2554" customFormat="false" ht="21" hidden="false" customHeight="true" outlineLevel="0" collapsed="false"/>
    <row r="2555" customFormat="false" ht="21" hidden="false" customHeight="true" outlineLevel="0" collapsed="false"/>
    <row r="2556" customFormat="false" ht="21" hidden="false" customHeight="true" outlineLevel="0" collapsed="false"/>
    <row r="2557" customFormat="false" ht="21" hidden="false" customHeight="true" outlineLevel="0" collapsed="false"/>
    <row r="2558" customFormat="false" ht="21" hidden="false" customHeight="true" outlineLevel="0" collapsed="false"/>
    <row r="2559" customFormat="false" ht="21" hidden="false" customHeight="true" outlineLevel="0" collapsed="false"/>
    <row r="2560" customFormat="false" ht="21" hidden="false" customHeight="true" outlineLevel="0" collapsed="false"/>
    <row r="2561" customFormat="false" ht="21" hidden="false" customHeight="true" outlineLevel="0" collapsed="false"/>
    <row r="2562" customFormat="false" ht="21" hidden="false" customHeight="true" outlineLevel="0" collapsed="false"/>
    <row r="2563" customFormat="false" ht="21" hidden="false" customHeight="true" outlineLevel="0" collapsed="false"/>
    <row r="2564" customFormat="false" ht="21" hidden="false" customHeight="true" outlineLevel="0" collapsed="false"/>
    <row r="2565" customFormat="false" ht="21" hidden="false" customHeight="true" outlineLevel="0" collapsed="false"/>
    <row r="2566" customFormat="false" ht="21" hidden="false" customHeight="true" outlineLevel="0" collapsed="false"/>
    <row r="2567" customFormat="false" ht="21" hidden="false" customHeight="true" outlineLevel="0" collapsed="false"/>
    <row r="2568" customFormat="false" ht="21" hidden="false" customHeight="true" outlineLevel="0" collapsed="false"/>
    <row r="2569" customFormat="false" ht="21" hidden="false" customHeight="true" outlineLevel="0" collapsed="false"/>
    <row r="2570" customFormat="false" ht="21" hidden="false" customHeight="true" outlineLevel="0" collapsed="false"/>
    <row r="2571" customFormat="false" ht="21" hidden="false" customHeight="true" outlineLevel="0" collapsed="false"/>
    <row r="2572" customFormat="false" ht="21" hidden="false" customHeight="true" outlineLevel="0" collapsed="false"/>
    <row r="2573" customFormat="false" ht="21" hidden="false" customHeight="true" outlineLevel="0" collapsed="false"/>
    <row r="2574" customFormat="false" ht="21" hidden="false" customHeight="true" outlineLevel="0" collapsed="false"/>
    <row r="2575" customFormat="false" ht="21" hidden="false" customHeight="true" outlineLevel="0" collapsed="false"/>
    <row r="2576" customFormat="false" ht="21" hidden="false" customHeight="true" outlineLevel="0" collapsed="false"/>
    <row r="2577" customFormat="false" ht="21" hidden="false" customHeight="true" outlineLevel="0" collapsed="false"/>
    <row r="2578" customFormat="false" ht="21" hidden="false" customHeight="true" outlineLevel="0" collapsed="false"/>
    <row r="2579" customFormat="false" ht="21" hidden="false" customHeight="true" outlineLevel="0" collapsed="false"/>
    <row r="2580" customFormat="false" ht="21" hidden="false" customHeight="true" outlineLevel="0" collapsed="false"/>
    <row r="2581" customFormat="false" ht="21" hidden="false" customHeight="true" outlineLevel="0" collapsed="false"/>
    <row r="2582" customFormat="false" ht="21" hidden="false" customHeight="true" outlineLevel="0" collapsed="false"/>
    <row r="2583" customFormat="false" ht="21" hidden="false" customHeight="true" outlineLevel="0" collapsed="false"/>
    <row r="2584" customFormat="false" ht="21" hidden="false" customHeight="true" outlineLevel="0" collapsed="false"/>
    <row r="2585" customFormat="false" ht="21" hidden="false" customHeight="true" outlineLevel="0" collapsed="false"/>
    <row r="2586" customFormat="false" ht="21" hidden="false" customHeight="true" outlineLevel="0" collapsed="false"/>
    <row r="2587" customFormat="false" ht="21" hidden="false" customHeight="true" outlineLevel="0" collapsed="false"/>
    <row r="2588" customFormat="false" ht="21" hidden="false" customHeight="true" outlineLevel="0" collapsed="false"/>
    <row r="2589" customFormat="false" ht="21" hidden="false" customHeight="true" outlineLevel="0" collapsed="false"/>
    <row r="2590" customFormat="false" ht="21" hidden="false" customHeight="true" outlineLevel="0" collapsed="false"/>
    <row r="2591" customFormat="false" ht="21" hidden="false" customHeight="true" outlineLevel="0" collapsed="false"/>
    <row r="2592" customFormat="false" ht="21" hidden="false" customHeight="true" outlineLevel="0" collapsed="false"/>
    <row r="2593" customFormat="false" ht="21" hidden="false" customHeight="true" outlineLevel="0" collapsed="false"/>
    <row r="2594" customFormat="false" ht="21" hidden="false" customHeight="true" outlineLevel="0" collapsed="false"/>
    <row r="2595" customFormat="false" ht="21" hidden="false" customHeight="true" outlineLevel="0" collapsed="false"/>
    <row r="2596" customFormat="false" ht="21" hidden="false" customHeight="true" outlineLevel="0" collapsed="false"/>
    <row r="2597" customFormat="false" ht="21" hidden="false" customHeight="true" outlineLevel="0" collapsed="false"/>
    <row r="2598" customFormat="false" ht="21" hidden="false" customHeight="true" outlineLevel="0" collapsed="false"/>
    <row r="2599" customFormat="false" ht="21" hidden="false" customHeight="true" outlineLevel="0" collapsed="false"/>
    <row r="2600" customFormat="false" ht="21" hidden="false" customHeight="true" outlineLevel="0" collapsed="false"/>
    <row r="2601" customFormat="false" ht="21" hidden="false" customHeight="true" outlineLevel="0" collapsed="false"/>
    <row r="2602" customFormat="false" ht="21" hidden="false" customHeight="true" outlineLevel="0" collapsed="false"/>
    <row r="2603" customFormat="false" ht="21" hidden="false" customHeight="true" outlineLevel="0" collapsed="false"/>
    <row r="2604" customFormat="false" ht="21" hidden="false" customHeight="true" outlineLevel="0" collapsed="false"/>
    <row r="2605" customFormat="false" ht="21" hidden="false" customHeight="true" outlineLevel="0" collapsed="false"/>
    <row r="2606" customFormat="false" ht="21" hidden="false" customHeight="true" outlineLevel="0" collapsed="false"/>
    <row r="2607" customFormat="false" ht="21" hidden="false" customHeight="true" outlineLevel="0" collapsed="false"/>
    <row r="2608" customFormat="false" ht="21" hidden="false" customHeight="true" outlineLevel="0" collapsed="false"/>
    <row r="2609" customFormat="false" ht="21" hidden="false" customHeight="true" outlineLevel="0" collapsed="false"/>
    <row r="2610" customFormat="false" ht="21" hidden="false" customHeight="true" outlineLevel="0" collapsed="false"/>
    <row r="2611" customFormat="false" ht="21" hidden="false" customHeight="true" outlineLevel="0" collapsed="false"/>
    <row r="2612" customFormat="false" ht="21" hidden="false" customHeight="true" outlineLevel="0" collapsed="false"/>
    <row r="2613" customFormat="false" ht="21" hidden="false" customHeight="true" outlineLevel="0" collapsed="false"/>
    <row r="2614" customFormat="false" ht="21" hidden="false" customHeight="true" outlineLevel="0" collapsed="false"/>
    <row r="2615" customFormat="false" ht="21" hidden="false" customHeight="true" outlineLevel="0" collapsed="false"/>
    <row r="2616" customFormat="false" ht="21" hidden="false" customHeight="true" outlineLevel="0" collapsed="false"/>
    <row r="2617" customFormat="false" ht="21" hidden="false" customHeight="true" outlineLevel="0" collapsed="false"/>
    <row r="2618" customFormat="false" ht="21" hidden="false" customHeight="true" outlineLevel="0" collapsed="false"/>
    <row r="2619" customFormat="false" ht="21" hidden="false" customHeight="true" outlineLevel="0" collapsed="false"/>
    <row r="2620" customFormat="false" ht="21" hidden="false" customHeight="true" outlineLevel="0" collapsed="false"/>
    <row r="2621" customFormat="false" ht="21" hidden="false" customHeight="true" outlineLevel="0" collapsed="false"/>
    <row r="2622" customFormat="false" ht="21" hidden="false" customHeight="true" outlineLevel="0" collapsed="false"/>
    <row r="2623" customFormat="false" ht="21" hidden="false" customHeight="true" outlineLevel="0" collapsed="false"/>
    <row r="2624" customFormat="false" ht="21" hidden="false" customHeight="true" outlineLevel="0" collapsed="false"/>
    <row r="2625" customFormat="false" ht="21" hidden="false" customHeight="true" outlineLevel="0" collapsed="false"/>
    <row r="2626" customFormat="false" ht="21" hidden="false" customHeight="true" outlineLevel="0" collapsed="false"/>
    <row r="2627" customFormat="false" ht="21" hidden="false" customHeight="true" outlineLevel="0" collapsed="false"/>
    <row r="2628" customFormat="false" ht="21" hidden="false" customHeight="true" outlineLevel="0" collapsed="false"/>
    <row r="2629" customFormat="false" ht="21" hidden="false" customHeight="true" outlineLevel="0" collapsed="false"/>
    <row r="2630" customFormat="false" ht="21" hidden="false" customHeight="true" outlineLevel="0" collapsed="false"/>
    <row r="2631" customFormat="false" ht="21" hidden="false" customHeight="true" outlineLevel="0" collapsed="false"/>
    <row r="2632" customFormat="false" ht="21" hidden="false" customHeight="true" outlineLevel="0" collapsed="false"/>
    <row r="2633" customFormat="false" ht="21" hidden="false" customHeight="true" outlineLevel="0" collapsed="false"/>
    <row r="2634" customFormat="false" ht="21" hidden="false" customHeight="true" outlineLevel="0" collapsed="false"/>
    <row r="2635" customFormat="false" ht="21" hidden="false" customHeight="true" outlineLevel="0" collapsed="false"/>
    <row r="2636" customFormat="false" ht="21" hidden="false" customHeight="true" outlineLevel="0" collapsed="false"/>
    <row r="2637" customFormat="false" ht="21" hidden="false" customHeight="true" outlineLevel="0" collapsed="false"/>
    <row r="2638" customFormat="false" ht="21" hidden="false" customHeight="true" outlineLevel="0" collapsed="false"/>
    <row r="2639" customFormat="false" ht="21" hidden="false" customHeight="true" outlineLevel="0" collapsed="false"/>
    <row r="2640" customFormat="false" ht="21" hidden="false" customHeight="true" outlineLevel="0" collapsed="false"/>
    <row r="2641" customFormat="false" ht="21" hidden="false" customHeight="true" outlineLevel="0" collapsed="false"/>
    <row r="2642" customFormat="false" ht="21" hidden="false" customHeight="true" outlineLevel="0" collapsed="false"/>
    <row r="2643" customFormat="false" ht="21" hidden="false" customHeight="true" outlineLevel="0" collapsed="false"/>
    <row r="2644" customFormat="false" ht="21" hidden="false" customHeight="true" outlineLevel="0" collapsed="false"/>
    <row r="2645" customFormat="false" ht="21" hidden="false" customHeight="true" outlineLevel="0" collapsed="false"/>
    <row r="2646" customFormat="false" ht="21" hidden="false" customHeight="true" outlineLevel="0" collapsed="false"/>
    <row r="2647" customFormat="false" ht="21" hidden="false" customHeight="true" outlineLevel="0" collapsed="false"/>
    <row r="2648" customFormat="false" ht="21" hidden="false" customHeight="true" outlineLevel="0" collapsed="false"/>
    <row r="2649" customFormat="false" ht="21" hidden="false" customHeight="true" outlineLevel="0" collapsed="false"/>
    <row r="2650" customFormat="false" ht="21" hidden="false" customHeight="true" outlineLevel="0" collapsed="false"/>
    <row r="2651" customFormat="false" ht="21" hidden="false" customHeight="true" outlineLevel="0" collapsed="false"/>
    <row r="2652" customFormat="false" ht="21" hidden="false" customHeight="true" outlineLevel="0" collapsed="false"/>
    <row r="2653" customFormat="false" ht="21" hidden="false" customHeight="true" outlineLevel="0" collapsed="false"/>
    <row r="2654" customFormat="false" ht="21" hidden="false" customHeight="true" outlineLevel="0" collapsed="false"/>
    <row r="2655" customFormat="false" ht="21" hidden="false" customHeight="true" outlineLevel="0" collapsed="false"/>
    <row r="2656" customFormat="false" ht="21" hidden="false" customHeight="true" outlineLevel="0" collapsed="false"/>
    <row r="2657" customFormat="false" ht="21" hidden="false" customHeight="true" outlineLevel="0" collapsed="false"/>
    <row r="2658" customFormat="false" ht="21" hidden="false" customHeight="true" outlineLevel="0" collapsed="false"/>
    <row r="2659" customFormat="false" ht="21" hidden="false" customHeight="true" outlineLevel="0" collapsed="false"/>
    <row r="2660" customFormat="false" ht="21" hidden="false" customHeight="true" outlineLevel="0" collapsed="false"/>
    <row r="2661" customFormat="false" ht="21" hidden="false" customHeight="true" outlineLevel="0" collapsed="false"/>
    <row r="2662" customFormat="false" ht="21" hidden="false" customHeight="true" outlineLevel="0" collapsed="false"/>
    <row r="2663" customFormat="false" ht="21" hidden="false" customHeight="true" outlineLevel="0" collapsed="false"/>
    <row r="2664" customFormat="false" ht="21" hidden="false" customHeight="true" outlineLevel="0" collapsed="false"/>
    <row r="2665" customFormat="false" ht="21" hidden="false" customHeight="true" outlineLevel="0" collapsed="false"/>
    <row r="2666" customFormat="false" ht="21" hidden="false" customHeight="true" outlineLevel="0" collapsed="false"/>
    <row r="2667" customFormat="false" ht="21" hidden="false" customHeight="true" outlineLevel="0" collapsed="false"/>
    <row r="2668" customFormat="false" ht="21" hidden="false" customHeight="true" outlineLevel="0" collapsed="false"/>
    <row r="2669" customFormat="false" ht="21" hidden="false" customHeight="true" outlineLevel="0" collapsed="false"/>
    <row r="2670" customFormat="false" ht="21" hidden="false" customHeight="true" outlineLevel="0" collapsed="false"/>
    <row r="2671" customFormat="false" ht="21" hidden="false" customHeight="true" outlineLevel="0" collapsed="false"/>
    <row r="2672" customFormat="false" ht="21" hidden="false" customHeight="true" outlineLevel="0" collapsed="false"/>
    <row r="2673" customFormat="false" ht="21" hidden="false" customHeight="true" outlineLevel="0" collapsed="false"/>
    <row r="2674" customFormat="false" ht="21" hidden="false" customHeight="true" outlineLevel="0" collapsed="false"/>
    <row r="2675" customFormat="false" ht="21" hidden="false" customHeight="true" outlineLevel="0" collapsed="false"/>
    <row r="2676" customFormat="false" ht="21" hidden="false" customHeight="true" outlineLevel="0" collapsed="false"/>
    <row r="2677" customFormat="false" ht="21" hidden="false" customHeight="true" outlineLevel="0" collapsed="false"/>
    <row r="2678" customFormat="false" ht="21" hidden="false" customHeight="true" outlineLevel="0" collapsed="false"/>
    <row r="2679" customFormat="false" ht="21" hidden="false" customHeight="true" outlineLevel="0" collapsed="false"/>
    <row r="2680" customFormat="false" ht="21" hidden="false" customHeight="true" outlineLevel="0" collapsed="false"/>
    <row r="2681" customFormat="false" ht="21" hidden="false" customHeight="true" outlineLevel="0" collapsed="false"/>
    <row r="2682" customFormat="false" ht="21" hidden="false" customHeight="true" outlineLevel="0" collapsed="false"/>
    <row r="2683" customFormat="false" ht="21" hidden="false" customHeight="true" outlineLevel="0" collapsed="false"/>
    <row r="2684" customFormat="false" ht="21" hidden="false" customHeight="true" outlineLevel="0" collapsed="false"/>
    <row r="2685" customFormat="false" ht="21" hidden="false" customHeight="true" outlineLevel="0" collapsed="false"/>
    <row r="2686" customFormat="false" ht="21" hidden="false" customHeight="true" outlineLevel="0" collapsed="false"/>
    <row r="2687" customFormat="false" ht="21" hidden="false" customHeight="true" outlineLevel="0" collapsed="false"/>
    <row r="2688" customFormat="false" ht="21" hidden="false" customHeight="true" outlineLevel="0" collapsed="false"/>
    <row r="2689" customFormat="false" ht="21" hidden="false" customHeight="true" outlineLevel="0" collapsed="false"/>
    <row r="2690" customFormat="false" ht="21" hidden="false" customHeight="true" outlineLevel="0" collapsed="false"/>
    <row r="2691" customFormat="false" ht="21" hidden="false" customHeight="true" outlineLevel="0" collapsed="false"/>
    <row r="2692" customFormat="false" ht="21" hidden="false" customHeight="true" outlineLevel="0" collapsed="false"/>
    <row r="2693" customFormat="false" ht="21" hidden="false" customHeight="true" outlineLevel="0" collapsed="false"/>
    <row r="2694" customFormat="false" ht="21" hidden="false" customHeight="true" outlineLevel="0" collapsed="false"/>
    <row r="2695" customFormat="false" ht="21" hidden="false" customHeight="true" outlineLevel="0" collapsed="false"/>
    <row r="2696" customFormat="false" ht="21" hidden="false" customHeight="true" outlineLevel="0" collapsed="false"/>
    <row r="2697" customFormat="false" ht="21" hidden="false" customHeight="true" outlineLevel="0" collapsed="false"/>
    <row r="2698" customFormat="false" ht="21" hidden="false" customHeight="true" outlineLevel="0" collapsed="false"/>
    <row r="2699" customFormat="false" ht="21" hidden="false" customHeight="true" outlineLevel="0" collapsed="false"/>
    <row r="2700" customFormat="false" ht="21" hidden="false" customHeight="true" outlineLevel="0" collapsed="false"/>
    <row r="2701" customFormat="false" ht="21" hidden="false" customHeight="true" outlineLevel="0" collapsed="false"/>
    <row r="2702" customFormat="false" ht="21" hidden="false" customHeight="true" outlineLevel="0" collapsed="false"/>
    <row r="2703" customFormat="false" ht="21" hidden="false" customHeight="true" outlineLevel="0" collapsed="false"/>
    <row r="2704" customFormat="false" ht="21" hidden="false" customHeight="true" outlineLevel="0" collapsed="false"/>
    <row r="2705" customFormat="false" ht="21" hidden="false" customHeight="true" outlineLevel="0" collapsed="false"/>
    <row r="2706" customFormat="false" ht="21" hidden="false" customHeight="true" outlineLevel="0" collapsed="false"/>
    <row r="2707" customFormat="false" ht="21" hidden="false" customHeight="true" outlineLevel="0" collapsed="false"/>
    <row r="2708" customFormat="false" ht="21" hidden="false" customHeight="true" outlineLevel="0" collapsed="false"/>
    <row r="2709" customFormat="false" ht="21" hidden="false" customHeight="true" outlineLevel="0" collapsed="false"/>
    <row r="2710" customFormat="false" ht="21" hidden="false" customHeight="true" outlineLevel="0" collapsed="false"/>
    <row r="2711" customFormat="false" ht="21" hidden="false" customHeight="true" outlineLevel="0" collapsed="false"/>
    <row r="2712" customFormat="false" ht="21" hidden="false" customHeight="true" outlineLevel="0" collapsed="false"/>
    <row r="2713" customFormat="false" ht="21" hidden="false" customHeight="true" outlineLevel="0" collapsed="false"/>
    <row r="2714" customFormat="false" ht="21" hidden="false" customHeight="true" outlineLevel="0" collapsed="false"/>
    <row r="2715" customFormat="false" ht="21" hidden="false" customHeight="true" outlineLevel="0" collapsed="false"/>
    <row r="2716" customFormat="false" ht="21" hidden="false" customHeight="true" outlineLevel="0" collapsed="false"/>
    <row r="2717" customFormat="false" ht="21" hidden="false" customHeight="true" outlineLevel="0" collapsed="false"/>
    <row r="2718" customFormat="false" ht="21" hidden="false" customHeight="true" outlineLevel="0" collapsed="false"/>
    <row r="2719" customFormat="false" ht="21" hidden="false" customHeight="true" outlineLevel="0" collapsed="false"/>
    <row r="2720" customFormat="false" ht="21" hidden="false" customHeight="true" outlineLevel="0" collapsed="false"/>
    <row r="2721" customFormat="false" ht="21" hidden="false" customHeight="true" outlineLevel="0" collapsed="false"/>
    <row r="2722" customFormat="false" ht="21" hidden="false" customHeight="true" outlineLevel="0" collapsed="false"/>
    <row r="2723" customFormat="false" ht="21" hidden="false" customHeight="true" outlineLevel="0" collapsed="false"/>
    <row r="2724" customFormat="false" ht="21" hidden="false" customHeight="true" outlineLevel="0" collapsed="false"/>
    <row r="2725" customFormat="false" ht="21" hidden="false" customHeight="true" outlineLevel="0" collapsed="false"/>
    <row r="2726" customFormat="false" ht="21" hidden="false" customHeight="true" outlineLevel="0" collapsed="false"/>
    <row r="2727" customFormat="false" ht="21" hidden="false" customHeight="true" outlineLevel="0" collapsed="false"/>
    <row r="2728" customFormat="false" ht="21" hidden="false" customHeight="true" outlineLevel="0" collapsed="false"/>
    <row r="2729" customFormat="false" ht="21" hidden="false" customHeight="true" outlineLevel="0" collapsed="false"/>
    <row r="2730" customFormat="false" ht="21" hidden="false" customHeight="true" outlineLevel="0" collapsed="false"/>
    <row r="2731" customFormat="false" ht="21" hidden="false" customHeight="true" outlineLevel="0" collapsed="false"/>
    <row r="2732" customFormat="false" ht="21" hidden="false" customHeight="true" outlineLevel="0" collapsed="false"/>
    <row r="2733" customFormat="false" ht="21" hidden="false" customHeight="true" outlineLevel="0" collapsed="false"/>
    <row r="2734" customFormat="false" ht="21" hidden="false" customHeight="true" outlineLevel="0" collapsed="false"/>
    <row r="2735" customFormat="false" ht="21" hidden="false" customHeight="true" outlineLevel="0" collapsed="false"/>
    <row r="2736" customFormat="false" ht="21" hidden="false" customHeight="true" outlineLevel="0" collapsed="false"/>
    <row r="2737" customFormat="false" ht="21" hidden="false" customHeight="true" outlineLevel="0" collapsed="false"/>
    <row r="2738" customFormat="false" ht="21" hidden="false" customHeight="true" outlineLevel="0" collapsed="false"/>
    <row r="2739" customFormat="false" ht="21" hidden="false" customHeight="true" outlineLevel="0" collapsed="false"/>
    <row r="2740" customFormat="false" ht="21" hidden="false" customHeight="true" outlineLevel="0" collapsed="false"/>
    <row r="2741" customFormat="false" ht="21" hidden="false" customHeight="true" outlineLevel="0" collapsed="false"/>
    <row r="2742" customFormat="false" ht="21" hidden="false" customHeight="true" outlineLevel="0" collapsed="false"/>
    <row r="2743" customFormat="false" ht="21" hidden="false" customHeight="true" outlineLevel="0" collapsed="false"/>
    <row r="2744" customFormat="false" ht="21" hidden="false" customHeight="true" outlineLevel="0" collapsed="false"/>
    <row r="2745" customFormat="false" ht="21" hidden="false" customHeight="true" outlineLevel="0" collapsed="false"/>
    <row r="2746" customFormat="false" ht="21" hidden="false" customHeight="true" outlineLevel="0" collapsed="false"/>
    <row r="2747" customFormat="false" ht="21" hidden="false" customHeight="true" outlineLevel="0" collapsed="false"/>
    <row r="2748" customFormat="false" ht="21" hidden="false" customHeight="true" outlineLevel="0" collapsed="false"/>
    <row r="2749" customFormat="false" ht="21" hidden="false" customHeight="true" outlineLevel="0" collapsed="false"/>
    <row r="2750" customFormat="false" ht="21" hidden="false" customHeight="true" outlineLevel="0" collapsed="false"/>
    <row r="2751" customFormat="false" ht="21" hidden="false" customHeight="true" outlineLevel="0" collapsed="false"/>
    <row r="2752" customFormat="false" ht="21" hidden="false" customHeight="true" outlineLevel="0" collapsed="false"/>
    <row r="2753" customFormat="false" ht="21" hidden="false" customHeight="true" outlineLevel="0" collapsed="false"/>
    <row r="2754" customFormat="false" ht="21" hidden="false" customHeight="true" outlineLevel="0" collapsed="false"/>
    <row r="2755" customFormat="false" ht="21" hidden="false" customHeight="true" outlineLevel="0" collapsed="false"/>
    <row r="2756" customFormat="false" ht="21" hidden="false" customHeight="true" outlineLevel="0" collapsed="false"/>
    <row r="2757" customFormat="false" ht="21" hidden="false" customHeight="true" outlineLevel="0" collapsed="false"/>
    <row r="2758" customFormat="false" ht="21" hidden="false" customHeight="true" outlineLevel="0" collapsed="false"/>
    <row r="2759" customFormat="false" ht="21" hidden="false" customHeight="true" outlineLevel="0" collapsed="false"/>
    <row r="2760" customFormat="false" ht="21" hidden="false" customHeight="true" outlineLevel="0" collapsed="false"/>
    <row r="2761" customFormat="false" ht="21" hidden="false" customHeight="true" outlineLevel="0" collapsed="false"/>
    <row r="2762" customFormat="false" ht="21" hidden="false" customHeight="true" outlineLevel="0" collapsed="false"/>
    <row r="2763" customFormat="false" ht="21" hidden="false" customHeight="true" outlineLevel="0" collapsed="false"/>
    <row r="2764" customFormat="false" ht="21" hidden="false" customHeight="true" outlineLevel="0" collapsed="false"/>
    <row r="2765" customFormat="false" ht="21" hidden="false" customHeight="true" outlineLevel="0" collapsed="false"/>
    <row r="2766" customFormat="false" ht="21" hidden="false" customHeight="true" outlineLevel="0" collapsed="false"/>
    <row r="2767" customFormat="false" ht="21" hidden="false" customHeight="true" outlineLevel="0" collapsed="false"/>
    <row r="2768" customFormat="false" ht="21" hidden="false" customHeight="true" outlineLevel="0" collapsed="false"/>
    <row r="2769" customFormat="false" ht="21" hidden="false" customHeight="true" outlineLevel="0" collapsed="false"/>
    <row r="2770" customFormat="false" ht="21" hidden="false" customHeight="true" outlineLevel="0" collapsed="false"/>
    <row r="2771" customFormat="false" ht="21" hidden="false" customHeight="true" outlineLevel="0" collapsed="false"/>
    <row r="2772" customFormat="false" ht="21" hidden="false" customHeight="true" outlineLevel="0" collapsed="false"/>
    <row r="2773" customFormat="false" ht="21" hidden="false" customHeight="true" outlineLevel="0" collapsed="false"/>
    <row r="2774" customFormat="false" ht="21" hidden="false" customHeight="true" outlineLevel="0" collapsed="false"/>
    <row r="2775" customFormat="false" ht="21" hidden="false" customHeight="true" outlineLevel="0" collapsed="false"/>
    <row r="2776" customFormat="false" ht="21" hidden="false" customHeight="true" outlineLevel="0" collapsed="false"/>
    <row r="2777" customFormat="false" ht="21" hidden="false" customHeight="true" outlineLevel="0" collapsed="false"/>
    <row r="2778" customFormat="false" ht="21" hidden="false" customHeight="true" outlineLevel="0" collapsed="false"/>
    <row r="2779" customFormat="false" ht="21" hidden="false" customHeight="true" outlineLevel="0" collapsed="false"/>
    <row r="2780" customFormat="false" ht="21" hidden="false" customHeight="true" outlineLevel="0" collapsed="false"/>
    <row r="2781" customFormat="false" ht="21" hidden="false" customHeight="true" outlineLevel="0" collapsed="false"/>
    <row r="2782" customFormat="false" ht="21" hidden="false" customHeight="true" outlineLevel="0" collapsed="false"/>
    <row r="2783" customFormat="false" ht="21" hidden="false" customHeight="true" outlineLevel="0" collapsed="false"/>
    <row r="2784" customFormat="false" ht="21" hidden="false" customHeight="true" outlineLevel="0" collapsed="false"/>
    <row r="2785" customFormat="false" ht="21" hidden="false" customHeight="true" outlineLevel="0" collapsed="false"/>
    <row r="2786" customFormat="false" ht="21" hidden="false" customHeight="true" outlineLevel="0" collapsed="false"/>
    <row r="2787" customFormat="false" ht="21" hidden="false" customHeight="true" outlineLevel="0" collapsed="false"/>
    <row r="2788" customFormat="false" ht="21" hidden="false" customHeight="true" outlineLevel="0" collapsed="false"/>
    <row r="2789" customFormat="false" ht="21" hidden="false" customHeight="true" outlineLevel="0" collapsed="false"/>
    <row r="2790" customFormat="false" ht="21" hidden="false" customHeight="true" outlineLevel="0" collapsed="false"/>
    <row r="2791" customFormat="false" ht="21" hidden="false" customHeight="true" outlineLevel="0" collapsed="false"/>
    <row r="2792" customFormat="false" ht="21" hidden="false" customHeight="true" outlineLevel="0" collapsed="false"/>
    <row r="2793" customFormat="false" ht="21" hidden="false" customHeight="true" outlineLevel="0" collapsed="false"/>
    <row r="2794" customFormat="false" ht="21" hidden="false" customHeight="true" outlineLevel="0" collapsed="false"/>
    <row r="2795" customFormat="false" ht="21" hidden="false" customHeight="true" outlineLevel="0" collapsed="false"/>
    <row r="2796" customFormat="false" ht="21" hidden="false" customHeight="true" outlineLevel="0" collapsed="false"/>
    <row r="2797" customFormat="false" ht="21" hidden="false" customHeight="true" outlineLevel="0" collapsed="false"/>
    <row r="2798" customFormat="false" ht="21" hidden="false" customHeight="true" outlineLevel="0" collapsed="false"/>
    <row r="2799" customFormat="false" ht="21" hidden="false" customHeight="true" outlineLevel="0" collapsed="false"/>
    <row r="2800" customFormat="false" ht="21" hidden="false" customHeight="true" outlineLevel="0" collapsed="false"/>
    <row r="2801" customFormat="false" ht="21" hidden="false" customHeight="true" outlineLevel="0" collapsed="false"/>
    <row r="2802" customFormat="false" ht="21" hidden="false" customHeight="true" outlineLevel="0" collapsed="false"/>
    <row r="2803" customFormat="false" ht="21" hidden="false" customHeight="true" outlineLevel="0" collapsed="false"/>
    <row r="2804" customFormat="false" ht="21" hidden="false" customHeight="true" outlineLevel="0" collapsed="false"/>
    <row r="2805" customFormat="false" ht="21" hidden="false" customHeight="true" outlineLevel="0" collapsed="false"/>
    <row r="2806" customFormat="false" ht="21" hidden="false" customHeight="true" outlineLevel="0" collapsed="false"/>
    <row r="2807" customFormat="false" ht="21" hidden="false" customHeight="true" outlineLevel="0" collapsed="false"/>
    <row r="2808" customFormat="false" ht="21" hidden="false" customHeight="true" outlineLevel="0" collapsed="false"/>
    <row r="2809" customFormat="false" ht="21" hidden="false" customHeight="true" outlineLevel="0" collapsed="false"/>
    <row r="2810" customFormat="false" ht="21" hidden="false" customHeight="true" outlineLevel="0" collapsed="false"/>
    <row r="2811" customFormat="false" ht="21" hidden="false" customHeight="true" outlineLevel="0" collapsed="false"/>
    <row r="2812" customFormat="false" ht="21" hidden="false" customHeight="true" outlineLevel="0" collapsed="false"/>
    <row r="2813" customFormat="false" ht="21" hidden="false" customHeight="true" outlineLevel="0" collapsed="false"/>
    <row r="2814" customFormat="false" ht="21" hidden="false" customHeight="true" outlineLevel="0" collapsed="false"/>
    <row r="2815" customFormat="false" ht="21" hidden="false" customHeight="true" outlineLevel="0" collapsed="false"/>
    <row r="2816" customFormat="false" ht="21" hidden="false" customHeight="true" outlineLevel="0" collapsed="false"/>
    <row r="2817" customFormat="false" ht="21" hidden="false" customHeight="true" outlineLevel="0" collapsed="false"/>
    <row r="2818" customFormat="false" ht="21" hidden="false" customHeight="true" outlineLevel="0" collapsed="false"/>
    <row r="2819" customFormat="false" ht="21" hidden="false" customHeight="true" outlineLevel="0" collapsed="false"/>
    <row r="2820" customFormat="false" ht="21" hidden="false" customHeight="true" outlineLevel="0" collapsed="false"/>
    <row r="2821" customFormat="false" ht="21" hidden="false" customHeight="true" outlineLevel="0" collapsed="false"/>
    <row r="2822" customFormat="false" ht="21" hidden="false" customHeight="true" outlineLevel="0" collapsed="false"/>
    <row r="2823" customFormat="false" ht="21" hidden="false" customHeight="true" outlineLevel="0" collapsed="false"/>
    <row r="2824" customFormat="false" ht="21" hidden="false" customHeight="true" outlineLevel="0" collapsed="false"/>
    <row r="2825" customFormat="false" ht="21" hidden="false" customHeight="true" outlineLevel="0" collapsed="false"/>
    <row r="2826" customFormat="false" ht="21" hidden="false" customHeight="true" outlineLevel="0" collapsed="false"/>
    <row r="2827" customFormat="false" ht="21" hidden="false" customHeight="true" outlineLevel="0" collapsed="false"/>
    <row r="2828" customFormat="false" ht="21" hidden="false" customHeight="true" outlineLevel="0" collapsed="false"/>
    <row r="2829" customFormat="false" ht="21" hidden="false" customHeight="true" outlineLevel="0" collapsed="false"/>
    <row r="2830" customFormat="false" ht="21" hidden="false" customHeight="true" outlineLevel="0" collapsed="false"/>
    <row r="2831" customFormat="false" ht="21" hidden="false" customHeight="true" outlineLevel="0" collapsed="false"/>
    <row r="2832" customFormat="false" ht="21" hidden="false" customHeight="true" outlineLevel="0" collapsed="false"/>
    <row r="2833" customFormat="false" ht="21" hidden="false" customHeight="true" outlineLevel="0" collapsed="false"/>
    <row r="2834" customFormat="false" ht="21" hidden="false" customHeight="true" outlineLevel="0" collapsed="false"/>
    <row r="2835" customFormat="false" ht="21" hidden="false" customHeight="true" outlineLevel="0" collapsed="false"/>
    <row r="2836" customFormat="false" ht="21" hidden="false" customHeight="true" outlineLevel="0" collapsed="false"/>
    <row r="2837" customFormat="false" ht="21" hidden="false" customHeight="true" outlineLevel="0" collapsed="false"/>
    <row r="2838" customFormat="false" ht="21" hidden="false" customHeight="true" outlineLevel="0" collapsed="false"/>
    <row r="2839" customFormat="false" ht="21" hidden="false" customHeight="true" outlineLevel="0" collapsed="false"/>
    <row r="2840" customFormat="false" ht="21" hidden="false" customHeight="true" outlineLevel="0" collapsed="false"/>
    <row r="2841" customFormat="false" ht="21" hidden="false" customHeight="true" outlineLevel="0" collapsed="false"/>
    <row r="2842" customFormat="false" ht="21" hidden="false" customHeight="true" outlineLevel="0" collapsed="false"/>
    <row r="2843" customFormat="false" ht="21" hidden="false" customHeight="true" outlineLevel="0" collapsed="false"/>
    <row r="2844" customFormat="false" ht="21" hidden="false" customHeight="true" outlineLevel="0" collapsed="false"/>
    <row r="2845" customFormat="false" ht="21" hidden="false" customHeight="true" outlineLevel="0" collapsed="false"/>
    <row r="2846" customFormat="false" ht="21" hidden="false" customHeight="true" outlineLevel="0" collapsed="false"/>
    <row r="2847" customFormat="false" ht="21" hidden="false" customHeight="true" outlineLevel="0" collapsed="false"/>
    <row r="2848" customFormat="false" ht="21" hidden="false" customHeight="true" outlineLevel="0" collapsed="false"/>
    <row r="2849" customFormat="false" ht="21" hidden="false" customHeight="true" outlineLevel="0" collapsed="false"/>
    <row r="2850" customFormat="false" ht="21" hidden="false" customHeight="true" outlineLevel="0" collapsed="false"/>
    <row r="2851" customFormat="false" ht="21" hidden="false" customHeight="true" outlineLevel="0" collapsed="false"/>
    <row r="2852" customFormat="false" ht="21" hidden="false" customHeight="true" outlineLevel="0" collapsed="false"/>
    <row r="2853" customFormat="false" ht="21" hidden="false" customHeight="true" outlineLevel="0" collapsed="false"/>
    <row r="2854" customFormat="false" ht="21" hidden="false" customHeight="true" outlineLevel="0" collapsed="false"/>
    <row r="2855" customFormat="false" ht="21" hidden="false" customHeight="true" outlineLevel="0" collapsed="false"/>
    <row r="2856" customFormat="false" ht="21" hidden="false" customHeight="true" outlineLevel="0" collapsed="false"/>
    <row r="2857" customFormat="false" ht="21" hidden="false" customHeight="true" outlineLevel="0" collapsed="false"/>
    <row r="2858" customFormat="false" ht="21" hidden="false" customHeight="true" outlineLevel="0" collapsed="false"/>
    <row r="2859" customFormat="false" ht="21" hidden="false" customHeight="true" outlineLevel="0" collapsed="false"/>
    <row r="2860" customFormat="false" ht="21" hidden="false" customHeight="true" outlineLevel="0" collapsed="false"/>
    <row r="2861" customFormat="false" ht="21" hidden="false" customHeight="true" outlineLevel="0" collapsed="false"/>
    <row r="2862" customFormat="false" ht="21" hidden="false" customHeight="true" outlineLevel="0" collapsed="false"/>
    <row r="2863" customFormat="false" ht="21" hidden="false" customHeight="true" outlineLevel="0" collapsed="false"/>
    <row r="2864" customFormat="false" ht="21" hidden="false" customHeight="true" outlineLevel="0" collapsed="false"/>
    <row r="2865" customFormat="false" ht="21" hidden="false" customHeight="true" outlineLevel="0" collapsed="false"/>
    <row r="2866" customFormat="false" ht="21" hidden="false" customHeight="true" outlineLevel="0" collapsed="false"/>
    <row r="2867" customFormat="false" ht="21" hidden="false" customHeight="true" outlineLevel="0" collapsed="false"/>
    <row r="2868" customFormat="false" ht="21" hidden="false" customHeight="true" outlineLevel="0" collapsed="false"/>
    <row r="2869" customFormat="false" ht="21" hidden="false" customHeight="true" outlineLevel="0" collapsed="false"/>
    <row r="2870" customFormat="false" ht="21" hidden="false" customHeight="true" outlineLevel="0" collapsed="false"/>
    <row r="2871" customFormat="false" ht="21" hidden="false" customHeight="true" outlineLevel="0" collapsed="false"/>
    <row r="2872" customFormat="false" ht="21" hidden="false" customHeight="true" outlineLevel="0" collapsed="false"/>
    <row r="2873" customFormat="false" ht="21" hidden="false" customHeight="true" outlineLevel="0" collapsed="false"/>
    <row r="2874" customFormat="false" ht="21" hidden="false" customHeight="true" outlineLevel="0" collapsed="false"/>
    <row r="2875" customFormat="false" ht="21" hidden="false" customHeight="true" outlineLevel="0" collapsed="false"/>
    <row r="2876" customFormat="false" ht="21" hidden="false" customHeight="true" outlineLevel="0" collapsed="false"/>
    <row r="2877" customFormat="false" ht="21" hidden="false" customHeight="true" outlineLevel="0" collapsed="false"/>
    <row r="2878" customFormat="false" ht="21" hidden="false" customHeight="true" outlineLevel="0" collapsed="false"/>
    <row r="2879" customFormat="false" ht="21" hidden="false" customHeight="true" outlineLevel="0" collapsed="false"/>
    <row r="2880" customFormat="false" ht="21" hidden="false" customHeight="true" outlineLevel="0" collapsed="false"/>
    <row r="2881" customFormat="false" ht="21" hidden="false" customHeight="true" outlineLevel="0" collapsed="false"/>
    <row r="2882" customFormat="false" ht="21" hidden="false" customHeight="true" outlineLevel="0" collapsed="false"/>
    <row r="2883" customFormat="false" ht="21" hidden="false" customHeight="true" outlineLevel="0" collapsed="false"/>
    <row r="2884" customFormat="false" ht="21" hidden="false" customHeight="true" outlineLevel="0" collapsed="false"/>
    <row r="2885" customFormat="false" ht="21" hidden="false" customHeight="true" outlineLevel="0" collapsed="false"/>
    <row r="2886" customFormat="false" ht="21" hidden="false" customHeight="true" outlineLevel="0" collapsed="false"/>
    <row r="2887" customFormat="false" ht="21" hidden="false" customHeight="true" outlineLevel="0" collapsed="false"/>
    <row r="2888" customFormat="false" ht="21" hidden="false" customHeight="true" outlineLevel="0" collapsed="false"/>
    <row r="2889" customFormat="false" ht="21" hidden="false" customHeight="true" outlineLevel="0" collapsed="false"/>
    <row r="2890" customFormat="false" ht="21" hidden="false" customHeight="true" outlineLevel="0" collapsed="false"/>
    <row r="2891" customFormat="false" ht="21" hidden="false" customHeight="true" outlineLevel="0" collapsed="false"/>
    <row r="2892" customFormat="false" ht="21" hidden="false" customHeight="true" outlineLevel="0" collapsed="false"/>
    <row r="2893" customFormat="false" ht="21" hidden="false" customHeight="true" outlineLevel="0" collapsed="false"/>
    <row r="2894" customFormat="false" ht="21" hidden="false" customHeight="true" outlineLevel="0" collapsed="false"/>
    <row r="2895" customFormat="false" ht="21" hidden="false" customHeight="true" outlineLevel="0" collapsed="false"/>
    <row r="2896" customFormat="false" ht="21" hidden="false" customHeight="true" outlineLevel="0" collapsed="false"/>
    <row r="2897" customFormat="false" ht="21" hidden="false" customHeight="true" outlineLevel="0" collapsed="false"/>
    <row r="2898" customFormat="false" ht="21" hidden="false" customHeight="true" outlineLevel="0" collapsed="false"/>
    <row r="2899" customFormat="false" ht="21" hidden="false" customHeight="true" outlineLevel="0" collapsed="false"/>
    <row r="2900" customFormat="false" ht="21" hidden="false" customHeight="true" outlineLevel="0" collapsed="false"/>
    <row r="2901" customFormat="false" ht="21" hidden="false" customHeight="true" outlineLevel="0" collapsed="false"/>
    <row r="2902" customFormat="false" ht="21" hidden="false" customHeight="true" outlineLevel="0" collapsed="false"/>
    <row r="2903" customFormat="false" ht="21" hidden="false" customHeight="true" outlineLevel="0" collapsed="false"/>
    <row r="2904" customFormat="false" ht="21" hidden="false" customHeight="true" outlineLevel="0" collapsed="false"/>
    <row r="2905" customFormat="false" ht="21" hidden="false" customHeight="true" outlineLevel="0" collapsed="false"/>
    <row r="2906" customFormat="false" ht="21" hidden="false" customHeight="true" outlineLevel="0" collapsed="false"/>
    <row r="2907" customFormat="false" ht="21" hidden="false" customHeight="true" outlineLevel="0" collapsed="false"/>
    <row r="2908" customFormat="false" ht="21" hidden="false" customHeight="true" outlineLevel="0" collapsed="false"/>
    <row r="2909" customFormat="false" ht="21" hidden="false" customHeight="true" outlineLevel="0" collapsed="false"/>
    <row r="2910" customFormat="false" ht="21" hidden="false" customHeight="true" outlineLevel="0" collapsed="false"/>
    <row r="2911" customFormat="false" ht="21" hidden="false" customHeight="true" outlineLevel="0" collapsed="false"/>
    <row r="2912" customFormat="false" ht="21" hidden="false" customHeight="true" outlineLevel="0" collapsed="false"/>
    <row r="2913" customFormat="false" ht="21" hidden="false" customHeight="true" outlineLevel="0" collapsed="false"/>
    <row r="2914" customFormat="false" ht="21" hidden="false" customHeight="true" outlineLevel="0" collapsed="false"/>
    <row r="2915" customFormat="false" ht="21" hidden="false" customHeight="true" outlineLevel="0" collapsed="false"/>
    <row r="2916" customFormat="false" ht="21" hidden="false" customHeight="true" outlineLevel="0" collapsed="false"/>
    <row r="2917" customFormat="false" ht="21" hidden="false" customHeight="true" outlineLevel="0" collapsed="false"/>
    <row r="2918" customFormat="false" ht="21" hidden="false" customHeight="true" outlineLevel="0" collapsed="false"/>
    <row r="2919" customFormat="false" ht="21" hidden="false" customHeight="true" outlineLevel="0" collapsed="false"/>
    <row r="2920" customFormat="false" ht="21" hidden="false" customHeight="true" outlineLevel="0" collapsed="false"/>
    <row r="2921" customFormat="false" ht="21" hidden="false" customHeight="true" outlineLevel="0" collapsed="false"/>
    <row r="2922" customFormat="false" ht="21" hidden="false" customHeight="true" outlineLevel="0" collapsed="false"/>
    <row r="2923" customFormat="false" ht="21" hidden="false" customHeight="true" outlineLevel="0" collapsed="false"/>
    <row r="2924" customFormat="false" ht="21" hidden="false" customHeight="true" outlineLevel="0" collapsed="false"/>
    <row r="2925" customFormat="false" ht="21" hidden="false" customHeight="true" outlineLevel="0" collapsed="false"/>
    <row r="2926" customFormat="false" ht="21" hidden="false" customHeight="true" outlineLevel="0" collapsed="false"/>
    <row r="2927" customFormat="false" ht="21" hidden="false" customHeight="true" outlineLevel="0" collapsed="false"/>
    <row r="2928" customFormat="false" ht="21" hidden="false" customHeight="true" outlineLevel="0" collapsed="false"/>
    <row r="2929" customFormat="false" ht="21" hidden="false" customHeight="true" outlineLevel="0" collapsed="false"/>
    <row r="2930" customFormat="false" ht="21" hidden="false" customHeight="true" outlineLevel="0" collapsed="false"/>
    <row r="2931" customFormat="false" ht="21" hidden="false" customHeight="true" outlineLevel="0" collapsed="false"/>
    <row r="2932" customFormat="false" ht="21" hidden="false" customHeight="true" outlineLevel="0" collapsed="false"/>
    <row r="2933" customFormat="false" ht="21" hidden="false" customHeight="true" outlineLevel="0" collapsed="false"/>
    <row r="2934" customFormat="false" ht="21" hidden="false" customHeight="true" outlineLevel="0" collapsed="false"/>
    <row r="2935" customFormat="false" ht="21" hidden="false" customHeight="true" outlineLevel="0" collapsed="false"/>
    <row r="2936" customFormat="false" ht="21" hidden="false" customHeight="true" outlineLevel="0" collapsed="false"/>
    <row r="2937" customFormat="false" ht="21" hidden="false" customHeight="true" outlineLevel="0" collapsed="false"/>
    <row r="2938" customFormat="false" ht="21" hidden="false" customHeight="true" outlineLevel="0" collapsed="false"/>
    <row r="2939" customFormat="false" ht="21" hidden="false" customHeight="true" outlineLevel="0" collapsed="false"/>
    <row r="2940" customFormat="false" ht="21" hidden="false" customHeight="true" outlineLevel="0" collapsed="false"/>
    <row r="2941" customFormat="false" ht="21" hidden="false" customHeight="true" outlineLevel="0" collapsed="false"/>
    <row r="2942" customFormat="false" ht="21" hidden="false" customHeight="true" outlineLevel="0" collapsed="false"/>
    <row r="2943" customFormat="false" ht="21" hidden="false" customHeight="true" outlineLevel="0" collapsed="false"/>
    <row r="2944" customFormat="false" ht="21" hidden="false" customHeight="true" outlineLevel="0" collapsed="false"/>
    <row r="2945" customFormat="false" ht="21" hidden="false" customHeight="true" outlineLevel="0" collapsed="false"/>
    <row r="2946" customFormat="false" ht="21" hidden="false" customHeight="true" outlineLevel="0" collapsed="false"/>
    <row r="2947" customFormat="false" ht="21" hidden="false" customHeight="true" outlineLevel="0" collapsed="false"/>
    <row r="2948" customFormat="false" ht="21" hidden="false" customHeight="true" outlineLevel="0" collapsed="false"/>
    <row r="2949" customFormat="false" ht="21" hidden="false" customHeight="true" outlineLevel="0" collapsed="false"/>
    <row r="2950" customFormat="false" ht="21" hidden="false" customHeight="true" outlineLevel="0" collapsed="false"/>
    <row r="2951" customFormat="false" ht="21" hidden="false" customHeight="true" outlineLevel="0" collapsed="false"/>
    <row r="2952" customFormat="false" ht="21" hidden="false" customHeight="true" outlineLevel="0" collapsed="false"/>
    <row r="2953" customFormat="false" ht="21" hidden="false" customHeight="true" outlineLevel="0" collapsed="false"/>
    <row r="2954" customFormat="false" ht="21" hidden="false" customHeight="true" outlineLevel="0" collapsed="false"/>
    <row r="2955" customFormat="false" ht="21" hidden="false" customHeight="true" outlineLevel="0" collapsed="false"/>
    <row r="2956" customFormat="false" ht="21" hidden="false" customHeight="true" outlineLevel="0" collapsed="false"/>
    <row r="2957" customFormat="false" ht="21" hidden="false" customHeight="true" outlineLevel="0" collapsed="false"/>
    <row r="2958" customFormat="false" ht="21" hidden="false" customHeight="true" outlineLevel="0" collapsed="false"/>
    <row r="2959" customFormat="false" ht="21" hidden="false" customHeight="true" outlineLevel="0" collapsed="false"/>
    <row r="2960" customFormat="false" ht="21" hidden="false" customHeight="true" outlineLevel="0" collapsed="false"/>
    <row r="2961" customFormat="false" ht="21" hidden="false" customHeight="true" outlineLevel="0" collapsed="false"/>
    <row r="2962" customFormat="false" ht="21" hidden="false" customHeight="true" outlineLevel="0" collapsed="false"/>
    <row r="2963" customFormat="false" ht="21" hidden="false" customHeight="true" outlineLevel="0" collapsed="false"/>
    <row r="2964" customFormat="false" ht="21" hidden="false" customHeight="true" outlineLevel="0" collapsed="false"/>
    <row r="2965" customFormat="false" ht="21" hidden="false" customHeight="true" outlineLevel="0" collapsed="false"/>
    <row r="2966" customFormat="false" ht="21" hidden="false" customHeight="true" outlineLevel="0" collapsed="false"/>
    <row r="2967" customFormat="false" ht="21" hidden="false" customHeight="true" outlineLevel="0" collapsed="false"/>
    <row r="2968" customFormat="false" ht="21" hidden="false" customHeight="true" outlineLevel="0" collapsed="false"/>
    <row r="2969" customFormat="false" ht="21" hidden="false" customHeight="true" outlineLevel="0" collapsed="false"/>
    <row r="2970" customFormat="false" ht="21" hidden="false" customHeight="true" outlineLevel="0" collapsed="false"/>
    <row r="2971" customFormat="false" ht="21" hidden="false" customHeight="true" outlineLevel="0" collapsed="false"/>
    <row r="2972" customFormat="false" ht="21" hidden="false" customHeight="true" outlineLevel="0" collapsed="false"/>
    <row r="2973" customFormat="false" ht="21" hidden="false" customHeight="true" outlineLevel="0" collapsed="false"/>
    <row r="2974" customFormat="false" ht="21" hidden="false" customHeight="true" outlineLevel="0" collapsed="false"/>
    <row r="2975" customFormat="false" ht="21" hidden="false" customHeight="true" outlineLevel="0" collapsed="false"/>
    <row r="2976" customFormat="false" ht="21" hidden="false" customHeight="true" outlineLevel="0" collapsed="false"/>
    <row r="2977" customFormat="false" ht="21" hidden="false" customHeight="true" outlineLevel="0" collapsed="false"/>
    <row r="2978" customFormat="false" ht="21" hidden="false" customHeight="true" outlineLevel="0" collapsed="false"/>
    <row r="2979" customFormat="false" ht="21" hidden="false" customHeight="true" outlineLevel="0" collapsed="false"/>
    <row r="2980" customFormat="false" ht="21" hidden="false" customHeight="true" outlineLevel="0" collapsed="false"/>
    <row r="2981" customFormat="false" ht="21" hidden="false" customHeight="true" outlineLevel="0" collapsed="false"/>
    <row r="2982" customFormat="false" ht="21" hidden="false" customHeight="true" outlineLevel="0" collapsed="false"/>
    <row r="2983" customFormat="false" ht="21" hidden="false" customHeight="true" outlineLevel="0" collapsed="false"/>
    <row r="2984" customFormat="false" ht="21" hidden="false" customHeight="true" outlineLevel="0" collapsed="false"/>
    <row r="2985" customFormat="false" ht="21" hidden="false" customHeight="true" outlineLevel="0" collapsed="false"/>
    <row r="2986" customFormat="false" ht="21" hidden="false" customHeight="true" outlineLevel="0" collapsed="false"/>
    <row r="2987" customFormat="false" ht="21" hidden="false" customHeight="true" outlineLevel="0" collapsed="false"/>
    <row r="2988" customFormat="false" ht="21" hidden="false" customHeight="true" outlineLevel="0" collapsed="false"/>
    <row r="2989" customFormat="false" ht="21" hidden="false" customHeight="true" outlineLevel="0" collapsed="false"/>
    <row r="2990" customFormat="false" ht="21" hidden="false" customHeight="true" outlineLevel="0" collapsed="false"/>
    <row r="2991" customFormat="false" ht="21" hidden="false" customHeight="true" outlineLevel="0" collapsed="false"/>
    <row r="2992" customFormat="false" ht="21" hidden="false" customHeight="true" outlineLevel="0" collapsed="false"/>
    <row r="2993" customFormat="false" ht="21" hidden="false" customHeight="true" outlineLevel="0" collapsed="false"/>
    <row r="2994" customFormat="false" ht="21" hidden="false" customHeight="true" outlineLevel="0" collapsed="false"/>
    <row r="2995" customFormat="false" ht="21" hidden="false" customHeight="true" outlineLevel="0" collapsed="false"/>
    <row r="2996" customFormat="false" ht="21" hidden="false" customHeight="true" outlineLevel="0" collapsed="false"/>
    <row r="2997" customFormat="false" ht="21" hidden="false" customHeight="true" outlineLevel="0" collapsed="false"/>
    <row r="2998" customFormat="false" ht="21" hidden="false" customHeight="true" outlineLevel="0" collapsed="false"/>
    <row r="2999" customFormat="false" ht="21" hidden="false" customHeight="true" outlineLevel="0" collapsed="false"/>
    <row r="3000" customFormat="false" ht="21" hidden="false" customHeight="true" outlineLevel="0" collapsed="false"/>
    <row r="3001" customFormat="false" ht="21" hidden="false" customHeight="true" outlineLevel="0" collapsed="false"/>
    <row r="3002" customFormat="false" ht="21" hidden="false" customHeight="true" outlineLevel="0" collapsed="false"/>
    <row r="3003" customFormat="false" ht="21" hidden="false" customHeight="true" outlineLevel="0" collapsed="false"/>
    <row r="3004" customFormat="false" ht="21" hidden="false" customHeight="true" outlineLevel="0" collapsed="false"/>
  </sheetData>
  <mergeCells count="2">
    <mergeCell ref="B1:F1"/>
    <mergeCell ref="B2:F2"/>
  </mergeCells>
  <dataValidations count="2">
    <dataValidation allowBlank="true" errorStyle="stop" operator="between" prompt="Escolha da lista da aba Clientes." promptTitle="Cliente" showDropDown="false" showErrorMessage="false" showInputMessage="true" sqref="C5:C1008" type="list">
      <formula1>Clientes!$B$5:$B$304</formula1>
      <formula2>0</formula2>
    </dataValidation>
    <dataValidation allowBlank="true" errorStyle="stop" operator="between" showDropDown="false" showErrorMessage="false" showInputMessage="false" sqref="E5:E1008" type="list">
      <formula1>"Pix,Dinheiro,Cartão,Na hora"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B1:F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32"/>
  </cols>
  <sheetData>
    <row r="1" customFormat="false" ht="39.75" hidden="false" customHeight="true" outlineLevel="0" collapsed="false">
      <c r="B1" s="1" t="s">
        <v>117</v>
      </c>
      <c r="C1" s="1"/>
      <c r="D1" s="1"/>
      <c r="E1" s="1"/>
      <c r="F1" s="1"/>
    </row>
    <row r="2" customFormat="false" ht="36" hidden="false" customHeight="true" outlineLevel="0" collapsed="false">
      <c r="B2" s="2" t="s">
        <v>118</v>
      </c>
      <c r="C2" s="2"/>
      <c r="D2" s="2"/>
      <c r="E2" s="2"/>
      <c r="F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90</v>
      </c>
      <c r="C4" s="40" t="s">
        <v>91</v>
      </c>
      <c r="D4" s="40" t="s">
        <v>119</v>
      </c>
      <c r="E4" s="40" t="s">
        <v>120</v>
      </c>
      <c r="F4" s="40" t="s">
        <v>112</v>
      </c>
    </row>
    <row r="5" customFormat="false" ht="21" hidden="false" customHeight="true" outlineLevel="0" collapsed="false">
      <c r="B5" s="41" t="n">
        <v>46315</v>
      </c>
      <c r="C5" s="9" t="s">
        <v>106</v>
      </c>
      <c r="D5" s="43" t="n">
        <v>-5</v>
      </c>
      <c r="E5" s="42" t="s">
        <v>121</v>
      </c>
      <c r="F5" s="9" t="s">
        <v>122</v>
      </c>
    </row>
    <row r="6" customFormat="false" ht="21" hidden="false" customHeight="true" outlineLevel="0" collapsed="false">
      <c r="B6" s="41"/>
      <c r="C6" s="9"/>
      <c r="D6" s="43"/>
      <c r="E6" s="42"/>
      <c r="F6" s="9"/>
    </row>
    <row r="7" customFormat="false" ht="21" hidden="false" customHeight="true" outlineLevel="0" collapsed="false">
      <c r="B7" s="41"/>
      <c r="C7" s="9"/>
      <c r="D7" s="43"/>
      <c r="E7" s="42"/>
      <c r="F7" s="9"/>
    </row>
    <row r="8" customFormat="false" ht="21" hidden="false" customHeight="true" outlineLevel="0" collapsed="false">
      <c r="B8" s="41"/>
      <c r="C8" s="9"/>
      <c r="D8" s="43"/>
      <c r="E8" s="42"/>
      <c r="F8" s="9"/>
    </row>
    <row r="9" customFormat="false" ht="21" hidden="false" customHeight="true" outlineLevel="0" collapsed="false">
      <c r="B9" s="41"/>
      <c r="C9" s="9"/>
      <c r="D9" s="43"/>
      <c r="E9" s="42"/>
      <c r="F9" s="9"/>
    </row>
    <row r="10" customFormat="false" ht="21" hidden="false" customHeight="true" outlineLevel="0" collapsed="false">
      <c r="B10" s="41"/>
      <c r="C10" s="9"/>
      <c r="D10" s="43"/>
      <c r="E10" s="42"/>
      <c r="F10" s="9"/>
    </row>
    <row r="11" customFormat="false" ht="21" hidden="false" customHeight="true" outlineLevel="0" collapsed="false">
      <c r="B11" s="41"/>
      <c r="C11" s="9"/>
      <c r="D11" s="43"/>
      <c r="E11" s="42"/>
      <c r="F11" s="9"/>
    </row>
    <row r="12" customFormat="false" ht="21" hidden="false" customHeight="true" outlineLevel="0" collapsed="false">
      <c r="B12" s="41"/>
      <c r="C12" s="9"/>
      <c r="D12" s="43"/>
      <c r="E12" s="42"/>
      <c r="F12" s="9"/>
    </row>
    <row r="13" customFormat="false" ht="21" hidden="false" customHeight="true" outlineLevel="0" collapsed="false">
      <c r="B13" s="41"/>
      <c r="C13" s="9"/>
      <c r="D13" s="43"/>
      <c r="E13" s="42"/>
      <c r="F13" s="9"/>
    </row>
    <row r="14" customFormat="false" ht="21" hidden="false" customHeight="true" outlineLevel="0" collapsed="false">
      <c r="B14" s="41"/>
      <c r="C14" s="9"/>
      <c r="D14" s="43"/>
      <c r="E14" s="42"/>
      <c r="F14" s="9"/>
    </row>
    <row r="15" customFormat="false" ht="21" hidden="false" customHeight="true" outlineLevel="0" collapsed="false">
      <c r="B15" s="41"/>
      <c r="C15" s="9"/>
      <c r="D15" s="43"/>
      <c r="E15" s="42"/>
      <c r="F15" s="9"/>
    </row>
    <row r="16" customFormat="false" ht="21" hidden="false" customHeight="true" outlineLevel="0" collapsed="false">
      <c r="B16" s="41"/>
      <c r="C16" s="9"/>
      <c r="D16" s="43"/>
      <c r="E16" s="42"/>
      <c r="F16" s="9"/>
    </row>
    <row r="17" customFormat="false" ht="21" hidden="false" customHeight="true" outlineLevel="0" collapsed="false">
      <c r="B17" s="41"/>
      <c r="C17" s="9"/>
      <c r="D17" s="43"/>
      <c r="E17" s="42"/>
      <c r="F17" s="9"/>
    </row>
    <row r="18" customFormat="false" ht="21" hidden="false" customHeight="true" outlineLevel="0" collapsed="false">
      <c r="B18" s="41"/>
      <c r="C18" s="9"/>
      <c r="D18" s="43"/>
      <c r="E18" s="42"/>
      <c r="F18" s="9"/>
    </row>
    <row r="19" customFormat="false" ht="21" hidden="false" customHeight="true" outlineLevel="0" collapsed="false">
      <c r="B19" s="41"/>
      <c r="C19" s="9"/>
      <c r="D19" s="43"/>
      <c r="E19" s="42"/>
      <c r="F19" s="9"/>
    </row>
    <row r="20" customFormat="false" ht="21" hidden="false" customHeight="true" outlineLevel="0" collapsed="false">
      <c r="B20" s="41"/>
      <c r="C20" s="9"/>
      <c r="D20" s="43"/>
      <c r="E20" s="42"/>
      <c r="F20" s="9"/>
    </row>
    <row r="21" customFormat="false" ht="21" hidden="false" customHeight="true" outlineLevel="0" collapsed="false">
      <c r="B21" s="41"/>
      <c r="C21" s="9"/>
      <c r="D21" s="43"/>
      <c r="E21" s="42"/>
      <c r="F21" s="9"/>
    </row>
    <row r="22" customFormat="false" ht="21" hidden="false" customHeight="true" outlineLevel="0" collapsed="false">
      <c r="B22" s="41"/>
      <c r="C22" s="9"/>
      <c r="D22" s="43"/>
      <c r="E22" s="42"/>
      <c r="F22" s="9"/>
    </row>
    <row r="23" customFormat="false" ht="21" hidden="false" customHeight="true" outlineLevel="0" collapsed="false">
      <c r="B23" s="41"/>
      <c r="C23" s="9"/>
      <c r="D23" s="43"/>
      <c r="E23" s="42"/>
      <c r="F23" s="9"/>
    </row>
    <row r="24" customFormat="false" ht="21" hidden="false" customHeight="true" outlineLevel="0" collapsed="false">
      <c r="B24" s="41"/>
      <c r="C24" s="9"/>
      <c r="D24" s="43"/>
      <c r="E24" s="42"/>
      <c r="F24" s="9"/>
    </row>
    <row r="25" customFormat="false" ht="21" hidden="false" customHeight="true" outlineLevel="0" collapsed="false">
      <c r="B25" s="41"/>
      <c r="C25" s="9"/>
      <c r="D25" s="43"/>
      <c r="E25" s="42"/>
      <c r="F25" s="9"/>
    </row>
    <row r="26" customFormat="false" ht="21" hidden="false" customHeight="true" outlineLevel="0" collapsed="false">
      <c r="B26" s="41"/>
      <c r="C26" s="9"/>
      <c r="D26" s="43"/>
      <c r="E26" s="42"/>
      <c r="F26" s="9"/>
    </row>
    <row r="27" customFormat="false" ht="21" hidden="false" customHeight="true" outlineLevel="0" collapsed="false">
      <c r="B27" s="41"/>
      <c r="C27" s="9"/>
      <c r="D27" s="43"/>
      <c r="E27" s="42"/>
      <c r="F27" s="9"/>
    </row>
    <row r="28" customFormat="false" ht="21" hidden="false" customHeight="true" outlineLevel="0" collapsed="false">
      <c r="B28" s="41"/>
      <c r="C28" s="9"/>
      <c r="D28" s="43"/>
      <c r="E28" s="42"/>
      <c r="F28" s="9"/>
    </row>
    <row r="29" customFormat="false" ht="21" hidden="false" customHeight="true" outlineLevel="0" collapsed="false">
      <c r="B29" s="41"/>
      <c r="C29" s="9"/>
      <c r="D29" s="43"/>
      <c r="E29" s="42"/>
      <c r="F29" s="9"/>
    </row>
    <row r="30" customFormat="false" ht="21" hidden="false" customHeight="true" outlineLevel="0" collapsed="false">
      <c r="B30" s="41"/>
      <c r="C30" s="9"/>
      <c r="D30" s="43"/>
      <c r="E30" s="42"/>
      <c r="F30" s="9"/>
    </row>
    <row r="31" customFormat="false" ht="21" hidden="false" customHeight="true" outlineLevel="0" collapsed="false">
      <c r="B31" s="41"/>
      <c r="C31" s="9"/>
      <c r="D31" s="43"/>
      <c r="E31" s="42"/>
      <c r="F31" s="9"/>
    </row>
    <row r="32" customFormat="false" ht="21" hidden="false" customHeight="true" outlineLevel="0" collapsed="false">
      <c r="B32" s="41"/>
      <c r="C32" s="9"/>
      <c r="D32" s="43"/>
      <c r="E32" s="42"/>
      <c r="F32" s="9"/>
    </row>
    <row r="33" customFormat="false" ht="21" hidden="false" customHeight="true" outlineLevel="0" collapsed="false">
      <c r="B33" s="41"/>
      <c r="C33" s="9"/>
      <c r="D33" s="43"/>
      <c r="E33" s="42"/>
      <c r="F33" s="9"/>
    </row>
    <row r="34" customFormat="false" ht="21" hidden="false" customHeight="true" outlineLevel="0" collapsed="false">
      <c r="B34" s="41"/>
      <c r="C34" s="9"/>
      <c r="D34" s="43"/>
      <c r="E34" s="42"/>
      <c r="F34" s="9"/>
    </row>
    <row r="35" customFormat="false" ht="21" hidden="false" customHeight="true" outlineLevel="0" collapsed="false">
      <c r="B35" s="41"/>
      <c r="C35" s="9"/>
      <c r="D35" s="43"/>
      <c r="E35" s="42"/>
      <c r="F35" s="9"/>
    </row>
    <row r="36" customFormat="false" ht="21" hidden="false" customHeight="true" outlineLevel="0" collapsed="false">
      <c r="B36" s="41"/>
      <c r="C36" s="9"/>
      <c r="D36" s="43"/>
      <c r="E36" s="42"/>
      <c r="F36" s="9"/>
    </row>
    <row r="37" customFormat="false" ht="21" hidden="false" customHeight="true" outlineLevel="0" collapsed="false">
      <c r="B37" s="41"/>
      <c r="C37" s="9"/>
      <c r="D37" s="43"/>
      <c r="E37" s="42"/>
      <c r="F37" s="9"/>
    </row>
    <row r="38" customFormat="false" ht="21" hidden="false" customHeight="true" outlineLevel="0" collapsed="false">
      <c r="B38" s="41"/>
      <c r="C38" s="9"/>
      <c r="D38" s="43"/>
      <c r="E38" s="42"/>
      <c r="F38" s="9"/>
    </row>
    <row r="39" customFormat="false" ht="21" hidden="false" customHeight="true" outlineLevel="0" collapsed="false">
      <c r="B39" s="41"/>
      <c r="C39" s="9"/>
      <c r="D39" s="43"/>
      <c r="E39" s="42"/>
      <c r="F39" s="9"/>
    </row>
    <row r="40" customFormat="false" ht="21" hidden="false" customHeight="true" outlineLevel="0" collapsed="false">
      <c r="B40" s="41"/>
      <c r="C40" s="9"/>
      <c r="D40" s="43"/>
      <c r="E40" s="42"/>
      <c r="F40" s="9"/>
    </row>
    <row r="41" customFormat="false" ht="21" hidden="false" customHeight="true" outlineLevel="0" collapsed="false">
      <c r="B41" s="41"/>
      <c r="C41" s="9"/>
      <c r="D41" s="43"/>
      <c r="E41" s="42"/>
      <c r="F41" s="9"/>
    </row>
    <row r="42" customFormat="false" ht="21" hidden="false" customHeight="true" outlineLevel="0" collapsed="false">
      <c r="B42" s="41"/>
      <c r="C42" s="9"/>
      <c r="D42" s="43"/>
      <c r="E42" s="42"/>
      <c r="F42" s="9"/>
    </row>
    <row r="43" customFormat="false" ht="21" hidden="false" customHeight="true" outlineLevel="0" collapsed="false">
      <c r="B43" s="41"/>
      <c r="C43" s="9"/>
      <c r="D43" s="43"/>
      <c r="E43" s="42"/>
      <c r="F43" s="9"/>
    </row>
    <row r="44" customFormat="false" ht="21" hidden="false" customHeight="true" outlineLevel="0" collapsed="false">
      <c r="B44" s="41"/>
      <c r="C44" s="9"/>
      <c r="D44" s="43"/>
      <c r="E44" s="42"/>
      <c r="F44" s="9"/>
    </row>
    <row r="45" customFormat="false" ht="21" hidden="false" customHeight="true" outlineLevel="0" collapsed="false">
      <c r="B45" s="41"/>
      <c r="C45" s="9"/>
      <c r="D45" s="43"/>
      <c r="E45" s="42"/>
      <c r="F45" s="9"/>
    </row>
    <row r="46" customFormat="false" ht="21" hidden="false" customHeight="true" outlineLevel="0" collapsed="false">
      <c r="B46" s="41"/>
      <c r="C46" s="9"/>
      <c r="D46" s="43"/>
      <c r="E46" s="42"/>
      <c r="F46" s="9"/>
    </row>
    <row r="47" customFormat="false" ht="21" hidden="false" customHeight="true" outlineLevel="0" collapsed="false">
      <c r="B47" s="41"/>
      <c r="C47" s="9"/>
      <c r="D47" s="43"/>
      <c r="E47" s="42"/>
      <c r="F47" s="9"/>
    </row>
    <row r="48" customFormat="false" ht="21" hidden="false" customHeight="true" outlineLevel="0" collapsed="false">
      <c r="B48" s="41"/>
      <c r="C48" s="9"/>
      <c r="D48" s="43"/>
      <c r="E48" s="42"/>
      <c r="F48" s="9"/>
    </row>
    <row r="49" customFormat="false" ht="21" hidden="false" customHeight="true" outlineLevel="0" collapsed="false">
      <c r="B49" s="41"/>
      <c r="C49" s="9"/>
      <c r="D49" s="43"/>
      <c r="E49" s="42"/>
      <c r="F49" s="9"/>
    </row>
    <row r="50" customFormat="false" ht="21" hidden="false" customHeight="true" outlineLevel="0" collapsed="false">
      <c r="B50" s="41"/>
      <c r="C50" s="9"/>
      <c r="D50" s="43"/>
      <c r="E50" s="42"/>
      <c r="F50" s="9"/>
    </row>
    <row r="51" customFormat="false" ht="21" hidden="false" customHeight="true" outlineLevel="0" collapsed="false">
      <c r="B51" s="41"/>
      <c r="C51" s="9"/>
      <c r="D51" s="43"/>
      <c r="E51" s="42"/>
      <c r="F51" s="9"/>
    </row>
    <row r="52" customFormat="false" ht="21" hidden="false" customHeight="true" outlineLevel="0" collapsed="false">
      <c r="B52" s="41"/>
      <c r="C52" s="9"/>
      <c r="D52" s="43"/>
      <c r="E52" s="42"/>
      <c r="F52" s="9"/>
    </row>
    <row r="53" customFormat="false" ht="21" hidden="false" customHeight="true" outlineLevel="0" collapsed="false">
      <c r="B53" s="41"/>
      <c r="C53" s="9"/>
      <c r="D53" s="43"/>
      <c r="E53" s="42"/>
      <c r="F53" s="9"/>
    </row>
    <row r="54" customFormat="false" ht="21" hidden="false" customHeight="true" outlineLevel="0" collapsed="false">
      <c r="B54" s="41"/>
      <c r="C54" s="9"/>
      <c r="D54" s="43"/>
      <c r="E54" s="42"/>
      <c r="F54" s="9"/>
    </row>
    <row r="55" customFormat="false" ht="21" hidden="false" customHeight="true" outlineLevel="0" collapsed="false">
      <c r="B55" s="41"/>
      <c r="C55" s="9"/>
      <c r="D55" s="43"/>
      <c r="E55" s="42"/>
      <c r="F55" s="9"/>
    </row>
    <row r="56" customFormat="false" ht="21" hidden="false" customHeight="true" outlineLevel="0" collapsed="false">
      <c r="B56" s="41"/>
      <c r="C56" s="9"/>
      <c r="D56" s="43"/>
      <c r="E56" s="42"/>
      <c r="F56" s="9"/>
    </row>
    <row r="57" customFormat="false" ht="21" hidden="false" customHeight="true" outlineLevel="0" collapsed="false">
      <c r="B57" s="41"/>
      <c r="C57" s="9"/>
      <c r="D57" s="43"/>
      <c r="E57" s="42"/>
      <c r="F57" s="9"/>
    </row>
    <row r="58" customFormat="false" ht="21" hidden="false" customHeight="true" outlineLevel="0" collapsed="false">
      <c r="B58" s="41"/>
      <c r="C58" s="9"/>
      <c r="D58" s="43"/>
      <c r="E58" s="42"/>
      <c r="F58" s="9"/>
    </row>
    <row r="59" customFormat="false" ht="21" hidden="false" customHeight="true" outlineLevel="0" collapsed="false">
      <c r="B59" s="41"/>
      <c r="C59" s="9"/>
      <c r="D59" s="43"/>
      <c r="E59" s="42"/>
      <c r="F59" s="9"/>
    </row>
    <row r="60" customFormat="false" ht="21" hidden="false" customHeight="true" outlineLevel="0" collapsed="false">
      <c r="B60" s="41"/>
      <c r="C60" s="9"/>
      <c r="D60" s="43"/>
      <c r="E60" s="42"/>
      <c r="F60" s="9"/>
    </row>
    <row r="61" customFormat="false" ht="21" hidden="false" customHeight="true" outlineLevel="0" collapsed="false">
      <c r="B61" s="41"/>
      <c r="C61" s="9"/>
      <c r="D61" s="43"/>
      <c r="E61" s="42"/>
      <c r="F61" s="9"/>
    </row>
    <row r="62" customFormat="false" ht="21" hidden="false" customHeight="true" outlineLevel="0" collapsed="false">
      <c r="B62" s="41"/>
      <c r="C62" s="9"/>
      <c r="D62" s="43"/>
      <c r="E62" s="42"/>
      <c r="F62" s="9"/>
    </row>
    <row r="63" customFormat="false" ht="21" hidden="false" customHeight="true" outlineLevel="0" collapsed="false">
      <c r="B63" s="41"/>
      <c r="C63" s="9"/>
      <c r="D63" s="43"/>
      <c r="E63" s="42"/>
      <c r="F63" s="9"/>
    </row>
    <row r="64" customFormat="false" ht="21" hidden="false" customHeight="true" outlineLevel="0" collapsed="false">
      <c r="B64" s="41"/>
      <c r="C64" s="9"/>
      <c r="D64" s="43"/>
      <c r="E64" s="42"/>
      <c r="F64" s="9"/>
    </row>
    <row r="65" customFormat="false" ht="21" hidden="false" customHeight="true" outlineLevel="0" collapsed="false">
      <c r="B65" s="41"/>
      <c r="C65" s="9"/>
      <c r="D65" s="43"/>
      <c r="E65" s="42"/>
      <c r="F65" s="9"/>
    </row>
    <row r="66" customFormat="false" ht="21" hidden="false" customHeight="true" outlineLevel="0" collapsed="false">
      <c r="B66" s="41"/>
      <c r="C66" s="9"/>
      <c r="D66" s="43"/>
      <c r="E66" s="42"/>
      <c r="F66" s="9"/>
    </row>
    <row r="67" customFormat="false" ht="21" hidden="false" customHeight="true" outlineLevel="0" collapsed="false">
      <c r="B67" s="41"/>
      <c r="C67" s="9"/>
      <c r="D67" s="43"/>
      <c r="E67" s="42"/>
      <c r="F67" s="9"/>
    </row>
    <row r="68" customFormat="false" ht="21" hidden="false" customHeight="true" outlineLevel="0" collapsed="false">
      <c r="B68" s="41"/>
      <c r="C68" s="9"/>
      <c r="D68" s="43"/>
      <c r="E68" s="42"/>
      <c r="F68" s="9"/>
    </row>
    <row r="69" customFormat="false" ht="21" hidden="false" customHeight="true" outlineLevel="0" collapsed="false">
      <c r="B69" s="41"/>
      <c r="C69" s="9"/>
      <c r="D69" s="43"/>
      <c r="E69" s="42"/>
      <c r="F69" s="9"/>
    </row>
    <row r="70" customFormat="false" ht="21" hidden="false" customHeight="true" outlineLevel="0" collapsed="false">
      <c r="B70" s="41"/>
      <c r="C70" s="9"/>
      <c r="D70" s="43"/>
      <c r="E70" s="42"/>
      <c r="F70" s="9"/>
    </row>
    <row r="71" customFormat="false" ht="21" hidden="false" customHeight="true" outlineLevel="0" collapsed="false">
      <c r="B71" s="41"/>
      <c r="C71" s="9"/>
      <c r="D71" s="43"/>
      <c r="E71" s="42"/>
      <c r="F71" s="9"/>
    </row>
    <row r="72" customFormat="false" ht="21" hidden="false" customHeight="true" outlineLevel="0" collapsed="false">
      <c r="B72" s="41"/>
      <c r="C72" s="9"/>
      <c r="D72" s="43"/>
      <c r="E72" s="42"/>
      <c r="F72" s="9"/>
    </row>
    <row r="73" customFormat="false" ht="21" hidden="false" customHeight="true" outlineLevel="0" collapsed="false">
      <c r="B73" s="41"/>
      <c r="C73" s="9"/>
      <c r="D73" s="43"/>
      <c r="E73" s="42"/>
      <c r="F73" s="9"/>
    </row>
    <row r="74" customFormat="false" ht="21" hidden="false" customHeight="true" outlineLevel="0" collapsed="false">
      <c r="B74" s="41"/>
      <c r="C74" s="9"/>
      <c r="D74" s="43"/>
      <c r="E74" s="42"/>
      <c r="F74" s="9"/>
    </row>
    <row r="75" customFormat="false" ht="21" hidden="false" customHeight="true" outlineLevel="0" collapsed="false">
      <c r="B75" s="41"/>
      <c r="C75" s="9"/>
      <c r="D75" s="43"/>
      <c r="E75" s="42"/>
      <c r="F75" s="9"/>
    </row>
    <row r="76" customFormat="false" ht="21" hidden="false" customHeight="true" outlineLevel="0" collapsed="false">
      <c r="B76" s="41"/>
      <c r="C76" s="9"/>
      <c r="D76" s="43"/>
      <c r="E76" s="42"/>
      <c r="F76" s="9"/>
    </row>
    <row r="77" customFormat="false" ht="21" hidden="false" customHeight="true" outlineLevel="0" collapsed="false">
      <c r="B77" s="41"/>
      <c r="C77" s="9"/>
      <c r="D77" s="43"/>
      <c r="E77" s="42"/>
      <c r="F77" s="9"/>
    </row>
    <row r="78" customFormat="false" ht="21" hidden="false" customHeight="true" outlineLevel="0" collapsed="false">
      <c r="B78" s="41"/>
      <c r="C78" s="9"/>
      <c r="D78" s="43"/>
      <c r="E78" s="42"/>
      <c r="F78" s="9"/>
    </row>
    <row r="79" customFormat="false" ht="21" hidden="false" customHeight="true" outlineLevel="0" collapsed="false">
      <c r="B79" s="41"/>
      <c r="C79" s="9"/>
      <c r="D79" s="43"/>
      <c r="E79" s="42"/>
      <c r="F79" s="9"/>
    </row>
    <row r="80" customFormat="false" ht="21" hidden="false" customHeight="true" outlineLevel="0" collapsed="false">
      <c r="B80" s="41"/>
      <c r="C80" s="9"/>
      <c r="D80" s="43"/>
      <c r="E80" s="42"/>
      <c r="F80" s="9"/>
    </row>
    <row r="81" customFormat="false" ht="21" hidden="false" customHeight="true" outlineLevel="0" collapsed="false">
      <c r="B81" s="41"/>
      <c r="C81" s="9"/>
      <c r="D81" s="43"/>
      <c r="E81" s="42"/>
      <c r="F81" s="9"/>
    </row>
    <row r="82" customFormat="false" ht="21" hidden="false" customHeight="true" outlineLevel="0" collapsed="false">
      <c r="B82" s="41"/>
      <c r="C82" s="9"/>
      <c r="D82" s="43"/>
      <c r="E82" s="42"/>
      <c r="F82" s="9"/>
    </row>
    <row r="83" customFormat="false" ht="21" hidden="false" customHeight="true" outlineLevel="0" collapsed="false">
      <c r="B83" s="41"/>
      <c r="C83" s="9"/>
      <c r="D83" s="43"/>
      <c r="E83" s="42"/>
      <c r="F83" s="9"/>
    </row>
    <row r="84" customFormat="false" ht="21" hidden="false" customHeight="true" outlineLevel="0" collapsed="false">
      <c r="B84" s="41"/>
      <c r="C84" s="9"/>
      <c r="D84" s="43"/>
      <c r="E84" s="42"/>
      <c r="F84" s="9"/>
    </row>
    <row r="85" customFormat="false" ht="21" hidden="false" customHeight="true" outlineLevel="0" collapsed="false">
      <c r="B85" s="41"/>
      <c r="C85" s="9"/>
      <c r="D85" s="43"/>
      <c r="E85" s="42"/>
      <c r="F85" s="9"/>
    </row>
    <row r="86" customFormat="false" ht="21" hidden="false" customHeight="true" outlineLevel="0" collapsed="false">
      <c r="B86" s="41"/>
      <c r="C86" s="9"/>
      <c r="D86" s="43"/>
      <c r="E86" s="42"/>
      <c r="F86" s="9"/>
    </row>
    <row r="87" customFormat="false" ht="21" hidden="false" customHeight="true" outlineLevel="0" collapsed="false">
      <c r="B87" s="41"/>
      <c r="C87" s="9"/>
      <c r="D87" s="43"/>
      <c r="E87" s="42"/>
      <c r="F87" s="9"/>
    </row>
    <row r="88" customFormat="false" ht="21" hidden="false" customHeight="true" outlineLevel="0" collapsed="false">
      <c r="B88" s="41"/>
      <c r="C88" s="9"/>
      <c r="D88" s="43"/>
      <c r="E88" s="42"/>
      <c r="F88" s="9"/>
    </row>
    <row r="89" customFormat="false" ht="21" hidden="false" customHeight="true" outlineLevel="0" collapsed="false">
      <c r="B89" s="41"/>
      <c r="C89" s="9"/>
      <c r="D89" s="43"/>
      <c r="E89" s="42"/>
      <c r="F89" s="9"/>
    </row>
    <row r="90" customFormat="false" ht="21" hidden="false" customHeight="true" outlineLevel="0" collapsed="false">
      <c r="B90" s="41"/>
      <c r="C90" s="9"/>
      <c r="D90" s="43"/>
      <c r="E90" s="42"/>
      <c r="F90" s="9"/>
    </row>
    <row r="91" customFormat="false" ht="21" hidden="false" customHeight="true" outlineLevel="0" collapsed="false">
      <c r="B91" s="41"/>
      <c r="C91" s="9"/>
      <c r="D91" s="43"/>
      <c r="E91" s="42"/>
      <c r="F91" s="9"/>
    </row>
    <row r="92" customFormat="false" ht="21" hidden="false" customHeight="true" outlineLevel="0" collapsed="false">
      <c r="B92" s="41"/>
      <c r="C92" s="9"/>
      <c r="D92" s="43"/>
      <c r="E92" s="42"/>
      <c r="F92" s="9"/>
    </row>
    <row r="93" customFormat="false" ht="21" hidden="false" customHeight="true" outlineLevel="0" collapsed="false">
      <c r="B93" s="41"/>
      <c r="C93" s="9"/>
      <c r="D93" s="43"/>
      <c r="E93" s="42"/>
      <c r="F93" s="9"/>
    </row>
    <row r="94" customFormat="false" ht="21" hidden="false" customHeight="true" outlineLevel="0" collapsed="false">
      <c r="B94" s="41"/>
      <c r="C94" s="9"/>
      <c r="D94" s="43"/>
      <c r="E94" s="42"/>
      <c r="F94" s="9"/>
    </row>
    <row r="95" customFormat="false" ht="21" hidden="false" customHeight="true" outlineLevel="0" collapsed="false">
      <c r="B95" s="41"/>
      <c r="C95" s="9"/>
      <c r="D95" s="43"/>
      <c r="E95" s="42"/>
      <c r="F95" s="9"/>
    </row>
    <row r="96" customFormat="false" ht="21" hidden="false" customHeight="true" outlineLevel="0" collapsed="false">
      <c r="B96" s="41"/>
      <c r="C96" s="9"/>
      <c r="D96" s="43"/>
      <c r="E96" s="42"/>
      <c r="F96" s="9"/>
    </row>
    <row r="97" customFormat="false" ht="21" hidden="false" customHeight="true" outlineLevel="0" collapsed="false">
      <c r="B97" s="41"/>
      <c r="C97" s="9"/>
      <c r="D97" s="43"/>
      <c r="E97" s="42"/>
      <c r="F97" s="9"/>
    </row>
    <row r="98" customFormat="false" ht="21" hidden="false" customHeight="true" outlineLevel="0" collapsed="false">
      <c r="B98" s="41"/>
      <c r="C98" s="9"/>
      <c r="D98" s="43"/>
      <c r="E98" s="42"/>
      <c r="F98" s="9"/>
    </row>
    <row r="99" customFormat="false" ht="21" hidden="false" customHeight="true" outlineLevel="0" collapsed="false">
      <c r="B99" s="41"/>
      <c r="C99" s="9"/>
      <c r="D99" s="43"/>
      <c r="E99" s="42"/>
      <c r="F99" s="9"/>
    </row>
    <row r="100" customFormat="false" ht="21" hidden="false" customHeight="true" outlineLevel="0" collapsed="false">
      <c r="B100" s="41"/>
      <c r="C100" s="9"/>
      <c r="D100" s="43"/>
      <c r="E100" s="42"/>
      <c r="F100" s="9"/>
    </row>
    <row r="101" customFormat="false" ht="21" hidden="false" customHeight="true" outlineLevel="0" collapsed="false">
      <c r="B101" s="41"/>
      <c r="C101" s="9"/>
      <c r="D101" s="43"/>
      <c r="E101" s="42"/>
      <c r="F101" s="9"/>
    </row>
    <row r="102" customFormat="false" ht="21" hidden="false" customHeight="true" outlineLevel="0" collapsed="false">
      <c r="B102" s="41"/>
      <c r="C102" s="9"/>
      <c r="D102" s="43"/>
      <c r="E102" s="42"/>
      <c r="F102" s="9"/>
    </row>
    <row r="103" customFormat="false" ht="21" hidden="false" customHeight="true" outlineLevel="0" collapsed="false">
      <c r="B103" s="41"/>
      <c r="C103" s="9"/>
      <c r="D103" s="43"/>
      <c r="E103" s="42"/>
      <c r="F103" s="9"/>
    </row>
    <row r="104" customFormat="false" ht="21" hidden="false" customHeight="true" outlineLevel="0" collapsed="false">
      <c r="B104" s="41"/>
      <c r="C104" s="9"/>
      <c r="D104" s="43"/>
      <c r="E104" s="42"/>
      <c r="F104" s="9"/>
    </row>
    <row r="105" customFormat="false" ht="21" hidden="false" customHeight="true" outlineLevel="0" collapsed="false">
      <c r="B105" s="41"/>
      <c r="C105" s="9"/>
      <c r="D105" s="43"/>
      <c r="E105" s="42"/>
      <c r="F105" s="9"/>
    </row>
    <row r="106" customFormat="false" ht="21" hidden="false" customHeight="true" outlineLevel="0" collapsed="false">
      <c r="B106" s="41"/>
      <c r="C106" s="9"/>
      <c r="D106" s="43"/>
      <c r="E106" s="42"/>
      <c r="F106" s="9"/>
    </row>
    <row r="107" customFormat="false" ht="21" hidden="false" customHeight="true" outlineLevel="0" collapsed="false">
      <c r="B107" s="41"/>
      <c r="C107" s="9"/>
      <c r="D107" s="43"/>
      <c r="E107" s="42"/>
      <c r="F107" s="9"/>
    </row>
    <row r="108" customFormat="false" ht="21" hidden="false" customHeight="true" outlineLevel="0" collapsed="false">
      <c r="B108" s="41"/>
      <c r="C108" s="9"/>
      <c r="D108" s="43"/>
      <c r="E108" s="42"/>
      <c r="F108" s="9"/>
    </row>
    <row r="109" customFormat="false" ht="21" hidden="false" customHeight="true" outlineLevel="0" collapsed="false">
      <c r="B109" s="41"/>
      <c r="C109" s="9"/>
      <c r="D109" s="43"/>
      <c r="E109" s="42"/>
      <c r="F109" s="9"/>
    </row>
    <row r="110" customFormat="false" ht="21" hidden="false" customHeight="true" outlineLevel="0" collapsed="false">
      <c r="B110" s="41"/>
      <c r="C110" s="9"/>
      <c r="D110" s="43"/>
      <c r="E110" s="42"/>
      <c r="F110" s="9"/>
    </row>
    <row r="111" customFormat="false" ht="21" hidden="false" customHeight="true" outlineLevel="0" collapsed="false">
      <c r="B111" s="41"/>
      <c r="C111" s="9"/>
      <c r="D111" s="43"/>
      <c r="E111" s="42"/>
      <c r="F111" s="9"/>
    </row>
    <row r="112" customFormat="false" ht="21" hidden="false" customHeight="true" outlineLevel="0" collapsed="false">
      <c r="B112" s="41"/>
      <c r="C112" s="9"/>
      <c r="D112" s="43"/>
      <c r="E112" s="42"/>
      <c r="F112" s="9"/>
    </row>
    <row r="113" customFormat="false" ht="21" hidden="false" customHeight="true" outlineLevel="0" collapsed="false">
      <c r="B113" s="41"/>
      <c r="C113" s="9"/>
      <c r="D113" s="43"/>
      <c r="E113" s="42"/>
      <c r="F113" s="9"/>
    </row>
    <row r="114" customFormat="false" ht="21" hidden="false" customHeight="true" outlineLevel="0" collapsed="false">
      <c r="B114" s="41"/>
      <c r="C114" s="9"/>
      <c r="D114" s="43"/>
      <c r="E114" s="42"/>
      <c r="F114" s="9"/>
    </row>
    <row r="115" customFormat="false" ht="21" hidden="false" customHeight="true" outlineLevel="0" collapsed="false">
      <c r="B115" s="41"/>
      <c r="C115" s="9"/>
      <c r="D115" s="43"/>
      <c r="E115" s="42"/>
      <c r="F115" s="9"/>
    </row>
    <row r="116" customFormat="false" ht="21" hidden="false" customHeight="true" outlineLevel="0" collapsed="false">
      <c r="B116" s="41"/>
      <c r="C116" s="9"/>
      <c r="D116" s="43"/>
      <c r="E116" s="42"/>
      <c r="F116" s="9"/>
    </row>
    <row r="117" customFormat="false" ht="21" hidden="false" customHeight="true" outlineLevel="0" collapsed="false">
      <c r="B117" s="41"/>
      <c r="C117" s="9"/>
      <c r="D117" s="43"/>
      <c r="E117" s="42"/>
      <c r="F117" s="9"/>
    </row>
    <row r="118" customFormat="false" ht="21" hidden="false" customHeight="true" outlineLevel="0" collapsed="false">
      <c r="B118" s="41"/>
      <c r="C118" s="9"/>
      <c r="D118" s="43"/>
      <c r="E118" s="42"/>
      <c r="F118" s="9"/>
    </row>
    <row r="119" customFormat="false" ht="21" hidden="false" customHeight="true" outlineLevel="0" collapsed="false">
      <c r="B119" s="41"/>
      <c r="C119" s="9"/>
      <c r="D119" s="43"/>
      <c r="E119" s="42"/>
      <c r="F119" s="9"/>
    </row>
    <row r="120" customFormat="false" ht="21" hidden="false" customHeight="true" outlineLevel="0" collapsed="false">
      <c r="B120" s="41"/>
      <c r="C120" s="9"/>
      <c r="D120" s="43"/>
      <c r="E120" s="42"/>
      <c r="F120" s="9"/>
    </row>
    <row r="121" customFormat="false" ht="21" hidden="false" customHeight="true" outlineLevel="0" collapsed="false">
      <c r="B121" s="41"/>
      <c r="C121" s="9"/>
      <c r="D121" s="43"/>
      <c r="E121" s="42"/>
      <c r="F121" s="9"/>
    </row>
    <row r="122" customFormat="false" ht="21" hidden="false" customHeight="true" outlineLevel="0" collapsed="false">
      <c r="B122" s="41"/>
      <c r="C122" s="9"/>
      <c r="D122" s="43"/>
      <c r="E122" s="42"/>
      <c r="F122" s="9"/>
    </row>
    <row r="123" customFormat="false" ht="21" hidden="false" customHeight="true" outlineLevel="0" collapsed="false">
      <c r="B123" s="41"/>
      <c r="C123" s="9"/>
      <c r="D123" s="43"/>
      <c r="E123" s="42"/>
      <c r="F123" s="9"/>
    </row>
    <row r="124" customFormat="false" ht="21" hidden="false" customHeight="true" outlineLevel="0" collapsed="false">
      <c r="B124" s="41"/>
      <c r="C124" s="9"/>
      <c r="D124" s="43"/>
      <c r="E124" s="42"/>
      <c r="F124" s="9"/>
    </row>
    <row r="125" customFormat="false" ht="21" hidden="false" customHeight="true" outlineLevel="0" collapsed="false">
      <c r="B125" s="41"/>
      <c r="C125" s="9"/>
      <c r="D125" s="43"/>
      <c r="E125" s="42"/>
      <c r="F125" s="9"/>
    </row>
    <row r="126" customFormat="false" ht="21" hidden="false" customHeight="true" outlineLevel="0" collapsed="false">
      <c r="B126" s="41"/>
      <c r="C126" s="9"/>
      <c r="D126" s="43"/>
      <c r="E126" s="42"/>
      <c r="F126" s="9"/>
    </row>
    <row r="127" customFormat="false" ht="21" hidden="false" customHeight="true" outlineLevel="0" collapsed="false">
      <c r="B127" s="41"/>
      <c r="C127" s="9"/>
      <c r="D127" s="43"/>
      <c r="E127" s="42"/>
      <c r="F127" s="9"/>
    </row>
    <row r="128" customFormat="false" ht="21" hidden="false" customHeight="true" outlineLevel="0" collapsed="false">
      <c r="B128" s="41"/>
      <c r="C128" s="9"/>
      <c r="D128" s="43"/>
      <c r="E128" s="42"/>
      <c r="F128" s="9"/>
    </row>
    <row r="129" customFormat="false" ht="21" hidden="false" customHeight="true" outlineLevel="0" collapsed="false">
      <c r="B129" s="41"/>
      <c r="C129" s="9"/>
      <c r="D129" s="43"/>
      <c r="E129" s="42"/>
      <c r="F129" s="9"/>
    </row>
    <row r="130" customFormat="false" ht="21" hidden="false" customHeight="true" outlineLevel="0" collapsed="false">
      <c r="B130" s="41"/>
      <c r="C130" s="9"/>
      <c r="D130" s="43"/>
      <c r="E130" s="42"/>
      <c r="F130" s="9"/>
    </row>
    <row r="131" customFormat="false" ht="21" hidden="false" customHeight="true" outlineLevel="0" collapsed="false">
      <c r="B131" s="41"/>
      <c r="C131" s="9"/>
      <c r="D131" s="43"/>
      <c r="E131" s="42"/>
      <c r="F131" s="9"/>
    </row>
    <row r="132" customFormat="false" ht="21" hidden="false" customHeight="true" outlineLevel="0" collapsed="false">
      <c r="B132" s="41"/>
      <c r="C132" s="9"/>
      <c r="D132" s="43"/>
      <c r="E132" s="42"/>
      <c r="F132" s="9"/>
    </row>
    <row r="133" customFormat="false" ht="21" hidden="false" customHeight="true" outlineLevel="0" collapsed="false">
      <c r="B133" s="41"/>
      <c r="C133" s="9"/>
      <c r="D133" s="43"/>
      <c r="E133" s="42"/>
      <c r="F133" s="9"/>
    </row>
    <row r="134" customFormat="false" ht="21" hidden="false" customHeight="true" outlineLevel="0" collapsed="false">
      <c r="B134" s="41"/>
      <c r="C134" s="9"/>
      <c r="D134" s="43"/>
      <c r="E134" s="42"/>
      <c r="F134" s="9"/>
    </row>
    <row r="135" customFormat="false" ht="21" hidden="false" customHeight="true" outlineLevel="0" collapsed="false">
      <c r="B135" s="41"/>
      <c r="C135" s="9"/>
      <c r="D135" s="43"/>
      <c r="E135" s="42"/>
      <c r="F135" s="9"/>
    </row>
    <row r="136" customFormat="false" ht="21" hidden="false" customHeight="true" outlineLevel="0" collapsed="false">
      <c r="B136" s="41"/>
      <c r="C136" s="9"/>
      <c r="D136" s="43"/>
      <c r="E136" s="42"/>
      <c r="F136" s="9"/>
    </row>
    <row r="137" customFormat="false" ht="21" hidden="false" customHeight="true" outlineLevel="0" collapsed="false">
      <c r="B137" s="41"/>
      <c r="C137" s="9"/>
      <c r="D137" s="43"/>
      <c r="E137" s="42"/>
      <c r="F137" s="9"/>
    </row>
    <row r="138" customFormat="false" ht="21" hidden="false" customHeight="true" outlineLevel="0" collapsed="false">
      <c r="B138" s="41"/>
      <c r="C138" s="9"/>
      <c r="D138" s="43"/>
      <c r="E138" s="42"/>
      <c r="F138" s="9"/>
    </row>
    <row r="139" customFormat="false" ht="21" hidden="false" customHeight="true" outlineLevel="0" collapsed="false">
      <c r="B139" s="41"/>
      <c r="C139" s="9"/>
      <c r="D139" s="43"/>
      <c r="E139" s="42"/>
      <c r="F139" s="9"/>
    </row>
    <row r="140" customFormat="false" ht="21" hidden="false" customHeight="true" outlineLevel="0" collapsed="false">
      <c r="B140" s="41"/>
      <c r="C140" s="9"/>
      <c r="D140" s="43"/>
      <c r="E140" s="42"/>
      <c r="F140" s="9"/>
    </row>
    <row r="141" customFormat="false" ht="21" hidden="false" customHeight="true" outlineLevel="0" collapsed="false">
      <c r="B141" s="41"/>
      <c r="C141" s="9"/>
      <c r="D141" s="43"/>
      <c r="E141" s="42"/>
      <c r="F141" s="9"/>
    </row>
    <row r="142" customFormat="false" ht="21" hidden="false" customHeight="true" outlineLevel="0" collapsed="false">
      <c r="B142" s="41"/>
      <c r="C142" s="9"/>
      <c r="D142" s="43"/>
      <c r="E142" s="42"/>
      <c r="F142" s="9"/>
    </row>
    <row r="143" customFormat="false" ht="21" hidden="false" customHeight="true" outlineLevel="0" collapsed="false">
      <c r="B143" s="41"/>
      <c r="C143" s="9"/>
      <c r="D143" s="43"/>
      <c r="E143" s="42"/>
      <c r="F143" s="9"/>
    </row>
    <row r="144" customFormat="false" ht="21" hidden="false" customHeight="true" outlineLevel="0" collapsed="false">
      <c r="B144" s="41"/>
      <c r="C144" s="9"/>
      <c r="D144" s="43"/>
      <c r="E144" s="42"/>
      <c r="F144" s="9"/>
    </row>
    <row r="145" customFormat="false" ht="21" hidden="false" customHeight="true" outlineLevel="0" collapsed="false">
      <c r="B145" s="41"/>
      <c r="C145" s="9"/>
      <c r="D145" s="43"/>
      <c r="E145" s="42"/>
      <c r="F145" s="9"/>
    </row>
    <row r="146" customFormat="false" ht="21" hidden="false" customHeight="true" outlineLevel="0" collapsed="false">
      <c r="B146" s="41"/>
      <c r="C146" s="9"/>
      <c r="D146" s="43"/>
      <c r="E146" s="42"/>
      <c r="F146" s="9"/>
    </row>
    <row r="147" customFormat="false" ht="21" hidden="false" customHeight="true" outlineLevel="0" collapsed="false">
      <c r="B147" s="41"/>
      <c r="C147" s="9"/>
      <c r="D147" s="43"/>
      <c r="E147" s="42"/>
      <c r="F147" s="9"/>
    </row>
    <row r="148" customFormat="false" ht="21" hidden="false" customHeight="true" outlineLevel="0" collapsed="false">
      <c r="B148" s="41"/>
      <c r="C148" s="9"/>
      <c r="D148" s="43"/>
      <c r="E148" s="42"/>
      <c r="F148" s="9"/>
    </row>
    <row r="149" customFormat="false" ht="21" hidden="false" customHeight="true" outlineLevel="0" collapsed="false">
      <c r="B149" s="41"/>
      <c r="C149" s="9"/>
      <c r="D149" s="43"/>
      <c r="E149" s="42"/>
      <c r="F149" s="9"/>
    </row>
    <row r="150" customFormat="false" ht="21" hidden="false" customHeight="true" outlineLevel="0" collapsed="false">
      <c r="B150" s="41"/>
      <c r="C150" s="9"/>
      <c r="D150" s="43"/>
      <c r="E150" s="42"/>
      <c r="F150" s="9"/>
    </row>
    <row r="151" customFormat="false" ht="21" hidden="false" customHeight="true" outlineLevel="0" collapsed="false">
      <c r="B151" s="41"/>
      <c r="C151" s="9"/>
      <c r="D151" s="43"/>
      <c r="E151" s="42"/>
      <c r="F151" s="9"/>
    </row>
    <row r="152" customFormat="false" ht="21" hidden="false" customHeight="true" outlineLevel="0" collapsed="false">
      <c r="B152" s="41"/>
      <c r="C152" s="9"/>
      <c r="D152" s="43"/>
      <c r="E152" s="42"/>
      <c r="F152" s="9"/>
    </row>
    <row r="153" customFormat="false" ht="21" hidden="false" customHeight="true" outlineLevel="0" collapsed="false">
      <c r="B153" s="41"/>
      <c r="C153" s="9"/>
      <c r="D153" s="43"/>
      <c r="E153" s="42"/>
      <c r="F153" s="9"/>
    </row>
    <row r="154" customFormat="false" ht="21" hidden="false" customHeight="true" outlineLevel="0" collapsed="false">
      <c r="B154" s="41"/>
      <c r="C154" s="9"/>
      <c r="D154" s="43"/>
      <c r="E154" s="42"/>
      <c r="F154" s="9"/>
    </row>
    <row r="155" customFormat="false" ht="21" hidden="false" customHeight="true" outlineLevel="0" collapsed="false">
      <c r="B155" s="41"/>
      <c r="C155" s="9"/>
      <c r="D155" s="43"/>
      <c r="E155" s="42"/>
      <c r="F155" s="9"/>
    </row>
    <row r="156" customFormat="false" ht="21" hidden="false" customHeight="true" outlineLevel="0" collapsed="false">
      <c r="B156" s="41"/>
      <c r="C156" s="9"/>
      <c r="D156" s="43"/>
      <c r="E156" s="42"/>
      <c r="F156" s="9"/>
    </row>
    <row r="157" customFormat="false" ht="21" hidden="false" customHeight="true" outlineLevel="0" collapsed="false">
      <c r="B157" s="41"/>
      <c r="C157" s="9"/>
      <c r="D157" s="43"/>
      <c r="E157" s="42"/>
      <c r="F157" s="9"/>
    </row>
    <row r="158" customFormat="false" ht="21" hidden="false" customHeight="true" outlineLevel="0" collapsed="false">
      <c r="B158" s="41"/>
      <c r="C158" s="9"/>
      <c r="D158" s="43"/>
      <c r="E158" s="42"/>
      <c r="F158" s="9"/>
    </row>
    <row r="159" customFormat="false" ht="21" hidden="false" customHeight="true" outlineLevel="0" collapsed="false">
      <c r="B159" s="41"/>
      <c r="C159" s="9"/>
      <c r="D159" s="43"/>
      <c r="E159" s="42"/>
      <c r="F159" s="9"/>
    </row>
    <row r="160" customFormat="false" ht="21" hidden="false" customHeight="true" outlineLevel="0" collapsed="false">
      <c r="B160" s="41"/>
      <c r="C160" s="9"/>
      <c r="D160" s="43"/>
      <c r="E160" s="42"/>
      <c r="F160" s="9"/>
    </row>
    <row r="161" customFormat="false" ht="21" hidden="false" customHeight="true" outlineLevel="0" collapsed="false">
      <c r="B161" s="41"/>
      <c r="C161" s="9"/>
      <c r="D161" s="43"/>
      <c r="E161" s="42"/>
      <c r="F161" s="9"/>
    </row>
    <row r="162" customFormat="false" ht="21" hidden="false" customHeight="true" outlineLevel="0" collapsed="false">
      <c r="B162" s="41"/>
      <c r="C162" s="9"/>
      <c r="D162" s="43"/>
      <c r="E162" s="42"/>
      <c r="F162" s="9"/>
    </row>
    <row r="163" customFormat="false" ht="21" hidden="false" customHeight="true" outlineLevel="0" collapsed="false">
      <c r="B163" s="41"/>
      <c r="C163" s="9"/>
      <c r="D163" s="43"/>
      <c r="E163" s="42"/>
      <c r="F163" s="9"/>
    </row>
    <row r="164" customFormat="false" ht="21" hidden="false" customHeight="true" outlineLevel="0" collapsed="false">
      <c r="B164" s="41"/>
      <c r="C164" s="9"/>
      <c r="D164" s="43"/>
      <c r="E164" s="42"/>
      <c r="F164" s="9"/>
    </row>
    <row r="165" customFormat="false" ht="21" hidden="false" customHeight="true" outlineLevel="0" collapsed="false">
      <c r="B165" s="41"/>
      <c r="C165" s="9"/>
      <c r="D165" s="43"/>
      <c r="E165" s="42"/>
      <c r="F165" s="9"/>
    </row>
    <row r="166" customFormat="false" ht="21" hidden="false" customHeight="true" outlineLevel="0" collapsed="false">
      <c r="B166" s="41"/>
      <c r="C166" s="9"/>
      <c r="D166" s="43"/>
      <c r="E166" s="42"/>
      <c r="F166" s="9"/>
    </row>
    <row r="167" customFormat="false" ht="21" hidden="false" customHeight="true" outlineLevel="0" collapsed="false">
      <c r="B167" s="41"/>
      <c r="C167" s="9"/>
      <c r="D167" s="43"/>
      <c r="E167" s="42"/>
      <c r="F167" s="9"/>
    </row>
    <row r="168" customFormat="false" ht="21" hidden="false" customHeight="true" outlineLevel="0" collapsed="false">
      <c r="B168" s="41"/>
      <c r="C168" s="9"/>
      <c r="D168" s="43"/>
      <c r="E168" s="42"/>
      <c r="F168" s="9"/>
    </row>
    <row r="169" customFormat="false" ht="21" hidden="false" customHeight="true" outlineLevel="0" collapsed="false">
      <c r="B169" s="41"/>
      <c r="C169" s="9"/>
      <c r="D169" s="43"/>
      <c r="E169" s="42"/>
      <c r="F169" s="9"/>
    </row>
    <row r="170" customFormat="false" ht="21" hidden="false" customHeight="true" outlineLevel="0" collapsed="false">
      <c r="B170" s="41"/>
      <c r="C170" s="9"/>
      <c r="D170" s="43"/>
      <c r="E170" s="42"/>
      <c r="F170" s="9"/>
    </row>
    <row r="171" customFormat="false" ht="21" hidden="false" customHeight="true" outlineLevel="0" collapsed="false">
      <c r="B171" s="41"/>
      <c r="C171" s="9"/>
      <c r="D171" s="43"/>
      <c r="E171" s="42"/>
      <c r="F171" s="9"/>
    </row>
    <row r="172" customFormat="false" ht="21" hidden="false" customHeight="true" outlineLevel="0" collapsed="false">
      <c r="B172" s="41"/>
      <c r="C172" s="9"/>
      <c r="D172" s="43"/>
      <c r="E172" s="42"/>
      <c r="F172" s="9"/>
    </row>
    <row r="173" customFormat="false" ht="21" hidden="false" customHeight="true" outlineLevel="0" collapsed="false">
      <c r="B173" s="41"/>
      <c r="C173" s="9"/>
      <c r="D173" s="43"/>
      <c r="E173" s="42"/>
      <c r="F173" s="9"/>
    </row>
    <row r="174" customFormat="false" ht="21" hidden="false" customHeight="true" outlineLevel="0" collapsed="false">
      <c r="B174" s="41"/>
      <c r="C174" s="9"/>
      <c r="D174" s="43"/>
      <c r="E174" s="42"/>
      <c r="F174" s="9"/>
    </row>
    <row r="175" customFormat="false" ht="21" hidden="false" customHeight="true" outlineLevel="0" collapsed="false">
      <c r="B175" s="41"/>
      <c r="C175" s="9"/>
      <c r="D175" s="43"/>
      <c r="E175" s="42"/>
      <c r="F175" s="9"/>
    </row>
    <row r="176" customFormat="false" ht="21" hidden="false" customHeight="true" outlineLevel="0" collapsed="false">
      <c r="B176" s="41"/>
      <c r="C176" s="9"/>
      <c r="D176" s="43"/>
      <c r="E176" s="42"/>
      <c r="F176" s="9"/>
    </row>
    <row r="177" customFormat="false" ht="21" hidden="false" customHeight="true" outlineLevel="0" collapsed="false">
      <c r="B177" s="41"/>
      <c r="C177" s="9"/>
      <c r="D177" s="43"/>
      <c r="E177" s="42"/>
      <c r="F177" s="9"/>
    </row>
    <row r="178" customFormat="false" ht="21" hidden="false" customHeight="true" outlineLevel="0" collapsed="false">
      <c r="B178" s="41"/>
      <c r="C178" s="9"/>
      <c r="D178" s="43"/>
      <c r="E178" s="42"/>
      <c r="F178" s="9"/>
    </row>
    <row r="179" customFormat="false" ht="21" hidden="false" customHeight="true" outlineLevel="0" collapsed="false">
      <c r="B179" s="41"/>
      <c r="C179" s="9"/>
      <c r="D179" s="43"/>
      <c r="E179" s="42"/>
      <c r="F179" s="9"/>
    </row>
    <row r="180" customFormat="false" ht="21" hidden="false" customHeight="true" outlineLevel="0" collapsed="false">
      <c r="B180" s="41"/>
      <c r="C180" s="9"/>
      <c r="D180" s="43"/>
      <c r="E180" s="42"/>
      <c r="F180" s="9"/>
    </row>
    <row r="181" customFormat="false" ht="21" hidden="false" customHeight="true" outlineLevel="0" collapsed="false">
      <c r="B181" s="41"/>
      <c r="C181" s="9"/>
      <c r="D181" s="43"/>
      <c r="E181" s="42"/>
      <c r="F181" s="9"/>
    </row>
    <row r="182" customFormat="false" ht="21" hidden="false" customHeight="true" outlineLevel="0" collapsed="false">
      <c r="B182" s="41"/>
      <c r="C182" s="9"/>
      <c r="D182" s="43"/>
      <c r="E182" s="42"/>
      <c r="F182" s="9"/>
    </row>
    <row r="183" customFormat="false" ht="21" hidden="false" customHeight="true" outlineLevel="0" collapsed="false">
      <c r="B183" s="41"/>
      <c r="C183" s="9"/>
      <c r="D183" s="43"/>
      <c r="E183" s="42"/>
      <c r="F183" s="9"/>
    </row>
    <row r="184" customFormat="false" ht="21" hidden="false" customHeight="true" outlineLevel="0" collapsed="false">
      <c r="B184" s="41"/>
      <c r="C184" s="9"/>
      <c r="D184" s="43"/>
      <c r="E184" s="42"/>
      <c r="F184" s="9"/>
    </row>
    <row r="185" customFormat="false" ht="21" hidden="false" customHeight="true" outlineLevel="0" collapsed="false">
      <c r="B185" s="41"/>
      <c r="C185" s="9"/>
      <c r="D185" s="43"/>
      <c r="E185" s="42"/>
      <c r="F185" s="9"/>
    </row>
    <row r="186" customFormat="false" ht="21" hidden="false" customHeight="true" outlineLevel="0" collapsed="false">
      <c r="B186" s="41"/>
      <c r="C186" s="9"/>
      <c r="D186" s="43"/>
      <c r="E186" s="42"/>
      <c r="F186" s="9"/>
    </row>
    <row r="187" customFormat="false" ht="21" hidden="false" customHeight="true" outlineLevel="0" collapsed="false">
      <c r="B187" s="41"/>
      <c r="C187" s="9"/>
      <c r="D187" s="43"/>
      <c r="E187" s="42"/>
      <c r="F187" s="9"/>
    </row>
    <row r="188" customFormat="false" ht="21" hidden="false" customHeight="true" outlineLevel="0" collapsed="false">
      <c r="B188" s="41"/>
      <c r="C188" s="9"/>
      <c r="D188" s="43"/>
      <c r="E188" s="42"/>
      <c r="F188" s="9"/>
    </row>
    <row r="189" customFormat="false" ht="21" hidden="false" customHeight="true" outlineLevel="0" collapsed="false">
      <c r="B189" s="41"/>
      <c r="C189" s="9"/>
      <c r="D189" s="43"/>
      <c r="E189" s="42"/>
      <c r="F189" s="9"/>
    </row>
    <row r="190" customFormat="false" ht="21" hidden="false" customHeight="true" outlineLevel="0" collapsed="false">
      <c r="B190" s="41"/>
      <c r="C190" s="9"/>
      <c r="D190" s="43"/>
      <c r="E190" s="42"/>
      <c r="F190" s="9"/>
    </row>
    <row r="191" customFormat="false" ht="21" hidden="false" customHeight="true" outlineLevel="0" collapsed="false">
      <c r="B191" s="41"/>
      <c r="C191" s="9"/>
      <c r="D191" s="43"/>
      <c r="E191" s="42"/>
      <c r="F191" s="9"/>
    </row>
    <row r="192" customFormat="false" ht="21" hidden="false" customHeight="true" outlineLevel="0" collapsed="false">
      <c r="B192" s="41"/>
      <c r="C192" s="9"/>
      <c r="D192" s="43"/>
      <c r="E192" s="42"/>
      <c r="F192" s="9"/>
    </row>
    <row r="193" customFormat="false" ht="21" hidden="false" customHeight="true" outlineLevel="0" collapsed="false">
      <c r="B193" s="41"/>
      <c r="C193" s="9"/>
      <c r="D193" s="43"/>
      <c r="E193" s="42"/>
      <c r="F193" s="9"/>
    </row>
    <row r="194" customFormat="false" ht="21" hidden="false" customHeight="true" outlineLevel="0" collapsed="false">
      <c r="B194" s="41"/>
      <c r="C194" s="9"/>
      <c r="D194" s="43"/>
      <c r="E194" s="42"/>
      <c r="F194" s="9"/>
    </row>
    <row r="195" customFormat="false" ht="21" hidden="false" customHeight="true" outlineLevel="0" collapsed="false">
      <c r="B195" s="41"/>
      <c r="C195" s="9"/>
      <c r="D195" s="43"/>
      <c r="E195" s="42"/>
      <c r="F195" s="9"/>
    </row>
    <row r="196" customFormat="false" ht="21" hidden="false" customHeight="true" outlineLevel="0" collapsed="false">
      <c r="B196" s="41"/>
      <c r="C196" s="9"/>
      <c r="D196" s="43"/>
      <c r="E196" s="42"/>
      <c r="F196" s="9"/>
    </row>
    <row r="197" customFormat="false" ht="21" hidden="false" customHeight="true" outlineLevel="0" collapsed="false">
      <c r="B197" s="41"/>
      <c r="C197" s="9"/>
      <c r="D197" s="43"/>
      <c r="E197" s="42"/>
      <c r="F197" s="9"/>
    </row>
    <row r="198" customFormat="false" ht="21" hidden="false" customHeight="true" outlineLevel="0" collapsed="false">
      <c r="B198" s="41"/>
      <c r="C198" s="9"/>
      <c r="D198" s="43"/>
      <c r="E198" s="42"/>
      <c r="F198" s="9"/>
    </row>
    <row r="199" customFormat="false" ht="21" hidden="false" customHeight="true" outlineLevel="0" collapsed="false">
      <c r="B199" s="41"/>
      <c r="C199" s="9"/>
      <c r="D199" s="43"/>
      <c r="E199" s="42"/>
      <c r="F199" s="9"/>
    </row>
    <row r="200" customFormat="false" ht="21" hidden="false" customHeight="true" outlineLevel="0" collapsed="false">
      <c r="B200" s="41"/>
      <c r="C200" s="9"/>
      <c r="D200" s="43"/>
      <c r="E200" s="42"/>
      <c r="F200" s="9"/>
    </row>
    <row r="201" customFormat="false" ht="21" hidden="false" customHeight="true" outlineLevel="0" collapsed="false">
      <c r="B201" s="41"/>
      <c r="C201" s="9"/>
      <c r="D201" s="43"/>
      <c r="E201" s="42"/>
      <c r="F201" s="9"/>
    </row>
    <row r="202" customFormat="false" ht="21" hidden="false" customHeight="true" outlineLevel="0" collapsed="false">
      <c r="B202" s="41"/>
      <c r="C202" s="9"/>
      <c r="D202" s="43"/>
      <c r="E202" s="42"/>
      <c r="F202" s="9"/>
    </row>
    <row r="203" customFormat="false" ht="21" hidden="false" customHeight="true" outlineLevel="0" collapsed="false">
      <c r="B203" s="41"/>
      <c r="C203" s="9"/>
      <c r="D203" s="43"/>
      <c r="E203" s="42"/>
      <c r="F203" s="9"/>
    </row>
    <row r="204" customFormat="false" ht="21" hidden="false" customHeight="true" outlineLevel="0" collapsed="false">
      <c r="B204" s="41"/>
      <c r="C204" s="9"/>
      <c r="D204" s="43"/>
      <c r="E204" s="42"/>
      <c r="F204" s="9"/>
    </row>
    <row r="205" customFormat="false" ht="21" hidden="false" customHeight="true" outlineLevel="0" collapsed="false">
      <c r="B205" s="41"/>
      <c r="C205" s="9"/>
      <c r="D205" s="43"/>
      <c r="E205" s="42"/>
      <c r="F205" s="9"/>
    </row>
    <row r="206" customFormat="false" ht="21" hidden="false" customHeight="true" outlineLevel="0" collapsed="false">
      <c r="B206" s="41"/>
      <c r="C206" s="9"/>
      <c r="D206" s="43"/>
      <c r="E206" s="42"/>
      <c r="F206" s="9"/>
    </row>
    <row r="207" customFormat="false" ht="21" hidden="false" customHeight="true" outlineLevel="0" collapsed="false">
      <c r="B207" s="41"/>
      <c r="C207" s="9"/>
      <c r="D207" s="43"/>
      <c r="E207" s="42"/>
      <c r="F207" s="9"/>
    </row>
    <row r="208" customFormat="false" ht="21" hidden="false" customHeight="true" outlineLevel="0" collapsed="false">
      <c r="B208" s="41"/>
      <c r="C208" s="9"/>
      <c r="D208" s="43"/>
      <c r="E208" s="42"/>
      <c r="F208" s="9"/>
    </row>
    <row r="209" customFormat="false" ht="21" hidden="false" customHeight="true" outlineLevel="0" collapsed="false">
      <c r="B209" s="41"/>
      <c r="C209" s="9"/>
      <c r="D209" s="43"/>
      <c r="E209" s="42"/>
      <c r="F209" s="9"/>
    </row>
    <row r="210" customFormat="false" ht="21" hidden="false" customHeight="true" outlineLevel="0" collapsed="false">
      <c r="B210" s="41"/>
      <c r="C210" s="9"/>
      <c r="D210" s="43"/>
      <c r="E210" s="42"/>
      <c r="F210" s="9"/>
    </row>
    <row r="211" customFormat="false" ht="21" hidden="false" customHeight="true" outlineLevel="0" collapsed="false">
      <c r="B211" s="41"/>
      <c r="C211" s="9"/>
      <c r="D211" s="43"/>
      <c r="E211" s="42"/>
      <c r="F211" s="9"/>
    </row>
    <row r="212" customFormat="false" ht="21" hidden="false" customHeight="true" outlineLevel="0" collapsed="false">
      <c r="B212" s="41"/>
      <c r="C212" s="9"/>
      <c r="D212" s="43"/>
      <c r="E212" s="42"/>
      <c r="F212" s="9"/>
    </row>
    <row r="213" customFormat="false" ht="21" hidden="false" customHeight="true" outlineLevel="0" collapsed="false">
      <c r="B213" s="41"/>
      <c r="C213" s="9"/>
      <c r="D213" s="43"/>
      <c r="E213" s="42"/>
      <c r="F213" s="9"/>
    </row>
    <row r="214" customFormat="false" ht="21" hidden="false" customHeight="true" outlineLevel="0" collapsed="false">
      <c r="B214" s="41"/>
      <c r="C214" s="9"/>
      <c r="D214" s="43"/>
      <c r="E214" s="42"/>
      <c r="F214" s="9"/>
    </row>
    <row r="215" customFormat="false" ht="21" hidden="false" customHeight="true" outlineLevel="0" collapsed="false">
      <c r="B215" s="41"/>
      <c r="C215" s="9"/>
      <c r="D215" s="43"/>
      <c r="E215" s="42"/>
      <c r="F215" s="9"/>
    </row>
    <row r="216" customFormat="false" ht="21" hidden="false" customHeight="true" outlineLevel="0" collapsed="false">
      <c r="B216" s="41"/>
      <c r="C216" s="9"/>
      <c r="D216" s="43"/>
      <c r="E216" s="42"/>
      <c r="F216" s="9"/>
    </row>
    <row r="217" customFormat="false" ht="21" hidden="false" customHeight="true" outlineLevel="0" collapsed="false">
      <c r="B217" s="41"/>
      <c r="C217" s="9"/>
      <c r="D217" s="43"/>
      <c r="E217" s="42"/>
      <c r="F217" s="9"/>
    </row>
    <row r="218" customFormat="false" ht="21" hidden="false" customHeight="true" outlineLevel="0" collapsed="false">
      <c r="B218" s="41"/>
      <c r="C218" s="9"/>
      <c r="D218" s="43"/>
      <c r="E218" s="42"/>
      <c r="F218" s="9"/>
    </row>
    <row r="219" customFormat="false" ht="21" hidden="false" customHeight="true" outlineLevel="0" collapsed="false">
      <c r="B219" s="41"/>
      <c r="C219" s="9"/>
      <c r="D219" s="43"/>
      <c r="E219" s="42"/>
      <c r="F219" s="9"/>
    </row>
    <row r="220" customFormat="false" ht="21" hidden="false" customHeight="true" outlineLevel="0" collapsed="false">
      <c r="B220" s="41"/>
      <c r="C220" s="9"/>
      <c r="D220" s="43"/>
      <c r="E220" s="42"/>
      <c r="F220" s="9"/>
    </row>
    <row r="221" customFormat="false" ht="21" hidden="false" customHeight="true" outlineLevel="0" collapsed="false">
      <c r="B221" s="41"/>
      <c r="C221" s="9"/>
      <c r="D221" s="43"/>
      <c r="E221" s="42"/>
      <c r="F221" s="9"/>
    </row>
    <row r="222" customFormat="false" ht="21" hidden="false" customHeight="true" outlineLevel="0" collapsed="false">
      <c r="B222" s="41"/>
      <c r="C222" s="9"/>
      <c r="D222" s="43"/>
      <c r="E222" s="42"/>
      <c r="F222" s="9"/>
    </row>
    <row r="223" customFormat="false" ht="21" hidden="false" customHeight="true" outlineLevel="0" collapsed="false">
      <c r="B223" s="41"/>
      <c r="C223" s="9"/>
      <c r="D223" s="43"/>
      <c r="E223" s="42"/>
      <c r="F223" s="9"/>
    </row>
    <row r="224" customFormat="false" ht="21" hidden="false" customHeight="true" outlineLevel="0" collapsed="false">
      <c r="B224" s="41"/>
      <c r="C224" s="9"/>
      <c r="D224" s="43"/>
      <c r="E224" s="42"/>
      <c r="F224" s="9"/>
    </row>
    <row r="225" customFormat="false" ht="21" hidden="false" customHeight="true" outlineLevel="0" collapsed="false">
      <c r="B225" s="41"/>
      <c r="C225" s="9"/>
      <c r="D225" s="43"/>
      <c r="E225" s="42"/>
      <c r="F225" s="9"/>
    </row>
    <row r="226" customFormat="false" ht="21" hidden="false" customHeight="true" outlineLevel="0" collapsed="false">
      <c r="B226" s="41"/>
      <c r="C226" s="9"/>
      <c r="D226" s="43"/>
      <c r="E226" s="42"/>
      <c r="F226" s="9"/>
    </row>
    <row r="227" customFormat="false" ht="21" hidden="false" customHeight="true" outlineLevel="0" collapsed="false">
      <c r="B227" s="41"/>
      <c r="C227" s="9"/>
      <c r="D227" s="43"/>
      <c r="E227" s="42"/>
      <c r="F227" s="9"/>
    </row>
    <row r="228" customFormat="false" ht="21" hidden="false" customHeight="true" outlineLevel="0" collapsed="false">
      <c r="B228" s="41"/>
      <c r="C228" s="9"/>
      <c r="D228" s="43"/>
      <c r="E228" s="42"/>
      <c r="F228" s="9"/>
    </row>
    <row r="229" customFormat="false" ht="21" hidden="false" customHeight="true" outlineLevel="0" collapsed="false">
      <c r="B229" s="41"/>
      <c r="C229" s="9"/>
      <c r="D229" s="43"/>
      <c r="E229" s="42"/>
      <c r="F229" s="9"/>
    </row>
    <row r="230" customFormat="false" ht="21" hidden="false" customHeight="true" outlineLevel="0" collapsed="false">
      <c r="B230" s="41"/>
      <c r="C230" s="9"/>
      <c r="D230" s="43"/>
      <c r="E230" s="42"/>
      <c r="F230" s="9"/>
    </row>
    <row r="231" customFormat="false" ht="21" hidden="false" customHeight="true" outlineLevel="0" collapsed="false">
      <c r="B231" s="41"/>
      <c r="C231" s="9"/>
      <c r="D231" s="43"/>
      <c r="E231" s="42"/>
      <c r="F231" s="9"/>
    </row>
    <row r="232" customFormat="false" ht="21" hidden="false" customHeight="true" outlineLevel="0" collapsed="false">
      <c r="B232" s="41"/>
      <c r="C232" s="9"/>
      <c r="D232" s="43"/>
      <c r="E232" s="42"/>
      <c r="F232" s="9"/>
    </row>
    <row r="233" customFormat="false" ht="21" hidden="false" customHeight="true" outlineLevel="0" collapsed="false">
      <c r="B233" s="41"/>
      <c r="C233" s="9"/>
      <c r="D233" s="43"/>
      <c r="E233" s="42"/>
      <c r="F233" s="9"/>
    </row>
    <row r="234" customFormat="false" ht="21" hidden="false" customHeight="true" outlineLevel="0" collapsed="false">
      <c r="B234" s="41"/>
      <c r="C234" s="9"/>
      <c r="D234" s="43"/>
      <c r="E234" s="42"/>
      <c r="F234" s="9"/>
    </row>
    <row r="235" customFormat="false" ht="21" hidden="false" customHeight="true" outlineLevel="0" collapsed="false">
      <c r="B235" s="41"/>
      <c r="C235" s="9"/>
      <c r="D235" s="43"/>
      <c r="E235" s="42"/>
      <c r="F235" s="9"/>
    </row>
    <row r="236" customFormat="false" ht="21" hidden="false" customHeight="true" outlineLevel="0" collapsed="false">
      <c r="B236" s="41"/>
      <c r="C236" s="9"/>
      <c r="D236" s="43"/>
      <c r="E236" s="42"/>
      <c r="F236" s="9"/>
    </row>
    <row r="237" customFormat="false" ht="21" hidden="false" customHeight="true" outlineLevel="0" collapsed="false">
      <c r="B237" s="41"/>
      <c r="C237" s="9"/>
      <c r="D237" s="43"/>
      <c r="E237" s="42"/>
      <c r="F237" s="9"/>
    </row>
    <row r="238" customFormat="false" ht="21" hidden="false" customHeight="true" outlineLevel="0" collapsed="false">
      <c r="B238" s="41"/>
      <c r="C238" s="9"/>
      <c r="D238" s="43"/>
      <c r="E238" s="42"/>
      <c r="F238" s="9"/>
    </row>
    <row r="239" customFormat="false" ht="21" hidden="false" customHeight="true" outlineLevel="0" collapsed="false">
      <c r="B239" s="41"/>
      <c r="C239" s="9"/>
      <c r="D239" s="43"/>
      <c r="E239" s="42"/>
      <c r="F239" s="9"/>
    </row>
    <row r="240" customFormat="false" ht="21" hidden="false" customHeight="true" outlineLevel="0" collapsed="false">
      <c r="B240" s="41"/>
      <c r="C240" s="9"/>
      <c r="D240" s="43"/>
      <c r="E240" s="42"/>
      <c r="F240" s="9"/>
    </row>
    <row r="241" customFormat="false" ht="21" hidden="false" customHeight="true" outlineLevel="0" collapsed="false">
      <c r="B241" s="41"/>
      <c r="C241" s="9"/>
      <c r="D241" s="43"/>
      <c r="E241" s="42"/>
      <c r="F241" s="9"/>
    </row>
    <row r="242" customFormat="false" ht="21" hidden="false" customHeight="true" outlineLevel="0" collapsed="false">
      <c r="B242" s="41"/>
      <c r="C242" s="9"/>
      <c r="D242" s="43"/>
      <c r="E242" s="42"/>
      <c r="F242" s="9"/>
    </row>
    <row r="243" customFormat="false" ht="21" hidden="false" customHeight="true" outlineLevel="0" collapsed="false">
      <c r="B243" s="41"/>
      <c r="C243" s="9"/>
      <c r="D243" s="43"/>
      <c r="E243" s="42"/>
      <c r="F243" s="9"/>
    </row>
    <row r="244" customFormat="false" ht="21" hidden="false" customHeight="true" outlineLevel="0" collapsed="false">
      <c r="B244" s="41"/>
      <c r="C244" s="9"/>
      <c r="D244" s="43"/>
      <c r="E244" s="42"/>
      <c r="F244" s="9"/>
    </row>
    <row r="245" customFormat="false" ht="21" hidden="false" customHeight="true" outlineLevel="0" collapsed="false">
      <c r="B245" s="41"/>
      <c r="C245" s="9"/>
      <c r="D245" s="43"/>
      <c r="E245" s="42"/>
      <c r="F245" s="9"/>
    </row>
    <row r="246" customFormat="false" ht="21" hidden="false" customHeight="true" outlineLevel="0" collapsed="false">
      <c r="B246" s="41"/>
      <c r="C246" s="9"/>
      <c r="D246" s="43"/>
      <c r="E246" s="42"/>
      <c r="F246" s="9"/>
    </row>
    <row r="247" customFormat="false" ht="21" hidden="false" customHeight="true" outlineLevel="0" collapsed="false">
      <c r="B247" s="41"/>
      <c r="C247" s="9"/>
      <c r="D247" s="43"/>
      <c r="E247" s="42"/>
      <c r="F247" s="9"/>
    </row>
    <row r="248" customFormat="false" ht="21" hidden="false" customHeight="true" outlineLevel="0" collapsed="false">
      <c r="B248" s="41"/>
      <c r="C248" s="9"/>
      <c r="D248" s="43"/>
      <c r="E248" s="42"/>
      <c r="F248" s="9"/>
    </row>
    <row r="249" customFormat="false" ht="21" hidden="false" customHeight="true" outlineLevel="0" collapsed="false">
      <c r="B249" s="41"/>
      <c r="C249" s="9"/>
      <c r="D249" s="43"/>
      <c r="E249" s="42"/>
      <c r="F249" s="9"/>
    </row>
    <row r="250" customFormat="false" ht="21" hidden="false" customHeight="true" outlineLevel="0" collapsed="false">
      <c r="B250" s="41"/>
      <c r="C250" s="9"/>
      <c r="D250" s="43"/>
      <c r="E250" s="42"/>
      <c r="F250" s="9"/>
    </row>
    <row r="251" customFormat="false" ht="21" hidden="false" customHeight="true" outlineLevel="0" collapsed="false">
      <c r="B251" s="41"/>
      <c r="C251" s="9"/>
      <c r="D251" s="43"/>
      <c r="E251" s="42"/>
      <c r="F251" s="9"/>
    </row>
    <row r="252" customFormat="false" ht="21" hidden="false" customHeight="true" outlineLevel="0" collapsed="false">
      <c r="B252" s="41"/>
      <c r="C252" s="9"/>
      <c r="D252" s="43"/>
      <c r="E252" s="42"/>
      <c r="F252" s="9"/>
    </row>
    <row r="253" customFormat="false" ht="21" hidden="false" customHeight="true" outlineLevel="0" collapsed="false">
      <c r="B253" s="41"/>
      <c r="C253" s="9"/>
      <c r="D253" s="43"/>
      <c r="E253" s="42"/>
      <c r="F253" s="9"/>
    </row>
    <row r="254" customFormat="false" ht="21" hidden="false" customHeight="true" outlineLevel="0" collapsed="false">
      <c r="B254" s="41"/>
      <c r="C254" s="9"/>
      <c r="D254" s="43"/>
      <c r="E254" s="42"/>
      <c r="F254" s="9"/>
    </row>
    <row r="255" customFormat="false" ht="21" hidden="false" customHeight="true" outlineLevel="0" collapsed="false">
      <c r="B255" s="41"/>
      <c r="C255" s="9"/>
      <c r="D255" s="43"/>
      <c r="E255" s="42"/>
      <c r="F255" s="9"/>
    </row>
    <row r="256" customFormat="false" ht="21" hidden="false" customHeight="true" outlineLevel="0" collapsed="false">
      <c r="B256" s="41"/>
      <c r="C256" s="9"/>
      <c r="D256" s="43"/>
      <c r="E256" s="42"/>
      <c r="F256" s="9"/>
    </row>
    <row r="257" customFormat="false" ht="21" hidden="false" customHeight="true" outlineLevel="0" collapsed="false">
      <c r="B257" s="41"/>
      <c r="C257" s="9"/>
      <c r="D257" s="43"/>
      <c r="E257" s="42"/>
      <c r="F257" s="9"/>
    </row>
    <row r="258" customFormat="false" ht="21" hidden="false" customHeight="true" outlineLevel="0" collapsed="false">
      <c r="B258" s="41"/>
      <c r="C258" s="9"/>
      <c r="D258" s="43"/>
      <c r="E258" s="42"/>
      <c r="F258" s="9"/>
    </row>
    <row r="259" customFormat="false" ht="21" hidden="false" customHeight="true" outlineLevel="0" collapsed="false">
      <c r="B259" s="41"/>
      <c r="C259" s="9"/>
      <c r="D259" s="43"/>
      <c r="E259" s="42"/>
      <c r="F259" s="9"/>
    </row>
    <row r="260" customFormat="false" ht="21" hidden="false" customHeight="true" outlineLevel="0" collapsed="false">
      <c r="B260" s="41"/>
      <c r="C260" s="9"/>
      <c r="D260" s="43"/>
      <c r="E260" s="42"/>
      <c r="F260" s="9"/>
    </row>
    <row r="261" customFormat="false" ht="21" hidden="false" customHeight="true" outlineLevel="0" collapsed="false">
      <c r="B261" s="41"/>
      <c r="C261" s="9"/>
      <c r="D261" s="43"/>
      <c r="E261" s="42"/>
      <c r="F261" s="9"/>
    </row>
    <row r="262" customFormat="false" ht="21" hidden="false" customHeight="true" outlineLevel="0" collapsed="false">
      <c r="B262" s="41"/>
      <c r="C262" s="9"/>
      <c r="D262" s="43"/>
      <c r="E262" s="42"/>
      <c r="F262" s="9"/>
    </row>
    <row r="263" customFormat="false" ht="21" hidden="false" customHeight="true" outlineLevel="0" collapsed="false">
      <c r="B263" s="41"/>
      <c r="C263" s="9"/>
      <c r="D263" s="43"/>
      <c r="E263" s="42"/>
      <c r="F263" s="9"/>
    </row>
    <row r="264" customFormat="false" ht="21" hidden="false" customHeight="true" outlineLevel="0" collapsed="false">
      <c r="B264" s="41"/>
      <c r="C264" s="9"/>
      <c r="D264" s="43"/>
      <c r="E264" s="42"/>
      <c r="F264" s="9"/>
    </row>
    <row r="265" customFormat="false" ht="21" hidden="false" customHeight="true" outlineLevel="0" collapsed="false">
      <c r="B265" s="41"/>
      <c r="C265" s="9"/>
      <c r="D265" s="43"/>
      <c r="E265" s="42"/>
      <c r="F265" s="9"/>
    </row>
    <row r="266" customFormat="false" ht="21" hidden="false" customHeight="true" outlineLevel="0" collapsed="false">
      <c r="B266" s="41"/>
      <c r="C266" s="9"/>
      <c r="D266" s="43"/>
      <c r="E266" s="42"/>
      <c r="F266" s="9"/>
    </row>
    <row r="267" customFormat="false" ht="21" hidden="false" customHeight="true" outlineLevel="0" collapsed="false">
      <c r="B267" s="41"/>
      <c r="C267" s="9"/>
      <c r="D267" s="43"/>
      <c r="E267" s="42"/>
      <c r="F267" s="9"/>
    </row>
    <row r="268" customFormat="false" ht="21" hidden="false" customHeight="true" outlineLevel="0" collapsed="false">
      <c r="B268" s="41"/>
      <c r="C268" s="9"/>
      <c r="D268" s="43"/>
      <c r="E268" s="42"/>
      <c r="F268" s="9"/>
    </row>
    <row r="269" customFormat="false" ht="21" hidden="false" customHeight="true" outlineLevel="0" collapsed="false">
      <c r="B269" s="41"/>
      <c r="C269" s="9"/>
      <c r="D269" s="43"/>
      <c r="E269" s="42"/>
      <c r="F269" s="9"/>
    </row>
    <row r="270" customFormat="false" ht="21" hidden="false" customHeight="true" outlineLevel="0" collapsed="false">
      <c r="B270" s="41"/>
      <c r="C270" s="9"/>
      <c r="D270" s="43"/>
      <c r="E270" s="42"/>
      <c r="F270" s="9"/>
    </row>
    <row r="271" customFormat="false" ht="21" hidden="false" customHeight="true" outlineLevel="0" collapsed="false">
      <c r="B271" s="41"/>
      <c r="C271" s="9"/>
      <c r="D271" s="43"/>
      <c r="E271" s="42"/>
      <c r="F271" s="9"/>
    </row>
    <row r="272" customFormat="false" ht="21" hidden="false" customHeight="true" outlineLevel="0" collapsed="false">
      <c r="B272" s="41"/>
      <c r="C272" s="9"/>
      <c r="D272" s="43"/>
      <c r="E272" s="42"/>
      <c r="F272" s="9"/>
    </row>
    <row r="273" customFormat="false" ht="21" hidden="false" customHeight="true" outlineLevel="0" collapsed="false">
      <c r="B273" s="41"/>
      <c r="C273" s="9"/>
      <c r="D273" s="43"/>
      <c r="E273" s="42"/>
      <c r="F273" s="9"/>
    </row>
    <row r="274" customFormat="false" ht="21" hidden="false" customHeight="true" outlineLevel="0" collapsed="false">
      <c r="B274" s="41"/>
      <c r="C274" s="9"/>
      <c r="D274" s="43"/>
      <c r="E274" s="42"/>
      <c r="F274" s="9"/>
    </row>
    <row r="275" customFormat="false" ht="21" hidden="false" customHeight="true" outlineLevel="0" collapsed="false">
      <c r="B275" s="41"/>
      <c r="C275" s="9"/>
      <c r="D275" s="43"/>
      <c r="E275" s="42"/>
      <c r="F275" s="9"/>
    </row>
    <row r="276" customFormat="false" ht="21" hidden="false" customHeight="true" outlineLevel="0" collapsed="false">
      <c r="B276" s="41"/>
      <c r="C276" s="9"/>
      <c r="D276" s="43"/>
      <c r="E276" s="42"/>
      <c r="F276" s="9"/>
    </row>
    <row r="277" customFormat="false" ht="21" hidden="false" customHeight="true" outlineLevel="0" collapsed="false">
      <c r="B277" s="41"/>
      <c r="C277" s="9"/>
      <c r="D277" s="43"/>
      <c r="E277" s="42"/>
      <c r="F277" s="9"/>
    </row>
    <row r="278" customFormat="false" ht="21" hidden="false" customHeight="true" outlineLevel="0" collapsed="false">
      <c r="B278" s="41"/>
      <c r="C278" s="9"/>
      <c r="D278" s="43"/>
      <c r="E278" s="42"/>
      <c r="F278" s="9"/>
    </row>
    <row r="279" customFormat="false" ht="21" hidden="false" customHeight="true" outlineLevel="0" collapsed="false">
      <c r="B279" s="41"/>
      <c r="C279" s="9"/>
      <c r="D279" s="43"/>
      <c r="E279" s="42"/>
      <c r="F279" s="9"/>
    </row>
    <row r="280" customFormat="false" ht="21" hidden="false" customHeight="true" outlineLevel="0" collapsed="false">
      <c r="B280" s="41"/>
      <c r="C280" s="9"/>
      <c r="D280" s="43"/>
      <c r="E280" s="42"/>
      <c r="F280" s="9"/>
    </row>
    <row r="281" customFormat="false" ht="21" hidden="false" customHeight="true" outlineLevel="0" collapsed="false">
      <c r="B281" s="41"/>
      <c r="C281" s="9"/>
      <c r="D281" s="43"/>
      <c r="E281" s="42"/>
      <c r="F281" s="9"/>
    </row>
    <row r="282" customFormat="false" ht="21" hidden="false" customHeight="true" outlineLevel="0" collapsed="false">
      <c r="B282" s="41"/>
      <c r="C282" s="9"/>
      <c r="D282" s="43"/>
      <c r="E282" s="42"/>
      <c r="F282" s="9"/>
    </row>
    <row r="283" customFormat="false" ht="21" hidden="false" customHeight="true" outlineLevel="0" collapsed="false">
      <c r="B283" s="41"/>
      <c r="C283" s="9"/>
      <c r="D283" s="43"/>
      <c r="E283" s="42"/>
      <c r="F283" s="9"/>
    </row>
    <row r="284" customFormat="false" ht="21" hidden="false" customHeight="true" outlineLevel="0" collapsed="false">
      <c r="B284" s="41"/>
      <c r="C284" s="9"/>
      <c r="D284" s="43"/>
      <c r="E284" s="42"/>
      <c r="F284" s="9"/>
    </row>
    <row r="285" customFormat="false" ht="21" hidden="false" customHeight="true" outlineLevel="0" collapsed="false">
      <c r="B285" s="41"/>
      <c r="C285" s="9"/>
      <c r="D285" s="43"/>
      <c r="E285" s="42"/>
      <c r="F285" s="9"/>
    </row>
    <row r="286" customFormat="false" ht="21" hidden="false" customHeight="true" outlineLevel="0" collapsed="false">
      <c r="B286" s="41"/>
      <c r="C286" s="9"/>
      <c r="D286" s="43"/>
      <c r="E286" s="42"/>
      <c r="F286" s="9"/>
    </row>
    <row r="287" customFormat="false" ht="21" hidden="false" customHeight="true" outlineLevel="0" collapsed="false">
      <c r="B287" s="41"/>
      <c r="C287" s="9"/>
      <c r="D287" s="43"/>
      <c r="E287" s="42"/>
      <c r="F287" s="9"/>
    </row>
    <row r="288" customFormat="false" ht="21" hidden="false" customHeight="true" outlineLevel="0" collapsed="false">
      <c r="B288" s="41"/>
      <c r="C288" s="9"/>
      <c r="D288" s="43"/>
      <c r="E288" s="42"/>
      <c r="F288" s="9"/>
    </row>
    <row r="289" customFormat="false" ht="21" hidden="false" customHeight="true" outlineLevel="0" collapsed="false">
      <c r="B289" s="41"/>
      <c r="C289" s="9"/>
      <c r="D289" s="43"/>
      <c r="E289" s="42"/>
      <c r="F289" s="9"/>
    </row>
    <row r="290" customFormat="false" ht="21" hidden="false" customHeight="true" outlineLevel="0" collapsed="false">
      <c r="B290" s="41"/>
      <c r="C290" s="9"/>
      <c r="D290" s="43"/>
      <c r="E290" s="42"/>
      <c r="F290" s="9"/>
    </row>
    <row r="291" customFormat="false" ht="21" hidden="false" customHeight="true" outlineLevel="0" collapsed="false">
      <c r="B291" s="41"/>
      <c r="C291" s="9"/>
      <c r="D291" s="43"/>
      <c r="E291" s="42"/>
      <c r="F291" s="9"/>
    </row>
    <row r="292" customFormat="false" ht="21" hidden="false" customHeight="true" outlineLevel="0" collapsed="false">
      <c r="B292" s="41"/>
      <c r="C292" s="9"/>
      <c r="D292" s="43"/>
      <c r="E292" s="42"/>
      <c r="F292" s="9"/>
    </row>
    <row r="293" customFormat="false" ht="21" hidden="false" customHeight="true" outlineLevel="0" collapsed="false">
      <c r="B293" s="41"/>
      <c r="C293" s="9"/>
      <c r="D293" s="43"/>
      <c r="E293" s="42"/>
      <c r="F293" s="9"/>
    </row>
    <row r="294" customFormat="false" ht="21" hidden="false" customHeight="true" outlineLevel="0" collapsed="false">
      <c r="B294" s="41"/>
      <c r="C294" s="9"/>
      <c r="D294" s="43"/>
      <c r="E294" s="42"/>
      <c r="F294" s="9"/>
    </row>
    <row r="295" customFormat="false" ht="21" hidden="false" customHeight="true" outlineLevel="0" collapsed="false">
      <c r="B295" s="41"/>
      <c r="C295" s="9"/>
      <c r="D295" s="43"/>
      <c r="E295" s="42"/>
      <c r="F295" s="9"/>
    </row>
    <row r="296" customFormat="false" ht="21" hidden="false" customHeight="true" outlineLevel="0" collapsed="false">
      <c r="B296" s="41"/>
      <c r="C296" s="9"/>
      <c r="D296" s="43"/>
      <c r="E296" s="42"/>
      <c r="F296" s="9"/>
    </row>
    <row r="297" customFormat="false" ht="21" hidden="false" customHeight="true" outlineLevel="0" collapsed="false">
      <c r="B297" s="41"/>
      <c r="C297" s="9"/>
      <c r="D297" s="43"/>
      <c r="E297" s="42"/>
      <c r="F297" s="9"/>
    </row>
    <row r="298" customFormat="false" ht="21" hidden="false" customHeight="true" outlineLevel="0" collapsed="false">
      <c r="B298" s="41"/>
      <c r="C298" s="9"/>
      <c r="D298" s="43"/>
      <c r="E298" s="42"/>
      <c r="F298" s="9"/>
    </row>
    <row r="299" customFormat="false" ht="21" hidden="false" customHeight="true" outlineLevel="0" collapsed="false">
      <c r="B299" s="41"/>
      <c r="C299" s="9"/>
      <c r="D299" s="43"/>
      <c r="E299" s="42"/>
      <c r="F299" s="9"/>
    </row>
    <row r="300" customFormat="false" ht="21" hidden="false" customHeight="true" outlineLevel="0" collapsed="false">
      <c r="B300" s="41"/>
      <c r="C300" s="9"/>
      <c r="D300" s="43"/>
      <c r="E300" s="42"/>
      <c r="F300" s="9"/>
    </row>
    <row r="301" customFormat="false" ht="21" hidden="false" customHeight="true" outlineLevel="0" collapsed="false">
      <c r="B301" s="41"/>
      <c r="C301" s="9"/>
      <c r="D301" s="43"/>
      <c r="E301" s="42"/>
      <c r="F301" s="9"/>
    </row>
    <row r="302" customFormat="false" ht="21" hidden="false" customHeight="true" outlineLevel="0" collapsed="false">
      <c r="B302" s="41"/>
      <c r="C302" s="9"/>
      <c r="D302" s="43"/>
      <c r="E302" s="42"/>
      <c r="F302" s="9"/>
    </row>
    <row r="303" customFormat="false" ht="21" hidden="false" customHeight="true" outlineLevel="0" collapsed="false">
      <c r="B303" s="41"/>
      <c r="C303" s="9"/>
      <c r="D303" s="43"/>
      <c r="E303" s="42"/>
      <c r="F303" s="9"/>
    </row>
    <row r="304" customFormat="false" ht="21" hidden="false" customHeight="true" outlineLevel="0" collapsed="false">
      <c r="B304" s="41"/>
      <c r="C304" s="9"/>
      <c r="D304" s="43"/>
      <c r="E304" s="42"/>
      <c r="F304" s="9"/>
    </row>
    <row r="305" customFormat="false" ht="21" hidden="false" customHeight="true" outlineLevel="0" collapsed="false">
      <c r="B305" s="41"/>
      <c r="C305" s="9"/>
      <c r="D305" s="43"/>
      <c r="E305" s="42"/>
      <c r="F305" s="9"/>
    </row>
    <row r="306" customFormat="false" ht="21" hidden="false" customHeight="true" outlineLevel="0" collapsed="false">
      <c r="B306" s="41"/>
      <c r="C306" s="9"/>
      <c r="D306" s="43"/>
      <c r="E306" s="42"/>
      <c r="F306" s="9"/>
    </row>
    <row r="307" customFormat="false" ht="21" hidden="false" customHeight="true" outlineLevel="0" collapsed="false">
      <c r="B307" s="41"/>
      <c r="C307" s="9"/>
      <c r="D307" s="43"/>
      <c r="E307" s="42"/>
      <c r="F307" s="9"/>
    </row>
    <row r="308" customFormat="false" ht="21" hidden="false" customHeight="true" outlineLevel="0" collapsed="false">
      <c r="B308" s="41"/>
      <c r="C308" s="9"/>
      <c r="D308" s="43"/>
      <c r="E308" s="42"/>
      <c r="F308" s="9"/>
    </row>
    <row r="309" customFormat="false" ht="21" hidden="false" customHeight="true" outlineLevel="0" collapsed="false">
      <c r="B309" s="41"/>
      <c r="C309" s="9"/>
      <c r="D309" s="43"/>
      <c r="E309" s="42"/>
      <c r="F309" s="9"/>
    </row>
    <row r="310" customFormat="false" ht="21" hidden="false" customHeight="true" outlineLevel="0" collapsed="false">
      <c r="B310" s="41"/>
      <c r="C310" s="9"/>
      <c r="D310" s="43"/>
      <c r="E310" s="42"/>
      <c r="F310" s="9"/>
    </row>
    <row r="311" customFormat="false" ht="21" hidden="false" customHeight="true" outlineLevel="0" collapsed="false">
      <c r="B311" s="41"/>
      <c r="C311" s="9"/>
      <c r="D311" s="43"/>
      <c r="E311" s="42"/>
      <c r="F311" s="9"/>
    </row>
    <row r="312" customFormat="false" ht="21" hidden="false" customHeight="true" outlineLevel="0" collapsed="false">
      <c r="B312" s="41"/>
      <c r="C312" s="9"/>
      <c r="D312" s="43"/>
      <c r="E312" s="42"/>
      <c r="F312" s="9"/>
    </row>
    <row r="313" customFormat="false" ht="21" hidden="false" customHeight="true" outlineLevel="0" collapsed="false">
      <c r="B313" s="41"/>
      <c r="C313" s="9"/>
      <c r="D313" s="43"/>
      <c r="E313" s="42"/>
      <c r="F313" s="9"/>
    </row>
    <row r="314" customFormat="false" ht="21" hidden="false" customHeight="true" outlineLevel="0" collapsed="false">
      <c r="B314" s="41"/>
      <c r="C314" s="9"/>
      <c r="D314" s="43"/>
      <c r="E314" s="42"/>
      <c r="F314" s="9"/>
    </row>
    <row r="315" customFormat="false" ht="21" hidden="false" customHeight="true" outlineLevel="0" collapsed="false">
      <c r="B315" s="41"/>
      <c r="C315" s="9"/>
      <c r="D315" s="43"/>
      <c r="E315" s="42"/>
      <c r="F315" s="9"/>
    </row>
    <row r="316" customFormat="false" ht="21" hidden="false" customHeight="true" outlineLevel="0" collapsed="false">
      <c r="B316" s="41"/>
      <c r="C316" s="9"/>
      <c r="D316" s="43"/>
      <c r="E316" s="42"/>
      <c r="F316" s="9"/>
    </row>
    <row r="317" customFormat="false" ht="21" hidden="false" customHeight="true" outlineLevel="0" collapsed="false">
      <c r="B317" s="41"/>
      <c r="C317" s="9"/>
      <c r="D317" s="43"/>
      <c r="E317" s="42"/>
      <c r="F317" s="9"/>
    </row>
    <row r="318" customFormat="false" ht="21" hidden="false" customHeight="true" outlineLevel="0" collapsed="false">
      <c r="B318" s="41"/>
      <c r="C318" s="9"/>
      <c r="D318" s="43"/>
      <c r="E318" s="42"/>
      <c r="F318" s="9"/>
    </row>
    <row r="319" customFormat="false" ht="21" hidden="false" customHeight="true" outlineLevel="0" collapsed="false">
      <c r="B319" s="41"/>
      <c r="C319" s="9"/>
      <c r="D319" s="43"/>
      <c r="E319" s="42"/>
      <c r="F319" s="9"/>
    </row>
    <row r="320" customFormat="false" ht="21" hidden="false" customHeight="true" outlineLevel="0" collapsed="false">
      <c r="B320" s="41"/>
      <c r="C320" s="9"/>
      <c r="D320" s="43"/>
      <c r="E320" s="42"/>
      <c r="F320" s="9"/>
    </row>
    <row r="321" customFormat="false" ht="21" hidden="false" customHeight="true" outlineLevel="0" collapsed="false">
      <c r="B321" s="41"/>
      <c r="C321" s="9"/>
      <c r="D321" s="43"/>
      <c r="E321" s="42"/>
      <c r="F321" s="9"/>
    </row>
    <row r="322" customFormat="false" ht="21" hidden="false" customHeight="true" outlineLevel="0" collapsed="false">
      <c r="B322" s="41"/>
      <c r="C322" s="9"/>
      <c r="D322" s="43"/>
      <c r="E322" s="42"/>
      <c r="F322" s="9"/>
    </row>
    <row r="323" customFormat="false" ht="21" hidden="false" customHeight="true" outlineLevel="0" collapsed="false">
      <c r="B323" s="41"/>
      <c r="C323" s="9"/>
      <c r="D323" s="43"/>
      <c r="E323" s="42"/>
      <c r="F323" s="9"/>
    </row>
    <row r="324" customFormat="false" ht="21" hidden="false" customHeight="true" outlineLevel="0" collapsed="false">
      <c r="B324" s="41"/>
      <c r="C324" s="9"/>
      <c r="D324" s="43"/>
      <c r="E324" s="42"/>
      <c r="F324" s="9"/>
    </row>
    <row r="325" customFormat="false" ht="21" hidden="false" customHeight="true" outlineLevel="0" collapsed="false">
      <c r="B325" s="41"/>
      <c r="C325" s="9"/>
      <c r="D325" s="43"/>
      <c r="E325" s="42"/>
      <c r="F325" s="9"/>
    </row>
    <row r="326" customFormat="false" ht="21" hidden="false" customHeight="true" outlineLevel="0" collapsed="false">
      <c r="B326" s="41"/>
      <c r="C326" s="9"/>
      <c r="D326" s="43"/>
      <c r="E326" s="42"/>
      <c r="F326" s="9"/>
    </row>
    <row r="327" customFormat="false" ht="21" hidden="false" customHeight="true" outlineLevel="0" collapsed="false">
      <c r="B327" s="41"/>
      <c r="C327" s="9"/>
      <c r="D327" s="43"/>
      <c r="E327" s="42"/>
      <c r="F327" s="9"/>
    </row>
    <row r="328" customFormat="false" ht="21" hidden="false" customHeight="true" outlineLevel="0" collapsed="false">
      <c r="B328" s="41"/>
      <c r="C328" s="9"/>
      <c r="D328" s="43"/>
      <c r="E328" s="42"/>
      <c r="F328" s="9"/>
    </row>
    <row r="329" customFormat="false" ht="21" hidden="false" customHeight="true" outlineLevel="0" collapsed="false">
      <c r="B329" s="41"/>
      <c r="C329" s="9"/>
      <c r="D329" s="43"/>
      <c r="E329" s="42"/>
      <c r="F329" s="9"/>
    </row>
    <row r="330" customFormat="false" ht="21" hidden="false" customHeight="true" outlineLevel="0" collapsed="false">
      <c r="B330" s="41"/>
      <c r="C330" s="9"/>
      <c r="D330" s="43"/>
      <c r="E330" s="42"/>
      <c r="F330" s="9"/>
    </row>
    <row r="331" customFormat="false" ht="21" hidden="false" customHeight="true" outlineLevel="0" collapsed="false">
      <c r="B331" s="41"/>
      <c r="C331" s="9"/>
      <c r="D331" s="43"/>
      <c r="E331" s="42"/>
      <c r="F331" s="9"/>
    </row>
    <row r="332" customFormat="false" ht="21" hidden="false" customHeight="true" outlineLevel="0" collapsed="false">
      <c r="B332" s="41"/>
      <c r="C332" s="9"/>
      <c r="D332" s="43"/>
      <c r="E332" s="42"/>
      <c r="F332" s="9"/>
    </row>
    <row r="333" customFormat="false" ht="21" hidden="false" customHeight="true" outlineLevel="0" collapsed="false">
      <c r="B333" s="41"/>
      <c r="C333" s="9"/>
      <c r="D333" s="43"/>
      <c r="E333" s="42"/>
      <c r="F333" s="9"/>
    </row>
    <row r="334" customFormat="false" ht="21" hidden="false" customHeight="true" outlineLevel="0" collapsed="false">
      <c r="B334" s="41"/>
      <c r="C334" s="9"/>
      <c r="D334" s="43"/>
      <c r="E334" s="42"/>
      <c r="F334" s="9"/>
    </row>
    <row r="335" customFormat="false" ht="21" hidden="false" customHeight="true" outlineLevel="0" collapsed="false">
      <c r="B335" s="41"/>
      <c r="C335" s="9"/>
      <c r="D335" s="43"/>
      <c r="E335" s="42"/>
      <c r="F335" s="9"/>
    </row>
    <row r="336" customFormat="false" ht="21" hidden="false" customHeight="true" outlineLevel="0" collapsed="false">
      <c r="B336" s="41"/>
      <c r="C336" s="9"/>
      <c r="D336" s="43"/>
      <c r="E336" s="42"/>
      <c r="F336" s="9"/>
    </row>
    <row r="337" customFormat="false" ht="21" hidden="false" customHeight="true" outlineLevel="0" collapsed="false">
      <c r="B337" s="41"/>
      <c r="C337" s="9"/>
      <c r="D337" s="43"/>
      <c r="E337" s="42"/>
      <c r="F337" s="9"/>
    </row>
    <row r="338" customFormat="false" ht="21" hidden="false" customHeight="true" outlineLevel="0" collapsed="false">
      <c r="B338" s="41"/>
      <c r="C338" s="9"/>
      <c r="D338" s="43"/>
      <c r="E338" s="42"/>
      <c r="F338" s="9"/>
    </row>
    <row r="339" customFormat="false" ht="21" hidden="false" customHeight="true" outlineLevel="0" collapsed="false">
      <c r="B339" s="41"/>
      <c r="C339" s="9"/>
      <c r="D339" s="43"/>
      <c r="E339" s="42"/>
      <c r="F339" s="9"/>
    </row>
    <row r="340" customFormat="false" ht="21" hidden="false" customHeight="true" outlineLevel="0" collapsed="false">
      <c r="B340" s="41"/>
      <c r="C340" s="9"/>
      <c r="D340" s="43"/>
      <c r="E340" s="42"/>
      <c r="F340" s="9"/>
    </row>
    <row r="341" customFormat="false" ht="21" hidden="false" customHeight="true" outlineLevel="0" collapsed="false">
      <c r="B341" s="41"/>
      <c r="C341" s="9"/>
      <c r="D341" s="43"/>
      <c r="E341" s="42"/>
      <c r="F341" s="9"/>
    </row>
    <row r="342" customFormat="false" ht="21" hidden="false" customHeight="true" outlineLevel="0" collapsed="false">
      <c r="B342" s="41"/>
      <c r="C342" s="9"/>
      <c r="D342" s="43"/>
      <c r="E342" s="42"/>
      <c r="F342" s="9"/>
    </row>
    <row r="343" customFormat="false" ht="21" hidden="false" customHeight="true" outlineLevel="0" collapsed="false">
      <c r="B343" s="41"/>
      <c r="C343" s="9"/>
      <c r="D343" s="43"/>
      <c r="E343" s="42"/>
      <c r="F343" s="9"/>
    </row>
    <row r="344" customFormat="false" ht="21" hidden="false" customHeight="true" outlineLevel="0" collapsed="false">
      <c r="B344" s="41"/>
      <c r="C344" s="9"/>
      <c r="D344" s="43"/>
      <c r="E344" s="42"/>
      <c r="F344" s="9"/>
    </row>
    <row r="345" customFormat="false" ht="21" hidden="false" customHeight="true" outlineLevel="0" collapsed="false">
      <c r="B345" s="41"/>
      <c r="C345" s="9"/>
      <c r="D345" s="43"/>
      <c r="E345" s="42"/>
      <c r="F345" s="9"/>
    </row>
    <row r="346" customFormat="false" ht="21" hidden="false" customHeight="true" outlineLevel="0" collapsed="false">
      <c r="B346" s="41"/>
      <c r="C346" s="9"/>
      <c r="D346" s="43"/>
      <c r="E346" s="42"/>
      <c r="F346" s="9"/>
    </row>
    <row r="347" customFormat="false" ht="21" hidden="false" customHeight="true" outlineLevel="0" collapsed="false">
      <c r="B347" s="41"/>
      <c r="C347" s="9"/>
      <c r="D347" s="43"/>
      <c r="E347" s="42"/>
      <c r="F347" s="9"/>
    </row>
    <row r="348" customFormat="false" ht="21" hidden="false" customHeight="true" outlineLevel="0" collapsed="false">
      <c r="B348" s="41"/>
      <c r="C348" s="9"/>
      <c r="D348" s="43"/>
      <c r="E348" s="42"/>
      <c r="F348" s="9"/>
    </row>
    <row r="349" customFormat="false" ht="21" hidden="false" customHeight="true" outlineLevel="0" collapsed="false">
      <c r="B349" s="41"/>
      <c r="C349" s="9"/>
      <c r="D349" s="43"/>
      <c r="E349" s="42"/>
      <c r="F349" s="9"/>
    </row>
    <row r="350" customFormat="false" ht="21" hidden="false" customHeight="true" outlineLevel="0" collapsed="false">
      <c r="B350" s="41"/>
      <c r="C350" s="9"/>
      <c r="D350" s="43"/>
      <c r="E350" s="42"/>
      <c r="F350" s="9"/>
    </row>
    <row r="351" customFormat="false" ht="21" hidden="false" customHeight="true" outlineLevel="0" collapsed="false">
      <c r="B351" s="41"/>
      <c r="C351" s="9"/>
      <c r="D351" s="43"/>
      <c r="E351" s="42"/>
      <c r="F351" s="9"/>
    </row>
    <row r="352" customFormat="false" ht="21" hidden="false" customHeight="true" outlineLevel="0" collapsed="false">
      <c r="B352" s="41"/>
      <c r="C352" s="9"/>
      <c r="D352" s="43"/>
      <c r="E352" s="42"/>
      <c r="F352" s="9"/>
    </row>
    <row r="353" customFormat="false" ht="21" hidden="false" customHeight="true" outlineLevel="0" collapsed="false">
      <c r="B353" s="41"/>
      <c r="C353" s="9"/>
      <c r="D353" s="43"/>
      <c r="E353" s="42"/>
      <c r="F353" s="9"/>
    </row>
    <row r="354" customFormat="false" ht="21" hidden="false" customHeight="true" outlineLevel="0" collapsed="false">
      <c r="B354" s="41"/>
      <c r="C354" s="9"/>
      <c r="D354" s="43"/>
      <c r="E354" s="42"/>
      <c r="F354" s="9"/>
    </row>
    <row r="355" customFormat="false" ht="21" hidden="false" customHeight="true" outlineLevel="0" collapsed="false">
      <c r="B355" s="41"/>
      <c r="C355" s="9"/>
      <c r="D355" s="43"/>
      <c r="E355" s="42"/>
      <c r="F355" s="9"/>
    </row>
    <row r="356" customFormat="false" ht="21" hidden="false" customHeight="true" outlineLevel="0" collapsed="false">
      <c r="B356" s="41"/>
      <c r="C356" s="9"/>
      <c r="D356" s="43"/>
      <c r="E356" s="42"/>
      <c r="F356" s="9"/>
    </row>
    <row r="357" customFormat="false" ht="21" hidden="false" customHeight="true" outlineLevel="0" collapsed="false">
      <c r="B357" s="41"/>
      <c r="C357" s="9"/>
      <c r="D357" s="43"/>
      <c r="E357" s="42"/>
      <c r="F357" s="9"/>
    </row>
    <row r="358" customFormat="false" ht="21" hidden="false" customHeight="true" outlineLevel="0" collapsed="false">
      <c r="B358" s="41"/>
      <c r="C358" s="9"/>
      <c r="D358" s="43"/>
      <c r="E358" s="42"/>
      <c r="F358" s="9"/>
    </row>
    <row r="359" customFormat="false" ht="21" hidden="false" customHeight="true" outlineLevel="0" collapsed="false">
      <c r="B359" s="41"/>
      <c r="C359" s="9"/>
      <c r="D359" s="43"/>
      <c r="E359" s="42"/>
      <c r="F359" s="9"/>
    </row>
    <row r="360" customFormat="false" ht="21" hidden="false" customHeight="true" outlineLevel="0" collapsed="false">
      <c r="B360" s="41"/>
      <c r="C360" s="9"/>
      <c r="D360" s="43"/>
      <c r="E360" s="42"/>
      <c r="F360" s="9"/>
    </row>
    <row r="361" customFormat="false" ht="21" hidden="false" customHeight="true" outlineLevel="0" collapsed="false">
      <c r="B361" s="41"/>
      <c r="C361" s="9"/>
      <c r="D361" s="43"/>
      <c r="E361" s="42"/>
      <c r="F361" s="9"/>
    </row>
    <row r="362" customFormat="false" ht="21" hidden="false" customHeight="true" outlineLevel="0" collapsed="false">
      <c r="B362" s="41"/>
      <c r="C362" s="9"/>
      <c r="D362" s="43"/>
      <c r="E362" s="42"/>
      <c r="F362" s="9"/>
    </row>
    <row r="363" customFormat="false" ht="21" hidden="false" customHeight="true" outlineLevel="0" collapsed="false">
      <c r="B363" s="41"/>
      <c r="C363" s="9"/>
      <c r="D363" s="43"/>
      <c r="E363" s="42"/>
      <c r="F363" s="9"/>
    </row>
    <row r="364" customFormat="false" ht="21" hidden="false" customHeight="true" outlineLevel="0" collapsed="false">
      <c r="B364" s="41"/>
      <c r="C364" s="9"/>
      <c r="D364" s="43"/>
      <c r="E364" s="42"/>
      <c r="F364" s="9"/>
    </row>
    <row r="365" customFormat="false" ht="21" hidden="false" customHeight="true" outlineLevel="0" collapsed="false">
      <c r="B365" s="41"/>
      <c r="C365" s="9"/>
      <c r="D365" s="43"/>
      <c r="E365" s="42"/>
      <c r="F365" s="9"/>
    </row>
    <row r="366" customFormat="false" ht="21" hidden="false" customHeight="true" outlineLevel="0" collapsed="false">
      <c r="B366" s="41"/>
      <c r="C366" s="9"/>
      <c r="D366" s="43"/>
      <c r="E366" s="42"/>
      <c r="F366" s="9"/>
    </row>
    <row r="367" customFormat="false" ht="21" hidden="false" customHeight="true" outlineLevel="0" collapsed="false">
      <c r="B367" s="41"/>
      <c r="C367" s="9"/>
      <c r="D367" s="43"/>
      <c r="E367" s="42"/>
      <c r="F367" s="9"/>
    </row>
    <row r="368" customFormat="false" ht="21" hidden="false" customHeight="true" outlineLevel="0" collapsed="false">
      <c r="B368" s="41"/>
      <c r="C368" s="9"/>
      <c r="D368" s="43"/>
      <c r="E368" s="42"/>
      <c r="F368" s="9"/>
    </row>
    <row r="369" customFormat="false" ht="21" hidden="false" customHeight="true" outlineLevel="0" collapsed="false">
      <c r="B369" s="41"/>
      <c r="C369" s="9"/>
      <c r="D369" s="43"/>
      <c r="E369" s="42"/>
      <c r="F369" s="9"/>
    </row>
    <row r="370" customFormat="false" ht="21" hidden="false" customHeight="true" outlineLevel="0" collapsed="false">
      <c r="B370" s="41"/>
      <c r="C370" s="9"/>
      <c r="D370" s="43"/>
      <c r="E370" s="42"/>
      <c r="F370" s="9"/>
    </row>
    <row r="371" customFormat="false" ht="21" hidden="false" customHeight="true" outlineLevel="0" collapsed="false">
      <c r="B371" s="41"/>
      <c r="C371" s="9"/>
      <c r="D371" s="43"/>
      <c r="E371" s="42"/>
      <c r="F371" s="9"/>
    </row>
    <row r="372" customFormat="false" ht="21" hidden="false" customHeight="true" outlineLevel="0" collapsed="false">
      <c r="B372" s="41"/>
      <c r="C372" s="9"/>
      <c r="D372" s="43"/>
      <c r="E372" s="42"/>
      <c r="F372" s="9"/>
    </row>
    <row r="373" customFormat="false" ht="21" hidden="false" customHeight="true" outlineLevel="0" collapsed="false">
      <c r="B373" s="41"/>
      <c r="C373" s="9"/>
      <c r="D373" s="43"/>
      <c r="E373" s="42"/>
      <c r="F373" s="9"/>
    </row>
    <row r="374" customFormat="false" ht="21" hidden="false" customHeight="true" outlineLevel="0" collapsed="false">
      <c r="B374" s="41"/>
      <c r="C374" s="9"/>
      <c r="D374" s="43"/>
      <c r="E374" s="42"/>
      <c r="F374" s="9"/>
    </row>
    <row r="375" customFormat="false" ht="21" hidden="false" customHeight="true" outlineLevel="0" collapsed="false">
      <c r="B375" s="41"/>
      <c r="C375" s="9"/>
      <c r="D375" s="43"/>
      <c r="E375" s="42"/>
      <c r="F375" s="9"/>
    </row>
    <row r="376" customFormat="false" ht="21" hidden="false" customHeight="true" outlineLevel="0" collapsed="false">
      <c r="B376" s="41"/>
      <c r="C376" s="9"/>
      <c r="D376" s="43"/>
      <c r="E376" s="42"/>
      <c r="F376" s="9"/>
    </row>
    <row r="377" customFormat="false" ht="21" hidden="false" customHeight="true" outlineLevel="0" collapsed="false">
      <c r="B377" s="41"/>
      <c r="C377" s="9"/>
      <c r="D377" s="43"/>
      <c r="E377" s="42"/>
      <c r="F377" s="9"/>
    </row>
    <row r="378" customFormat="false" ht="21" hidden="false" customHeight="true" outlineLevel="0" collapsed="false">
      <c r="B378" s="41"/>
      <c r="C378" s="9"/>
      <c r="D378" s="43"/>
      <c r="E378" s="42"/>
      <c r="F378" s="9"/>
    </row>
    <row r="379" customFormat="false" ht="21" hidden="false" customHeight="true" outlineLevel="0" collapsed="false">
      <c r="B379" s="41"/>
      <c r="C379" s="9"/>
      <c r="D379" s="43"/>
      <c r="E379" s="42"/>
      <c r="F379" s="9"/>
    </row>
    <row r="380" customFormat="false" ht="21" hidden="false" customHeight="true" outlineLevel="0" collapsed="false">
      <c r="B380" s="41"/>
      <c r="C380" s="9"/>
      <c r="D380" s="43"/>
      <c r="E380" s="42"/>
      <c r="F380" s="9"/>
    </row>
    <row r="381" customFormat="false" ht="21" hidden="false" customHeight="true" outlineLevel="0" collapsed="false">
      <c r="B381" s="41"/>
      <c r="C381" s="9"/>
      <c r="D381" s="43"/>
      <c r="E381" s="42"/>
      <c r="F381" s="9"/>
    </row>
    <row r="382" customFormat="false" ht="21" hidden="false" customHeight="true" outlineLevel="0" collapsed="false">
      <c r="B382" s="41"/>
      <c r="C382" s="9"/>
      <c r="D382" s="43"/>
      <c r="E382" s="42"/>
      <c r="F382" s="9"/>
    </row>
    <row r="383" customFormat="false" ht="21" hidden="false" customHeight="true" outlineLevel="0" collapsed="false">
      <c r="B383" s="41"/>
      <c r="C383" s="9"/>
      <c r="D383" s="43"/>
      <c r="E383" s="42"/>
      <c r="F383" s="9"/>
    </row>
    <row r="384" customFormat="false" ht="21" hidden="false" customHeight="true" outlineLevel="0" collapsed="false">
      <c r="B384" s="41"/>
      <c r="C384" s="9"/>
      <c r="D384" s="43"/>
      <c r="E384" s="42"/>
      <c r="F384" s="9"/>
    </row>
    <row r="385" customFormat="false" ht="21" hidden="false" customHeight="true" outlineLevel="0" collapsed="false">
      <c r="B385" s="41"/>
      <c r="C385" s="9"/>
      <c r="D385" s="43"/>
      <c r="E385" s="42"/>
      <c r="F385" s="9"/>
    </row>
    <row r="386" customFormat="false" ht="21" hidden="false" customHeight="true" outlineLevel="0" collapsed="false">
      <c r="B386" s="41"/>
      <c r="C386" s="9"/>
      <c r="D386" s="43"/>
      <c r="E386" s="42"/>
      <c r="F386" s="9"/>
    </row>
    <row r="387" customFormat="false" ht="21" hidden="false" customHeight="true" outlineLevel="0" collapsed="false">
      <c r="B387" s="41"/>
      <c r="C387" s="9"/>
      <c r="D387" s="43"/>
      <c r="E387" s="42"/>
      <c r="F387" s="9"/>
    </row>
    <row r="388" customFormat="false" ht="21" hidden="false" customHeight="true" outlineLevel="0" collapsed="false">
      <c r="B388" s="41"/>
      <c r="C388" s="9"/>
      <c r="D388" s="43"/>
      <c r="E388" s="42"/>
      <c r="F388" s="9"/>
    </row>
    <row r="389" customFormat="false" ht="21" hidden="false" customHeight="true" outlineLevel="0" collapsed="false">
      <c r="B389" s="41"/>
      <c r="C389" s="9"/>
      <c r="D389" s="43"/>
      <c r="E389" s="42"/>
      <c r="F389" s="9"/>
    </row>
    <row r="390" customFormat="false" ht="21" hidden="false" customHeight="true" outlineLevel="0" collapsed="false">
      <c r="B390" s="41"/>
      <c r="C390" s="9"/>
      <c r="D390" s="43"/>
      <c r="E390" s="42"/>
      <c r="F390" s="9"/>
    </row>
    <row r="391" customFormat="false" ht="21" hidden="false" customHeight="true" outlineLevel="0" collapsed="false">
      <c r="B391" s="41"/>
      <c r="C391" s="9"/>
      <c r="D391" s="43"/>
      <c r="E391" s="42"/>
      <c r="F391" s="9"/>
    </row>
    <row r="392" customFormat="false" ht="21" hidden="false" customHeight="true" outlineLevel="0" collapsed="false">
      <c r="B392" s="41"/>
      <c r="C392" s="9"/>
      <c r="D392" s="43"/>
      <c r="E392" s="42"/>
      <c r="F392" s="9"/>
    </row>
    <row r="393" customFormat="false" ht="21" hidden="false" customHeight="true" outlineLevel="0" collapsed="false">
      <c r="B393" s="41"/>
      <c r="C393" s="9"/>
      <c r="D393" s="43"/>
      <c r="E393" s="42"/>
      <c r="F393" s="9"/>
    </row>
    <row r="394" customFormat="false" ht="21" hidden="false" customHeight="true" outlineLevel="0" collapsed="false">
      <c r="B394" s="41"/>
      <c r="C394" s="9"/>
      <c r="D394" s="43"/>
      <c r="E394" s="42"/>
      <c r="F394" s="9"/>
    </row>
    <row r="395" customFormat="false" ht="21" hidden="false" customHeight="true" outlineLevel="0" collapsed="false">
      <c r="B395" s="41"/>
      <c r="C395" s="9"/>
      <c r="D395" s="43"/>
      <c r="E395" s="42"/>
      <c r="F395" s="9"/>
    </row>
    <row r="396" customFormat="false" ht="21" hidden="false" customHeight="true" outlineLevel="0" collapsed="false">
      <c r="B396" s="41"/>
      <c r="C396" s="9"/>
      <c r="D396" s="43"/>
      <c r="E396" s="42"/>
      <c r="F396" s="9"/>
    </row>
    <row r="397" customFormat="false" ht="21" hidden="false" customHeight="true" outlineLevel="0" collapsed="false">
      <c r="B397" s="41"/>
      <c r="C397" s="9"/>
      <c r="D397" s="43"/>
      <c r="E397" s="42"/>
      <c r="F397" s="9"/>
    </row>
    <row r="398" customFormat="false" ht="21" hidden="false" customHeight="true" outlineLevel="0" collapsed="false">
      <c r="B398" s="41"/>
      <c r="C398" s="9"/>
      <c r="D398" s="43"/>
      <c r="E398" s="42"/>
      <c r="F398" s="9"/>
    </row>
    <row r="399" customFormat="false" ht="21" hidden="false" customHeight="true" outlineLevel="0" collapsed="false">
      <c r="B399" s="41"/>
      <c r="C399" s="9"/>
      <c r="D399" s="43"/>
      <c r="E399" s="42"/>
      <c r="F399" s="9"/>
    </row>
    <row r="400" customFormat="false" ht="21" hidden="false" customHeight="true" outlineLevel="0" collapsed="false">
      <c r="B400" s="41"/>
      <c r="C400" s="9"/>
      <c r="D400" s="43"/>
      <c r="E400" s="42"/>
      <c r="F400" s="9"/>
    </row>
    <row r="401" customFormat="false" ht="21" hidden="false" customHeight="true" outlineLevel="0" collapsed="false">
      <c r="B401" s="41"/>
      <c r="C401" s="9"/>
      <c r="D401" s="43"/>
      <c r="E401" s="42"/>
      <c r="F401" s="9"/>
    </row>
    <row r="402" customFormat="false" ht="21" hidden="false" customHeight="true" outlineLevel="0" collapsed="false">
      <c r="B402" s="41"/>
      <c r="C402" s="9"/>
      <c r="D402" s="43"/>
      <c r="E402" s="42"/>
      <c r="F402" s="9"/>
    </row>
    <row r="403" customFormat="false" ht="21" hidden="false" customHeight="true" outlineLevel="0" collapsed="false">
      <c r="B403" s="41"/>
      <c r="C403" s="9"/>
      <c r="D403" s="43"/>
      <c r="E403" s="42"/>
      <c r="F403" s="9"/>
    </row>
    <row r="404" customFormat="false" ht="21" hidden="false" customHeight="true" outlineLevel="0" collapsed="false">
      <c r="B404" s="41"/>
      <c r="C404" s="9"/>
      <c r="D404" s="43"/>
      <c r="E404" s="42"/>
      <c r="F404" s="9"/>
    </row>
    <row r="405" customFormat="false" ht="21" hidden="false" customHeight="true" outlineLevel="0" collapsed="false">
      <c r="B405" s="41"/>
      <c r="C405" s="9"/>
      <c r="D405" s="43"/>
      <c r="E405" s="42"/>
      <c r="F405" s="9"/>
    </row>
    <row r="406" customFormat="false" ht="21" hidden="false" customHeight="true" outlineLevel="0" collapsed="false">
      <c r="B406" s="41"/>
      <c r="C406" s="9"/>
      <c r="D406" s="43"/>
      <c r="E406" s="42"/>
      <c r="F406" s="9"/>
    </row>
    <row r="407" customFormat="false" ht="21" hidden="false" customHeight="true" outlineLevel="0" collapsed="false">
      <c r="B407" s="41"/>
      <c r="C407" s="9"/>
      <c r="D407" s="43"/>
      <c r="E407" s="42"/>
      <c r="F407" s="9"/>
    </row>
    <row r="408" customFormat="false" ht="21" hidden="false" customHeight="true" outlineLevel="0" collapsed="false">
      <c r="B408" s="41"/>
      <c r="C408" s="9"/>
      <c r="D408" s="43"/>
      <c r="E408" s="42"/>
      <c r="F408" s="9"/>
    </row>
    <row r="409" customFormat="false" ht="21" hidden="false" customHeight="true" outlineLevel="0" collapsed="false">
      <c r="B409" s="41"/>
      <c r="C409" s="9"/>
      <c r="D409" s="43"/>
      <c r="E409" s="42"/>
      <c r="F409" s="9"/>
    </row>
    <row r="410" customFormat="false" ht="21" hidden="false" customHeight="true" outlineLevel="0" collapsed="false">
      <c r="B410" s="41"/>
      <c r="C410" s="9"/>
      <c r="D410" s="43"/>
      <c r="E410" s="42"/>
      <c r="F410" s="9"/>
    </row>
    <row r="411" customFormat="false" ht="21" hidden="false" customHeight="true" outlineLevel="0" collapsed="false">
      <c r="B411" s="41"/>
      <c r="C411" s="9"/>
      <c r="D411" s="43"/>
      <c r="E411" s="42"/>
      <c r="F411" s="9"/>
    </row>
    <row r="412" customFormat="false" ht="21" hidden="false" customHeight="true" outlineLevel="0" collapsed="false">
      <c r="B412" s="41"/>
      <c r="C412" s="9"/>
      <c r="D412" s="43"/>
      <c r="E412" s="42"/>
      <c r="F412" s="9"/>
    </row>
    <row r="413" customFormat="false" ht="21" hidden="false" customHeight="true" outlineLevel="0" collapsed="false">
      <c r="B413" s="41"/>
      <c r="C413" s="9"/>
      <c r="D413" s="43"/>
      <c r="E413" s="42"/>
      <c r="F413" s="9"/>
    </row>
    <row r="414" customFormat="false" ht="21" hidden="false" customHeight="true" outlineLevel="0" collapsed="false">
      <c r="B414" s="41"/>
      <c r="C414" s="9"/>
      <c r="D414" s="43"/>
      <c r="E414" s="42"/>
      <c r="F414" s="9"/>
    </row>
    <row r="415" customFormat="false" ht="21" hidden="false" customHeight="true" outlineLevel="0" collapsed="false">
      <c r="B415" s="41"/>
      <c r="C415" s="9"/>
      <c r="D415" s="43"/>
      <c r="E415" s="42"/>
      <c r="F415" s="9"/>
    </row>
    <row r="416" customFormat="false" ht="21" hidden="false" customHeight="true" outlineLevel="0" collapsed="false">
      <c r="B416" s="41"/>
      <c r="C416" s="9"/>
      <c r="D416" s="43"/>
      <c r="E416" s="42"/>
      <c r="F416" s="9"/>
    </row>
    <row r="417" customFormat="false" ht="21" hidden="false" customHeight="true" outlineLevel="0" collapsed="false">
      <c r="B417" s="41"/>
      <c r="C417" s="9"/>
      <c r="D417" s="43"/>
      <c r="E417" s="42"/>
      <c r="F417" s="9"/>
    </row>
    <row r="418" customFormat="false" ht="21" hidden="false" customHeight="true" outlineLevel="0" collapsed="false">
      <c r="B418" s="41"/>
      <c r="C418" s="9"/>
      <c r="D418" s="43"/>
      <c r="E418" s="42"/>
      <c r="F418" s="9"/>
    </row>
    <row r="419" customFormat="false" ht="21" hidden="false" customHeight="true" outlineLevel="0" collapsed="false">
      <c r="B419" s="41"/>
      <c r="C419" s="9"/>
      <c r="D419" s="43"/>
      <c r="E419" s="42"/>
      <c r="F419" s="9"/>
    </row>
    <row r="420" customFormat="false" ht="21" hidden="false" customHeight="true" outlineLevel="0" collapsed="false">
      <c r="B420" s="41"/>
      <c r="C420" s="9"/>
      <c r="D420" s="43"/>
      <c r="E420" s="42"/>
      <c r="F420" s="9"/>
    </row>
    <row r="421" customFormat="false" ht="21" hidden="false" customHeight="true" outlineLevel="0" collapsed="false">
      <c r="B421" s="41"/>
      <c r="C421" s="9"/>
      <c r="D421" s="43"/>
      <c r="E421" s="42"/>
      <c r="F421" s="9"/>
    </row>
    <row r="422" customFormat="false" ht="21" hidden="false" customHeight="true" outlineLevel="0" collapsed="false">
      <c r="B422" s="41"/>
      <c r="C422" s="9"/>
      <c r="D422" s="43"/>
      <c r="E422" s="42"/>
      <c r="F422" s="9"/>
    </row>
    <row r="423" customFormat="false" ht="21" hidden="false" customHeight="true" outlineLevel="0" collapsed="false">
      <c r="B423" s="41"/>
      <c r="C423" s="9"/>
      <c r="D423" s="43"/>
      <c r="E423" s="42"/>
      <c r="F423" s="9"/>
    </row>
    <row r="424" customFormat="false" ht="21" hidden="false" customHeight="true" outlineLevel="0" collapsed="false">
      <c r="B424" s="41"/>
      <c r="C424" s="9"/>
      <c r="D424" s="43"/>
      <c r="E424" s="42"/>
      <c r="F424" s="9"/>
    </row>
    <row r="425" customFormat="false" ht="21" hidden="false" customHeight="true" outlineLevel="0" collapsed="false">
      <c r="B425" s="41"/>
      <c r="C425" s="9"/>
      <c r="D425" s="43"/>
      <c r="E425" s="42"/>
      <c r="F425" s="9"/>
    </row>
    <row r="426" customFormat="false" ht="21" hidden="false" customHeight="true" outlineLevel="0" collapsed="false">
      <c r="B426" s="41"/>
      <c r="C426" s="9"/>
      <c r="D426" s="43"/>
      <c r="E426" s="42"/>
      <c r="F426" s="9"/>
    </row>
    <row r="427" customFormat="false" ht="21" hidden="false" customHeight="true" outlineLevel="0" collapsed="false">
      <c r="B427" s="41"/>
      <c r="C427" s="9"/>
      <c r="D427" s="43"/>
      <c r="E427" s="42"/>
      <c r="F427" s="9"/>
    </row>
    <row r="428" customFormat="false" ht="21" hidden="false" customHeight="true" outlineLevel="0" collapsed="false">
      <c r="B428" s="41"/>
      <c r="C428" s="9"/>
      <c r="D428" s="43"/>
      <c r="E428" s="42"/>
      <c r="F428" s="9"/>
    </row>
    <row r="429" customFormat="false" ht="21" hidden="false" customHeight="true" outlineLevel="0" collapsed="false">
      <c r="B429" s="41"/>
      <c r="C429" s="9"/>
      <c r="D429" s="43"/>
      <c r="E429" s="42"/>
      <c r="F429" s="9"/>
    </row>
    <row r="430" customFormat="false" ht="21" hidden="false" customHeight="true" outlineLevel="0" collapsed="false">
      <c r="B430" s="41"/>
      <c r="C430" s="9"/>
      <c r="D430" s="43"/>
      <c r="E430" s="42"/>
      <c r="F430" s="9"/>
    </row>
    <row r="431" customFormat="false" ht="21" hidden="false" customHeight="true" outlineLevel="0" collapsed="false">
      <c r="B431" s="41"/>
      <c r="C431" s="9"/>
      <c r="D431" s="43"/>
      <c r="E431" s="42"/>
      <c r="F431" s="9"/>
    </row>
    <row r="432" customFormat="false" ht="21" hidden="false" customHeight="true" outlineLevel="0" collapsed="false">
      <c r="B432" s="41"/>
      <c r="C432" s="9"/>
      <c r="D432" s="43"/>
      <c r="E432" s="42"/>
      <c r="F432" s="9"/>
    </row>
    <row r="433" customFormat="false" ht="21" hidden="false" customHeight="true" outlineLevel="0" collapsed="false">
      <c r="B433" s="41"/>
      <c r="C433" s="9"/>
      <c r="D433" s="43"/>
      <c r="E433" s="42"/>
      <c r="F433" s="9"/>
    </row>
    <row r="434" customFormat="false" ht="21" hidden="false" customHeight="true" outlineLevel="0" collapsed="false">
      <c r="B434" s="41"/>
      <c r="C434" s="9"/>
      <c r="D434" s="43"/>
      <c r="E434" s="42"/>
      <c r="F434" s="9"/>
    </row>
    <row r="435" customFormat="false" ht="21" hidden="false" customHeight="true" outlineLevel="0" collapsed="false">
      <c r="B435" s="41"/>
      <c r="C435" s="9"/>
      <c r="D435" s="43"/>
      <c r="E435" s="42"/>
      <c r="F435" s="9"/>
    </row>
    <row r="436" customFormat="false" ht="21" hidden="false" customHeight="true" outlineLevel="0" collapsed="false">
      <c r="B436" s="41"/>
      <c r="C436" s="9"/>
      <c r="D436" s="43"/>
      <c r="E436" s="42"/>
      <c r="F436" s="9"/>
    </row>
    <row r="437" customFormat="false" ht="21" hidden="false" customHeight="true" outlineLevel="0" collapsed="false">
      <c r="B437" s="41"/>
      <c r="C437" s="9"/>
      <c r="D437" s="43"/>
      <c r="E437" s="42"/>
      <c r="F437" s="9"/>
    </row>
    <row r="438" customFormat="false" ht="21" hidden="false" customHeight="true" outlineLevel="0" collapsed="false">
      <c r="B438" s="41"/>
      <c r="C438" s="9"/>
      <c r="D438" s="43"/>
      <c r="E438" s="42"/>
      <c r="F438" s="9"/>
    </row>
    <row r="439" customFormat="false" ht="21" hidden="false" customHeight="true" outlineLevel="0" collapsed="false">
      <c r="B439" s="41"/>
      <c r="C439" s="9"/>
      <c r="D439" s="43"/>
      <c r="E439" s="42"/>
      <c r="F439" s="9"/>
    </row>
    <row r="440" customFormat="false" ht="21" hidden="false" customHeight="true" outlineLevel="0" collapsed="false">
      <c r="B440" s="41"/>
      <c r="C440" s="9"/>
      <c r="D440" s="43"/>
      <c r="E440" s="42"/>
      <c r="F440" s="9"/>
    </row>
    <row r="441" customFormat="false" ht="21" hidden="false" customHeight="true" outlineLevel="0" collapsed="false">
      <c r="B441" s="41"/>
      <c r="C441" s="9"/>
      <c r="D441" s="43"/>
      <c r="E441" s="42"/>
      <c r="F441" s="9"/>
    </row>
    <row r="442" customFormat="false" ht="21" hidden="false" customHeight="true" outlineLevel="0" collapsed="false">
      <c r="B442" s="41"/>
      <c r="C442" s="9"/>
      <c r="D442" s="43"/>
      <c r="E442" s="42"/>
      <c r="F442" s="9"/>
    </row>
    <row r="443" customFormat="false" ht="21" hidden="false" customHeight="true" outlineLevel="0" collapsed="false">
      <c r="B443" s="41"/>
      <c r="C443" s="9"/>
      <c r="D443" s="43"/>
      <c r="E443" s="42"/>
      <c r="F443" s="9"/>
    </row>
    <row r="444" customFormat="false" ht="21" hidden="false" customHeight="true" outlineLevel="0" collapsed="false">
      <c r="B444" s="41"/>
      <c r="C444" s="9"/>
      <c r="D444" s="43"/>
      <c r="E444" s="42"/>
      <c r="F444" s="9"/>
    </row>
    <row r="445" customFormat="false" ht="21" hidden="false" customHeight="true" outlineLevel="0" collapsed="false">
      <c r="B445" s="41"/>
      <c r="C445" s="9"/>
      <c r="D445" s="43"/>
      <c r="E445" s="42"/>
      <c r="F445" s="9"/>
    </row>
    <row r="446" customFormat="false" ht="21" hidden="false" customHeight="true" outlineLevel="0" collapsed="false">
      <c r="B446" s="41"/>
      <c r="C446" s="9"/>
      <c r="D446" s="43"/>
      <c r="E446" s="42"/>
      <c r="F446" s="9"/>
    </row>
    <row r="447" customFormat="false" ht="21" hidden="false" customHeight="true" outlineLevel="0" collapsed="false">
      <c r="B447" s="41"/>
      <c r="C447" s="9"/>
      <c r="D447" s="43"/>
      <c r="E447" s="42"/>
      <c r="F447" s="9"/>
    </row>
    <row r="448" customFormat="false" ht="21" hidden="false" customHeight="true" outlineLevel="0" collapsed="false">
      <c r="B448" s="41"/>
      <c r="C448" s="9"/>
      <c r="D448" s="43"/>
      <c r="E448" s="42"/>
      <c r="F448" s="9"/>
    </row>
    <row r="449" customFormat="false" ht="21" hidden="false" customHeight="true" outlineLevel="0" collapsed="false">
      <c r="B449" s="41"/>
      <c r="C449" s="9"/>
      <c r="D449" s="43"/>
      <c r="E449" s="42"/>
      <c r="F449" s="9"/>
    </row>
    <row r="450" customFormat="false" ht="21" hidden="false" customHeight="true" outlineLevel="0" collapsed="false">
      <c r="B450" s="41"/>
      <c r="C450" s="9"/>
      <c r="D450" s="43"/>
      <c r="E450" s="42"/>
      <c r="F450" s="9"/>
    </row>
    <row r="451" customFormat="false" ht="21" hidden="false" customHeight="true" outlineLevel="0" collapsed="false">
      <c r="B451" s="41"/>
      <c r="C451" s="9"/>
      <c r="D451" s="43"/>
      <c r="E451" s="42"/>
      <c r="F451" s="9"/>
    </row>
    <row r="452" customFormat="false" ht="21" hidden="false" customHeight="true" outlineLevel="0" collapsed="false">
      <c r="B452" s="41"/>
      <c r="C452" s="9"/>
      <c r="D452" s="43"/>
      <c r="E452" s="42"/>
      <c r="F452" s="9"/>
    </row>
    <row r="453" customFormat="false" ht="21" hidden="false" customHeight="true" outlineLevel="0" collapsed="false">
      <c r="B453" s="41"/>
      <c r="C453" s="9"/>
      <c r="D453" s="43"/>
      <c r="E453" s="42"/>
      <c r="F453" s="9"/>
    </row>
    <row r="454" customFormat="false" ht="21" hidden="false" customHeight="true" outlineLevel="0" collapsed="false">
      <c r="B454" s="41"/>
      <c r="C454" s="9"/>
      <c r="D454" s="43"/>
      <c r="E454" s="42"/>
      <c r="F454" s="9"/>
    </row>
    <row r="455" customFormat="false" ht="21" hidden="false" customHeight="true" outlineLevel="0" collapsed="false">
      <c r="B455" s="41"/>
      <c r="C455" s="9"/>
      <c r="D455" s="43"/>
      <c r="E455" s="42"/>
      <c r="F455" s="9"/>
    </row>
    <row r="456" customFormat="false" ht="21" hidden="false" customHeight="true" outlineLevel="0" collapsed="false">
      <c r="B456" s="41"/>
      <c r="C456" s="9"/>
      <c r="D456" s="43"/>
      <c r="E456" s="42"/>
      <c r="F456" s="9"/>
    </row>
    <row r="457" customFormat="false" ht="21" hidden="false" customHeight="true" outlineLevel="0" collapsed="false">
      <c r="B457" s="41"/>
      <c r="C457" s="9"/>
      <c r="D457" s="43"/>
      <c r="E457" s="42"/>
      <c r="F457" s="9"/>
    </row>
    <row r="458" customFormat="false" ht="21" hidden="false" customHeight="true" outlineLevel="0" collapsed="false">
      <c r="B458" s="41"/>
      <c r="C458" s="9"/>
      <c r="D458" s="43"/>
      <c r="E458" s="42"/>
      <c r="F458" s="9"/>
    </row>
    <row r="459" customFormat="false" ht="21" hidden="false" customHeight="true" outlineLevel="0" collapsed="false">
      <c r="B459" s="41"/>
      <c r="C459" s="9"/>
      <c r="D459" s="43"/>
      <c r="E459" s="42"/>
      <c r="F459" s="9"/>
    </row>
    <row r="460" customFormat="false" ht="21" hidden="false" customHeight="true" outlineLevel="0" collapsed="false">
      <c r="B460" s="41"/>
      <c r="C460" s="9"/>
      <c r="D460" s="43"/>
      <c r="E460" s="42"/>
      <c r="F460" s="9"/>
    </row>
    <row r="461" customFormat="false" ht="21" hidden="false" customHeight="true" outlineLevel="0" collapsed="false">
      <c r="B461" s="41"/>
      <c r="C461" s="9"/>
      <c r="D461" s="43"/>
      <c r="E461" s="42"/>
      <c r="F461" s="9"/>
    </row>
    <row r="462" customFormat="false" ht="21" hidden="false" customHeight="true" outlineLevel="0" collapsed="false">
      <c r="B462" s="41"/>
      <c r="C462" s="9"/>
      <c r="D462" s="43"/>
      <c r="E462" s="42"/>
      <c r="F462" s="9"/>
    </row>
    <row r="463" customFormat="false" ht="21" hidden="false" customHeight="true" outlineLevel="0" collapsed="false">
      <c r="B463" s="41"/>
      <c r="C463" s="9"/>
      <c r="D463" s="43"/>
      <c r="E463" s="42"/>
      <c r="F463" s="9"/>
    </row>
    <row r="464" customFormat="false" ht="21" hidden="false" customHeight="true" outlineLevel="0" collapsed="false">
      <c r="B464" s="41"/>
      <c r="C464" s="9"/>
      <c r="D464" s="43"/>
      <c r="E464" s="42"/>
      <c r="F464" s="9"/>
    </row>
    <row r="465" customFormat="false" ht="21" hidden="false" customHeight="true" outlineLevel="0" collapsed="false">
      <c r="B465" s="41"/>
      <c r="C465" s="9"/>
      <c r="D465" s="43"/>
      <c r="E465" s="42"/>
      <c r="F465" s="9"/>
    </row>
    <row r="466" customFormat="false" ht="21" hidden="false" customHeight="true" outlineLevel="0" collapsed="false">
      <c r="B466" s="41"/>
      <c r="C466" s="9"/>
      <c r="D466" s="43"/>
      <c r="E466" s="42"/>
      <c r="F466" s="9"/>
    </row>
    <row r="467" customFormat="false" ht="21" hidden="false" customHeight="true" outlineLevel="0" collapsed="false">
      <c r="B467" s="41"/>
      <c r="C467" s="9"/>
      <c r="D467" s="43"/>
      <c r="E467" s="42"/>
      <c r="F467" s="9"/>
    </row>
    <row r="468" customFormat="false" ht="21" hidden="false" customHeight="true" outlineLevel="0" collapsed="false">
      <c r="B468" s="41"/>
      <c r="C468" s="9"/>
      <c r="D468" s="43"/>
      <c r="E468" s="42"/>
      <c r="F468" s="9"/>
    </row>
    <row r="469" customFormat="false" ht="21" hidden="false" customHeight="true" outlineLevel="0" collapsed="false">
      <c r="B469" s="41"/>
      <c r="C469" s="9"/>
      <c r="D469" s="43"/>
      <c r="E469" s="42"/>
      <c r="F469" s="9"/>
    </row>
    <row r="470" customFormat="false" ht="21" hidden="false" customHeight="true" outlineLevel="0" collapsed="false">
      <c r="B470" s="41"/>
      <c r="C470" s="9"/>
      <c r="D470" s="43"/>
      <c r="E470" s="42"/>
      <c r="F470" s="9"/>
    </row>
    <row r="471" customFormat="false" ht="21" hidden="false" customHeight="true" outlineLevel="0" collapsed="false">
      <c r="B471" s="41"/>
      <c r="C471" s="9"/>
      <c r="D471" s="43"/>
      <c r="E471" s="42"/>
      <c r="F471" s="9"/>
    </row>
    <row r="472" customFormat="false" ht="21" hidden="false" customHeight="true" outlineLevel="0" collapsed="false">
      <c r="B472" s="41"/>
      <c r="C472" s="9"/>
      <c r="D472" s="43"/>
      <c r="E472" s="42"/>
      <c r="F472" s="9"/>
    </row>
    <row r="473" customFormat="false" ht="21" hidden="false" customHeight="true" outlineLevel="0" collapsed="false">
      <c r="B473" s="41"/>
      <c r="C473" s="9"/>
      <c r="D473" s="43"/>
      <c r="E473" s="42"/>
      <c r="F473" s="9"/>
    </row>
    <row r="474" customFormat="false" ht="21" hidden="false" customHeight="true" outlineLevel="0" collapsed="false">
      <c r="B474" s="41"/>
      <c r="C474" s="9"/>
      <c r="D474" s="43"/>
      <c r="E474" s="42"/>
      <c r="F474" s="9"/>
    </row>
    <row r="475" customFormat="false" ht="21" hidden="false" customHeight="true" outlineLevel="0" collapsed="false">
      <c r="B475" s="41"/>
      <c r="C475" s="9"/>
      <c r="D475" s="43"/>
      <c r="E475" s="42"/>
      <c r="F475" s="9"/>
    </row>
    <row r="476" customFormat="false" ht="21" hidden="false" customHeight="true" outlineLevel="0" collapsed="false">
      <c r="B476" s="41"/>
      <c r="C476" s="9"/>
      <c r="D476" s="43"/>
      <c r="E476" s="42"/>
      <c r="F476" s="9"/>
    </row>
    <row r="477" customFormat="false" ht="21" hidden="false" customHeight="true" outlineLevel="0" collapsed="false">
      <c r="B477" s="41"/>
      <c r="C477" s="9"/>
      <c r="D477" s="43"/>
      <c r="E477" s="42"/>
      <c r="F477" s="9"/>
    </row>
    <row r="478" customFormat="false" ht="21" hidden="false" customHeight="true" outlineLevel="0" collapsed="false">
      <c r="B478" s="41"/>
      <c r="C478" s="9"/>
      <c r="D478" s="43"/>
      <c r="E478" s="42"/>
      <c r="F478" s="9"/>
    </row>
    <row r="479" customFormat="false" ht="21" hidden="false" customHeight="true" outlineLevel="0" collapsed="false">
      <c r="B479" s="41"/>
      <c r="C479" s="9"/>
      <c r="D479" s="43"/>
      <c r="E479" s="42"/>
      <c r="F479" s="9"/>
    </row>
    <row r="480" customFormat="false" ht="21" hidden="false" customHeight="true" outlineLevel="0" collapsed="false">
      <c r="B480" s="41"/>
      <c r="C480" s="9"/>
      <c r="D480" s="43"/>
      <c r="E480" s="42"/>
      <c r="F480" s="9"/>
    </row>
    <row r="481" customFormat="false" ht="21" hidden="false" customHeight="true" outlineLevel="0" collapsed="false">
      <c r="B481" s="41"/>
      <c r="C481" s="9"/>
      <c r="D481" s="43"/>
      <c r="E481" s="42"/>
      <c r="F481" s="9"/>
    </row>
    <row r="482" customFormat="false" ht="21" hidden="false" customHeight="true" outlineLevel="0" collapsed="false">
      <c r="B482" s="41"/>
      <c r="C482" s="9"/>
      <c r="D482" s="43"/>
      <c r="E482" s="42"/>
      <c r="F482" s="9"/>
    </row>
    <row r="483" customFormat="false" ht="21" hidden="false" customHeight="true" outlineLevel="0" collapsed="false">
      <c r="B483" s="41"/>
      <c r="C483" s="9"/>
      <c r="D483" s="43"/>
      <c r="E483" s="42"/>
      <c r="F483" s="9"/>
    </row>
    <row r="484" customFormat="false" ht="21" hidden="false" customHeight="true" outlineLevel="0" collapsed="false">
      <c r="B484" s="41"/>
      <c r="C484" s="9"/>
      <c r="D484" s="43"/>
      <c r="E484" s="42"/>
      <c r="F484" s="9"/>
    </row>
    <row r="485" customFormat="false" ht="21" hidden="false" customHeight="true" outlineLevel="0" collapsed="false">
      <c r="B485" s="41"/>
      <c r="C485" s="9"/>
      <c r="D485" s="43"/>
      <c r="E485" s="42"/>
      <c r="F485" s="9"/>
    </row>
    <row r="486" customFormat="false" ht="21" hidden="false" customHeight="true" outlineLevel="0" collapsed="false">
      <c r="B486" s="41"/>
      <c r="C486" s="9"/>
      <c r="D486" s="43"/>
      <c r="E486" s="42"/>
      <c r="F486" s="9"/>
    </row>
    <row r="487" customFormat="false" ht="21" hidden="false" customHeight="true" outlineLevel="0" collapsed="false">
      <c r="B487" s="41"/>
      <c r="C487" s="9"/>
      <c r="D487" s="43"/>
      <c r="E487" s="42"/>
      <c r="F487" s="9"/>
    </row>
    <row r="488" customFormat="false" ht="21" hidden="false" customHeight="true" outlineLevel="0" collapsed="false">
      <c r="B488" s="41"/>
      <c r="C488" s="9"/>
      <c r="D488" s="43"/>
      <c r="E488" s="42"/>
      <c r="F488" s="9"/>
    </row>
    <row r="489" customFormat="false" ht="21" hidden="false" customHeight="true" outlineLevel="0" collapsed="false">
      <c r="B489" s="41"/>
      <c r="C489" s="9"/>
      <c r="D489" s="43"/>
      <c r="E489" s="42"/>
      <c r="F489" s="9"/>
    </row>
    <row r="490" customFormat="false" ht="21" hidden="false" customHeight="true" outlineLevel="0" collapsed="false">
      <c r="B490" s="41"/>
      <c r="C490" s="9"/>
      <c r="D490" s="43"/>
      <c r="E490" s="42"/>
      <c r="F490" s="9"/>
    </row>
    <row r="491" customFormat="false" ht="21" hidden="false" customHeight="true" outlineLevel="0" collapsed="false">
      <c r="B491" s="41"/>
      <c r="C491" s="9"/>
      <c r="D491" s="43"/>
      <c r="E491" s="42"/>
      <c r="F491" s="9"/>
    </row>
    <row r="492" customFormat="false" ht="21" hidden="false" customHeight="true" outlineLevel="0" collapsed="false">
      <c r="B492" s="41"/>
      <c r="C492" s="9"/>
      <c r="D492" s="43"/>
      <c r="E492" s="42"/>
      <c r="F492" s="9"/>
    </row>
    <row r="493" customFormat="false" ht="21" hidden="false" customHeight="true" outlineLevel="0" collapsed="false">
      <c r="B493" s="41"/>
      <c r="C493" s="9"/>
      <c r="D493" s="43"/>
      <c r="E493" s="42"/>
      <c r="F493" s="9"/>
    </row>
    <row r="494" customFormat="false" ht="21" hidden="false" customHeight="true" outlineLevel="0" collapsed="false">
      <c r="B494" s="41"/>
      <c r="C494" s="9"/>
      <c r="D494" s="43"/>
      <c r="E494" s="42"/>
      <c r="F494" s="9"/>
    </row>
    <row r="495" customFormat="false" ht="21" hidden="false" customHeight="true" outlineLevel="0" collapsed="false">
      <c r="B495" s="41"/>
      <c r="C495" s="9"/>
      <c r="D495" s="43"/>
      <c r="E495" s="42"/>
      <c r="F495" s="9"/>
    </row>
    <row r="496" customFormat="false" ht="21" hidden="false" customHeight="true" outlineLevel="0" collapsed="false">
      <c r="B496" s="41"/>
      <c r="C496" s="9"/>
      <c r="D496" s="43"/>
      <c r="E496" s="42"/>
      <c r="F496" s="9"/>
    </row>
    <row r="497" customFormat="false" ht="21" hidden="false" customHeight="true" outlineLevel="0" collapsed="false">
      <c r="B497" s="41"/>
      <c r="C497" s="9"/>
      <c r="D497" s="43"/>
      <c r="E497" s="42"/>
      <c r="F497" s="9"/>
    </row>
    <row r="498" customFormat="false" ht="21" hidden="false" customHeight="true" outlineLevel="0" collapsed="false">
      <c r="B498" s="41"/>
      <c r="C498" s="9"/>
      <c r="D498" s="43"/>
      <c r="E498" s="42"/>
      <c r="F498" s="9"/>
    </row>
    <row r="499" customFormat="false" ht="21" hidden="false" customHeight="true" outlineLevel="0" collapsed="false">
      <c r="B499" s="41"/>
      <c r="C499" s="9"/>
      <c r="D499" s="43"/>
      <c r="E499" s="42"/>
      <c r="F499" s="9"/>
    </row>
    <row r="500" customFormat="false" ht="21" hidden="false" customHeight="true" outlineLevel="0" collapsed="false">
      <c r="B500" s="41"/>
      <c r="C500" s="9"/>
      <c r="D500" s="43"/>
      <c r="E500" s="42"/>
      <c r="F500" s="9"/>
    </row>
    <row r="501" customFormat="false" ht="21" hidden="false" customHeight="true" outlineLevel="0" collapsed="false">
      <c r="B501" s="41"/>
      <c r="C501" s="9"/>
      <c r="D501" s="43"/>
      <c r="E501" s="42"/>
      <c r="F501" s="9"/>
    </row>
    <row r="502" customFormat="false" ht="21" hidden="false" customHeight="true" outlineLevel="0" collapsed="false">
      <c r="B502" s="41"/>
      <c r="C502" s="9"/>
      <c r="D502" s="43"/>
      <c r="E502" s="42"/>
      <c r="F502" s="9"/>
    </row>
    <row r="503" customFormat="false" ht="21" hidden="false" customHeight="true" outlineLevel="0" collapsed="false">
      <c r="B503" s="41"/>
      <c r="C503" s="9"/>
      <c r="D503" s="43"/>
      <c r="E503" s="42"/>
      <c r="F503" s="9"/>
    </row>
    <row r="504" customFormat="false" ht="21" hidden="false" customHeight="true" outlineLevel="0" collapsed="false">
      <c r="B504" s="41"/>
      <c r="C504" s="9"/>
      <c r="D504" s="43"/>
      <c r="E504" s="42"/>
      <c r="F504" s="9"/>
    </row>
  </sheetData>
  <mergeCells count="2">
    <mergeCell ref="B1:F1"/>
    <mergeCell ref="B2:F2"/>
  </mergeCells>
  <dataValidations count="2">
    <dataValidation allowBlank="true" errorStyle="stop" operator="between" prompt="Escolha da lista da aba Clientes." promptTitle="Cliente" showDropDown="false" showErrorMessage="false" showInputMessage="true" sqref="C5:C504" type="list">
      <formula1>Clientes!$B$5:$B$304</formula1>
      <formula2>0</formula2>
    </dataValidation>
    <dataValidation allowBlank="true" errorStyle="stop" operator="between" showDropDown="false" showErrorMessage="false" showInputMessage="false" sqref="E5:E504" type="list">
      <formula1>"Presente,Desconto,Correção"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true"/>
  </sheetPr>
  <dimension ref="B1:J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7" min="5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9.75" hidden="false" customHeight="true" outlineLevel="0" collapsed="false">
      <c r="B1" s="1" t="s">
        <v>12</v>
      </c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B2" s="2" t="s">
        <v>123</v>
      </c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124</v>
      </c>
      <c r="C4" s="40" t="s">
        <v>125</v>
      </c>
      <c r="D4" s="40" t="s">
        <v>126</v>
      </c>
      <c r="E4" s="18" t="s">
        <v>127</v>
      </c>
      <c r="F4" s="18" t="s">
        <v>128</v>
      </c>
      <c r="G4" s="18" t="s">
        <v>117</v>
      </c>
      <c r="H4" s="18" t="s">
        <v>129</v>
      </c>
      <c r="I4" s="18" t="s">
        <v>130</v>
      </c>
      <c r="J4" s="18" t="s">
        <v>131</v>
      </c>
    </row>
    <row r="5" customFormat="false" ht="21" hidden="false" customHeight="true" outlineLevel="0" collapsed="false">
      <c r="B5" s="9" t="s">
        <v>98</v>
      </c>
      <c r="C5" s="45" t="s">
        <v>132</v>
      </c>
      <c r="D5" s="9" t="s">
        <v>133</v>
      </c>
      <c r="E5" s="27" t="n">
        <f aca="false">IF(B5="","",SUMIFS(Vendas!$G$5:$G$3004,Vendas!$C$5:$C$3004,B5))</f>
        <v>41.5</v>
      </c>
      <c r="F5" s="27" t="n">
        <f aca="false">IF(B5="","",SUMIFS(Recebi!$D$5:$D$3004,Recebi!$C$5:$C$3004,B5)+SUMIFS(Vendas!$G$5:$G$3004,Vendas!$C$5:$C$3004,B5,Vendas!$J$5:$J$3004,"Sim"))</f>
        <v>24</v>
      </c>
      <c r="G5" s="27" t="n">
        <f aca="false">IF(B5="","",SUMIFS(Acertos!$D$5:$D$504,Acertos!$C$5:$C$504,B5))</f>
        <v>0</v>
      </c>
      <c r="H5" s="36" t="n">
        <f aca="false">IF(B5="","",E5+G5-F5)</f>
        <v>17.5</v>
      </c>
      <c r="I5" s="46" t="n">
        <f aca="false">IF(B5="","",IF(COUNTIF(Vendas!$C$5:$C$3004,B5)=0,"",_xlfn.MAXIFS(Vendas!$B$5:$B$3004,Vendas!$C$5:$C$3004,B5)))</f>
        <v>46323</v>
      </c>
      <c r="J5" s="39" t="str">
        <f aca="false">IF(B5="","",IF(H5&gt;0.005,"Deve",IF(H5&lt;-0.005,"Tem crédito",IF(E5&gt;0,"Em dia","Ainda não comprou"))))</f>
        <v>Deve</v>
      </c>
    </row>
    <row r="6" customFormat="false" ht="21" hidden="false" customHeight="true" outlineLevel="0" collapsed="false">
      <c r="B6" s="9" t="s">
        <v>100</v>
      </c>
      <c r="C6" s="45" t="s">
        <v>134</v>
      </c>
      <c r="D6" s="9" t="s">
        <v>135</v>
      </c>
      <c r="E6" s="27" t="n">
        <f aca="false">IF(B6="","",SUMIFS(Vendas!$G$5:$G$3004,Vendas!$C$5:$C$3004,B6))</f>
        <v>27</v>
      </c>
      <c r="F6" s="27" t="n">
        <f aca="false">IF(B6="","",SUMIFS(Recebi!$D$5:$D$3004,Recebi!$C$5:$C$3004,B6)+SUMIFS(Vendas!$G$5:$G$3004,Vendas!$C$5:$C$3004,B6,Vendas!$J$5:$J$3004,"Sim"))</f>
        <v>27</v>
      </c>
      <c r="G6" s="27" t="n">
        <f aca="false">IF(B6="","",SUMIFS(Acertos!$D$5:$D$504,Acertos!$C$5:$C$504,B6))</f>
        <v>0</v>
      </c>
      <c r="H6" s="36" t="n">
        <f aca="false">IF(B6="","",E6+G6-F6)</f>
        <v>0</v>
      </c>
      <c r="I6" s="46" t="n">
        <f aca="false">IF(B6="","",IF(COUNTIF(Vendas!$C$5:$C$3004,B6)=0,"",_xlfn.MAXIFS(Vendas!$B$5:$B$3004,Vendas!$C$5:$C$3004,B6)))</f>
        <v>46318</v>
      </c>
      <c r="J6" s="39" t="str">
        <f aca="false">IF(B6="","",IF(H6&gt;0.005,"Deve",IF(H6&lt;-0.005,"Tem crédito",IF(E6&gt;0,"Em dia","Ainda não comprou"))))</f>
        <v>Em dia</v>
      </c>
    </row>
    <row r="7" customFormat="false" ht="21" hidden="false" customHeight="true" outlineLevel="0" collapsed="false">
      <c r="B7" s="9" t="s">
        <v>103</v>
      </c>
      <c r="C7" s="45" t="s">
        <v>136</v>
      </c>
      <c r="D7" s="9" t="s">
        <v>137</v>
      </c>
      <c r="E7" s="27" t="n">
        <f aca="false">IF(B7="","",SUMIFS(Vendas!$G$5:$G$3004,Vendas!$C$5:$C$3004,B7))</f>
        <v>40</v>
      </c>
      <c r="F7" s="27" t="n">
        <f aca="false">IF(B7="","",SUMIFS(Recebi!$D$5:$D$3004,Recebi!$C$5:$C$3004,B7)+SUMIFS(Vendas!$G$5:$G$3004,Vendas!$C$5:$C$3004,B7,Vendas!$J$5:$J$3004,"Sim"))</f>
        <v>16</v>
      </c>
      <c r="G7" s="27" t="n">
        <f aca="false">IF(B7="","",SUMIFS(Acertos!$D$5:$D$504,Acertos!$C$5:$C$504,B7))</f>
        <v>0</v>
      </c>
      <c r="H7" s="36" t="n">
        <f aca="false">IF(B7="","",E7+G7-F7)</f>
        <v>24</v>
      </c>
      <c r="I7" s="46" t="n">
        <f aca="false">IF(B7="","",IF(COUNTIF(Vendas!$C$5:$C$3004,B7)=0,"",_xlfn.MAXIFS(Vendas!$B$5:$B$3004,Vendas!$C$5:$C$3004,B7)))</f>
        <v>46316</v>
      </c>
      <c r="J7" s="39" t="str">
        <f aca="false">IF(B7="","",IF(H7&gt;0.005,"Deve",IF(H7&lt;-0.005,"Tem crédito",IF(E7&gt;0,"Em dia","Ainda não comprou"))))</f>
        <v>Deve</v>
      </c>
    </row>
    <row r="8" customFormat="false" ht="21" hidden="false" customHeight="true" outlineLevel="0" collapsed="false">
      <c r="B8" s="9" t="s">
        <v>106</v>
      </c>
      <c r="C8" s="45" t="s">
        <v>138</v>
      </c>
      <c r="D8" s="9" t="s">
        <v>139</v>
      </c>
      <c r="E8" s="27" t="n">
        <f aca="false">IF(B8="","",SUMIFS(Vendas!$G$5:$G$3004,Vendas!$C$5:$C$3004,B8))</f>
        <v>75</v>
      </c>
      <c r="F8" s="27" t="n">
        <f aca="false">IF(B8="","",SUMIFS(Recebi!$D$5:$D$3004,Recebi!$C$5:$C$3004,B8)+SUMIFS(Vendas!$G$5:$G$3004,Vendas!$C$5:$C$3004,B8,Vendas!$J$5:$J$3004,"Sim"))</f>
        <v>50</v>
      </c>
      <c r="G8" s="27" t="n">
        <f aca="false">IF(B8="","",SUMIFS(Acertos!$D$5:$D$504,Acertos!$C$5:$C$504,B8))</f>
        <v>-5</v>
      </c>
      <c r="H8" s="36" t="n">
        <f aca="false">IF(B8="","",E8+G8-F8)</f>
        <v>20</v>
      </c>
      <c r="I8" s="46" t="n">
        <f aca="false">IF(B8="","",IF(COUNTIF(Vendas!$C$5:$C$3004,B8)=0,"",_xlfn.MAXIFS(Vendas!$B$5:$B$3004,Vendas!$C$5:$C$3004,B8)))</f>
        <v>46304</v>
      </c>
      <c r="J8" s="39" t="str">
        <f aca="false">IF(B8="","",IF(H8&gt;0.005,"Deve",IF(H8&lt;-0.005,"Tem crédito",IF(E8&gt;0,"Em dia","Ainda não comprou"))))</f>
        <v>Deve</v>
      </c>
    </row>
    <row r="9" customFormat="false" ht="21" hidden="false" customHeight="true" outlineLevel="0" collapsed="false">
      <c r="B9" s="9" t="s">
        <v>108</v>
      </c>
      <c r="C9" s="45" t="s">
        <v>140</v>
      </c>
      <c r="D9" s="9" t="s">
        <v>141</v>
      </c>
      <c r="E9" s="27" t="n">
        <f aca="false">IF(B9="","",SUMIFS(Vendas!$G$5:$G$3004,Vendas!$C$5:$C$3004,B9))</f>
        <v>12</v>
      </c>
      <c r="F9" s="27" t="n">
        <f aca="false">IF(B9="","",SUMIFS(Recebi!$D$5:$D$3004,Recebi!$C$5:$C$3004,B9)+SUMIFS(Vendas!$G$5:$G$3004,Vendas!$C$5:$C$3004,B9,Vendas!$J$5:$J$3004,"Sim"))</f>
        <v>12</v>
      </c>
      <c r="G9" s="27" t="n">
        <f aca="false">IF(B9="","",SUMIFS(Acertos!$D$5:$D$504,Acertos!$C$5:$C$504,B9))</f>
        <v>0</v>
      </c>
      <c r="H9" s="36" t="n">
        <f aca="false">IF(B9="","",E9+G9-F9)</f>
        <v>0</v>
      </c>
      <c r="I9" s="46" t="n">
        <f aca="false">IF(B9="","",IF(COUNTIF(Vendas!$C$5:$C$3004,B9)=0,"",_xlfn.MAXIFS(Vendas!$B$5:$B$3004,Vendas!$C$5:$C$3004,B9)))</f>
        <v>46311</v>
      </c>
      <c r="J9" s="39" t="str">
        <f aca="false">IF(B9="","",IF(H9&gt;0.005,"Deve",IF(H9&lt;-0.005,"Tem crédito",IF(E9&gt;0,"Em dia","Ainda não comprou"))))</f>
        <v>Em dia</v>
      </c>
    </row>
    <row r="10" customFormat="false" ht="21" hidden="false" customHeight="true" outlineLevel="0" collapsed="false">
      <c r="B10" s="9"/>
      <c r="C10" s="45"/>
      <c r="D10" s="9"/>
      <c r="E10" s="27" t="str">
        <f aca="false">IF(B10="","",SUMIFS(Vendas!$G$5:$G$3004,Vendas!$C$5:$C$3004,B10))</f>
        <v/>
      </c>
      <c r="F10" s="27" t="str">
        <f aca="false">IF(B10="","",SUMIFS(Recebi!$D$5:$D$3004,Recebi!$C$5:$C$3004,B10)+SUMIFS(Vendas!$G$5:$G$3004,Vendas!$C$5:$C$3004,B10,Vendas!$J$5:$J$3004,"Sim"))</f>
        <v/>
      </c>
      <c r="G10" s="27" t="str">
        <f aca="false">IF(B10="","",SUMIFS(Acertos!$D$5:$D$504,Acertos!$C$5:$C$504,B10))</f>
        <v/>
      </c>
      <c r="H10" s="36" t="str">
        <f aca="false">IF(B10="","",E10+G10-F10)</f>
        <v/>
      </c>
      <c r="I10" s="46" t="str">
        <f aca="false">IF(B10="","",IF(COUNTIF(Vendas!$C$5:$C$3004,B10)=0,"",_xlfn.MAXIFS(Vendas!$B$5:$B$3004,Vendas!$C$5:$C$3004,B10)))</f>
        <v/>
      </c>
      <c r="J10" s="39" t="str">
        <f aca="false">IF(B10="","",IF(H10&gt;0.005,"Deve",IF(H10&lt;-0.005,"Tem crédito",IF(E10&gt;0,"Em dia","Ainda não comprou"))))</f>
        <v/>
      </c>
    </row>
    <row r="11" customFormat="false" ht="21" hidden="false" customHeight="true" outlineLevel="0" collapsed="false">
      <c r="B11" s="9"/>
      <c r="C11" s="45"/>
      <c r="D11" s="9"/>
      <c r="E11" s="27" t="str">
        <f aca="false">IF(B11="","",SUMIFS(Vendas!$G$5:$G$3004,Vendas!$C$5:$C$3004,B11))</f>
        <v/>
      </c>
      <c r="F11" s="27" t="str">
        <f aca="false">IF(B11="","",SUMIFS(Recebi!$D$5:$D$3004,Recebi!$C$5:$C$3004,B11)+SUMIFS(Vendas!$G$5:$G$3004,Vendas!$C$5:$C$3004,B11,Vendas!$J$5:$J$3004,"Sim"))</f>
        <v/>
      </c>
      <c r="G11" s="27" t="str">
        <f aca="false">IF(B11="","",SUMIFS(Acertos!$D$5:$D$504,Acertos!$C$5:$C$504,B11))</f>
        <v/>
      </c>
      <c r="H11" s="36" t="str">
        <f aca="false">IF(B11="","",E11+G11-F11)</f>
        <v/>
      </c>
      <c r="I11" s="46" t="str">
        <f aca="false">IF(B11="","",IF(COUNTIF(Vendas!$C$5:$C$3004,B11)=0,"",_xlfn.MAXIFS(Vendas!$B$5:$B$3004,Vendas!$C$5:$C$3004,B11)))</f>
        <v/>
      </c>
      <c r="J11" s="39" t="str">
        <f aca="false">IF(B11="","",IF(H11&gt;0.005,"Deve",IF(H11&lt;-0.005,"Tem crédito",IF(E11&gt;0,"Em dia","Ainda não comprou"))))</f>
        <v/>
      </c>
    </row>
    <row r="12" customFormat="false" ht="21" hidden="false" customHeight="true" outlineLevel="0" collapsed="false">
      <c r="B12" s="9"/>
      <c r="C12" s="45"/>
      <c r="D12" s="9"/>
      <c r="E12" s="27" t="str">
        <f aca="false">IF(B12="","",SUMIFS(Vendas!$G$5:$G$3004,Vendas!$C$5:$C$3004,B12))</f>
        <v/>
      </c>
      <c r="F12" s="27" t="str">
        <f aca="false">IF(B12="","",SUMIFS(Recebi!$D$5:$D$3004,Recebi!$C$5:$C$3004,B12)+SUMIFS(Vendas!$G$5:$G$3004,Vendas!$C$5:$C$3004,B12,Vendas!$J$5:$J$3004,"Sim"))</f>
        <v/>
      </c>
      <c r="G12" s="27" t="str">
        <f aca="false">IF(B12="","",SUMIFS(Acertos!$D$5:$D$504,Acertos!$C$5:$C$504,B12))</f>
        <v/>
      </c>
      <c r="H12" s="36" t="str">
        <f aca="false">IF(B12="","",E12+G12-F12)</f>
        <v/>
      </c>
      <c r="I12" s="46" t="str">
        <f aca="false">IF(B12="","",IF(COUNTIF(Vendas!$C$5:$C$3004,B12)=0,"",_xlfn.MAXIFS(Vendas!$B$5:$B$3004,Vendas!$C$5:$C$3004,B12)))</f>
        <v/>
      </c>
      <c r="J12" s="39" t="str">
        <f aca="false">IF(B12="","",IF(H12&gt;0.005,"Deve",IF(H12&lt;-0.005,"Tem crédito",IF(E12&gt;0,"Em dia","Ainda não comprou"))))</f>
        <v/>
      </c>
    </row>
    <row r="13" customFormat="false" ht="21" hidden="false" customHeight="true" outlineLevel="0" collapsed="false">
      <c r="B13" s="9"/>
      <c r="C13" s="45"/>
      <c r="D13" s="9"/>
      <c r="E13" s="27" t="str">
        <f aca="false">IF(B13="","",SUMIFS(Vendas!$G$5:$G$3004,Vendas!$C$5:$C$3004,B13))</f>
        <v/>
      </c>
      <c r="F13" s="27" t="str">
        <f aca="false">IF(B13="","",SUMIFS(Recebi!$D$5:$D$3004,Recebi!$C$5:$C$3004,B13)+SUMIFS(Vendas!$G$5:$G$3004,Vendas!$C$5:$C$3004,B13,Vendas!$J$5:$J$3004,"Sim"))</f>
        <v/>
      </c>
      <c r="G13" s="27" t="str">
        <f aca="false">IF(B13="","",SUMIFS(Acertos!$D$5:$D$504,Acertos!$C$5:$C$504,B13))</f>
        <v/>
      </c>
      <c r="H13" s="36" t="str">
        <f aca="false">IF(B13="","",E13+G13-F13)</f>
        <v/>
      </c>
      <c r="I13" s="46" t="str">
        <f aca="false">IF(B13="","",IF(COUNTIF(Vendas!$C$5:$C$3004,B13)=0,"",_xlfn.MAXIFS(Vendas!$B$5:$B$3004,Vendas!$C$5:$C$3004,B13)))</f>
        <v/>
      </c>
      <c r="J13" s="39" t="str">
        <f aca="false">IF(B13="","",IF(H13&gt;0.005,"Deve",IF(H13&lt;-0.005,"Tem crédito",IF(E13&gt;0,"Em dia","Ainda não comprou"))))</f>
        <v/>
      </c>
    </row>
    <row r="14" customFormat="false" ht="21" hidden="false" customHeight="true" outlineLevel="0" collapsed="false">
      <c r="B14" s="9"/>
      <c r="C14" s="45"/>
      <c r="D14" s="9"/>
      <c r="E14" s="27" t="str">
        <f aca="false">IF(B14="","",SUMIFS(Vendas!$G$5:$G$3004,Vendas!$C$5:$C$3004,B14))</f>
        <v/>
      </c>
      <c r="F14" s="27" t="str">
        <f aca="false">IF(B14="","",SUMIFS(Recebi!$D$5:$D$3004,Recebi!$C$5:$C$3004,B14)+SUMIFS(Vendas!$G$5:$G$3004,Vendas!$C$5:$C$3004,B14,Vendas!$J$5:$J$3004,"Sim"))</f>
        <v/>
      </c>
      <c r="G14" s="27" t="str">
        <f aca="false">IF(B14="","",SUMIFS(Acertos!$D$5:$D$504,Acertos!$C$5:$C$504,B14))</f>
        <v/>
      </c>
      <c r="H14" s="36" t="str">
        <f aca="false">IF(B14="","",E14+G14-F14)</f>
        <v/>
      </c>
      <c r="I14" s="46" t="str">
        <f aca="false">IF(B14="","",IF(COUNTIF(Vendas!$C$5:$C$3004,B14)=0,"",_xlfn.MAXIFS(Vendas!$B$5:$B$3004,Vendas!$C$5:$C$3004,B14)))</f>
        <v/>
      </c>
      <c r="J14" s="39" t="str">
        <f aca="false">IF(B14="","",IF(H14&gt;0.005,"Deve",IF(H14&lt;-0.005,"Tem crédito",IF(E14&gt;0,"Em dia","Ainda não comprou"))))</f>
        <v/>
      </c>
    </row>
    <row r="15" customFormat="false" ht="21" hidden="false" customHeight="true" outlineLevel="0" collapsed="false">
      <c r="B15" s="9"/>
      <c r="C15" s="45"/>
      <c r="D15" s="9"/>
      <c r="E15" s="27" t="str">
        <f aca="false">IF(B15="","",SUMIFS(Vendas!$G$5:$G$3004,Vendas!$C$5:$C$3004,B15))</f>
        <v/>
      </c>
      <c r="F15" s="27" t="str">
        <f aca="false">IF(B15="","",SUMIFS(Recebi!$D$5:$D$3004,Recebi!$C$5:$C$3004,B15)+SUMIFS(Vendas!$G$5:$G$3004,Vendas!$C$5:$C$3004,B15,Vendas!$J$5:$J$3004,"Sim"))</f>
        <v/>
      </c>
      <c r="G15" s="27" t="str">
        <f aca="false">IF(B15="","",SUMIFS(Acertos!$D$5:$D$504,Acertos!$C$5:$C$504,B15))</f>
        <v/>
      </c>
      <c r="H15" s="36" t="str">
        <f aca="false">IF(B15="","",E15+G15-F15)</f>
        <v/>
      </c>
      <c r="I15" s="46" t="str">
        <f aca="false">IF(B15="","",IF(COUNTIF(Vendas!$C$5:$C$3004,B15)=0,"",_xlfn.MAXIFS(Vendas!$B$5:$B$3004,Vendas!$C$5:$C$3004,B15)))</f>
        <v/>
      </c>
      <c r="J15" s="39" t="str">
        <f aca="false">IF(B15="","",IF(H15&gt;0.005,"Deve",IF(H15&lt;-0.005,"Tem crédito",IF(E15&gt;0,"Em dia","Ainda não comprou"))))</f>
        <v/>
      </c>
    </row>
    <row r="16" customFormat="false" ht="21" hidden="false" customHeight="true" outlineLevel="0" collapsed="false">
      <c r="B16" s="9"/>
      <c r="C16" s="45"/>
      <c r="D16" s="9"/>
      <c r="E16" s="27" t="str">
        <f aca="false">IF(B16="","",SUMIFS(Vendas!$G$5:$G$3004,Vendas!$C$5:$C$3004,B16))</f>
        <v/>
      </c>
      <c r="F16" s="27" t="str">
        <f aca="false">IF(B16="","",SUMIFS(Recebi!$D$5:$D$3004,Recebi!$C$5:$C$3004,B16)+SUMIFS(Vendas!$G$5:$G$3004,Vendas!$C$5:$C$3004,B16,Vendas!$J$5:$J$3004,"Sim"))</f>
        <v/>
      </c>
      <c r="G16" s="27" t="str">
        <f aca="false">IF(B16="","",SUMIFS(Acertos!$D$5:$D$504,Acertos!$C$5:$C$504,B16))</f>
        <v/>
      </c>
      <c r="H16" s="36" t="str">
        <f aca="false">IF(B16="","",E16+G16-F16)</f>
        <v/>
      </c>
      <c r="I16" s="46" t="str">
        <f aca="false">IF(B16="","",IF(COUNTIF(Vendas!$C$5:$C$3004,B16)=0,"",_xlfn.MAXIFS(Vendas!$B$5:$B$3004,Vendas!$C$5:$C$3004,B16)))</f>
        <v/>
      </c>
      <c r="J16" s="39" t="str">
        <f aca="false">IF(B16="","",IF(H16&gt;0.005,"Deve",IF(H16&lt;-0.005,"Tem crédito",IF(E16&gt;0,"Em dia","Ainda não comprou"))))</f>
        <v/>
      </c>
    </row>
    <row r="17" customFormat="false" ht="21" hidden="false" customHeight="true" outlineLevel="0" collapsed="false">
      <c r="B17" s="9"/>
      <c r="C17" s="45"/>
      <c r="D17" s="9"/>
      <c r="E17" s="27" t="str">
        <f aca="false">IF(B17="","",SUMIFS(Vendas!$G$5:$G$3004,Vendas!$C$5:$C$3004,B17))</f>
        <v/>
      </c>
      <c r="F17" s="27" t="str">
        <f aca="false">IF(B17="","",SUMIFS(Recebi!$D$5:$D$3004,Recebi!$C$5:$C$3004,B17)+SUMIFS(Vendas!$G$5:$G$3004,Vendas!$C$5:$C$3004,B17,Vendas!$J$5:$J$3004,"Sim"))</f>
        <v/>
      </c>
      <c r="G17" s="27" t="str">
        <f aca="false">IF(B17="","",SUMIFS(Acertos!$D$5:$D$504,Acertos!$C$5:$C$504,B17))</f>
        <v/>
      </c>
      <c r="H17" s="36" t="str">
        <f aca="false">IF(B17="","",E17+G17-F17)</f>
        <v/>
      </c>
      <c r="I17" s="46" t="str">
        <f aca="false">IF(B17="","",IF(COUNTIF(Vendas!$C$5:$C$3004,B17)=0,"",_xlfn.MAXIFS(Vendas!$B$5:$B$3004,Vendas!$C$5:$C$3004,B17)))</f>
        <v/>
      </c>
      <c r="J17" s="39" t="str">
        <f aca="false">IF(B17="","",IF(H17&gt;0.005,"Deve",IF(H17&lt;-0.005,"Tem crédito",IF(E17&gt;0,"Em dia","Ainda não comprou"))))</f>
        <v/>
      </c>
    </row>
    <row r="18" customFormat="false" ht="21" hidden="false" customHeight="true" outlineLevel="0" collapsed="false">
      <c r="B18" s="9"/>
      <c r="C18" s="45"/>
      <c r="D18" s="9"/>
      <c r="E18" s="27" t="str">
        <f aca="false">IF(B18="","",SUMIFS(Vendas!$G$5:$G$3004,Vendas!$C$5:$C$3004,B18))</f>
        <v/>
      </c>
      <c r="F18" s="27" t="str">
        <f aca="false">IF(B18="","",SUMIFS(Recebi!$D$5:$D$3004,Recebi!$C$5:$C$3004,B18)+SUMIFS(Vendas!$G$5:$G$3004,Vendas!$C$5:$C$3004,B18,Vendas!$J$5:$J$3004,"Sim"))</f>
        <v/>
      </c>
      <c r="G18" s="27" t="str">
        <f aca="false">IF(B18="","",SUMIFS(Acertos!$D$5:$D$504,Acertos!$C$5:$C$504,B18))</f>
        <v/>
      </c>
      <c r="H18" s="36" t="str">
        <f aca="false">IF(B18="","",E18+G18-F18)</f>
        <v/>
      </c>
      <c r="I18" s="46" t="str">
        <f aca="false">IF(B18="","",IF(COUNTIF(Vendas!$C$5:$C$3004,B18)=0,"",_xlfn.MAXIFS(Vendas!$B$5:$B$3004,Vendas!$C$5:$C$3004,B18)))</f>
        <v/>
      </c>
      <c r="J18" s="39" t="str">
        <f aca="false">IF(B18="","",IF(H18&gt;0.005,"Deve",IF(H18&lt;-0.005,"Tem crédito",IF(E18&gt;0,"Em dia","Ainda não comprou"))))</f>
        <v/>
      </c>
    </row>
    <row r="19" customFormat="false" ht="21" hidden="false" customHeight="true" outlineLevel="0" collapsed="false">
      <c r="B19" s="9"/>
      <c r="C19" s="45"/>
      <c r="D19" s="9"/>
      <c r="E19" s="27" t="str">
        <f aca="false">IF(B19="","",SUMIFS(Vendas!$G$5:$G$3004,Vendas!$C$5:$C$3004,B19))</f>
        <v/>
      </c>
      <c r="F19" s="27" t="str">
        <f aca="false">IF(B19="","",SUMIFS(Recebi!$D$5:$D$3004,Recebi!$C$5:$C$3004,B19)+SUMIFS(Vendas!$G$5:$G$3004,Vendas!$C$5:$C$3004,B19,Vendas!$J$5:$J$3004,"Sim"))</f>
        <v/>
      </c>
      <c r="G19" s="27" t="str">
        <f aca="false">IF(B19="","",SUMIFS(Acertos!$D$5:$D$504,Acertos!$C$5:$C$504,B19))</f>
        <v/>
      </c>
      <c r="H19" s="36" t="str">
        <f aca="false">IF(B19="","",E19+G19-F19)</f>
        <v/>
      </c>
      <c r="I19" s="46" t="str">
        <f aca="false">IF(B19="","",IF(COUNTIF(Vendas!$C$5:$C$3004,B19)=0,"",_xlfn.MAXIFS(Vendas!$B$5:$B$3004,Vendas!$C$5:$C$3004,B19)))</f>
        <v/>
      </c>
      <c r="J19" s="39" t="str">
        <f aca="false">IF(B19="","",IF(H19&gt;0.005,"Deve",IF(H19&lt;-0.005,"Tem crédito",IF(E19&gt;0,"Em dia","Ainda não comprou"))))</f>
        <v/>
      </c>
    </row>
    <row r="20" customFormat="false" ht="21" hidden="false" customHeight="true" outlineLevel="0" collapsed="false">
      <c r="B20" s="9"/>
      <c r="C20" s="45"/>
      <c r="D20" s="9"/>
      <c r="E20" s="27" t="str">
        <f aca="false">IF(B20="","",SUMIFS(Vendas!$G$5:$G$3004,Vendas!$C$5:$C$3004,B20))</f>
        <v/>
      </c>
      <c r="F20" s="27" t="str">
        <f aca="false">IF(B20="","",SUMIFS(Recebi!$D$5:$D$3004,Recebi!$C$5:$C$3004,B20)+SUMIFS(Vendas!$G$5:$G$3004,Vendas!$C$5:$C$3004,B20,Vendas!$J$5:$J$3004,"Sim"))</f>
        <v/>
      </c>
      <c r="G20" s="27" t="str">
        <f aca="false">IF(B20="","",SUMIFS(Acertos!$D$5:$D$504,Acertos!$C$5:$C$504,B20))</f>
        <v/>
      </c>
      <c r="H20" s="36" t="str">
        <f aca="false">IF(B20="","",E20+G20-F20)</f>
        <v/>
      </c>
      <c r="I20" s="46" t="str">
        <f aca="false">IF(B20="","",IF(COUNTIF(Vendas!$C$5:$C$3004,B20)=0,"",_xlfn.MAXIFS(Vendas!$B$5:$B$3004,Vendas!$C$5:$C$3004,B20)))</f>
        <v/>
      </c>
      <c r="J20" s="39" t="str">
        <f aca="false">IF(B20="","",IF(H20&gt;0.005,"Deve",IF(H20&lt;-0.005,"Tem crédito",IF(E20&gt;0,"Em dia","Ainda não comprou"))))</f>
        <v/>
      </c>
    </row>
    <row r="21" customFormat="false" ht="21" hidden="false" customHeight="true" outlineLevel="0" collapsed="false">
      <c r="B21" s="9"/>
      <c r="C21" s="45"/>
      <c r="D21" s="9"/>
      <c r="E21" s="27" t="str">
        <f aca="false">IF(B21="","",SUMIFS(Vendas!$G$5:$G$3004,Vendas!$C$5:$C$3004,B21))</f>
        <v/>
      </c>
      <c r="F21" s="27" t="str">
        <f aca="false">IF(B21="","",SUMIFS(Recebi!$D$5:$D$3004,Recebi!$C$5:$C$3004,B21)+SUMIFS(Vendas!$G$5:$G$3004,Vendas!$C$5:$C$3004,B21,Vendas!$J$5:$J$3004,"Sim"))</f>
        <v/>
      </c>
      <c r="G21" s="27" t="str">
        <f aca="false">IF(B21="","",SUMIFS(Acertos!$D$5:$D$504,Acertos!$C$5:$C$504,B21))</f>
        <v/>
      </c>
      <c r="H21" s="36" t="str">
        <f aca="false">IF(B21="","",E21+G21-F21)</f>
        <v/>
      </c>
      <c r="I21" s="46" t="str">
        <f aca="false">IF(B21="","",IF(COUNTIF(Vendas!$C$5:$C$3004,B21)=0,"",_xlfn.MAXIFS(Vendas!$B$5:$B$3004,Vendas!$C$5:$C$3004,B21)))</f>
        <v/>
      </c>
      <c r="J21" s="39" t="str">
        <f aca="false">IF(B21="","",IF(H21&gt;0.005,"Deve",IF(H21&lt;-0.005,"Tem crédito",IF(E21&gt;0,"Em dia","Ainda não comprou"))))</f>
        <v/>
      </c>
    </row>
    <row r="22" customFormat="false" ht="21" hidden="false" customHeight="true" outlineLevel="0" collapsed="false">
      <c r="B22" s="9"/>
      <c r="C22" s="45"/>
      <c r="D22" s="9"/>
      <c r="E22" s="27" t="str">
        <f aca="false">IF(B22="","",SUMIFS(Vendas!$G$5:$G$3004,Vendas!$C$5:$C$3004,B22))</f>
        <v/>
      </c>
      <c r="F22" s="27" t="str">
        <f aca="false">IF(B22="","",SUMIFS(Recebi!$D$5:$D$3004,Recebi!$C$5:$C$3004,B22)+SUMIFS(Vendas!$G$5:$G$3004,Vendas!$C$5:$C$3004,B22,Vendas!$J$5:$J$3004,"Sim"))</f>
        <v/>
      </c>
      <c r="G22" s="27" t="str">
        <f aca="false">IF(B22="","",SUMIFS(Acertos!$D$5:$D$504,Acertos!$C$5:$C$504,B22))</f>
        <v/>
      </c>
      <c r="H22" s="36" t="str">
        <f aca="false">IF(B22="","",E22+G22-F22)</f>
        <v/>
      </c>
      <c r="I22" s="46" t="str">
        <f aca="false">IF(B22="","",IF(COUNTIF(Vendas!$C$5:$C$3004,B22)=0,"",_xlfn.MAXIFS(Vendas!$B$5:$B$3004,Vendas!$C$5:$C$3004,B22)))</f>
        <v/>
      </c>
      <c r="J22" s="39" t="str">
        <f aca="false">IF(B22="","",IF(H22&gt;0.005,"Deve",IF(H22&lt;-0.005,"Tem crédito",IF(E22&gt;0,"Em dia","Ainda não comprou"))))</f>
        <v/>
      </c>
    </row>
    <row r="23" customFormat="false" ht="21" hidden="false" customHeight="true" outlineLevel="0" collapsed="false">
      <c r="B23" s="9"/>
      <c r="C23" s="45"/>
      <c r="D23" s="9"/>
      <c r="E23" s="27" t="str">
        <f aca="false">IF(B23="","",SUMIFS(Vendas!$G$5:$G$3004,Vendas!$C$5:$C$3004,B23))</f>
        <v/>
      </c>
      <c r="F23" s="27" t="str">
        <f aca="false">IF(B23="","",SUMIFS(Recebi!$D$5:$D$3004,Recebi!$C$5:$C$3004,B23)+SUMIFS(Vendas!$G$5:$G$3004,Vendas!$C$5:$C$3004,B23,Vendas!$J$5:$J$3004,"Sim"))</f>
        <v/>
      </c>
      <c r="G23" s="27" t="str">
        <f aca="false">IF(B23="","",SUMIFS(Acertos!$D$5:$D$504,Acertos!$C$5:$C$504,B23))</f>
        <v/>
      </c>
      <c r="H23" s="36" t="str">
        <f aca="false">IF(B23="","",E23+G23-F23)</f>
        <v/>
      </c>
      <c r="I23" s="46" t="str">
        <f aca="false">IF(B23="","",IF(COUNTIF(Vendas!$C$5:$C$3004,B23)=0,"",_xlfn.MAXIFS(Vendas!$B$5:$B$3004,Vendas!$C$5:$C$3004,B23)))</f>
        <v/>
      </c>
      <c r="J23" s="39" t="str">
        <f aca="false">IF(B23="","",IF(H23&gt;0.005,"Deve",IF(H23&lt;-0.005,"Tem crédito",IF(E23&gt;0,"Em dia","Ainda não comprou"))))</f>
        <v/>
      </c>
    </row>
    <row r="24" customFormat="false" ht="21" hidden="false" customHeight="true" outlineLevel="0" collapsed="false">
      <c r="B24" s="9"/>
      <c r="C24" s="45"/>
      <c r="D24" s="9"/>
      <c r="E24" s="27" t="str">
        <f aca="false">IF(B24="","",SUMIFS(Vendas!$G$5:$G$3004,Vendas!$C$5:$C$3004,B24))</f>
        <v/>
      </c>
      <c r="F24" s="27" t="str">
        <f aca="false">IF(B24="","",SUMIFS(Recebi!$D$5:$D$3004,Recebi!$C$5:$C$3004,B24)+SUMIFS(Vendas!$G$5:$G$3004,Vendas!$C$5:$C$3004,B24,Vendas!$J$5:$J$3004,"Sim"))</f>
        <v/>
      </c>
      <c r="G24" s="27" t="str">
        <f aca="false">IF(B24="","",SUMIFS(Acertos!$D$5:$D$504,Acertos!$C$5:$C$504,B24))</f>
        <v/>
      </c>
      <c r="H24" s="36" t="str">
        <f aca="false">IF(B24="","",E24+G24-F24)</f>
        <v/>
      </c>
      <c r="I24" s="46" t="str">
        <f aca="false">IF(B24="","",IF(COUNTIF(Vendas!$C$5:$C$3004,B24)=0,"",_xlfn.MAXIFS(Vendas!$B$5:$B$3004,Vendas!$C$5:$C$3004,B24)))</f>
        <v/>
      </c>
      <c r="J24" s="39" t="str">
        <f aca="false">IF(B24="","",IF(H24&gt;0.005,"Deve",IF(H24&lt;-0.005,"Tem crédito",IF(E24&gt;0,"Em dia","Ainda não comprou"))))</f>
        <v/>
      </c>
    </row>
    <row r="25" customFormat="false" ht="21" hidden="false" customHeight="true" outlineLevel="0" collapsed="false">
      <c r="B25" s="9"/>
      <c r="C25" s="45"/>
      <c r="D25" s="9"/>
      <c r="E25" s="27" t="str">
        <f aca="false">IF(B25="","",SUMIFS(Vendas!$G$5:$G$3004,Vendas!$C$5:$C$3004,B25))</f>
        <v/>
      </c>
      <c r="F25" s="27" t="str">
        <f aca="false">IF(B25="","",SUMIFS(Recebi!$D$5:$D$3004,Recebi!$C$5:$C$3004,B25)+SUMIFS(Vendas!$G$5:$G$3004,Vendas!$C$5:$C$3004,B25,Vendas!$J$5:$J$3004,"Sim"))</f>
        <v/>
      </c>
      <c r="G25" s="27" t="str">
        <f aca="false">IF(B25="","",SUMIFS(Acertos!$D$5:$D$504,Acertos!$C$5:$C$504,B25))</f>
        <v/>
      </c>
      <c r="H25" s="36" t="str">
        <f aca="false">IF(B25="","",E25+G25-F25)</f>
        <v/>
      </c>
      <c r="I25" s="46" t="str">
        <f aca="false">IF(B25="","",IF(COUNTIF(Vendas!$C$5:$C$3004,B25)=0,"",_xlfn.MAXIFS(Vendas!$B$5:$B$3004,Vendas!$C$5:$C$3004,B25)))</f>
        <v/>
      </c>
      <c r="J25" s="39" t="str">
        <f aca="false">IF(B25="","",IF(H25&gt;0.005,"Deve",IF(H25&lt;-0.005,"Tem crédito",IF(E25&gt;0,"Em dia","Ainda não comprou"))))</f>
        <v/>
      </c>
    </row>
    <row r="26" customFormat="false" ht="21" hidden="false" customHeight="true" outlineLevel="0" collapsed="false">
      <c r="B26" s="9"/>
      <c r="C26" s="45"/>
      <c r="D26" s="9"/>
      <c r="E26" s="27" t="str">
        <f aca="false">IF(B26="","",SUMIFS(Vendas!$G$5:$G$3004,Vendas!$C$5:$C$3004,B26))</f>
        <v/>
      </c>
      <c r="F26" s="27" t="str">
        <f aca="false">IF(B26="","",SUMIFS(Recebi!$D$5:$D$3004,Recebi!$C$5:$C$3004,B26)+SUMIFS(Vendas!$G$5:$G$3004,Vendas!$C$5:$C$3004,B26,Vendas!$J$5:$J$3004,"Sim"))</f>
        <v/>
      </c>
      <c r="G26" s="27" t="str">
        <f aca="false">IF(B26="","",SUMIFS(Acertos!$D$5:$D$504,Acertos!$C$5:$C$504,B26))</f>
        <v/>
      </c>
      <c r="H26" s="36" t="str">
        <f aca="false">IF(B26="","",E26+G26-F26)</f>
        <v/>
      </c>
      <c r="I26" s="46" t="str">
        <f aca="false">IF(B26="","",IF(COUNTIF(Vendas!$C$5:$C$3004,B26)=0,"",_xlfn.MAXIFS(Vendas!$B$5:$B$3004,Vendas!$C$5:$C$3004,B26)))</f>
        <v/>
      </c>
      <c r="J26" s="39" t="str">
        <f aca="false">IF(B26="","",IF(H26&gt;0.005,"Deve",IF(H26&lt;-0.005,"Tem crédito",IF(E26&gt;0,"Em dia","Ainda não comprou"))))</f>
        <v/>
      </c>
    </row>
    <row r="27" customFormat="false" ht="21" hidden="false" customHeight="true" outlineLevel="0" collapsed="false">
      <c r="B27" s="9"/>
      <c r="C27" s="45"/>
      <c r="D27" s="9"/>
      <c r="E27" s="27" t="str">
        <f aca="false">IF(B27="","",SUMIFS(Vendas!$G$5:$G$3004,Vendas!$C$5:$C$3004,B27))</f>
        <v/>
      </c>
      <c r="F27" s="27" t="str">
        <f aca="false">IF(B27="","",SUMIFS(Recebi!$D$5:$D$3004,Recebi!$C$5:$C$3004,B27)+SUMIFS(Vendas!$G$5:$G$3004,Vendas!$C$5:$C$3004,B27,Vendas!$J$5:$J$3004,"Sim"))</f>
        <v/>
      </c>
      <c r="G27" s="27" t="str">
        <f aca="false">IF(B27="","",SUMIFS(Acertos!$D$5:$D$504,Acertos!$C$5:$C$504,B27))</f>
        <v/>
      </c>
      <c r="H27" s="36" t="str">
        <f aca="false">IF(B27="","",E27+G27-F27)</f>
        <v/>
      </c>
      <c r="I27" s="46" t="str">
        <f aca="false">IF(B27="","",IF(COUNTIF(Vendas!$C$5:$C$3004,B27)=0,"",_xlfn.MAXIFS(Vendas!$B$5:$B$3004,Vendas!$C$5:$C$3004,B27)))</f>
        <v/>
      </c>
      <c r="J27" s="39" t="str">
        <f aca="false">IF(B27="","",IF(H27&gt;0.005,"Deve",IF(H27&lt;-0.005,"Tem crédito",IF(E27&gt;0,"Em dia","Ainda não comprou"))))</f>
        <v/>
      </c>
    </row>
    <row r="28" customFormat="false" ht="21" hidden="false" customHeight="true" outlineLevel="0" collapsed="false">
      <c r="B28" s="9"/>
      <c r="C28" s="45"/>
      <c r="D28" s="9"/>
      <c r="E28" s="27" t="str">
        <f aca="false">IF(B28="","",SUMIFS(Vendas!$G$5:$G$3004,Vendas!$C$5:$C$3004,B28))</f>
        <v/>
      </c>
      <c r="F28" s="27" t="str">
        <f aca="false">IF(B28="","",SUMIFS(Recebi!$D$5:$D$3004,Recebi!$C$5:$C$3004,B28)+SUMIFS(Vendas!$G$5:$G$3004,Vendas!$C$5:$C$3004,B28,Vendas!$J$5:$J$3004,"Sim"))</f>
        <v/>
      </c>
      <c r="G28" s="27" t="str">
        <f aca="false">IF(B28="","",SUMIFS(Acertos!$D$5:$D$504,Acertos!$C$5:$C$504,B28))</f>
        <v/>
      </c>
      <c r="H28" s="36" t="str">
        <f aca="false">IF(B28="","",E28+G28-F28)</f>
        <v/>
      </c>
      <c r="I28" s="46" t="str">
        <f aca="false">IF(B28="","",IF(COUNTIF(Vendas!$C$5:$C$3004,B28)=0,"",_xlfn.MAXIFS(Vendas!$B$5:$B$3004,Vendas!$C$5:$C$3004,B28)))</f>
        <v/>
      </c>
      <c r="J28" s="39" t="str">
        <f aca="false">IF(B28="","",IF(H28&gt;0.005,"Deve",IF(H28&lt;-0.005,"Tem crédito",IF(E28&gt;0,"Em dia","Ainda não comprou"))))</f>
        <v/>
      </c>
    </row>
    <row r="29" customFormat="false" ht="21" hidden="false" customHeight="true" outlineLevel="0" collapsed="false">
      <c r="B29" s="9"/>
      <c r="C29" s="45"/>
      <c r="D29" s="9"/>
      <c r="E29" s="27" t="str">
        <f aca="false">IF(B29="","",SUMIFS(Vendas!$G$5:$G$3004,Vendas!$C$5:$C$3004,B29))</f>
        <v/>
      </c>
      <c r="F29" s="27" t="str">
        <f aca="false">IF(B29="","",SUMIFS(Recebi!$D$5:$D$3004,Recebi!$C$5:$C$3004,B29)+SUMIFS(Vendas!$G$5:$G$3004,Vendas!$C$5:$C$3004,B29,Vendas!$J$5:$J$3004,"Sim"))</f>
        <v/>
      </c>
      <c r="G29" s="27" t="str">
        <f aca="false">IF(B29="","",SUMIFS(Acertos!$D$5:$D$504,Acertos!$C$5:$C$504,B29))</f>
        <v/>
      </c>
      <c r="H29" s="36" t="str">
        <f aca="false">IF(B29="","",E29+G29-F29)</f>
        <v/>
      </c>
      <c r="I29" s="46" t="str">
        <f aca="false">IF(B29="","",IF(COUNTIF(Vendas!$C$5:$C$3004,B29)=0,"",_xlfn.MAXIFS(Vendas!$B$5:$B$3004,Vendas!$C$5:$C$3004,B29)))</f>
        <v/>
      </c>
      <c r="J29" s="39" t="str">
        <f aca="false">IF(B29="","",IF(H29&gt;0.005,"Deve",IF(H29&lt;-0.005,"Tem crédito",IF(E29&gt;0,"Em dia","Ainda não comprou"))))</f>
        <v/>
      </c>
    </row>
    <row r="30" customFormat="false" ht="21" hidden="false" customHeight="true" outlineLevel="0" collapsed="false">
      <c r="B30" s="9"/>
      <c r="C30" s="45"/>
      <c r="D30" s="9"/>
      <c r="E30" s="27" t="str">
        <f aca="false">IF(B30="","",SUMIFS(Vendas!$G$5:$G$3004,Vendas!$C$5:$C$3004,B30))</f>
        <v/>
      </c>
      <c r="F30" s="27" t="str">
        <f aca="false">IF(B30="","",SUMIFS(Recebi!$D$5:$D$3004,Recebi!$C$5:$C$3004,B30)+SUMIFS(Vendas!$G$5:$G$3004,Vendas!$C$5:$C$3004,B30,Vendas!$J$5:$J$3004,"Sim"))</f>
        <v/>
      </c>
      <c r="G30" s="27" t="str">
        <f aca="false">IF(B30="","",SUMIFS(Acertos!$D$5:$D$504,Acertos!$C$5:$C$504,B30))</f>
        <v/>
      </c>
      <c r="H30" s="36" t="str">
        <f aca="false">IF(B30="","",E30+G30-F30)</f>
        <v/>
      </c>
      <c r="I30" s="46" t="str">
        <f aca="false">IF(B30="","",IF(COUNTIF(Vendas!$C$5:$C$3004,B30)=0,"",_xlfn.MAXIFS(Vendas!$B$5:$B$3004,Vendas!$C$5:$C$3004,B30)))</f>
        <v/>
      </c>
      <c r="J30" s="39" t="str">
        <f aca="false">IF(B30="","",IF(H30&gt;0.005,"Deve",IF(H30&lt;-0.005,"Tem crédito",IF(E30&gt;0,"Em dia","Ainda não comprou"))))</f>
        <v/>
      </c>
    </row>
    <row r="31" customFormat="false" ht="21" hidden="false" customHeight="true" outlineLevel="0" collapsed="false">
      <c r="B31" s="9"/>
      <c r="C31" s="45"/>
      <c r="D31" s="9"/>
      <c r="E31" s="27" t="str">
        <f aca="false">IF(B31="","",SUMIFS(Vendas!$G$5:$G$3004,Vendas!$C$5:$C$3004,B31))</f>
        <v/>
      </c>
      <c r="F31" s="27" t="str">
        <f aca="false">IF(B31="","",SUMIFS(Recebi!$D$5:$D$3004,Recebi!$C$5:$C$3004,B31)+SUMIFS(Vendas!$G$5:$G$3004,Vendas!$C$5:$C$3004,B31,Vendas!$J$5:$J$3004,"Sim"))</f>
        <v/>
      </c>
      <c r="G31" s="27" t="str">
        <f aca="false">IF(B31="","",SUMIFS(Acertos!$D$5:$D$504,Acertos!$C$5:$C$504,B31))</f>
        <v/>
      </c>
      <c r="H31" s="36" t="str">
        <f aca="false">IF(B31="","",E31+G31-F31)</f>
        <v/>
      </c>
      <c r="I31" s="46" t="str">
        <f aca="false">IF(B31="","",IF(COUNTIF(Vendas!$C$5:$C$3004,B31)=0,"",_xlfn.MAXIFS(Vendas!$B$5:$B$3004,Vendas!$C$5:$C$3004,B31)))</f>
        <v/>
      </c>
      <c r="J31" s="39" t="str">
        <f aca="false">IF(B31="","",IF(H31&gt;0.005,"Deve",IF(H31&lt;-0.005,"Tem crédito",IF(E31&gt;0,"Em dia","Ainda não comprou"))))</f>
        <v/>
      </c>
    </row>
    <row r="32" customFormat="false" ht="21" hidden="false" customHeight="true" outlineLevel="0" collapsed="false">
      <c r="B32" s="9"/>
      <c r="C32" s="45"/>
      <c r="D32" s="9"/>
      <c r="E32" s="27" t="str">
        <f aca="false">IF(B32="","",SUMIFS(Vendas!$G$5:$G$3004,Vendas!$C$5:$C$3004,B32))</f>
        <v/>
      </c>
      <c r="F32" s="27" t="str">
        <f aca="false">IF(B32="","",SUMIFS(Recebi!$D$5:$D$3004,Recebi!$C$5:$C$3004,B32)+SUMIFS(Vendas!$G$5:$G$3004,Vendas!$C$5:$C$3004,B32,Vendas!$J$5:$J$3004,"Sim"))</f>
        <v/>
      </c>
      <c r="G32" s="27" t="str">
        <f aca="false">IF(B32="","",SUMIFS(Acertos!$D$5:$D$504,Acertos!$C$5:$C$504,B32))</f>
        <v/>
      </c>
      <c r="H32" s="36" t="str">
        <f aca="false">IF(B32="","",E32+G32-F32)</f>
        <v/>
      </c>
      <c r="I32" s="46" t="str">
        <f aca="false">IF(B32="","",IF(COUNTIF(Vendas!$C$5:$C$3004,B32)=0,"",_xlfn.MAXIFS(Vendas!$B$5:$B$3004,Vendas!$C$5:$C$3004,B32)))</f>
        <v/>
      </c>
      <c r="J32" s="39" t="str">
        <f aca="false">IF(B32="","",IF(H32&gt;0.005,"Deve",IF(H32&lt;-0.005,"Tem crédito",IF(E32&gt;0,"Em dia","Ainda não comprou"))))</f>
        <v/>
      </c>
    </row>
    <row r="33" customFormat="false" ht="21" hidden="false" customHeight="true" outlineLevel="0" collapsed="false">
      <c r="B33" s="9"/>
      <c r="C33" s="45"/>
      <c r="D33" s="9"/>
      <c r="E33" s="27" t="str">
        <f aca="false">IF(B33="","",SUMIFS(Vendas!$G$5:$G$3004,Vendas!$C$5:$C$3004,B33))</f>
        <v/>
      </c>
      <c r="F33" s="27" t="str">
        <f aca="false">IF(B33="","",SUMIFS(Recebi!$D$5:$D$3004,Recebi!$C$5:$C$3004,B33)+SUMIFS(Vendas!$G$5:$G$3004,Vendas!$C$5:$C$3004,B33,Vendas!$J$5:$J$3004,"Sim"))</f>
        <v/>
      </c>
      <c r="G33" s="27" t="str">
        <f aca="false">IF(B33="","",SUMIFS(Acertos!$D$5:$D$504,Acertos!$C$5:$C$504,B33))</f>
        <v/>
      </c>
      <c r="H33" s="36" t="str">
        <f aca="false">IF(B33="","",E33+G33-F33)</f>
        <v/>
      </c>
      <c r="I33" s="46" t="str">
        <f aca="false">IF(B33="","",IF(COUNTIF(Vendas!$C$5:$C$3004,B33)=0,"",_xlfn.MAXIFS(Vendas!$B$5:$B$3004,Vendas!$C$5:$C$3004,B33)))</f>
        <v/>
      </c>
      <c r="J33" s="39" t="str">
        <f aca="false">IF(B33="","",IF(H33&gt;0.005,"Deve",IF(H33&lt;-0.005,"Tem crédito",IF(E33&gt;0,"Em dia","Ainda não comprou"))))</f>
        <v/>
      </c>
    </row>
    <row r="34" customFormat="false" ht="21" hidden="false" customHeight="true" outlineLevel="0" collapsed="false">
      <c r="B34" s="9"/>
      <c r="C34" s="45"/>
      <c r="D34" s="9"/>
      <c r="E34" s="27" t="str">
        <f aca="false">IF(B34="","",SUMIFS(Vendas!$G$5:$G$3004,Vendas!$C$5:$C$3004,B34))</f>
        <v/>
      </c>
      <c r="F34" s="27" t="str">
        <f aca="false">IF(B34="","",SUMIFS(Recebi!$D$5:$D$3004,Recebi!$C$5:$C$3004,B34)+SUMIFS(Vendas!$G$5:$G$3004,Vendas!$C$5:$C$3004,B34,Vendas!$J$5:$J$3004,"Sim"))</f>
        <v/>
      </c>
      <c r="G34" s="27" t="str">
        <f aca="false">IF(B34="","",SUMIFS(Acertos!$D$5:$D$504,Acertos!$C$5:$C$504,B34))</f>
        <v/>
      </c>
      <c r="H34" s="36" t="str">
        <f aca="false">IF(B34="","",E34+G34-F34)</f>
        <v/>
      </c>
      <c r="I34" s="46" t="str">
        <f aca="false">IF(B34="","",IF(COUNTIF(Vendas!$C$5:$C$3004,B34)=0,"",_xlfn.MAXIFS(Vendas!$B$5:$B$3004,Vendas!$C$5:$C$3004,B34)))</f>
        <v/>
      </c>
      <c r="J34" s="39" t="str">
        <f aca="false">IF(B34="","",IF(H34&gt;0.005,"Deve",IF(H34&lt;-0.005,"Tem crédito",IF(E34&gt;0,"Em dia","Ainda não comprou"))))</f>
        <v/>
      </c>
    </row>
    <row r="35" customFormat="false" ht="21" hidden="false" customHeight="true" outlineLevel="0" collapsed="false">
      <c r="B35" s="9"/>
      <c r="C35" s="45"/>
      <c r="D35" s="9"/>
      <c r="E35" s="27" t="str">
        <f aca="false">IF(B35="","",SUMIFS(Vendas!$G$5:$G$3004,Vendas!$C$5:$C$3004,B35))</f>
        <v/>
      </c>
      <c r="F35" s="27" t="str">
        <f aca="false">IF(B35="","",SUMIFS(Recebi!$D$5:$D$3004,Recebi!$C$5:$C$3004,B35)+SUMIFS(Vendas!$G$5:$G$3004,Vendas!$C$5:$C$3004,B35,Vendas!$J$5:$J$3004,"Sim"))</f>
        <v/>
      </c>
      <c r="G35" s="27" t="str">
        <f aca="false">IF(B35="","",SUMIFS(Acertos!$D$5:$D$504,Acertos!$C$5:$C$504,B35))</f>
        <v/>
      </c>
      <c r="H35" s="36" t="str">
        <f aca="false">IF(B35="","",E35+G35-F35)</f>
        <v/>
      </c>
      <c r="I35" s="46" t="str">
        <f aca="false">IF(B35="","",IF(COUNTIF(Vendas!$C$5:$C$3004,B35)=0,"",_xlfn.MAXIFS(Vendas!$B$5:$B$3004,Vendas!$C$5:$C$3004,B35)))</f>
        <v/>
      </c>
      <c r="J35" s="39" t="str">
        <f aca="false">IF(B35="","",IF(H35&gt;0.005,"Deve",IF(H35&lt;-0.005,"Tem crédito",IF(E35&gt;0,"Em dia","Ainda não comprou"))))</f>
        <v/>
      </c>
    </row>
    <row r="36" customFormat="false" ht="21" hidden="false" customHeight="true" outlineLevel="0" collapsed="false">
      <c r="B36" s="9"/>
      <c r="C36" s="45"/>
      <c r="D36" s="9"/>
      <c r="E36" s="27" t="str">
        <f aca="false">IF(B36="","",SUMIFS(Vendas!$G$5:$G$3004,Vendas!$C$5:$C$3004,B36))</f>
        <v/>
      </c>
      <c r="F36" s="27" t="str">
        <f aca="false">IF(B36="","",SUMIFS(Recebi!$D$5:$D$3004,Recebi!$C$5:$C$3004,B36)+SUMIFS(Vendas!$G$5:$G$3004,Vendas!$C$5:$C$3004,B36,Vendas!$J$5:$J$3004,"Sim"))</f>
        <v/>
      </c>
      <c r="G36" s="27" t="str">
        <f aca="false">IF(B36="","",SUMIFS(Acertos!$D$5:$D$504,Acertos!$C$5:$C$504,B36))</f>
        <v/>
      </c>
      <c r="H36" s="36" t="str">
        <f aca="false">IF(B36="","",E36+G36-F36)</f>
        <v/>
      </c>
      <c r="I36" s="46" t="str">
        <f aca="false">IF(B36="","",IF(COUNTIF(Vendas!$C$5:$C$3004,B36)=0,"",_xlfn.MAXIFS(Vendas!$B$5:$B$3004,Vendas!$C$5:$C$3004,B36)))</f>
        <v/>
      </c>
      <c r="J36" s="39" t="str">
        <f aca="false">IF(B36="","",IF(H36&gt;0.005,"Deve",IF(H36&lt;-0.005,"Tem crédito",IF(E36&gt;0,"Em dia","Ainda não comprou"))))</f>
        <v/>
      </c>
    </row>
    <row r="37" customFormat="false" ht="21" hidden="false" customHeight="true" outlineLevel="0" collapsed="false">
      <c r="B37" s="9"/>
      <c r="C37" s="45"/>
      <c r="D37" s="9"/>
      <c r="E37" s="27" t="str">
        <f aca="false">IF(B37="","",SUMIFS(Vendas!$G$5:$G$3004,Vendas!$C$5:$C$3004,B37))</f>
        <v/>
      </c>
      <c r="F37" s="27" t="str">
        <f aca="false">IF(B37="","",SUMIFS(Recebi!$D$5:$D$3004,Recebi!$C$5:$C$3004,B37)+SUMIFS(Vendas!$G$5:$G$3004,Vendas!$C$5:$C$3004,B37,Vendas!$J$5:$J$3004,"Sim"))</f>
        <v/>
      </c>
      <c r="G37" s="27" t="str">
        <f aca="false">IF(B37="","",SUMIFS(Acertos!$D$5:$D$504,Acertos!$C$5:$C$504,B37))</f>
        <v/>
      </c>
      <c r="H37" s="36" t="str">
        <f aca="false">IF(B37="","",E37+G37-F37)</f>
        <v/>
      </c>
      <c r="I37" s="46" t="str">
        <f aca="false">IF(B37="","",IF(COUNTIF(Vendas!$C$5:$C$3004,B37)=0,"",_xlfn.MAXIFS(Vendas!$B$5:$B$3004,Vendas!$C$5:$C$3004,B37)))</f>
        <v/>
      </c>
      <c r="J37" s="39" t="str">
        <f aca="false">IF(B37="","",IF(H37&gt;0.005,"Deve",IF(H37&lt;-0.005,"Tem crédito",IF(E37&gt;0,"Em dia","Ainda não comprou"))))</f>
        <v/>
      </c>
    </row>
    <row r="38" customFormat="false" ht="21" hidden="false" customHeight="true" outlineLevel="0" collapsed="false">
      <c r="B38" s="9"/>
      <c r="C38" s="45"/>
      <c r="D38" s="9"/>
      <c r="E38" s="27" t="str">
        <f aca="false">IF(B38="","",SUMIFS(Vendas!$G$5:$G$3004,Vendas!$C$5:$C$3004,B38))</f>
        <v/>
      </c>
      <c r="F38" s="27" t="str">
        <f aca="false">IF(B38="","",SUMIFS(Recebi!$D$5:$D$3004,Recebi!$C$5:$C$3004,B38)+SUMIFS(Vendas!$G$5:$G$3004,Vendas!$C$5:$C$3004,B38,Vendas!$J$5:$J$3004,"Sim"))</f>
        <v/>
      </c>
      <c r="G38" s="27" t="str">
        <f aca="false">IF(B38="","",SUMIFS(Acertos!$D$5:$D$504,Acertos!$C$5:$C$504,B38))</f>
        <v/>
      </c>
      <c r="H38" s="36" t="str">
        <f aca="false">IF(B38="","",E38+G38-F38)</f>
        <v/>
      </c>
      <c r="I38" s="46" t="str">
        <f aca="false">IF(B38="","",IF(COUNTIF(Vendas!$C$5:$C$3004,B38)=0,"",_xlfn.MAXIFS(Vendas!$B$5:$B$3004,Vendas!$C$5:$C$3004,B38)))</f>
        <v/>
      </c>
      <c r="J38" s="39" t="str">
        <f aca="false">IF(B38="","",IF(H38&gt;0.005,"Deve",IF(H38&lt;-0.005,"Tem crédito",IF(E38&gt;0,"Em dia","Ainda não comprou"))))</f>
        <v/>
      </c>
    </row>
    <row r="39" customFormat="false" ht="21" hidden="false" customHeight="true" outlineLevel="0" collapsed="false">
      <c r="B39" s="9"/>
      <c r="C39" s="45"/>
      <c r="D39" s="9"/>
      <c r="E39" s="27" t="str">
        <f aca="false">IF(B39="","",SUMIFS(Vendas!$G$5:$G$3004,Vendas!$C$5:$C$3004,B39))</f>
        <v/>
      </c>
      <c r="F39" s="27" t="str">
        <f aca="false">IF(B39="","",SUMIFS(Recebi!$D$5:$D$3004,Recebi!$C$5:$C$3004,B39)+SUMIFS(Vendas!$G$5:$G$3004,Vendas!$C$5:$C$3004,B39,Vendas!$J$5:$J$3004,"Sim"))</f>
        <v/>
      </c>
      <c r="G39" s="27" t="str">
        <f aca="false">IF(B39="","",SUMIFS(Acertos!$D$5:$D$504,Acertos!$C$5:$C$504,B39))</f>
        <v/>
      </c>
      <c r="H39" s="36" t="str">
        <f aca="false">IF(B39="","",E39+G39-F39)</f>
        <v/>
      </c>
      <c r="I39" s="46" t="str">
        <f aca="false">IF(B39="","",IF(COUNTIF(Vendas!$C$5:$C$3004,B39)=0,"",_xlfn.MAXIFS(Vendas!$B$5:$B$3004,Vendas!$C$5:$C$3004,B39)))</f>
        <v/>
      </c>
      <c r="J39" s="39" t="str">
        <f aca="false">IF(B39="","",IF(H39&gt;0.005,"Deve",IF(H39&lt;-0.005,"Tem crédito",IF(E39&gt;0,"Em dia","Ainda não comprou"))))</f>
        <v/>
      </c>
    </row>
    <row r="40" customFormat="false" ht="21" hidden="false" customHeight="true" outlineLevel="0" collapsed="false">
      <c r="B40" s="9"/>
      <c r="C40" s="45"/>
      <c r="D40" s="9"/>
      <c r="E40" s="27" t="str">
        <f aca="false">IF(B40="","",SUMIFS(Vendas!$G$5:$G$3004,Vendas!$C$5:$C$3004,B40))</f>
        <v/>
      </c>
      <c r="F40" s="27" t="str">
        <f aca="false">IF(B40="","",SUMIFS(Recebi!$D$5:$D$3004,Recebi!$C$5:$C$3004,B40)+SUMIFS(Vendas!$G$5:$G$3004,Vendas!$C$5:$C$3004,B40,Vendas!$J$5:$J$3004,"Sim"))</f>
        <v/>
      </c>
      <c r="G40" s="27" t="str">
        <f aca="false">IF(B40="","",SUMIFS(Acertos!$D$5:$D$504,Acertos!$C$5:$C$504,B40))</f>
        <v/>
      </c>
      <c r="H40" s="36" t="str">
        <f aca="false">IF(B40="","",E40+G40-F40)</f>
        <v/>
      </c>
      <c r="I40" s="46" t="str">
        <f aca="false">IF(B40="","",IF(COUNTIF(Vendas!$C$5:$C$3004,B40)=0,"",_xlfn.MAXIFS(Vendas!$B$5:$B$3004,Vendas!$C$5:$C$3004,B40)))</f>
        <v/>
      </c>
      <c r="J40" s="39" t="str">
        <f aca="false">IF(B40="","",IF(H40&gt;0.005,"Deve",IF(H40&lt;-0.005,"Tem crédito",IF(E40&gt;0,"Em dia","Ainda não comprou"))))</f>
        <v/>
      </c>
    </row>
    <row r="41" customFormat="false" ht="21" hidden="false" customHeight="true" outlineLevel="0" collapsed="false">
      <c r="B41" s="9"/>
      <c r="C41" s="45"/>
      <c r="D41" s="9"/>
      <c r="E41" s="27" t="str">
        <f aca="false">IF(B41="","",SUMIFS(Vendas!$G$5:$G$3004,Vendas!$C$5:$C$3004,B41))</f>
        <v/>
      </c>
      <c r="F41" s="27" t="str">
        <f aca="false">IF(B41="","",SUMIFS(Recebi!$D$5:$D$3004,Recebi!$C$5:$C$3004,B41)+SUMIFS(Vendas!$G$5:$G$3004,Vendas!$C$5:$C$3004,B41,Vendas!$J$5:$J$3004,"Sim"))</f>
        <v/>
      </c>
      <c r="G41" s="27" t="str">
        <f aca="false">IF(B41="","",SUMIFS(Acertos!$D$5:$D$504,Acertos!$C$5:$C$504,B41))</f>
        <v/>
      </c>
      <c r="H41" s="36" t="str">
        <f aca="false">IF(B41="","",E41+G41-F41)</f>
        <v/>
      </c>
      <c r="I41" s="46" t="str">
        <f aca="false">IF(B41="","",IF(COUNTIF(Vendas!$C$5:$C$3004,B41)=0,"",_xlfn.MAXIFS(Vendas!$B$5:$B$3004,Vendas!$C$5:$C$3004,B41)))</f>
        <v/>
      </c>
      <c r="J41" s="39" t="str">
        <f aca="false">IF(B41="","",IF(H41&gt;0.005,"Deve",IF(H41&lt;-0.005,"Tem crédito",IF(E41&gt;0,"Em dia","Ainda não comprou"))))</f>
        <v/>
      </c>
    </row>
    <row r="42" customFormat="false" ht="21" hidden="false" customHeight="true" outlineLevel="0" collapsed="false">
      <c r="B42" s="9"/>
      <c r="C42" s="45"/>
      <c r="D42" s="9"/>
      <c r="E42" s="27" t="str">
        <f aca="false">IF(B42="","",SUMIFS(Vendas!$G$5:$G$3004,Vendas!$C$5:$C$3004,B42))</f>
        <v/>
      </c>
      <c r="F42" s="27" t="str">
        <f aca="false">IF(B42="","",SUMIFS(Recebi!$D$5:$D$3004,Recebi!$C$5:$C$3004,B42)+SUMIFS(Vendas!$G$5:$G$3004,Vendas!$C$5:$C$3004,B42,Vendas!$J$5:$J$3004,"Sim"))</f>
        <v/>
      </c>
      <c r="G42" s="27" t="str">
        <f aca="false">IF(B42="","",SUMIFS(Acertos!$D$5:$D$504,Acertos!$C$5:$C$504,B42))</f>
        <v/>
      </c>
      <c r="H42" s="36" t="str">
        <f aca="false">IF(B42="","",E42+G42-F42)</f>
        <v/>
      </c>
      <c r="I42" s="46" t="str">
        <f aca="false">IF(B42="","",IF(COUNTIF(Vendas!$C$5:$C$3004,B42)=0,"",_xlfn.MAXIFS(Vendas!$B$5:$B$3004,Vendas!$C$5:$C$3004,B42)))</f>
        <v/>
      </c>
      <c r="J42" s="39" t="str">
        <f aca="false">IF(B42="","",IF(H42&gt;0.005,"Deve",IF(H42&lt;-0.005,"Tem crédito",IF(E42&gt;0,"Em dia","Ainda não comprou"))))</f>
        <v/>
      </c>
    </row>
    <row r="43" customFormat="false" ht="21" hidden="false" customHeight="true" outlineLevel="0" collapsed="false">
      <c r="B43" s="9"/>
      <c r="C43" s="45"/>
      <c r="D43" s="9"/>
      <c r="E43" s="27" t="str">
        <f aca="false">IF(B43="","",SUMIFS(Vendas!$G$5:$G$3004,Vendas!$C$5:$C$3004,B43))</f>
        <v/>
      </c>
      <c r="F43" s="27" t="str">
        <f aca="false">IF(B43="","",SUMIFS(Recebi!$D$5:$D$3004,Recebi!$C$5:$C$3004,B43)+SUMIFS(Vendas!$G$5:$G$3004,Vendas!$C$5:$C$3004,B43,Vendas!$J$5:$J$3004,"Sim"))</f>
        <v/>
      </c>
      <c r="G43" s="27" t="str">
        <f aca="false">IF(B43="","",SUMIFS(Acertos!$D$5:$D$504,Acertos!$C$5:$C$504,B43))</f>
        <v/>
      </c>
      <c r="H43" s="36" t="str">
        <f aca="false">IF(B43="","",E43+G43-F43)</f>
        <v/>
      </c>
      <c r="I43" s="46" t="str">
        <f aca="false">IF(B43="","",IF(COUNTIF(Vendas!$C$5:$C$3004,B43)=0,"",_xlfn.MAXIFS(Vendas!$B$5:$B$3004,Vendas!$C$5:$C$3004,B43)))</f>
        <v/>
      </c>
      <c r="J43" s="39" t="str">
        <f aca="false">IF(B43="","",IF(H43&gt;0.005,"Deve",IF(H43&lt;-0.005,"Tem crédito",IF(E43&gt;0,"Em dia","Ainda não comprou"))))</f>
        <v/>
      </c>
    </row>
    <row r="44" customFormat="false" ht="21" hidden="false" customHeight="true" outlineLevel="0" collapsed="false">
      <c r="B44" s="9"/>
      <c r="C44" s="45"/>
      <c r="D44" s="9"/>
      <c r="E44" s="27" t="str">
        <f aca="false">IF(B44="","",SUMIFS(Vendas!$G$5:$G$3004,Vendas!$C$5:$C$3004,B44))</f>
        <v/>
      </c>
      <c r="F44" s="27" t="str">
        <f aca="false">IF(B44="","",SUMIFS(Recebi!$D$5:$D$3004,Recebi!$C$5:$C$3004,B44)+SUMIFS(Vendas!$G$5:$G$3004,Vendas!$C$5:$C$3004,B44,Vendas!$J$5:$J$3004,"Sim"))</f>
        <v/>
      </c>
      <c r="G44" s="27" t="str">
        <f aca="false">IF(B44="","",SUMIFS(Acertos!$D$5:$D$504,Acertos!$C$5:$C$504,B44))</f>
        <v/>
      </c>
      <c r="H44" s="36" t="str">
        <f aca="false">IF(B44="","",E44+G44-F44)</f>
        <v/>
      </c>
      <c r="I44" s="46" t="str">
        <f aca="false">IF(B44="","",IF(COUNTIF(Vendas!$C$5:$C$3004,B44)=0,"",_xlfn.MAXIFS(Vendas!$B$5:$B$3004,Vendas!$C$5:$C$3004,B44)))</f>
        <v/>
      </c>
      <c r="J44" s="39" t="str">
        <f aca="false">IF(B44="","",IF(H44&gt;0.005,"Deve",IF(H44&lt;-0.005,"Tem crédito",IF(E44&gt;0,"Em dia","Ainda não comprou"))))</f>
        <v/>
      </c>
    </row>
    <row r="45" customFormat="false" ht="21" hidden="false" customHeight="true" outlineLevel="0" collapsed="false">
      <c r="B45" s="9"/>
      <c r="C45" s="45"/>
      <c r="D45" s="9"/>
      <c r="E45" s="27" t="str">
        <f aca="false">IF(B45="","",SUMIFS(Vendas!$G$5:$G$3004,Vendas!$C$5:$C$3004,B45))</f>
        <v/>
      </c>
      <c r="F45" s="27" t="str">
        <f aca="false">IF(B45="","",SUMIFS(Recebi!$D$5:$D$3004,Recebi!$C$5:$C$3004,B45)+SUMIFS(Vendas!$G$5:$G$3004,Vendas!$C$5:$C$3004,B45,Vendas!$J$5:$J$3004,"Sim"))</f>
        <v/>
      </c>
      <c r="G45" s="27" t="str">
        <f aca="false">IF(B45="","",SUMIFS(Acertos!$D$5:$D$504,Acertos!$C$5:$C$504,B45))</f>
        <v/>
      </c>
      <c r="H45" s="36" t="str">
        <f aca="false">IF(B45="","",E45+G45-F45)</f>
        <v/>
      </c>
      <c r="I45" s="46" t="str">
        <f aca="false">IF(B45="","",IF(COUNTIF(Vendas!$C$5:$C$3004,B45)=0,"",_xlfn.MAXIFS(Vendas!$B$5:$B$3004,Vendas!$C$5:$C$3004,B45)))</f>
        <v/>
      </c>
      <c r="J45" s="39" t="str">
        <f aca="false">IF(B45="","",IF(H45&gt;0.005,"Deve",IF(H45&lt;-0.005,"Tem crédito",IF(E45&gt;0,"Em dia","Ainda não comprou"))))</f>
        <v/>
      </c>
    </row>
    <row r="46" customFormat="false" ht="21" hidden="false" customHeight="true" outlineLevel="0" collapsed="false">
      <c r="B46" s="9"/>
      <c r="C46" s="45"/>
      <c r="D46" s="9"/>
      <c r="E46" s="27" t="str">
        <f aca="false">IF(B46="","",SUMIFS(Vendas!$G$5:$G$3004,Vendas!$C$5:$C$3004,B46))</f>
        <v/>
      </c>
      <c r="F46" s="27" t="str">
        <f aca="false">IF(B46="","",SUMIFS(Recebi!$D$5:$D$3004,Recebi!$C$5:$C$3004,B46)+SUMIFS(Vendas!$G$5:$G$3004,Vendas!$C$5:$C$3004,B46,Vendas!$J$5:$J$3004,"Sim"))</f>
        <v/>
      </c>
      <c r="G46" s="27" t="str">
        <f aca="false">IF(B46="","",SUMIFS(Acertos!$D$5:$D$504,Acertos!$C$5:$C$504,B46))</f>
        <v/>
      </c>
      <c r="H46" s="36" t="str">
        <f aca="false">IF(B46="","",E46+G46-F46)</f>
        <v/>
      </c>
      <c r="I46" s="46" t="str">
        <f aca="false">IF(B46="","",IF(COUNTIF(Vendas!$C$5:$C$3004,B46)=0,"",_xlfn.MAXIFS(Vendas!$B$5:$B$3004,Vendas!$C$5:$C$3004,B46)))</f>
        <v/>
      </c>
      <c r="J46" s="39" t="str">
        <f aca="false">IF(B46="","",IF(H46&gt;0.005,"Deve",IF(H46&lt;-0.005,"Tem crédito",IF(E46&gt;0,"Em dia","Ainda não comprou"))))</f>
        <v/>
      </c>
    </row>
    <row r="47" customFormat="false" ht="21" hidden="false" customHeight="true" outlineLevel="0" collapsed="false">
      <c r="B47" s="9"/>
      <c r="C47" s="45"/>
      <c r="D47" s="9"/>
      <c r="E47" s="27" t="str">
        <f aca="false">IF(B47="","",SUMIFS(Vendas!$G$5:$G$3004,Vendas!$C$5:$C$3004,B47))</f>
        <v/>
      </c>
      <c r="F47" s="27" t="str">
        <f aca="false">IF(B47="","",SUMIFS(Recebi!$D$5:$D$3004,Recebi!$C$5:$C$3004,B47)+SUMIFS(Vendas!$G$5:$G$3004,Vendas!$C$5:$C$3004,B47,Vendas!$J$5:$J$3004,"Sim"))</f>
        <v/>
      </c>
      <c r="G47" s="27" t="str">
        <f aca="false">IF(B47="","",SUMIFS(Acertos!$D$5:$D$504,Acertos!$C$5:$C$504,B47))</f>
        <v/>
      </c>
      <c r="H47" s="36" t="str">
        <f aca="false">IF(B47="","",E47+G47-F47)</f>
        <v/>
      </c>
      <c r="I47" s="46" t="str">
        <f aca="false">IF(B47="","",IF(COUNTIF(Vendas!$C$5:$C$3004,B47)=0,"",_xlfn.MAXIFS(Vendas!$B$5:$B$3004,Vendas!$C$5:$C$3004,B47)))</f>
        <v/>
      </c>
      <c r="J47" s="39" t="str">
        <f aca="false">IF(B47="","",IF(H47&gt;0.005,"Deve",IF(H47&lt;-0.005,"Tem crédito",IF(E47&gt;0,"Em dia","Ainda não comprou"))))</f>
        <v/>
      </c>
    </row>
    <row r="48" customFormat="false" ht="21" hidden="false" customHeight="true" outlineLevel="0" collapsed="false">
      <c r="B48" s="9"/>
      <c r="C48" s="45"/>
      <c r="D48" s="9"/>
      <c r="E48" s="27" t="str">
        <f aca="false">IF(B48="","",SUMIFS(Vendas!$G$5:$G$3004,Vendas!$C$5:$C$3004,B48))</f>
        <v/>
      </c>
      <c r="F48" s="27" t="str">
        <f aca="false">IF(B48="","",SUMIFS(Recebi!$D$5:$D$3004,Recebi!$C$5:$C$3004,B48)+SUMIFS(Vendas!$G$5:$G$3004,Vendas!$C$5:$C$3004,B48,Vendas!$J$5:$J$3004,"Sim"))</f>
        <v/>
      </c>
      <c r="G48" s="27" t="str">
        <f aca="false">IF(B48="","",SUMIFS(Acertos!$D$5:$D$504,Acertos!$C$5:$C$504,B48))</f>
        <v/>
      </c>
      <c r="H48" s="36" t="str">
        <f aca="false">IF(B48="","",E48+G48-F48)</f>
        <v/>
      </c>
      <c r="I48" s="46" t="str">
        <f aca="false">IF(B48="","",IF(COUNTIF(Vendas!$C$5:$C$3004,B48)=0,"",_xlfn.MAXIFS(Vendas!$B$5:$B$3004,Vendas!$C$5:$C$3004,B48)))</f>
        <v/>
      </c>
      <c r="J48" s="39" t="str">
        <f aca="false">IF(B48="","",IF(H48&gt;0.005,"Deve",IF(H48&lt;-0.005,"Tem crédito",IF(E48&gt;0,"Em dia","Ainda não comprou"))))</f>
        <v/>
      </c>
    </row>
    <row r="49" customFormat="false" ht="21" hidden="false" customHeight="true" outlineLevel="0" collapsed="false">
      <c r="B49" s="9"/>
      <c r="C49" s="45"/>
      <c r="D49" s="9"/>
      <c r="E49" s="27" t="str">
        <f aca="false">IF(B49="","",SUMIFS(Vendas!$G$5:$G$3004,Vendas!$C$5:$C$3004,B49))</f>
        <v/>
      </c>
      <c r="F49" s="27" t="str">
        <f aca="false">IF(B49="","",SUMIFS(Recebi!$D$5:$D$3004,Recebi!$C$5:$C$3004,B49)+SUMIFS(Vendas!$G$5:$G$3004,Vendas!$C$5:$C$3004,B49,Vendas!$J$5:$J$3004,"Sim"))</f>
        <v/>
      </c>
      <c r="G49" s="27" t="str">
        <f aca="false">IF(B49="","",SUMIFS(Acertos!$D$5:$D$504,Acertos!$C$5:$C$504,B49))</f>
        <v/>
      </c>
      <c r="H49" s="36" t="str">
        <f aca="false">IF(B49="","",E49+G49-F49)</f>
        <v/>
      </c>
      <c r="I49" s="46" t="str">
        <f aca="false">IF(B49="","",IF(COUNTIF(Vendas!$C$5:$C$3004,B49)=0,"",_xlfn.MAXIFS(Vendas!$B$5:$B$3004,Vendas!$C$5:$C$3004,B49)))</f>
        <v/>
      </c>
      <c r="J49" s="39" t="str">
        <f aca="false">IF(B49="","",IF(H49&gt;0.005,"Deve",IF(H49&lt;-0.005,"Tem crédito",IF(E49&gt;0,"Em dia","Ainda não comprou"))))</f>
        <v/>
      </c>
    </row>
    <row r="50" customFormat="false" ht="21" hidden="false" customHeight="true" outlineLevel="0" collapsed="false">
      <c r="B50" s="9"/>
      <c r="C50" s="45"/>
      <c r="D50" s="9"/>
      <c r="E50" s="27" t="str">
        <f aca="false">IF(B50="","",SUMIFS(Vendas!$G$5:$G$3004,Vendas!$C$5:$C$3004,B50))</f>
        <v/>
      </c>
      <c r="F50" s="27" t="str">
        <f aca="false">IF(B50="","",SUMIFS(Recebi!$D$5:$D$3004,Recebi!$C$5:$C$3004,B50)+SUMIFS(Vendas!$G$5:$G$3004,Vendas!$C$5:$C$3004,B50,Vendas!$J$5:$J$3004,"Sim"))</f>
        <v/>
      </c>
      <c r="G50" s="27" t="str">
        <f aca="false">IF(B50="","",SUMIFS(Acertos!$D$5:$D$504,Acertos!$C$5:$C$504,B50))</f>
        <v/>
      </c>
      <c r="H50" s="36" t="str">
        <f aca="false">IF(B50="","",E50+G50-F50)</f>
        <v/>
      </c>
      <c r="I50" s="46" t="str">
        <f aca="false">IF(B50="","",IF(COUNTIF(Vendas!$C$5:$C$3004,B50)=0,"",_xlfn.MAXIFS(Vendas!$B$5:$B$3004,Vendas!$C$5:$C$3004,B50)))</f>
        <v/>
      </c>
      <c r="J50" s="39" t="str">
        <f aca="false">IF(B50="","",IF(H50&gt;0.005,"Deve",IF(H50&lt;-0.005,"Tem crédito",IF(E50&gt;0,"Em dia","Ainda não comprou"))))</f>
        <v/>
      </c>
    </row>
    <row r="51" customFormat="false" ht="21" hidden="false" customHeight="true" outlineLevel="0" collapsed="false">
      <c r="B51" s="9"/>
      <c r="C51" s="45"/>
      <c r="D51" s="9"/>
      <c r="E51" s="27" t="str">
        <f aca="false">IF(B51="","",SUMIFS(Vendas!$G$5:$G$3004,Vendas!$C$5:$C$3004,B51))</f>
        <v/>
      </c>
      <c r="F51" s="27" t="str">
        <f aca="false">IF(B51="","",SUMIFS(Recebi!$D$5:$D$3004,Recebi!$C$5:$C$3004,B51)+SUMIFS(Vendas!$G$5:$G$3004,Vendas!$C$5:$C$3004,B51,Vendas!$J$5:$J$3004,"Sim"))</f>
        <v/>
      </c>
      <c r="G51" s="27" t="str">
        <f aca="false">IF(B51="","",SUMIFS(Acertos!$D$5:$D$504,Acertos!$C$5:$C$504,B51))</f>
        <v/>
      </c>
      <c r="H51" s="36" t="str">
        <f aca="false">IF(B51="","",E51+G51-F51)</f>
        <v/>
      </c>
      <c r="I51" s="46" t="str">
        <f aca="false">IF(B51="","",IF(COUNTIF(Vendas!$C$5:$C$3004,B51)=0,"",_xlfn.MAXIFS(Vendas!$B$5:$B$3004,Vendas!$C$5:$C$3004,B51)))</f>
        <v/>
      </c>
      <c r="J51" s="39" t="str">
        <f aca="false">IF(B51="","",IF(H51&gt;0.005,"Deve",IF(H51&lt;-0.005,"Tem crédito",IF(E51&gt;0,"Em dia","Ainda não comprou"))))</f>
        <v/>
      </c>
    </row>
    <row r="52" customFormat="false" ht="21" hidden="false" customHeight="true" outlineLevel="0" collapsed="false">
      <c r="B52" s="9"/>
      <c r="C52" s="45"/>
      <c r="D52" s="9"/>
      <c r="E52" s="27" t="str">
        <f aca="false">IF(B52="","",SUMIFS(Vendas!$G$5:$G$3004,Vendas!$C$5:$C$3004,B52))</f>
        <v/>
      </c>
      <c r="F52" s="27" t="str">
        <f aca="false">IF(B52="","",SUMIFS(Recebi!$D$5:$D$3004,Recebi!$C$5:$C$3004,B52)+SUMIFS(Vendas!$G$5:$G$3004,Vendas!$C$5:$C$3004,B52,Vendas!$J$5:$J$3004,"Sim"))</f>
        <v/>
      </c>
      <c r="G52" s="27" t="str">
        <f aca="false">IF(B52="","",SUMIFS(Acertos!$D$5:$D$504,Acertos!$C$5:$C$504,B52))</f>
        <v/>
      </c>
      <c r="H52" s="36" t="str">
        <f aca="false">IF(B52="","",E52+G52-F52)</f>
        <v/>
      </c>
      <c r="I52" s="46" t="str">
        <f aca="false">IF(B52="","",IF(COUNTIF(Vendas!$C$5:$C$3004,B52)=0,"",_xlfn.MAXIFS(Vendas!$B$5:$B$3004,Vendas!$C$5:$C$3004,B52)))</f>
        <v/>
      </c>
      <c r="J52" s="39" t="str">
        <f aca="false">IF(B52="","",IF(H52&gt;0.005,"Deve",IF(H52&lt;-0.005,"Tem crédito",IF(E52&gt;0,"Em dia","Ainda não comprou"))))</f>
        <v/>
      </c>
    </row>
    <row r="53" customFormat="false" ht="21" hidden="false" customHeight="true" outlineLevel="0" collapsed="false">
      <c r="B53" s="9"/>
      <c r="C53" s="45"/>
      <c r="D53" s="9"/>
      <c r="E53" s="27" t="str">
        <f aca="false">IF(B53="","",SUMIFS(Vendas!$G$5:$G$3004,Vendas!$C$5:$C$3004,B53))</f>
        <v/>
      </c>
      <c r="F53" s="27" t="str">
        <f aca="false">IF(B53="","",SUMIFS(Recebi!$D$5:$D$3004,Recebi!$C$5:$C$3004,B53)+SUMIFS(Vendas!$G$5:$G$3004,Vendas!$C$5:$C$3004,B53,Vendas!$J$5:$J$3004,"Sim"))</f>
        <v/>
      </c>
      <c r="G53" s="27" t="str">
        <f aca="false">IF(B53="","",SUMIFS(Acertos!$D$5:$D$504,Acertos!$C$5:$C$504,B53))</f>
        <v/>
      </c>
      <c r="H53" s="36" t="str">
        <f aca="false">IF(B53="","",E53+G53-F53)</f>
        <v/>
      </c>
      <c r="I53" s="46" t="str">
        <f aca="false">IF(B53="","",IF(COUNTIF(Vendas!$C$5:$C$3004,B53)=0,"",_xlfn.MAXIFS(Vendas!$B$5:$B$3004,Vendas!$C$5:$C$3004,B53)))</f>
        <v/>
      </c>
      <c r="J53" s="39" t="str">
        <f aca="false">IF(B53="","",IF(H53&gt;0.005,"Deve",IF(H53&lt;-0.005,"Tem crédito",IF(E53&gt;0,"Em dia","Ainda não comprou"))))</f>
        <v/>
      </c>
    </row>
    <row r="54" customFormat="false" ht="21" hidden="false" customHeight="true" outlineLevel="0" collapsed="false">
      <c r="B54" s="9"/>
      <c r="C54" s="45"/>
      <c r="D54" s="9"/>
      <c r="E54" s="27" t="str">
        <f aca="false">IF(B54="","",SUMIFS(Vendas!$G$5:$G$3004,Vendas!$C$5:$C$3004,B54))</f>
        <v/>
      </c>
      <c r="F54" s="27" t="str">
        <f aca="false">IF(B54="","",SUMIFS(Recebi!$D$5:$D$3004,Recebi!$C$5:$C$3004,B54)+SUMIFS(Vendas!$G$5:$G$3004,Vendas!$C$5:$C$3004,B54,Vendas!$J$5:$J$3004,"Sim"))</f>
        <v/>
      </c>
      <c r="G54" s="27" t="str">
        <f aca="false">IF(B54="","",SUMIFS(Acertos!$D$5:$D$504,Acertos!$C$5:$C$504,B54))</f>
        <v/>
      </c>
      <c r="H54" s="36" t="str">
        <f aca="false">IF(B54="","",E54+G54-F54)</f>
        <v/>
      </c>
      <c r="I54" s="46" t="str">
        <f aca="false">IF(B54="","",IF(COUNTIF(Vendas!$C$5:$C$3004,B54)=0,"",_xlfn.MAXIFS(Vendas!$B$5:$B$3004,Vendas!$C$5:$C$3004,B54)))</f>
        <v/>
      </c>
      <c r="J54" s="39" t="str">
        <f aca="false">IF(B54="","",IF(H54&gt;0.005,"Deve",IF(H54&lt;-0.005,"Tem crédito",IF(E54&gt;0,"Em dia","Ainda não comprou"))))</f>
        <v/>
      </c>
    </row>
    <row r="55" customFormat="false" ht="21" hidden="false" customHeight="true" outlineLevel="0" collapsed="false">
      <c r="B55" s="9"/>
      <c r="C55" s="45"/>
      <c r="D55" s="9"/>
      <c r="E55" s="27" t="str">
        <f aca="false">IF(B55="","",SUMIFS(Vendas!$G$5:$G$3004,Vendas!$C$5:$C$3004,B55))</f>
        <v/>
      </c>
      <c r="F55" s="27" t="str">
        <f aca="false">IF(B55="","",SUMIFS(Recebi!$D$5:$D$3004,Recebi!$C$5:$C$3004,B55)+SUMIFS(Vendas!$G$5:$G$3004,Vendas!$C$5:$C$3004,B55,Vendas!$J$5:$J$3004,"Sim"))</f>
        <v/>
      </c>
      <c r="G55" s="27" t="str">
        <f aca="false">IF(B55="","",SUMIFS(Acertos!$D$5:$D$504,Acertos!$C$5:$C$504,B55))</f>
        <v/>
      </c>
      <c r="H55" s="36" t="str">
        <f aca="false">IF(B55="","",E55+G55-F55)</f>
        <v/>
      </c>
      <c r="I55" s="46" t="str">
        <f aca="false">IF(B55="","",IF(COUNTIF(Vendas!$C$5:$C$3004,B55)=0,"",_xlfn.MAXIFS(Vendas!$B$5:$B$3004,Vendas!$C$5:$C$3004,B55)))</f>
        <v/>
      </c>
      <c r="J55" s="39" t="str">
        <f aca="false">IF(B55="","",IF(H55&gt;0.005,"Deve",IF(H55&lt;-0.005,"Tem crédito",IF(E55&gt;0,"Em dia","Ainda não comprou"))))</f>
        <v/>
      </c>
    </row>
    <row r="56" customFormat="false" ht="21" hidden="false" customHeight="true" outlineLevel="0" collapsed="false">
      <c r="B56" s="9"/>
      <c r="C56" s="45"/>
      <c r="D56" s="9"/>
      <c r="E56" s="27" t="str">
        <f aca="false">IF(B56="","",SUMIFS(Vendas!$G$5:$G$3004,Vendas!$C$5:$C$3004,B56))</f>
        <v/>
      </c>
      <c r="F56" s="27" t="str">
        <f aca="false">IF(B56="","",SUMIFS(Recebi!$D$5:$D$3004,Recebi!$C$5:$C$3004,B56)+SUMIFS(Vendas!$G$5:$G$3004,Vendas!$C$5:$C$3004,B56,Vendas!$J$5:$J$3004,"Sim"))</f>
        <v/>
      </c>
      <c r="G56" s="27" t="str">
        <f aca="false">IF(B56="","",SUMIFS(Acertos!$D$5:$D$504,Acertos!$C$5:$C$504,B56))</f>
        <v/>
      </c>
      <c r="H56" s="36" t="str">
        <f aca="false">IF(B56="","",E56+G56-F56)</f>
        <v/>
      </c>
      <c r="I56" s="46" t="str">
        <f aca="false">IF(B56="","",IF(COUNTIF(Vendas!$C$5:$C$3004,B56)=0,"",_xlfn.MAXIFS(Vendas!$B$5:$B$3004,Vendas!$C$5:$C$3004,B56)))</f>
        <v/>
      </c>
      <c r="J56" s="39" t="str">
        <f aca="false">IF(B56="","",IF(H56&gt;0.005,"Deve",IF(H56&lt;-0.005,"Tem crédito",IF(E56&gt;0,"Em dia","Ainda não comprou"))))</f>
        <v/>
      </c>
    </row>
    <row r="57" customFormat="false" ht="21" hidden="false" customHeight="true" outlineLevel="0" collapsed="false">
      <c r="B57" s="9"/>
      <c r="C57" s="45"/>
      <c r="D57" s="9"/>
      <c r="E57" s="27" t="str">
        <f aca="false">IF(B57="","",SUMIFS(Vendas!$G$5:$G$3004,Vendas!$C$5:$C$3004,B57))</f>
        <v/>
      </c>
      <c r="F57" s="27" t="str">
        <f aca="false">IF(B57="","",SUMIFS(Recebi!$D$5:$D$3004,Recebi!$C$5:$C$3004,B57)+SUMIFS(Vendas!$G$5:$G$3004,Vendas!$C$5:$C$3004,B57,Vendas!$J$5:$J$3004,"Sim"))</f>
        <v/>
      </c>
      <c r="G57" s="27" t="str">
        <f aca="false">IF(B57="","",SUMIFS(Acertos!$D$5:$D$504,Acertos!$C$5:$C$504,B57))</f>
        <v/>
      </c>
      <c r="H57" s="36" t="str">
        <f aca="false">IF(B57="","",E57+G57-F57)</f>
        <v/>
      </c>
      <c r="I57" s="46" t="str">
        <f aca="false">IF(B57="","",IF(COUNTIF(Vendas!$C$5:$C$3004,B57)=0,"",_xlfn.MAXIFS(Vendas!$B$5:$B$3004,Vendas!$C$5:$C$3004,B57)))</f>
        <v/>
      </c>
      <c r="J57" s="39" t="str">
        <f aca="false">IF(B57="","",IF(H57&gt;0.005,"Deve",IF(H57&lt;-0.005,"Tem crédito",IF(E57&gt;0,"Em dia","Ainda não comprou"))))</f>
        <v/>
      </c>
    </row>
    <row r="58" customFormat="false" ht="21" hidden="false" customHeight="true" outlineLevel="0" collapsed="false">
      <c r="B58" s="9"/>
      <c r="C58" s="45"/>
      <c r="D58" s="9"/>
      <c r="E58" s="27" t="str">
        <f aca="false">IF(B58="","",SUMIFS(Vendas!$G$5:$G$3004,Vendas!$C$5:$C$3004,B58))</f>
        <v/>
      </c>
      <c r="F58" s="27" t="str">
        <f aca="false">IF(B58="","",SUMIFS(Recebi!$D$5:$D$3004,Recebi!$C$5:$C$3004,B58)+SUMIFS(Vendas!$G$5:$G$3004,Vendas!$C$5:$C$3004,B58,Vendas!$J$5:$J$3004,"Sim"))</f>
        <v/>
      </c>
      <c r="G58" s="27" t="str">
        <f aca="false">IF(B58="","",SUMIFS(Acertos!$D$5:$D$504,Acertos!$C$5:$C$504,B58))</f>
        <v/>
      </c>
      <c r="H58" s="36" t="str">
        <f aca="false">IF(B58="","",E58+G58-F58)</f>
        <v/>
      </c>
      <c r="I58" s="46" t="str">
        <f aca="false">IF(B58="","",IF(COUNTIF(Vendas!$C$5:$C$3004,B58)=0,"",_xlfn.MAXIFS(Vendas!$B$5:$B$3004,Vendas!$C$5:$C$3004,B58)))</f>
        <v/>
      </c>
      <c r="J58" s="39" t="str">
        <f aca="false">IF(B58="","",IF(H58&gt;0.005,"Deve",IF(H58&lt;-0.005,"Tem crédito",IF(E58&gt;0,"Em dia","Ainda não comprou"))))</f>
        <v/>
      </c>
    </row>
    <row r="59" customFormat="false" ht="21" hidden="false" customHeight="true" outlineLevel="0" collapsed="false">
      <c r="B59" s="9"/>
      <c r="C59" s="45"/>
      <c r="D59" s="9"/>
      <c r="E59" s="27" t="str">
        <f aca="false">IF(B59="","",SUMIFS(Vendas!$G$5:$G$3004,Vendas!$C$5:$C$3004,B59))</f>
        <v/>
      </c>
      <c r="F59" s="27" t="str">
        <f aca="false">IF(B59="","",SUMIFS(Recebi!$D$5:$D$3004,Recebi!$C$5:$C$3004,B59)+SUMIFS(Vendas!$G$5:$G$3004,Vendas!$C$5:$C$3004,B59,Vendas!$J$5:$J$3004,"Sim"))</f>
        <v/>
      </c>
      <c r="G59" s="27" t="str">
        <f aca="false">IF(B59="","",SUMIFS(Acertos!$D$5:$D$504,Acertos!$C$5:$C$504,B59))</f>
        <v/>
      </c>
      <c r="H59" s="36" t="str">
        <f aca="false">IF(B59="","",E59+G59-F59)</f>
        <v/>
      </c>
      <c r="I59" s="46" t="str">
        <f aca="false">IF(B59="","",IF(COUNTIF(Vendas!$C$5:$C$3004,B59)=0,"",_xlfn.MAXIFS(Vendas!$B$5:$B$3004,Vendas!$C$5:$C$3004,B59)))</f>
        <v/>
      </c>
      <c r="J59" s="39" t="str">
        <f aca="false">IF(B59="","",IF(H59&gt;0.005,"Deve",IF(H59&lt;-0.005,"Tem crédito",IF(E59&gt;0,"Em dia","Ainda não comprou"))))</f>
        <v/>
      </c>
    </row>
    <row r="60" customFormat="false" ht="21" hidden="false" customHeight="true" outlineLevel="0" collapsed="false">
      <c r="B60" s="9"/>
      <c r="C60" s="45"/>
      <c r="D60" s="9"/>
      <c r="E60" s="27" t="str">
        <f aca="false">IF(B60="","",SUMIFS(Vendas!$G$5:$G$3004,Vendas!$C$5:$C$3004,B60))</f>
        <v/>
      </c>
      <c r="F60" s="27" t="str">
        <f aca="false">IF(B60="","",SUMIFS(Recebi!$D$5:$D$3004,Recebi!$C$5:$C$3004,B60)+SUMIFS(Vendas!$G$5:$G$3004,Vendas!$C$5:$C$3004,B60,Vendas!$J$5:$J$3004,"Sim"))</f>
        <v/>
      </c>
      <c r="G60" s="27" t="str">
        <f aca="false">IF(B60="","",SUMIFS(Acertos!$D$5:$D$504,Acertos!$C$5:$C$504,B60))</f>
        <v/>
      </c>
      <c r="H60" s="36" t="str">
        <f aca="false">IF(B60="","",E60+G60-F60)</f>
        <v/>
      </c>
      <c r="I60" s="46" t="str">
        <f aca="false">IF(B60="","",IF(COUNTIF(Vendas!$C$5:$C$3004,B60)=0,"",_xlfn.MAXIFS(Vendas!$B$5:$B$3004,Vendas!$C$5:$C$3004,B60)))</f>
        <v/>
      </c>
      <c r="J60" s="39" t="str">
        <f aca="false">IF(B60="","",IF(H60&gt;0.005,"Deve",IF(H60&lt;-0.005,"Tem crédito",IF(E60&gt;0,"Em dia","Ainda não comprou"))))</f>
        <v/>
      </c>
    </row>
    <row r="61" customFormat="false" ht="21" hidden="false" customHeight="true" outlineLevel="0" collapsed="false">
      <c r="B61" s="9"/>
      <c r="C61" s="45"/>
      <c r="D61" s="9"/>
      <c r="E61" s="27" t="str">
        <f aca="false">IF(B61="","",SUMIFS(Vendas!$G$5:$G$3004,Vendas!$C$5:$C$3004,B61))</f>
        <v/>
      </c>
      <c r="F61" s="27" t="str">
        <f aca="false">IF(B61="","",SUMIFS(Recebi!$D$5:$D$3004,Recebi!$C$5:$C$3004,B61)+SUMIFS(Vendas!$G$5:$G$3004,Vendas!$C$5:$C$3004,B61,Vendas!$J$5:$J$3004,"Sim"))</f>
        <v/>
      </c>
      <c r="G61" s="27" t="str">
        <f aca="false">IF(B61="","",SUMIFS(Acertos!$D$5:$D$504,Acertos!$C$5:$C$504,B61))</f>
        <v/>
      </c>
      <c r="H61" s="36" t="str">
        <f aca="false">IF(B61="","",E61+G61-F61)</f>
        <v/>
      </c>
      <c r="I61" s="46" t="str">
        <f aca="false">IF(B61="","",IF(COUNTIF(Vendas!$C$5:$C$3004,B61)=0,"",_xlfn.MAXIFS(Vendas!$B$5:$B$3004,Vendas!$C$5:$C$3004,B61)))</f>
        <v/>
      </c>
      <c r="J61" s="39" t="str">
        <f aca="false">IF(B61="","",IF(H61&gt;0.005,"Deve",IF(H61&lt;-0.005,"Tem crédito",IF(E61&gt;0,"Em dia","Ainda não comprou"))))</f>
        <v/>
      </c>
    </row>
    <row r="62" customFormat="false" ht="21" hidden="false" customHeight="true" outlineLevel="0" collapsed="false">
      <c r="B62" s="9"/>
      <c r="C62" s="45"/>
      <c r="D62" s="9"/>
      <c r="E62" s="27" t="str">
        <f aca="false">IF(B62="","",SUMIFS(Vendas!$G$5:$G$3004,Vendas!$C$5:$C$3004,B62))</f>
        <v/>
      </c>
      <c r="F62" s="27" t="str">
        <f aca="false">IF(B62="","",SUMIFS(Recebi!$D$5:$D$3004,Recebi!$C$5:$C$3004,B62)+SUMIFS(Vendas!$G$5:$G$3004,Vendas!$C$5:$C$3004,B62,Vendas!$J$5:$J$3004,"Sim"))</f>
        <v/>
      </c>
      <c r="G62" s="27" t="str">
        <f aca="false">IF(B62="","",SUMIFS(Acertos!$D$5:$D$504,Acertos!$C$5:$C$504,B62))</f>
        <v/>
      </c>
      <c r="H62" s="36" t="str">
        <f aca="false">IF(B62="","",E62+G62-F62)</f>
        <v/>
      </c>
      <c r="I62" s="46" t="str">
        <f aca="false">IF(B62="","",IF(COUNTIF(Vendas!$C$5:$C$3004,B62)=0,"",_xlfn.MAXIFS(Vendas!$B$5:$B$3004,Vendas!$C$5:$C$3004,B62)))</f>
        <v/>
      </c>
      <c r="J62" s="39" t="str">
        <f aca="false">IF(B62="","",IF(H62&gt;0.005,"Deve",IF(H62&lt;-0.005,"Tem crédito",IF(E62&gt;0,"Em dia","Ainda não comprou"))))</f>
        <v/>
      </c>
    </row>
    <row r="63" customFormat="false" ht="21" hidden="false" customHeight="true" outlineLevel="0" collapsed="false">
      <c r="B63" s="9"/>
      <c r="C63" s="45"/>
      <c r="D63" s="9"/>
      <c r="E63" s="27" t="str">
        <f aca="false">IF(B63="","",SUMIFS(Vendas!$G$5:$G$3004,Vendas!$C$5:$C$3004,B63))</f>
        <v/>
      </c>
      <c r="F63" s="27" t="str">
        <f aca="false">IF(B63="","",SUMIFS(Recebi!$D$5:$D$3004,Recebi!$C$5:$C$3004,B63)+SUMIFS(Vendas!$G$5:$G$3004,Vendas!$C$5:$C$3004,B63,Vendas!$J$5:$J$3004,"Sim"))</f>
        <v/>
      </c>
      <c r="G63" s="27" t="str">
        <f aca="false">IF(B63="","",SUMIFS(Acertos!$D$5:$D$504,Acertos!$C$5:$C$504,B63))</f>
        <v/>
      </c>
      <c r="H63" s="36" t="str">
        <f aca="false">IF(B63="","",E63+G63-F63)</f>
        <v/>
      </c>
      <c r="I63" s="46" t="str">
        <f aca="false">IF(B63="","",IF(COUNTIF(Vendas!$C$5:$C$3004,B63)=0,"",_xlfn.MAXIFS(Vendas!$B$5:$B$3004,Vendas!$C$5:$C$3004,B63)))</f>
        <v/>
      </c>
      <c r="J63" s="39" t="str">
        <f aca="false">IF(B63="","",IF(H63&gt;0.005,"Deve",IF(H63&lt;-0.005,"Tem crédito",IF(E63&gt;0,"Em dia","Ainda não comprou"))))</f>
        <v/>
      </c>
    </row>
    <row r="64" customFormat="false" ht="21" hidden="false" customHeight="true" outlineLevel="0" collapsed="false">
      <c r="B64" s="9"/>
      <c r="C64" s="45"/>
      <c r="D64" s="9"/>
      <c r="E64" s="27" t="str">
        <f aca="false">IF(B64="","",SUMIFS(Vendas!$G$5:$G$3004,Vendas!$C$5:$C$3004,B64))</f>
        <v/>
      </c>
      <c r="F64" s="27" t="str">
        <f aca="false">IF(B64="","",SUMIFS(Recebi!$D$5:$D$3004,Recebi!$C$5:$C$3004,B64)+SUMIFS(Vendas!$G$5:$G$3004,Vendas!$C$5:$C$3004,B64,Vendas!$J$5:$J$3004,"Sim"))</f>
        <v/>
      </c>
      <c r="G64" s="27" t="str">
        <f aca="false">IF(B64="","",SUMIFS(Acertos!$D$5:$D$504,Acertos!$C$5:$C$504,B64))</f>
        <v/>
      </c>
      <c r="H64" s="36" t="str">
        <f aca="false">IF(B64="","",E64+G64-F64)</f>
        <v/>
      </c>
      <c r="I64" s="46" t="str">
        <f aca="false">IF(B64="","",IF(COUNTIF(Vendas!$C$5:$C$3004,B64)=0,"",_xlfn.MAXIFS(Vendas!$B$5:$B$3004,Vendas!$C$5:$C$3004,B64)))</f>
        <v/>
      </c>
      <c r="J64" s="39" t="str">
        <f aca="false">IF(B64="","",IF(H64&gt;0.005,"Deve",IF(H64&lt;-0.005,"Tem crédito",IF(E64&gt;0,"Em dia","Ainda não comprou"))))</f>
        <v/>
      </c>
    </row>
    <row r="65" customFormat="false" ht="21" hidden="false" customHeight="true" outlineLevel="0" collapsed="false">
      <c r="B65" s="9"/>
      <c r="C65" s="45"/>
      <c r="D65" s="9"/>
      <c r="E65" s="27" t="str">
        <f aca="false">IF(B65="","",SUMIFS(Vendas!$G$5:$G$3004,Vendas!$C$5:$C$3004,B65))</f>
        <v/>
      </c>
      <c r="F65" s="27" t="str">
        <f aca="false">IF(B65="","",SUMIFS(Recebi!$D$5:$D$3004,Recebi!$C$5:$C$3004,B65)+SUMIFS(Vendas!$G$5:$G$3004,Vendas!$C$5:$C$3004,B65,Vendas!$J$5:$J$3004,"Sim"))</f>
        <v/>
      </c>
      <c r="G65" s="27" t="str">
        <f aca="false">IF(B65="","",SUMIFS(Acertos!$D$5:$D$504,Acertos!$C$5:$C$504,B65))</f>
        <v/>
      </c>
      <c r="H65" s="36" t="str">
        <f aca="false">IF(B65="","",E65+G65-F65)</f>
        <v/>
      </c>
      <c r="I65" s="46" t="str">
        <f aca="false">IF(B65="","",IF(COUNTIF(Vendas!$C$5:$C$3004,B65)=0,"",_xlfn.MAXIFS(Vendas!$B$5:$B$3004,Vendas!$C$5:$C$3004,B65)))</f>
        <v/>
      </c>
      <c r="J65" s="39" t="str">
        <f aca="false">IF(B65="","",IF(H65&gt;0.005,"Deve",IF(H65&lt;-0.005,"Tem crédito",IF(E65&gt;0,"Em dia","Ainda não comprou"))))</f>
        <v/>
      </c>
    </row>
    <row r="66" customFormat="false" ht="21" hidden="false" customHeight="true" outlineLevel="0" collapsed="false">
      <c r="B66" s="9"/>
      <c r="C66" s="45"/>
      <c r="D66" s="9"/>
      <c r="E66" s="27" t="str">
        <f aca="false">IF(B66="","",SUMIFS(Vendas!$G$5:$G$3004,Vendas!$C$5:$C$3004,B66))</f>
        <v/>
      </c>
      <c r="F66" s="27" t="str">
        <f aca="false">IF(B66="","",SUMIFS(Recebi!$D$5:$D$3004,Recebi!$C$5:$C$3004,B66)+SUMIFS(Vendas!$G$5:$G$3004,Vendas!$C$5:$C$3004,B66,Vendas!$J$5:$J$3004,"Sim"))</f>
        <v/>
      </c>
      <c r="G66" s="27" t="str">
        <f aca="false">IF(B66="","",SUMIFS(Acertos!$D$5:$D$504,Acertos!$C$5:$C$504,B66))</f>
        <v/>
      </c>
      <c r="H66" s="36" t="str">
        <f aca="false">IF(B66="","",E66+G66-F66)</f>
        <v/>
      </c>
      <c r="I66" s="46" t="str">
        <f aca="false">IF(B66="","",IF(COUNTIF(Vendas!$C$5:$C$3004,B66)=0,"",_xlfn.MAXIFS(Vendas!$B$5:$B$3004,Vendas!$C$5:$C$3004,B66)))</f>
        <v/>
      </c>
      <c r="J66" s="39" t="str">
        <f aca="false">IF(B66="","",IF(H66&gt;0.005,"Deve",IF(H66&lt;-0.005,"Tem crédito",IF(E66&gt;0,"Em dia","Ainda não comprou"))))</f>
        <v/>
      </c>
    </row>
    <row r="67" customFormat="false" ht="21" hidden="false" customHeight="true" outlineLevel="0" collapsed="false">
      <c r="B67" s="9"/>
      <c r="C67" s="45"/>
      <c r="D67" s="9"/>
      <c r="E67" s="27" t="str">
        <f aca="false">IF(B67="","",SUMIFS(Vendas!$G$5:$G$3004,Vendas!$C$5:$C$3004,B67))</f>
        <v/>
      </c>
      <c r="F67" s="27" t="str">
        <f aca="false">IF(B67="","",SUMIFS(Recebi!$D$5:$D$3004,Recebi!$C$5:$C$3004,B67)+SUMIFS(Vendas!$G$5:$G$3004,Vendas!$C$5:$C$3004,B67,Vendas!$J$5:$J$3004,"Sim"))</f>
        <v/>
      </c>
      <c r="G67" s="27" t="str">
        <f aca="false">IF(B67="","",SUMIFS(Acertos!$D$5:$D$504,Acertos!$C$5:$C$504,B67))</f>
        <v/>
      </c>
      <c r="H67" s="36" t="str">
        <f aca="false">IF(B67="","",E67+G67-F67)</f>
        <v/>
      </c>
      <c r="I67" s="46" t="str">
        <f aca="false">IF(B67="","",IF(COUNTIF(Vendas!$C$5:$C$3004,B67)=0,"",_xlfn.MAXIFS(Vendas!$B$5:$B$3004,Vendas!$C$5:$C$3004,B67)))</f>
        <v/>
      </c>
      <c r="J67" s="39" t="str">
        <f aca="false">IF(B67="","",IF(H67&gt;0.005,"Deve",IF(H67&lt;-0.005,"Tem crédito",IF(E67&gt;0,"Em dia","Ainda não comprou"))))</f>
        <v/>
      </c>
    </row>
    <row r="68" customFormat="false" ht="21" hidden="false" customHeight="true" outlineLevel="0" collapsed="false">
      <c r="B68" s="9"/>
      <c r="C68" s="45"/>
      <c r="D68" s="9"/>
      <c r="E68" s="27" t="str">
        <f aca="false">IF(B68="","",SUMIFS(Vendas!$G$5:$G$3004,Vendas!$C$5:$C$3004,B68))</f>
        <v/>
      </c>
      <c r="F68" s="27" t="str">
        <f aca="false">IF(B68="","",SUMIFS(Recebi!$D$5:$D$3004,Recebi!$C$5:$C$3004,B68)+SUMIFS(Vendas!$G$5:$G$3004,Vendas!$C$5:$C$3004,B68,Vendas!$J$5:$J$3004,"Sim"))</f>
        <v/>
      </c>
      <c r="G68" s="27" t="str">
        <f aca="false">IF(B68="","",SUMIFS(Acertos!$D$5:$D$504,Acertos!$C$5:$C$504,B68))</f>
        <v/>
      </c>
      <c r="H68" s="36" t="str">
        <f aca="false">IF(B68="","",E68+G68-F68)</f>
        <v/>
      </c>
      <c r="I68" s="46" t="str">
        <f aca="false">IF(B68="","",IF(COUNTIF(Vendas!$C$5:$C$3004,B68)=0,"",_xlfn.MAXIFS(Vendas!$B$5:$B$3004,Vendas!$C$5:$C$3004,B68)))</f>
        <v/>
      </c>
      <c r="J68" s="39" t="str">
        <f aca="false">IF(B68="","",IF(H68&gt;0.005,"Deve",IF(H68&lt;-0.005,"Tem crédito",IF(E68&gt;0,"Em dia","Ainda não comprou"))))</f>
        <v/>
      </c>
    </row>
    <row r="69" customFormat="false" ht="21" hidden="false" customHeight="true" outlineLevel="0" collapsed="false">
      <c r="B69" s="9"/>
      <c r="C69" s="45"/>
      <c r="D69" s="9"/>
      <c r="E69" s="27" t="str">
        <f aca="false">IF(B69="","",SUMIFS(Vendas!$G$5:$G$3004,Vendas!$C$5:$C$3004,B69))</f>
        <v/>
      </c>
      <c r="F69" s="27" t="str">
        <f aca="false">IF(B69="","",SUMIFS(Recebi!$D$5:$D$3004,Recebi!$C$5:$C$3004,B69)+SUMIFS(Vendas!$G$5:$G$3004,Vendas!$C$5:$C$3004,B69,Vendas!$J$5:$J$3004,"Sim"))</f>
        <v/>
      </c>
      <c r="G69" s="27" t="str">
        <f aca="false">IF(B69="","",SUMIFS(Acertos!$D$5:$D$504,Acertos!$C$5:$C$504,B69))</f>
        <v/>
      </c>
      <c r="H69" s="36" t="str">
        <f aca="false">IF(B69="","",E69+G69-F69)</f>
        <v/>
      </c>
      <c r="I69" s="46" t="str">
        <f aca="false">IF(B69="","",IF(COUNTIF(Vendas!$C$5:$C$3004,B69)=0,"",_xlfn.MAXIFS(Vendas!$B$5:$B$3004,Vendas!$C$5:$C$3004,B69)))</f>
        <v/>
      </c>
      <c r="J69" s="39" t="str">
        <f aca="false">IF(B69="","",IF(H69&gt;0.005,"Deve",IF(H69&lt;-0.005,"Tem crédito",IF(E69&gt;0,"Em dia","Ainda não comprou"))))</f>
        <v/>
      </c>
    </row>
    <row r="70" customFormat="false" ht="21" hidden="false" customHeight="true" outlineLevel="0" collapsed="false">
      <c r="B70" s="9"/>
      <c r="C70" s="45"/>
      <c r="D70" s="9"/>
      <c r="E70" s="27" t="str">
        <f aca="false">IF(B70="","",SUMIFS(Vendas!$G$5:$G$3004,Vendas!$C$5:$C$3004,B70))</f>
        <v/>
      </c>
      <c r="F70" s="27" t="str">
        <f aca="false">IF(B70="","",SUMIFS(Recebi!$D$5:$D$3004,Recebi!$C$5:$C$3004,B70)+SUMIFS(Vendas!$G$5:$G$3004,Vendas!$C$5:$C$3004,B70,Vendas!$J$5:$J$3004,"Sim"))</f>
        <v/>
      </c>
      <c r="G70" s="27" t="str">
        <f aca="false">IF(B70="","",SUMIFS(Acertos!$D$5:$D$504,Acertos!$C$5:$C$504,B70))</f>
        <v/>
      </c>
      <c r="H70" s="36" t="str">
        <f aca="false">IF(B70="","",E70+G70-F70)</f>
        <v/>
      </c>
      <c r="I70" s="46" t="str">
        <f aca="false">IF(B70="","",IF(COUNTIF(Vendas!$C$5:$C$3004,B70)=0,"",_xlfn.MAXIFS(Vendas!$B$5:$B$3004,Vendas!$C$5:$C$3004,B70)))</f>
        <v/>
      </c>
      <c r="J70" s="39" t="str">
        <f aca="false">IF(B70="","",IF(H70&gt;0.005,"Deve",IF(H70&lt;-0.005,"Tem crédito",IF(E70&gt;0,"Em dia","Ainda não comprou"))))</f>
        <v/>
      </c>
    </row>
    <row r="71" customFormat="false" ht="21" hidden="false" customHeight="true" outlineLevel="0" collapsed="false">
      <c r="B71" s="9"/>
      <c r="C71" s="45"/>
      <c r="D71" s="9"/>
      <c r="E71" s="27" t="str">
        <f aca="false">IF(B71="","",SUMIFS(Vendas!$G$5:$G$3004,Vendas!$C$5:$C$3004,B71))</f>
        <v/>
      </c>
      <c r="F71" s="27" t="str">
        <f aca="false">IF(B71="","",SUMIFS(Recebi!$D$5:$D$3004,Recebi!$C$5:$C$3004,B71)+SUMIFS(Vendas!$G$5:$G$3004,Vendas!$C$5:$C$3004,B71,Vendas!$J$5:$J$3004,"Sim"))</f>
        <v/>
      </c>
      <c r="G71" s="27" t="str">
        <f aca="false">IF(B71="","",SUMIFS(Acertos!$D$5:$D$504,Acertos!$C$5:$C$504,B71))</f>
        <v/>
      </c>
      <c r="H71" s="36" t="str">
        <f aca="false">IF(B71="","",E71+G71-F71)</f>
        <v/>
      </c>
      <c r="I71" s="46" t="str">
        <f aca="false">IF(B71="","",IF(COUNTIF(Vendas!$C$5:$C$3004,B71)=0,"",_xlfn.MAXIFS(Vendas!$B$5:$B$3004,Vendas!$C$5:$C$3004,B71)))</f>
        <v/>
      </c>
      <c r="J71" s="39" t="str">
        <f aca="false">IF(B71="","",IF(H71&gt;0.005,"Deve",IF(H71&lt;-0.005,"Tem crédito",IF(E71&gt;0,"Em dia","Ainda não comprou"))))</f>
        <v/>
      </c>
    </row>
    <row r="72" customFormat="false" ht="21" hidden="false" customHeight="true" outlineLevel="0" collapsed="false">
      <c r="B72" s="9"/>
      <c r="C72" s="45"/>
      <c r="D72" s="9"/>
      <c r="E72" s="27" t="str">
        <f aca="false">IF(B72="","",SUMIFS(Vendas!$G$5:$G$3004,Vendas!$C$5:$C$3004,B72))</f>
        <v/>
      </c>
      <c r="F72" s="27" t="str">
        <f aca="false">IF(B72="","",SUMIFS(Recebi!$D$5:$D$3004,Recebi!$C$5:$C$3004,B72)+SUMIFS(Vendas!$G$5:$G$3004,Vendas!$C$5:$C$3004,B72,Vendas!$J$5:$J$3004,"Sim"))</f>
        <v/>
      </c>
      <c r="G72" s="27" t="str">
        <f aca="false">IF(B72="","",SUMIFS(Acertos!$D$5:$D$504,Acertos!$C$5:$C$504,B72))</f>
        <v/>
      </c>
      <c r="H72" s="36" t="str">
        <f aca="false">IF(B72="","",E72+G72-F72)</f>
        <v/>
      </c>
      <c r="I72" s="46" t="str">
        <f aca="false">IF(B72="","",IF(COUNTIF(Vendas!$C$5:$C$3004,B72)=0,"",_xlfn.MAXIFS(Vendas!$B$5:$B$3004,Vendas!$C$5:$C$3004,B72)))</f>
        <v/>
      </c>
      <c r="J72" s="39" t="str">
        <f aca="false">IF(B72="","",IF(H72&gt;0.005,"Deve",IF(H72&lt;-0.005,"Tem crédito",IF(E72&gt;0,"Em dia","Ainda não comprou"))))</f>
        <v/>
      </c>
    </row>
    <row r="73" customFormat="false" ht="21" hidden="false" customHeight="true" outlineLevel="0" collapsed="false">
      <c r="B73" s="9"/>
      <c r="C73" s="45"/>
      <c r="D73" s="9"/>
      <c r="E73" s="27" t="str">
        <f aca="false">IF(B73="","",SUMIFS(Vendas!$G$5:$G$3004,Vendas!$C$5:$C$3004,B73))</f>
        <v/>
      </c>
      <c r="F73" s="27" t="str">
        <f aca="false">IF(B73="","",SUMIFS(Recebi!$D$5:$D$3004,Recebi!$C$5:$C$3004,B73)+SUMIFS(Vendas!$G$5:$G$3004,Vendas!$C$5:$C$3004,B73,Vendas!$J$5:$J$3004,"Sim"))</f>
        <v/>
      </c>
      <c r="G73" s="27" t="str">
        <f aca="false">IF(B73="","",SUMIFS(Acertos!$D$5:$D$504,Acertos!$C$5:$C$504,B73))</f>
        <v/>
      </c>
      <c r="H73" s="36" t="str">
        <f aca="false">IF(B73="","",E73+G73-F73)</f>
        <v/>
      </c>
      <c r="I73" s="46" t="str">
        <f aca="false">IF(B73="","",IF(COUNTIF(Vendas!$C$5:$C$3004,B73)=0,"",_xlfn.MAXIFS(Vendas!$B$5:$B$3004,Vendas!$C$5:$C$3004,B73)))</f>
        <v/>
      </c>
      <c r="J73" s="39" t="str">
        <f aca="false">IF(B73="","",IF(H73&gt;0.005,"Deve",IF(H73&lt;-0.005,"Tem crédito",IF(E73&gt;0,"Em dia","Ainda não comprou"))))</f>
        <v/>
      </c>
    </row>
    <row r="74" customFormat="false" ht="21" hidden="false" customHeight="true" outlineLevel="0" collapsed="false">
      <c r="B74" s="9"/>
      <c r="C74" s="45"/>
      <c r="D74" s="9"/>
      <c r="E74" s="27" t="str">
        <f aca="false">IF(B74="","",SUMIFS(Vendas!$G$5:$G$3004,Vendas!$C$5:$C$3004,B74))</f>
        <v/>
      </c>
      <c r="F74" s="27" t="str">
        <f aca="false">IF(B74="","",SUMIFS(Recebi!$D$5:$D$3004,Recebi!$C$5:$C$3004,B74)+SUMIFS(Vendas!$G$5:$G$3004,Vendas!$C$5:$C$3004,B74,Vendas!$J$5:$J$3004,"Sim"))</f>
        <v/>
      </c>
      <c r="G74" s="27" t="str">
        <f aca="false">IF(B74="","",SUMIFS(Acertos!$D$5:$D$504,Acertos!$C$5:$C$504,B74))</f>
        <v/>
      </c>
      <c r="H74" s="36" t="str">
        <f aca="false">IF(B74="","",E74+G74-F74)</f>
        <v/>
      </c>
      <c r="I74" s="46" t="str">
        <f aca="false">IF(B74="","",IF(COUNTIF(Vendas!$C$5:$C$3004,B74)=0,"",_xlfn.MAXIFS(Vendas!$B$5:$B$3004,Vendas!$C$5:$C$3004,B74)))</f>
        <v/>
      </c>
      <c r="J74" s="39" t="str">
        <f aca="false">IF(B74="","",IF(H74&gt;0.005,"Deve",IF(H74&lt;-0.005,"Tem crédito",IF(E74&gt;0,"Em dia","Ainda não comprou"))))</f>
        <v/>
      </c>
    </row>
    <row r="75" customFormat="false" ht="21" hidden="false" customHeight="true" outlineLevel="0" collapsed="false">
      <c r="B75" s="9"/>
      <c r="C75" s="45"/>
      <c r="D75" s="9"/>
      <c r="E75" s="27" t="str">
        <f aca="false">IF(B75="","",SUMIFS(Vendas!$G$5:$G$3004,Vendas!$C$5:$C$3004,B75))</f>
        <v/>
      </c>
      <c r="F75" s="27" t="str">
        <f aca="false">IF(B75="","",SUMIFS(Recebi!$D$5:$D$3004,Recebi!$C$5:$C$3004,B75)+SUMIFS(Vendas!$G$5:$G$3004,Vendas!$C$5:$C$3004,B75,Vendas!$J$5:$J$3004,"Sim"))</f>
        <v/>
      </c>
      <c r="G75" s="27" t="str">
        <f aca="false">IF(B75="","",SUMIFS(Acertos!$D$5:$D$504,Acertos!$C$5:$C$504,B75))</f>
        <v/>
      </c>
      <c r="H75" s="36" t="str">
        <f aca="false">IF(B75="","",E75+G75-F75)</f>
        <v/>
      </c>
      <c r="I75" s="46" t="str">
        <f aca="false">IF(B75="","",IF(COUNTIF(Vendas!$C$5:$C$3004,B75)=0,"",_xlfn.MAXIFS(Vendas!$B$5:$B$3004,Vendas!$C$5:$C$3004,B75)))</f>
        <v/>
      </c>
      <c r="J75" s="39" t="str">
        <f aca="false">IF(B75="","",IF(H75&gt;0.005,"Deve",IF(H75&lt;-0.005,"Tem crédito",IF(E75&gt;0,"Em dia","Ainda não comprou"))))</f>
        <v/>
      </c>
    </row>
    <row r="76" customFormat="false" ht="21" hidden="false" customHeight="true" outlineLevel="0" collapsed="false">
      <c r="B76" s="9"/>
      <c r="C76" s="45"/>
      <c r="D76" s="9"/>
      <c r="E76" s="27" t="str">
        <f aca="false">IF(B76="","",SUMIFS(Vendas!$G$5:$G$3004,Vendas!$C$5:$C$3004,B76))</f>
        <v/>
      </c>
      <c r="F76" s="27" t="str">
        <f aca="false">IF(B76="","",SUMIFS(Recebi!$D$5:$D$3004,Recebi!$C$5:$C$3004,B76)+SUMIFS(Vendas!$G$5:$G$3004,Vendas!$C$5:$C$3004,B76,Vendas!$J$5:$J$3004,"Sim"))</f>
        <v/>
      </c>
      <c r="G76" s="27" t="str">
        <f aca="false">IF(B76="","",SUMIFS(Acertos!$D$5:$D$504,Acertos!$C$5:$C$504,B76))</f>
        <v/>
      </c>
      <c r="H76" s="36" t="str">
        <f aca="false">IF(B76="","",E76+G76-F76)</f>
        <v/>
      </c>
      <c r="I76" s="46" t="str">
        <f aca="false">IF(B76="","",IF(COUNTIF(Vendas!$C$5:$C$3004,B76)=0,"",_xlfn.MAXIFS(Vendas!$B$5:$B$3004,Vendas!$C$5:$C$3004,B76)))</f>
        <v/>
      </c>
      <c r="J76" s="39" t="str">
        <f aca="false">IF(B76="","",IF(H76&gt;0.005,"Deve",IF(H76&lt;-0.005,"Tem crédito",IF(E76&gt;0,"Em dia","Ainda não comprou"))))</f>
        <v/>
      </c>
    </row>
    <row r="77" customFormat="false" ht="21" hidden="false" customHeight="true" outlineLevel="0" collapsed="false">
      <c r="B77" s="9"/>
      <c r="C77" s="45"/>
      <c r="D77" s="9"/>
      <c r="E77" s="27" t="str">
        <f aca="false">IF(B77="","",SUMIFS(Vendas!$G$5:$G$3004,Vendas!$C$5:$C$3004,B77))</f>
        <v/>
      </c>
      <c r="F77" s="27" t="str">
        <f aca="false">IF(B77="","",SUMIFS(Recebi!$D$5:$D$3004,Recebi!$C$5:$C$3004,B77)+SUMIFS(Vendas!$G$5:$G$3004,Vendas!$C$5:$C$3004,B77,Vendas!$J$5:$J$3004,"Sim"))</f>
        <v/>
      </c>
      <c r="G77" s="27" t="str">
        <f aca="false">IF(B77="","",SUMIFS(Acertos!$D$5:$D$504,Acertos!$C$5:$C$504,B77))</f>
        <v/>
      </c>
      <c r="H77" s="36" t="str">
        <f aca="false">IF(B77="","",E77+G77-F77)</f>
        <v/>
      </c>
      <c r="I77" s="46" t="str">
        <f aca="false">IF(B77="","",IF(COUNTIF(Vendas!$C$5:$C$3004,B77)=0,"",_xlfn.MAXIFS(Vendas!$B$5:$B$3004,Vendas!$C$5:$C$3004,B77)))</f>
        <v/>
      </c>
      <c r="J77" s="39" t="str">
        <f aca="false">IF(B77="","",IF(H77&gt;0.005,"Deve",IF(H77&lt;-0.005,"Tem crédito",IF(E77&gt;0,"Em dia","Ainda não comprou"))))</f>
        <v/>
      </c>
    </row>
    <row r="78" customFormat="false" ht="21" hidden="false" customHeight="true" outlineLevel="0" collapsed="false">
      <c r="B78" s="9"/>
      <c r="C78" s="45"/>
      <c r="D78" s="9"/>
      <c r="E78" s="27" t="str">
        <f aca="false">IF(B78="","",SUMIFS(Vendas!$G$5:$G$3004,Vendas!$C$5:$C$3004,B78))</f>
        <v/>
      </c>
      <c r="F78" s="27" t="str">
        <f aca="false">IF(B78="","",SUMIFS(Recebi!$D$5:$D$3004,Recebi!$C$5:$C$3004,B78)+SUMIFS(Vendas!$G$5:$G$3004,Vendas!$C$5:$C$3004,B78,Vendas!$J$5:$J$3004,"Sim"))</f>
        <v/>
      </c>
      <c r="G78" s="27" t="str">
        <f aca="false">IF(B78="","",SUMIFS(Acertos!$D$5:$D$504,Acertos!$C$5:$C$504,B78))</f>
        <v/>
      </c>
      <c r="H78" s="36" t="str">
        <f aca="false">IF(B78="","",E78+G78-F78)</f>
        <v/>
      </c>
      <c r="I78" s="46" t="str">
        <f aca="false">IF(B78="","",IF(COUNTIF(Vendas!$C$5:$C$3004,B78)=0,"",_xlfn.MAXIFS(Vendas!$B$5:$B$3004,Vendas!$C$5:$C$3004,B78)))</f>
        <v/>
      </c>
      <c r="J78" s="39" t="str">
        <f aca="false">IF(B78="","",IF(H78&gt;0.005,"Deve",IF(H78&lt;-0.005,"Tem crédito",IF(E78&gt;0,"Em dia","Ainda não comprou"))))</f>
        <v/>
      </c>
    </row>
    <row r="79" customFormat="false" ht="21" hidden="false" customHeight="true" outlineLevel="0" collapsed="false">
      <c r="B79" s="9"/>
      <c r="C79" s="45"/>
      <c r="D79" s="9"/>
      <c r="E79" s="27" t="str">
        <f aca="false">IF(B79="","",SUMIFS(Vendas!$G$5:$G$3004,Vendas!$C$5:$C$3004,B79))</f>
        <v/>
      </c>
      <c r="F79" s="27" t="str">
        <f aca="false">IF(B79="","",SUMIFS(Recebi!$D$5:$D$3004,Recebi!$C$5:$C$3004,B79)+SUMIFS(Vendas!$G$5:$G$3004,Vendas!$C$5:$C$3004,B79,Vendas!$J$5:$J$3004,"Sim"))</f>
        <v/>
      </c>
      <c r="G79" s="27" t="str">
        <f aca="false">IF(B79="","",SUMIFS(Acertos!$D$5:$D$504,Acertos!$C$5:$C$504,B79))</f>
        <v/>
      </c>
      <c r="H79" s="36" t="str">
        <f aca="false">IF(B79="","",E79+G79-F79)</f>
        <v/>
      </c>
      <c r="I79" s="46" t="str">
        <f aca="false">IF(B79="","",IF(COUNTIF(Vendas!$C$5:$C$3004,B79)=0,"",_xlfn.MAXIFS(Vendas!$B$5:$B$3004,Vendas!$C$5:$C$3004,B79)))</f>
        <v/>
      </c>
      <c r="J79" s="39" t="str">
        <f aca="false">IF(B79="","",IF(H79&gt;0.005,"Deve",IF(H79&lt;-0.005,"Tem crédito",IF(E79&gt;0,"Em dia","Ainda não comprou"))))</f>
        <v/>
      </c>
    </row>
    <row r="80" customFormat="false" ht="21" hidden="false" customHeight="true" outlineLevel="0" collapsed="false">
      <c r="B80" s="9"/>
      <c r="C80" s="45"/>
      <c r="D80" s="9"/>
      <c r="E80" s="27" t="str">
        <f aca="false">IF(B80="","",SUMIFS(Vendas!$G$5:$G$3004,Vendas!$C$5:$C$3004,B80))</f>
        <v/>
      </c>
      <c r="F80" s="27" t="str">
        <f aca="false">IF(B80="","",SUMIFS(Recebi!$D$5:$D$3004,Recebi!$C$5:$C$3004,B80)+SUMIFS(Vendas!$G$5:$G$3004,Vendas!$C$5:$C$3004,B80,Vendas!$J$5:$J$3004,"Sim"))</f>
        <v/>
      </c>
      <c r="G80" s="27" t="str">
        <f aca="false">IF(B80="","",SUMIFS(Acertos!$D$5:$D$504,Acertos!$C$5:$C$504,B80))</f>
        <v/>
      </c>
      <c r="H80" s="36" t="str">
        <f aca="false">IF(B80="","",E80+G80-F80)</f>
        <v/>
      </c>
      <c r="I80" s="46" t="str">
        <f aca="false">IF(B80="","",IF(COUNTIF(Vendas!$C$5:$C$3004,B80)=0,"",_xlfn.MAXIFS(Vendas!$B$5:$B$3004,Vendas!$C$5:$C$3004,B80)))</f>
        <v/>
      </c>
      <c r="J80" s="39" t="str">
        <f aca="false">IF(B80="","",IF(H80&gt;0.005,"Deve",IF(H80&lt;-0.005,"Tem crédito",IF(E80&gt;0,"Em dia","Ainda não comprou"))))</f>
        <v/>
      </c>
    </row>
    <row r="81" customFormat="false" ht="21" hidden="false" customHeight="true" outlineLevel="0" collapsed="false">
      <c r="B81" s="9"/>
      <c r="C81" s="45"/>
      <c r="D81" s="9"/>
      <c r="E81" s="27" t="str">
        <f aca="false">IF(B81="","",SUMIFS(Vendas!$G$5:$G$3004,Vendas!$C$5:$C$3004,B81))</f>
        <v/>
      </c>
      <c r="F81" s="27" t="str">
        <f aca="false">IF(B81="","",SUMIFS(Recebi!$D$5:$D$3004,Recebi!$C$5:$C$3004,B81)+SUMIFS(Vendas!$G$5:$G$3004,Vendas!$C$5:$C$3004,B81,Vendas!$J$5:$J$3004,"Sim"))</f>
        <v/>
      </c>
      <c r="G81" s="27" t="str">
        <f aca="false">IF(B81="","",SUMIFS(Acertos!$D$5:$D$504,Acertos!$C$5:$C$504,B81))</f>
        <v/>
      </c>
      <c r="H81" s="36" t="str">
        <f aca="false">IF(B81="","",E81+G81-F81)</f>
        <v/>
      </c>
      <c r="I81" s="46" t="str">
        <f aca="false">IF(B81="","",IF(COUNTIF(Vendas!$C$5:$C$3004,B81)=0,"",_xlfn.MAXIFS(Vendas!$B$5:$B$3004,Vendas!$C$5:$C$3004,B81)))</f>
        <v/>
      </c>
      <c r="J81" s="39" t="str">
        <f aca="false">IF(B81="","",IF(H81&gt;0.005,"Deve",IF(H81&lt;-0.005,"Tem crédito",IF(E81&gt;0,"Em dia","Ainda não comprou"))))</f>
        <v/>
      </c>
    </row>
    <row r="82" customFormat="false" ht="21" hidden="false" customHeight="true" outlineLevel="0" collapsed="false">
      <c r="B82" s="9"/>
      <c r="C82" s="45"/>
      <c r="D82" s="9"/>
      <c r="E82" s="27" t="str">
        <f aca="false">IF(B82="","",SUMIFS(Vendas!$G$5:$G$3004,Vendas!$C$5:$C$3004,B82))</f>
        <v/>
      </c>
      <c r="F82" s="27" t="str">
        <f aca="false">IF(B82="","",SUMIFS(Recebi!$D$5:$D$3004,Recebi!$C$5:$C$3004,B82)+SUMIFS(Vendas!$G$5:$G$3004,Vendas!$C$5:$C$3004,B82,Vendas!$J$5:$J$3004,"Sim"))</f>
        <v/>
      </c>
      <c r="G82" s="27" t="str">
        <f aca="false">IF(B82="","",SUMIFS(Acertos!$D$5:$D$504,Acertos!$C$5:$C$504,B82))</f>
        <v/>
      </c>
      <c r="H82" s="36" t="str">
        <f aca="false">IF(B82="","",E82+G82-F82)</f>
        <v/>
      </c>
      <c r="I82" s="46" t="str">
        <f aca="false">IF(B82="","",IF(COUNTIF(Vendas!$C$5:$C$3004,B82)=0,"",_xlfn.MAXIFS(Vendas!$B$5:$B$3004,Vendas!$C$5:$C$3004,B82)))</f>
        <v/>
      </c>
      <c r="J82" s="39" t="str">
        <f aca="false">IF(B82="","",IF(H82&gt;0.005,"Deve",IF(H82&lt;-0.005,"Tem crédito",IF(E82&gt;0,"Em dia","Ainda não comprou"))))</f>
        <v/>
      </c>
    </row>
    <row r="83" customFormat="false" ht="21" hidden="false" customHeight="true" outlineLevel="0" collapsed="false">
      <c r="B83" s="9"/>
      <c r="C83" s="45"/>
      <c r="D83" s="9"/>
      <c r="E83" s="27" t="str">
        <f aca="false">IF(B83="","",SUMIFS(Vendas!$G$5:$G$3004,Vendas!$C$5:$C$3004,B83))</f>
        <v/>
      </c>
      <c r="F83" s="27" t="str">
        <f aca="false">IF(B83="","",SUMIFS(Recebi!$D$5:$D$3004,Recebi!$C$5:$C$3004,B83)+SUMIFS(Vendas!$G$5:$G$3004,Vendas!$C$5:$C$3004,B83,Vendas!$J$5:$J$3004,"Sim"))</f>
        <v/>
      </c>
      <c r="G83" s="27" t="str">
        <f aca="false">IF(B83="","",SUMIFS(Acertos!$D$5:$D$504,Acertos!$C$5:$C$504,B83))</f>
        <v/>
      </c>
      <c r="H83" s="36" t="str">
        <f aca="false">IF(B83="","",E83+G83-F83)</f>
        <v/>
      </c>
      <c r="I83" s="46" t="str">
        <f aca="false">IF(B83="","",IF(COUNTIF(Vendas!$C$5:$C$3004,B83)=0,"",_xlfn.MAXIFS(Vendas!$B$5:$B$3004,Vendas!$C$5:$C$3004,B83)))</f>
        <v/>
      </c>
      <c r="J83" s="39" t="str">
        <f aca="false">IF(B83="","",IF(H83&gt;0.005,"Deve",IF(H83&lt;-0.005,"Tem crédito",IF(E83&gt;0,"Em dia","Ainda não comprou"))))</f>
        <v/>
      </c>
    </row>
    <row r="84" customFormat="false" ht="21" hidden="false" customHeight="true" outlineLevel="0" collapsed="false">
      <c r="B84" s="9"/>
      <c r="C84" s="45"/>
      <c r="D84" s="9"/>
      <c r="E84" s="27" t="str">
        <f aca="false">IF(B84="","",SUMIFS(Vendas!$G$5:$G$3004,Vendas!$C$5:$C$3004,B84))</f>
        <v/>
      </c>
      <c r="F84" s="27" t="str">
        <f aca="false">IF(B84="","",SUMIFS(Recebi!$D$5:$D$3004,Recebi!$C$5:$C$3004,B84)+SUMIFS(Vendas!$G$5:$G$3004,Vendas!$C$5:$C$3004,B84,Vendas!$J$5:$J$3004,"Sim"))</f>
        <v/>
      </c>
      <c r="G84" s="27" t="str">
        <f aca="false">IF(B84="","",SUMIFS(Acertos!$D$5:$D$504,Acertos!$C$5:$C$504,B84))</f>
        <v/>
      </c>
      <c r="H84" s="36" t="str">
        <f aca="false">IF(B84="","",E84+G84-F84)</f>
        <v/>
      </c>
      <c r="I84" s="46" t="str">
        <f aca="false">IF(B84="","",IF(COUNTIF(Vendas!$C$5:$C$3004,B84)=0,"",_xlfn.MAXIFS(Vendas!$B$5:$B$3004,Vendas!$C$5:$C$3004,B84)))</f>
        <v/>
      </c>
      <c r="J84" s="39" t="str">
        <f aca="false">IF(B84="","",IF(H84&gt;0.005,"Deve",IF(H84&lt;-0.005,"Tem crédito",IF(E84&gt;0,"Em dia","Ainda não comprou"))))</f>
        <v/>
      </c>
    </row>
    <row r="85" customFormat="false" ht="21" hidden="false" customHeight="true" outlineLevel="0" collapsed="false">
      <c r="B85" s="9"/>
      <c r="C85" s="45"/>
      <c r="D85" s="9"/>
      <c r="E85" s="27" t="str">
        <f aca="false">IF(B85="","",SUMIFS(Vendas!$G$5:$G$3004,Vendas!$C$5:$C$3004,B85))</f>
        <v/>
      </c>
      <c r="F85" s="27" t="str">
        <f aca="false">IF(B85="","",SUMIFS(Recebi!$D$5:$D$3004,Recebi!$C$5:$C$3004,B85)+SUMIFS(Vendas!$G$5:$G$3004,Vendas!$C$5:$C$3004,B85,Vendas!$J$5:$J$3004,"Sim"))</f>
        <v/>
      </c>
      <c r="G85" s="27" t="str">
        <f aca="false">IF(B85="","",SUMIFS(Acertos!$D$5:$D$504,Acertos!$C$5:$C$504,B85))</f>
        <v/>
      </c>
      <c r="H85" s="36" t="str">
        <f aca="false">IF(B85="","",E85+G85-F85)</f>
        <v/>
      </c>
      <c r="I85" s="46" t="str">
        <f aca="false">IF(B85="","",IF(COUNTIF(Vendas!$C$5:$C$3004,B85)=0,"",_xlfn.MAXIFS(Vendas!$B$5:$B$3004,Vendas!$C$5:$C$3004,B85)))</f>
        <v/>
      </c>
      <c r="J85" s="39" t="str">
        <f aca="false">IF(B85="","",IF(H85&gt;0.005,"Deve",IF(H85&lt;-0.005,"Tem crédito",IF(E85&gt;0,"Em dia","Ainda não comprou"))))</f>
        <v/>
      </c>
    </row>
    <row r="86" customFormat="false" ht="21" hidden="false" customHeight="true" outlineLevel="0" collapsed="false">
      <c r="B86" s="9"/>
      <c r="C86" s="45"/>
      <c r="D86" s="9"/>
      <c r="E86" s="27" t="str">
        <f aca="false">IF(B86="","",SUMIFS(Vendas!$G$5:$G$3004,Vendas!$C$5:$C$3004,B86))</f>
        <v/>
      </c>
      <c r="F86" s="27" t="str">
        <f aca="false">IF(B86="","",SUMIFS(Recebi!$D$5:$D$3004,Recebi!$C$5:$C$3004,B86)+SUMIFS(Vendas!$G$5:$G$3004,Vendas!$C$5:$C$3004,B86,Vendas!$J$5:$J$3004,"Sim"))</f>
        <v/>
      </c>
      <c r="G86" s="27" t="str">
        <f aca="false">IF(B86="","",SUMIFS(Acertos!$D$5:$D$504,Acertos!$C$5:$C$504,B86))</f>
        <v/>
      </c>
      <c r="H86" s="36" t="str">
        <f aca="false">IF(B86="","",E86+G86-F86)</f>
        <v/>
      </c>
      <c r="I86" s="46" t="str">
        <f aca="false">IF(B86="","",IF(COUNTIF(Vendas!$C$5:$C$3004,B86)=0,"",_xlfn.MAXIFS(Vendas!$B$5:$B$3004,Vendas!$C$5:$C$3004,B86)))</f>
        <v/>
      </c>
      <c r="J86" s="39" t="str">
        <f aca="false">IF(B86="","",IF(H86&gt;0.005,"Deve",IF(H86&lt;-0.005,"Tem crédito",IF(E86&gt;0,"Em dia","Ainda não comprou"))))</f>
        <v/>
      </c>
    </row>
    <row r="87" customFormat="false" ht="21" hidden="false" customHeight="true" outlineLevel="0" collapsed="false">
      <c r="B87" s="9"/>
      <c r="C87" s="45"/>
      <c r="D87" s="9"/>
      <c r="E87" s="27" t="str">
        <f aca="false">IF(B87="","",SUMIFS(Vendas!$G$5:$G$3004,Vendas!$C$5:$C$3004,B87))</f>
        <v/>
      </c>
      <c r="F87" s="27" t="str">
        <f aca="false">IF(B87="","",SUMIFS(Recebi!$D$5:$D$3004,Recebi!$C$5:$C$3004,B87)+SUMIFS(Vendas!$G$5:$G$3004,Vendas!$C$5:$C$3004,B87,Vendas!$J$5:$J$3004,"Sim"))</f>
        <v/>
      </c>
      <c r="G87" s="27" t="str">
        <f aca="false">IF(B87="","",SUMIFS(Acertos!$D$5:$D$504,Acertos!$C$5:$C$504,B87))</f>
        <v/>
      </c>
      <c r="H87" s="36" t="str">
        <f aca="false">IF(B87="","",E87+G87-F87)</f>
        <v/>
      </c>
      <c r="I87" s="46" t="str">
        <f aca="false">IF(B87="","",IF(COUNTIF(Vendas!$C$5:$C$3004,B87)=0,"",_xlfn.MAXIFS(Vendas!$B$5:$B$3004,Vendas!$C$5:$C$3004,B87)))</f>
        <v/>
      </c>
      <c r="J87" s="39" t="str">
        <f aca="false">IF(B87="","",IF(H87&gt;0.005,"Deve",IF(H87&lt;-0.005,"Tem crédito",IF(E87&gt;0,"Em dia","Ainda não comprou"))))</f>
        <v/>
      </c>
    </row>
    <row r="88" customFormat="false" ht="21" hidden="false" customHeight="true" outlineLevel="0" collapsed="false">
      <c r="B88" s="9"/>
      <c r="C88" s="45"/>
      <c r="D88" s="9"/>
      <c r="E88" s="27" t="str">
        <f aca="false">IF(B88="","",SUMIFS(Vendas!$G$5:$G$3004,Vendas!$C$5:$C$3004,B88))</f>
        <v/>
      </c>
      <c r="F88" s="27" t="str">
        <f aca="false">IF(B88="","",SUMIFS(Recebi!$D$5:$D$3004,Recebi!$C$5:$C$3004,B88)+SUMIFS(Vendas!$G$5:$G$3004,Vendas!$C$5:$C$3004,B88,Vendas!$J$5:$J$3004,"Sim"))</f>
        <v/>
      </c>
      <c r="G88" s="27" t="str">
        <f aca="false">IF(B88="","",SUMIFS(Acertos!$D$5:$D$504,Acertos!$C$5:$C$504,B88))</f>
        <v/>
      </c>
      <c r="H88" s="36" t="str">
        <f aca="false">IF(B88="","",E88+G88-F88)</f>
        <v/>
      </c>
      <c r="I88" s="46" t="str">
        <f aca="false">IF(B88="","",IF(COUNTIF(Vendas!$C$5:$C$3004,B88)=0,"",_xlfn.MAXIFS(Vendas!$B$5:$B$3004,Vendas!$C$5:$C$3004,B88)))</f>
        <v/>
      </c>
      <c r="J88" s="39" t="str">
        <f aca="false">IF(B88="","",IF(H88&gt;0.005,"Deve",IF(H88&lt;-0.005,"Tem crédito",IF(E88&gt;0,"Em dia","Ainda não comprou"))))</f>
        <v/>
      </c>
    </row>
    <row r="89" customFormat="false" ht="21" hidden="false" customHeight="true" outlineLevel="0" collapsed="false">
      <c r="B89" s="9"/>
      <c r="C89" s="45"/>
      <c r="D89" s="9"/>
      <c r="E89" s="27" t="str">
        <f aca="false">IF(B89="","",SUMIFS(Vendas!$G$5:$G$3004,Vendas!$C$5:$C$3004,B89))</f>
        <v/>
      </c>
      <c r="F89" s="27" t="str">
        <f aca="false">IF(B89="","",SUMIFS(Recebi!$D$5:$D$3004,Recebi!$C$5:$C$3004,B89)+SUMIFS(Vendas!$G$5:$G$3004,Vendas!$C$5:$C$3004,B89,Vendas!$J$5:$J$3004,"Sim"))</f>
        <v/>
      </c>
      <c r="G89" s="27" t="str">
        <f aca="false">IF(B89="","",SUMIFS(Acertos!$D$5:$D$504,Acertos!$C$5:$C$504,B89))</f>
        <v/>
      </c>
      <c r="H89" s="36" t="str">
        <f aca="false">IF(B89="","",E89+G89-F89)</f>
        <v/>
      </c>
      <c r="I89" s="46" t="str">
        <f aca="false">IF(B89="","",IF(COUNTIF(Vendas!$C$5:$C$3004,B89)=0,"",_xlfn.MAXIFS(Vendas!$B$5:$B$3004,Vendas!$C$5:$C$3004,B89)))</f>
        <v/>
      </c>
      <c r="J89" s="39" t="str">
        <f aca="false">IF(B89="","",IF(H89&gt;0.005,"Deve",IF(H89&lt;-0.005,"Tem crédito",IF(E89&gt;0,"Em dia","Ainda não comprou"))))</f>
        <v/>
      </c>
    </row>
    <row r="90" customFormat="false" ht="21" hidden="false" customHeight="true" outlineLevel="0" collapsed="false">
      <c r="B90" s="9"/>
      <c r="C90" s="45"/>
      <c r="D90" s="9"/>
      <c r="E90" s="27" t="str">
        <f aca="false">IF(B90="","",SUMIFS(Vendas!$G$5:$G$3004,Vendas!$C$5:$C$3004,B90))</f>
        <v/>
      </c>
      <c r="F90" s="27" t="str">
        <f aca="false">IF(B90="","",SUMIFS(Recebi!$D$5:$D$3004,Recebi!$C$5:$C$3004,B90)+SUMIFS(Vendas!$G$5:$G$3004,Vendas!$C$5:$C$3004,B90,Vendas!$J$5:$J$3004,"Sim"))</f>
        <v/>
      </c>
      <c r="G90" s="27" t="str">
        <f aca="false">IF(B90="","",SUMIFS(Acertos!$D$5:$D$504,Acertos!$C$5:$C$504,B90))</f>
        <v/>
      </c>
      <c r="H90" s="36" t="str">
        <f aca="false">IF(B90="","",E90+G90-F90)</f>
        <v/>
      </c>
      <c r="I90" s="46" t="str">
        <f aca="false">IF(B90="","",IF(COUNTIF(Vendas!$C$5:$C$3004,B90)=0,"",_xlfn.MAXIFS(Vendas!$B$5:$B$3004,Vendas!$C$5:$C$3004,B90)))</f>
        <v/>
      </c>
      <c r="J90" s="39" t="str">
        <f aca="false">IF(B90="","",IF(H90&gt;0.005,"Deve",IF(H90&lt;-0.005,"Tem crédito",IF(E90&gt;0,"Em dia","Ainda não comprou"))))</f>
        <v/>
      </c>
    </row>
    <row r="91" customFormat="false" ht="21" hidden="false" customHeight="true" outlineLevel="0" collapsed="false">
      <c r="B91" s="9"/>
      <c r="C91" s="45"/>
      <c r="D91" s="9"/>
      <c r="E91" s="27" t="str">
        <f aca="false">IF(B91="","",SUMIFS(Vendas!$G$5:$G$3004,Vendas!$C$5:$C$3004,B91))</f>
        <v/>
      </c>
      <c r="F91" s="27" t="str">
        <f aca="false">IF(B91="","",SUMIFS(Recebi!$D$5:$D$3004,Recebi!$C$5:$C$3004,B91)+SUMIFS(Vendas!$G$5:$G$3004,Vendas!$C$5:$C$3004,B91,Vendas!$J$5:$J$3004,"Sim"))</f>
        <v/>
      </c>
      <c r="G91" s="27" t="str">
        <f aca="false">IF(B91="","",SUMIFS(Acertos!$D$5:$D$504,Acertos!$C$5:$C$504,B91))</f>
        <v/>
      </c>
      <c r="H91" s="36" t="str">
        <f aca="false">IF(B91="","",E91+G91-F91)</f>
        <v/>
      </c>
      <c r="I91" s="46" t="str">
        <f aca="false">IF(B91="","",IF(COUNTIF(Vendas!$C$5:$C$3004,B91)=0,"",_xlfn.MAXIFS(Vendas!$B$5:$B$3004,Vendas!$C$5:$C$3004,B91)))</f>
        <v/>
      </c>
      <c r="J91" s="39" t="str">
        <f aca="false">IF(B91="","",IF(H91&gt;0.005,"Deve",IF(H91&lt;-0.005,"Tem crédito",IF(E91&gt;0,"Em dia","Ainda não comprou"))))</f>
        <v/>
      </c>
    </row>
    <row r="92" customFormat="false" ht="21" hidden="false" customHeight="true" outlineLevel="0" collapsed="false">
      <c r="B92" s="9"/>
      <c r="C92" s="45"/>
      <c r="D92" s="9"/>
      <c r="E92" s="27" t="str">
        <f aca="false">IF(B92="","",SUMIFS(Vendas!$G$5:$G$3004,Vendas!$C$5:$C$3004,B92))</f>
        <v/>
      </c>
      <c r="F92" s="27" t="str">
        <f aca="false">IF(B92="","",SUMIFS(Recebi!$D$5:$D$3004,Recebi!$C$5:$C$3004,B92)+SUMIFS(Vendas!$G$5:$G$3004,Vendas!$C$5:$C$3004,B92,Vendas!$J$5:$J$3004,"Sim"))</f>
        <v/>
      </c>
      <c r="G92" s="27" t="str">
        <f aca="false">IF(B92="","",SUMIFS(Acertos!$D$5:$D$504,Acertos!$C$5:$C$504,B92))</f>
        <v/>
      </c>
      <c r="H92" s="36" t="str">
        <f aca="false">IF(B92="","",E92+G92-F92)</f>
        <v/>
      </c>
      <c r="I92" s="46" t="str">
        <f aca="false">IF(B92="","",IF(COUNTIF(Vendas!$C$5:$C$3004,B92)=0,"",_xlfn.MAXIFS(Vendas!$B$5:$B$3004,Vendas!$C$5:$C$3004,B92)))</f>
        <v/>
      </c>
      <c r="J92" s="39" t="str">
        <f aca="false">IF(B92="","",IF(H92&gt;0.005,"Deve",IF(H92&lt;-0.005,"Tem crédito",IF(E92&gt;0,"Em dia","Ainda não comprou"))))</f>
        <v/>
      </c>
    </row>
    <row r="93" customFormat="false" ht="21" hidden="false" customHeight="true" outlineLevel="0" collapsed="false">
      <c r="B93" s="9"/>
      <c r="C93" s="45"/>
      <c r="D93" s="9"/>
      <c r="E93" s="27" t="str">
        <f aca="false">IF(B93="","",SUMIFS(Vendas!$G$5:$G$3004,Vendas!$C$5:$C$3004,B93))</f>
        <v/>
      </c>
      <c r="F93" s="27" t="str">
        <f aca="false">IF(B93="","",SUMIFS(Recebi!$D$5:$D$3004,Recebi!$C$5:$C$3004,B93)+SUMIFS(Vendas!$G$5:$G$3004,Vendas!$C$5:$C$3004,B93,Vendas!$J$5:$J$3004,"Sim"))</f>
        <v/>
      </c>
      <c r="G93" s="27" t="str">
        <f aca="false">IF(B93="","",SUMIFS(Acertos!$D$5:$D$504,Acertos!$C$5:$C$504,B93))</f>
        <v/>
      </c>
      <c r="H93" s="36" t="str">
        <f aca="false">IF(B93="","",E93+G93-F93)</f>
        <v/>
      </c>
      <c r="I93" s="46" t="str">
        <f aca="false">IF(B93="","",IF(COUNTIF(Vendas!$C$5:$C$3004,B93)=0,"",_xlfn.MAXIFS(Vendas!$B$5:$B$3004,Vendas!$C$5:$C$3004,B93)))</f>
        <v/>
      </c>
      <c r="J93" s="39" t="str">
        <f aca="false">IF(B93="","",IF(H93&gt;0.005,"Deve",IF(H93&lt;-0.005,"Tem crédito",IF(E93&gt;0,"Em dia","Ainda não comprou"))))</f>
        <v/>
      </c>
    </row>
    <row r="94" customFormat="false" ht="21" hidden="false" customHeight="true" outlineLevel="0" collapsed="false">
      <c r="B94" s="9"/>
      <c r="C94" s="45"/>
      <c r="D94" s="9"/>
      <c r="E94" s="27" t="str">
        <f aca="false">IF(B94="","",SUMIFS(Vendas!$G$5:$G$3004,Vendas!$C$5:$C$3004,B94))</f>
        <v/>
      </c>
      <c r="F94" s="27" t="str">
        <f aca="false">IF(B94="","",SUMIFS(Recebi!$D$5:$D$3004,Recebi!$C$5:$C$3004,B94)+SUMIFS(Vendas!$G$5:$G$3004,Vendas!$C$5:$C$3004,B94,Vendas!$J$5:$J$3004,"Sim"))</f>
        <v/>
      </c>
      <c r="G94" s="27" t="str">
        <f aca="false">IF(B94="","",SUMIFS(Acertos!$D$5:$D$504,Acertos!$C$5:$C$504,B94))</f>
        <v/>
      </c>
      <c r="H94" s="36" t="str">
        <f aca="false">IF(B94="","",E94+G94-F94)</f>
        <v/>
      </c>
      <c r="I94" s="46" t="str">
        <f aca="false">IF(B94="","",IF(COUNTIF(Vendas!$C$5:$C$3004,B94)=0,"",_xlfn.MAXIFS(Vendas!$B$5:$B$3004,Vendas!$C$5:$C$3004,B94)))</f>
        <v/>
      </c>
      <c r="J94" s="39" t="str">
        <f aca="false">IF(B94="","",IF(H94&gt;0.005,"Deve",IF(H94&lt;-0.005,"Tem crédito",IF(E94&gt;0,"Em dia","Ainda não comprou"))))</f>
        <v/>
      </c>
    </row>
    <row r="95" customFormat="false" ht="21" hidden="false" customHeight="true" outlineLevel="0" collapsed="false">
      <c r="B95" s="9"/>
      <c r="C95" s="45"/>
      <c r="D95" s="9"/>
      <c r="E95" s="27" t="str">
        <f aca="false">IF(B95="","",SUMIFS(Vendas!$G$5:$G$3004,Vendas!$C$5:$C$3004,B95))</f>
        <v/>
      </c>
      <c r="F95" s="27" t="str">
        <f aca="false">IF(B95="","",SUMIFS(Recebi!$D$5:$D$3004,Recebi!$C$5:$C$3004,B95)+SUMIFS(Vendas!$G$5:$G$3004,Vendas!$C$5:$C$3004,B95,Vendas!$J$5:$J$3004,"Sim"))</f>
        <v/>
      </c>
      <c r="G95" s="27" t="str">
        <f aca="false">IF(B95="","",SUMIFS(Acertos!$D$5:$D$504,Acertos!$C$5:$C$504,B95))</f>
        <v/>
      </c>
      <c r="H95" s="36" t="str">
        <f aca="false">IF(B95="","",E95+G95-F95)</f>
        <v/>
      </c>
      <c r="I95" s="46" t="str">
        <f aca="false">IF(B95="","",IF(COUNTIF(Vendas!$C$5:$C$3004,B95)=0,"",_xlfn.MAXIFS(Vendas!$B$5:$B$3004,Vendas!$C$5:$C$3004,B95)))</f>
        <v/>
      </c>
      <c r="J95" s="39" t="str">
        <f aca="false">IF(B95="","",IF(H95&gt;0.005,"Deve",IF(H95&lt;-0.005,"Tem crédito",IF(E95&gt;0,"Em dia","Ainda não comprou"))))</f>
        <v/>
      </c>
    </row>
    <row r="96" customFormat="false" ht="21" hidden="false" customHeight="true" outlineLevel="0" collapsed="false">
      <c r="B96" s="9"/>
      <c r="C96" s="45"/>
      <c r="D96" s="9"/>
      <c r="E96" s="27" t="str">
        <f aca="false">IF(B96="","",SUMIFS(Vendas!$G$5:$G$3004,Vendas!$C$5:$C$3004,B96))</f>
        <v/>
      </c>
      <c r="F96" s="27" t="str">
        <f aca="false">IF(B96="","",SUMIFS(Recebi!$D$5:$D$3004,Recebi!$C$5:$C$3004,B96)+SUMIFS(Vendas!$G$5:$G$3004,Vendas!$C$5:$C$3004,B96,Vendas!$J$5:$J$3004,"Sim"))</f>
        <v/>
      </c>
      <c r="G96" s="27" t="str">
        <f aca="false">IF(B96="","",SUMIFS(Acertos!$D$5:$D$504,Acertos!$C$5:$C$504,B96))</f>
        <v/>
      </c>
      <c r="H96" s="36" t="str">
        <f aca="false">IF(B96="","",E96+G96-F96)</f>
        <v/>
      </c>
      <c r="I96" s="46" t="str">
        <f aca="false">IF(B96="","",IF(COUNTIF(Vendas!$C$5:$C$3004,B96)=0,"",_xlfn.MAXIFS(Vendas!$B$5:$B$3004,Vendas!$C$5:$C$3004,B96)))</f>
        <v/>
      </c>
      <c r="J96" s="39" t="str">
        <f aca="false">IF(B96="","",IF(H96&gt;0.005,"Deve",IF(H96&lt;-0.005,"Tem crédito",IF(E96&gt;0,"Em dia","Ainda não comprou"))))</f>
        <v/>
      </c>
    </row>
    <row r="97" customFormat="false" ht="21" hidden="false" customHeight="true" outlineLevel="0" collapsed="false">
      <c r="B97" s="9"/>
      <c r="C97" s="45"/>
      <c r="D97" s="9"/>
      <c r="E97" s="27" t="str">
        <f aca="false">IF(B97="","",SUMIFS(Vendas!$G$5:$G$3004,Vendas!$C$5:$C$3004,B97))</f>
        <v/>
      </c>
      <c r="F97" s="27" t="str">
        <f aca="false">IF(B97="","",SUMIFS(Recebi!$D$5:$D$3004,Recebi!$C$5:$C$3004,B97)+SUMIFS(Vendas!$G$5:$G$3004,Vendas!$C$5:$C$3004,B97,Vendas!$J$5:$J$3004,"Sim"))</f>
        <v/>
      </c>
      <c r="G97" s="27" t="str">
        <f aca="false">IF(B97="","",SUMIFS(Acertos!$D$5:$D$504,Acertos!$C$5:$C$504,B97))</f>
        <v/>
      </c>
      <c r="H97" s="36" t="str">
        <f aca="false">IF(B97="","",E97+G97-F97)</f>
        <v/>
      </c>
      <c r="I97" s="46" t="str">
        <f aca="false">IF(B97="","",IF(COUNTIF(Vendas!$C$5:$C$3004,B97)=0,"",_xlfn.MAXIFS(Vendas!$B$5:$B$3004,Vendas!$C$5:$C$3004,B97)))</f>
        <v/>
      </c>
      <c r="J97" s="39" t="str">
        <f aca="false">IF(B97="","",IF(H97&gt;0.005,"Deve",IF(H97&lt;-0.005,"Tem crédito",IF(E97&gt;0,"Em dia","Ainda não comprou"))))</f>
        <v/>
      </c>
    </row>
    <row r="98" customFormat="false" ht="21" hidden="false" customHeight="true" outlineLevel="0" collapsed="false">
      <c r="B98" s="9"/>
      <c r="C98" s="45"/>
      <c r="D98" s="9"/>
      <c r="E98" s="27" t="str">
        <f aca="false">IF(B98="","",SUMIFS(Vendas!$G$5:$G$3004,Vendas!$C$5:$C$3004,B98))</f>
        <v/>
      </c>
      <c r="F98" s="27" t="str">
        <f aca="false">IF(B98="","",SUMIFS(Recebi!$D$5:$D$3004,Recebi!$C$5:$C$3004,B98)+SUMIFS(Vendas!$G$5:$G$3004,Vendas!$C$5:$C$3004,B98,Vendas!$J$5:$J$3004,"Sim"))</f>
        <v/>
      </c>
      <c r="G98" s="27" t="str">
        <f aca="false">IF(B98="","",SUMIFS(Acertos!$D$5:$D$504,Acertos!$C$5:$C$504,B98))</f>
        <v/>
      </c>
      <c r="H98" s="36" t="str">
        <f aca="false">IF(B98="","",E98+G98-F98)</f>
        <v/>
      </c>
      <c r="I98" s="46" t="str">
        <f aca="false">IF(B98="","",IF(COUNTIF(Vendas!$C$5:$C$3004,B98)=0,"",_xlfn.MAXIFS(Vendas!$B$5:$B$3004,Vendas!$C$5:$C$3004,B98)))</f>
        <v/>
      </c>
      <c r="J98" s="39" t="str">
        <f aca="false">IF(B98="","",IF(H98&gt;0.005,"Deve",IF(H98&lt;-0.005,"Tem crédito",IF(E98&gt;0,"Em dia","Ainda não comprou"))))</f>
        <v/>
      </c>
    </row>
    <row r="99" customFormat="false" ht="21" hidden="false" customHeight="true" outlineLevel="0" collapsed="false">
      <c r="B99" s="9"/>
      <c r="C99" s="45"/>
      <c r="D99" s="9"/>
      <c r="E99" s="27" t="str">
        <f aca="false">IF(B99="","",SUMIFS(Vendas!$G$5:$G$3004,Vendas!$C$5:$C$3004,B99))</f>
        <v/>
      </c>
      <c r="F99" s="27" t="str">
        <f aca="false">IF(B99="","",SUMIFS(Recebi!$D$5:$D$3004,Recebi!$C$5:$C$3004,B99)+SUMIFS(Vendas!$G$5:$G$3004,Vendas!$C$5:$C$3004,B99,Vendas!$J$5:$J$3004,"Sim"))</f>
        <v/>
      </c>
      <c r="G99" s="27" t="str">
        <f aca="false">IF(B99="","",SUMIFS(Acertos!$D$5:$D$504,Acertos!$C$5:$C$504,B99))</f>
        <v/>
      </c>
      <c r="H99" s="36" t="str">
        <f aca="false">IF(B99="","",E99+G99-F99)</f>
        <v/>
      </c>
      <c r="I99" s="46" t="str">
        <f aca="false">IF(B99="","",IF(COUNTIF(Vendas!$C$5:$C$3004,B99)=0,"",_xlfn.MAXIFS(Vendas!$B$5:$B$3004,Vendas!$C$5:$C$3004,B99)))</f>
        <v/>
      </c>
      <c r="J99" s="39" t="str">
        <f aca="false">IF(B99="","",IF(H99&gt;0.005,"Deve",IF(H99&lt;-0.005,"Tem crédito",IF(E99&gt;0,"Em dia","Ainda não comprou"))))</f>
        <v/>
      </c>
    </row>
    <row r="100" customFormat="false" ht="21" hidden="false" customHeight="true" outlineLevel="0" collapsed="false">
      <c r="B100" s="9"/>
      <c r="C100" s="45"/>
      <c r="D100" s="9"/>
      <c r="E100" s="27" t="str">
        <f aca="false">IF(B100="","",SUMIFS(Vendas!$G$5:$G$3004,Vendas!$C$5:$C$3004,B100))</f>
        <v/>
      </c>
      <c r="F100" s="27" t="str">
        <f aca="false">IF(B100="","",SUMIFS(Recebi!$D$5:$D$3004,Recebi!$C$5:$C$3004,B100)+SUMIFS(Vendas!$G$5:$G$3004,Vendas!$C$5:$C$3004,B100,Vendas!$J$5:$J$3004,"Sim"))</f>
        <v/>
      </c>
      <c r="G100" s="27" t="str">
        <f aca="false">IF(B100="","",SUMIFS(Acertos!$D$5:$D$504,Acertos!$C$5:$C$504,B100))</f>
        <v/>
      </c>
      <c r="H100" s="36" t="str">
        <f aca="false">IF(B100="","",E100+G100-F100)</f>
        <v/>
      </c>
      <c r="I100" s="46" t="str">
        <f aca="false">IF(B100="","",IF(COUNTIF(Vendas!$C$5:$C$3004,B100)=0,"",_xlfn.MAXIFS(Vendas!$B$5:$B$3004,Vendas!$C$5:$C$3004,B100)))</f>
        <v/>
      </c>
      <c r="J100" s="39" t="str">
        <f aca="false">IF(B100="","",IF(H100&gt;0.005,"Deve",IF(H100&lt;-0.005,"Tem crédito",IF(E100&gt;0,"Em dia","Ainda não comprou"))))</f>
        <v/>
      </c>
    </row>
    <row r="101" customFormat="false" ht="21" hidden="false" customHeight="true" outlineLevel="0" collapsed="false">
      <c r="B101" s="9"/>
      <c r="C101" s="45"/>
      <c r="D101" s="9"/>
      <c r="E101" s="27" t="str">
        <f aca="false">IF(B101="","",SUMIFS(Vendas!$G$5:$G$3004,Vendas!$C$5:$C$3004,B101))</f>
        <v/>
      </c>
      <c r="F101" s="27" t="str">
        <f aca="false">IF(B101="","",SUMIFS(Recebi!$D$5:$D$3004,Recebi!$C$5:$C$3004,B101)+SUMIFS(Vendas!$G$5:$G$3004,Vendas!$C$5:$C$3004,B101,Vendas!$J$5:$J$3004,"Sim"))</f>
        <v/>
      </c>
      <c r="G101" s="27" t="str">
        <f aca="false">IF(B101="","",SUMIFS(Acertos!$D$5:$D$504,Acertos!$C$5:$C$504,B101))</f>
        <v/>
      </c>
      <c r="H101" s="36" t="str">
        <f aca="false">IF(B101="","",E101+G101-F101)</f>
        <v/>
      </c>
      <c r="I101" s="46" t="str">
        <f aca="false">IF(B101="","",IF(COUNTIF(Vendas!$C$5:$C$3004,B101)=0,"",_xlfn.MAXIFS(Vendas!$B$5:$B$3004,Vendas!$C$5:$C$3004,B101)))</f>
        <v/>
      </c>
      <c r="J101" s="39" t="str">
        <f aca="false">IF(B101="","",IF(H101&gt;0.005,"Deve",IF(H101&lt;-0.005,"Tem crédito",IF(E101&gt;0,"Em dia","Ainda não comprou"))))</f>
        <v/>
      </c>
    </row>
    <row r="102" customFormat="false" ht="21" hidden="false" customHeight="true" outlineLevel="0" collapsed="false">
      <c r="B102" s="9"/>
      <c r="C102" s="45"/>
      <c r="D102" s="9"/>
      <c r="E102" s="27" t="str">
        <f aca="false">IF(B102="","",SUMIFS(Vendas!$G$5:$G$3004,Vendas!$C$5:$C$3004,B102))</f>
        <v/>
      </c>
      <c r="F102" s="27" t="str">
        <f aca="false">IF(B102="","",SUMIFS(Recebi!$D$5:$D$3004,Recebi!$C$5:$C$3004,B102)+SUMIFS(Vendas!$G$5:$G$3004,Vendas!$C$5:$C$3004,B102,Vendas!$J$5:$J$3004,"Sim"))</f>
        <v/>
      </c>
      <c r="G102" s="27" t="str">
        <f aca="false">IF(B102="","",SUMIFS(Acertos!$D$5:$D$504,Acertos!$C$5:$C$504,B102))</f>
        <v/>
      </c>
      <c r="H102" s="36" t="str">
        <f aca="false">IF(B102="","",E102+G102-F102)</f>
        <v/>
      </c>
      <c r="I102" s="46" t="str">
        <f aca="false">IF(B102="","",IF(COUNTIF(Vendas!$C$5:$C$3004,B102)=0,"",_xlfn.MAXIFS(Vendas!$B$5:$B$3004,Vendas!$C$5:$C$3004,B102)))</f>
        <v/>
      </c>
      <c r="J102" s="39" t="str">
        <f aca="false">IF(B102="","",IF(H102&gt;0.005,"Deve",IF(H102&lt;-0.005,"Tem crédito",IF(E102&gt;0,"Em dia","Ainda não comprou"))))</f>
        <v/>
      </c>
    </row>
    <row r="103" customFormat="false" ht="21" hidden="false" customHeight="true" outlineLevel="0" collapsed="false">
      <c r="B103" s="9"/>
      <c r="C103" s="45"/>
      <c r="D103" s="9"/>
      <c r="E103" s="27" t="str">
        <f aca="false">IF(B103="","",SUMIFS(Vendas!$G$5:$G$3004,Vendas!$C$5:$C$3004,B103))</f>
        <v/>
      </c>
      <c r="F103" s="27" t="str">
        <f aca="false">IF(B103="","",SUMIFS(Recebi!$D$5:$D$3004,Recebi!$C$5:$C$3004,B103)+SUMIFS(Vendas!$G$5:$G$3004,Vendas!$C$5:$C$3004,B103,Vendas!$J$5:$J$3004,"Sim"))</f>
        <v/>
      </c>
      <c r="G103" s="27" t="str">
        <f aca="false">IF(B103="","",SUMIFS(Acertos!$D$5:$D$504,Acertos!$C$5:$C$504,B103))</f>
        <v/>
      </c>
      <c r="H103" s="36" t="str">
        <f aca="false">IF(B103="","",E103+G103-F103)</f>
        <v/>
      </c>
      <c r="I103" s="46" t="str">
        <f aca="false">IF(B103="","",IF(COUNTIF(Vendas!$C$5:$C$3004,B103)=0,"",_xlfn.MAXIFS(Vendas!$B$5:$B$3004,Vendas!$C$5:$C$3004,B103)))</f>
        <v/>
      </c>
      <c r="J103" s="39" t="str">
        <f aca="false">IF(B103="","",IF(H103&gt;0.005,"Deve",IF(H103&lt;-0.005,"Tem crédito",IF(E103&gt;0,"Em dia","Ainda não comprou"))))</f>
        <v/>
      </c>
    </row>
    <row r="104" customFormat="false" ht="21" hidden="false" customHeight="true" outlineLevel="0" collapsed="false">
      <c r="B104" s="9"/>
      <c r="C104" s="45"/>
      <c r="D104" s="9"/>
      <c r="E104" s="27" t="str">
        <f aca="false">IF(B104="","",SUMIFS(Vendas!$G$5:$G$3004,Vendas!$C$5:$C$3004,B104))</f>
        <v/>
      </c>
      <c r="F104" s="27" t="str">
        <f aca="false">IF(B104="","",SUMIFS(Recebi!$D$5:$D$3004,Recebi!$C$5:$C$3004,B104)+SUMIFS(Vendas!$G$5:$G$3004,Vendas!$C$5:$C$3004,B104,Vendas!$J$5:$J$3004,"Sim"))</f>
        <v/>
      </c>
      <c r="G104" s="27" t="str">
        <f aca="false">IF(B104="","",SUMIFS(Acertos!$D$5:$D$504,Acertos!$C$5:$C$504,B104))</f>
        <v/>
      </c>
      <c r="H104" s="36" t="str">
        <f aca="false">IF(B104="","",E104+G104-F104)</f>
        <v/>
      </c>
      <c r="I104" s="46" t="str">
        <f aca="false">IF(B104="","",IF(COUNTIF(Vendas!$C$5:$C$3004,B104)=0,"",_xlfn.MAXIFS(Vendas!$B$5:$B$3004,Vendas!$C$5:$C$3004,B104)))</f>
        <v/>
      </c>
      <c r="J104" s="39" t="str">
        <f aca="false">IF(B104="","",IF(H104&gt;0.005,"Deve",IF(H104&lt;-0.005,"Tem crédito",IF(E104&gt;0,"Em dia","Ainda não comprou"))))</f>
        <v/>
      </c>
    </row>
    <row r="105" customFormat="false" ht="21" hidden="false" customHeight="true" outlineLevel="0" collapsed="false">
      <c r="B105" s="9"/>
      <c r="C105" s="45"/>
      <c r="D105" s="9"/>
      <c r="E105" s="27" t="str">
        <f aca="false">IF(B105="","",SUMIFS(Vendas!$G$5:$G$3004,Vendas!$C$5:$C$3004,B105))</f>
        <v/>
      </c>
      <c r="F105" s="27" t="str">
        <f aca="false">IF(B105="","",SUMIFS(Recebi!$D$5:$D$3004,Recebi!$C$5:$C$3004,B105)+SUMIFS(Vendas!$G$5:$G$3004,Vendas!$C$5:$C$3004,B105,Vendas!$J$5:$J$3004,"Sim"))</f>
        <v/>
      </c>
      <c r="G105" s="27" t="str">
        <f aca="false">IF(B105="","",SUMIFS(Acertos!$D$5:$D$504,Acertos!$C$5:$C$504,B105))</f>
        <v/>
      </c>
      <c r="H105" s="36" t="str">
        <f aca="false">IF(B105="","",E105+G105-F105)</f>
        <v/>
      </c>
      <c r="I105" s="46" t="str">
        <f aca="false">IF(B105="","",IF(COUNTIF(Vendas!$C$5:$C$3004,B105)=0,"",_xlfn.MAXIFS(Vendas!$B$5:$B$3004,Vendas!$C$5:$C$3004,B105)))</f>
        <v/>
      </c>
      <c r="J105" s="39" t="str">
        <f aca="false">IF(B105="","",IF(H105&gt;0.005,"Deve",IF(H105&lt;-0.005,"Tem crédito",IF(E105&gt;0,"Em dia","Ainda não comprou"))))</f>
        <v/>
      </c>
    </row>
    <row r="106" customFormat="false" ht="21" hidden="false" customHeight="true" outlineLevel="0" collapsed="false">
      <c r="B106" s="9"/>
      <c r="C106" s="45"/>
      <c r="D106" s="9"/>
      <c r="E106" s="27" t="str">
        <f aca="false">IF(B106="","",SUMIFS(Vendas!$G$5:$G$3004,Vendas!$C$5:$C$3004,B106))</f>
        <v/>
      </c>
      <c r="F106" s="27" t="str">
        <f aca="false">IF(B106="","",SUMIFS(Recebi!$D$5:$D$3004,Recebi!$C$5:$C$3004,B106)+SUMIFS(Vendas!$G$5:$G$3004,Vendas!$C$5:$C$3004,B106,Vendas!$J$5:$J$3004,"Sim"))</f>
        <v/>
      </c>
      <c r="G106" s="27" t="str">
        <f aca="false">IF(B106="","",SUMIFS(Acertos!$D$5:$D$504,Acertos!$C$5:$C$504,B106))</f>
        <v/>
      </c>
      <c r="H106" s="36" t="str">
        <f aca="false">IF(B106="","",E106+G106-F106)</f>
        <v/>
      </c>
      <c r="I106" s="46" t="str">
        <f aca="false">IF(B106="","",IF(COUNTIF(Vendas!$C$5:$C$3004,B106)=0,"",_xlfn.MAXIFS(Vendas!$B$5:$B$3004,Vendas!$C$5:$C$3004,B106)))</f>
        <v/>
      </c>
      <c r="J106" s="39" t="str">
        <f aca="false">IF(B106="","",IF(H106&gt;0.005,"Deve",IF(H106&lt;-0.005,"Tem crédito",IF(E106&gt;0,"Em dia","Ainda não comprou"))))</f>
        <v/>
      </c>
    </row>
    <row r="107" customFormat="false" ht="21" hidden="false" customHeight="true" outlineLevel="0" collapsed="false">
      <c r="B107" s="9"/>
      <c r="C107" s="45"/>
      <c r="D107" s="9"/>
      <c r="E107" s="27" t="str">
        <f aca="false">IF(B107="","",SUMIFS(Vendas!$G$5:$G$3004,Vendas!$C$5:$C$3004,B107))</f>
        <v/>
      </c>
      <c r="F107" s="27" t="str">
        <f aca="false">IF(B107="","",SUMIFS(Recebi!$D$5:$D$3004,Recebi!$C$5:$C$3004,B107)+SUMIFS(Vendas!$G$5:$G$3004,Vendas!$C$5:$C$3004,B107,Vendas!$J$5:$J$3004,"Sim"))</f>
        <v/>
      </c>
      <c r="G107" s="27" t="str">
        <f aca="false">IF(B107="","",SUMIFS(Acertos!$D$5:$D$504,Acertos!$C$5:$C$504,B107))</f>
        <v/>
      </c>
      <c r="H107" s="36" t="str">
        <f aca="false">IF(B107="","",E107+G107-F107)</f>
        <v/>
      </c>
      <c r="I107" s="46" t="str">
        <f aca="false">IF(B107="","",IF(COUNTIF(Vendas!$C$5:$C$3004,B107)=0,"",_xlfn.MAXIFS(Vendas!$B$5:$B$3004,Vendas!$C$5:$C$3004,B107)))</f>
        <v/>
      </c>
      <c r="J107" s="39" t="str">
        <f aca="false">IF(B107="","",IF(H107&gt;0.005,"Deve",IF(H107&lt;-0.005,"Tem crédito",IF(E107&gt;0,"Em dia","Ainda não comprou"))))</f>
        <v/>
      </c>
    </row>
    <row r="108" customFormat="false" ht="21" hidden="false" customHeight="true" outlineLevel="0" collapsed="false">
      <c r="B108" s="9"/>
      <c r="C108" s="45"/>
      <c r="D108" s="9"/>
      <c r="E108" s="27" t="str">
        <f aca="false">IF(B108="","",SUMIFS(Vendas!$G$5:$G$3004,Vendas!$C$5:$C$3004,B108))</f>
        <v/>
      </c>
      <c r="F108" s="27" t="str">
        <f aca="false">IF(B108="","",SUMIFS(Recebi!$D$5:$D$3004,Recebi!$C$5:$C$3004,B108)+SUMIFS(Vendas!$G$5:$G$3004,Vendas!$C$5:$C$3004,B108,Vendas!$J$5:$J$3004,"Sim"))</f>
        <v/>
      </c>
      <c r="G108" s="27" t="str">
        <f aca="false">IF(B108="","",SUMIFS(Acertos!$D$5:$D$504,Acertos!$C$5:$C$504,B108))</f>
        <v/>
      </c>
      <c r="H108" s="36" t="str">
        <f aca="false">IF(B108="","",E108+G108-F108)</f>
        <v/>
      </c>
      <c r="I108" s="46" t="str">
        <f aca="false">IF(B108="","",IF(COUNTIF(Vendas!$C$5:$C$3004,B108)=0,"",_xlfn.MAXIFS(Vendas!$B$5:$B$3004,Vendas!$C$5:$C$3004,B108)))</f>
        <v/>
      </c>
      <c r="J108" s="39" t="str">
        <f aca="false">IF(B108="","",IF(H108&gt;0.005,"Deve",IF(H108&lt;-0.005,"Tem crédito",IF(E108&gt;0,"Em dia","Ainda não comprou"))))</f>
        <v/>
      </c>
    </row>
    <row r="109" customFormat="false" ht="21" hidden="false" customHeight="true" outlineLevel="0" collapsed="false">
      <c r="B109" s="9"/>
      <c r="C109" s="45"/>
      <c r="D109" s="9"/>
      <c r="E109" s="27" t="str">
        <f aca="false">IF(B109="","",SUMIFS(Vendas!$G$5:$G$3004,Vendas!$C$5:$C$3004,B109))</f>
        <v/>
      </c>
      <c r="F109" s="27" t="str">
        <f aca="false">IF(B109="","",SUMIFS(Recebi!$D$5:$D$3004,Recebi!$C$5:$C$3004,B109)+SUMIFS(Vendas!$G$5:$G$3004,Vendas!$C$5:$C$3004,B109,Vendas!$J$5:$J$3004,"Sim"))</f>
        <v/>
      </c>
      <c r="G109" s="27" t="str">
        <f aca="false">IF(B109="","",SUMIFS(Acertos!$D$5:$D$504,Acertos!$C$5:$C$504,B109))</f>
        <v/>
      </c>
      <c r="H109" s="36" t="str">
        <f aca="false">IF(B109="","",E109+G109-F109)</f>
        <v/>
      </c>
      <c r="I109" s="46" t="str">
        <f aca="false">IF(B109="","",IF(COUNTIF(Vendas!$C$5:$C$3004,B109)=0,"",_xlfn.MAXIFS(Vendas!$B$5:$B$3004,Vendas!$C$5:$C$3004,B109)))</f>
        <v/>
      </c>
      <c r="J109" s="39" t="str">
        <f aca="false">IF(B109="","",IF(H109&gt;0.005,"Deve",IF(H109&lt;-0.005,"Tem crédito",IF(E109&gt;0,"Em dia","Ainda não comprou"))))</f>
        <v/>
      </c>
    </row>
    <row r="110" customFormat="false" ht="21" hidden="false" customHeight="true" outlineLevel="0" collapsed="false">
      <c r="B110" s="9"/>
      <c r="C110" s="45"/>
      <c r="D110" s="9"/>
      <c r="E110" s="27" t="str">
        <f aca="false">IF(B110="","",SUMIFS(Vendas!$G$5:$G$3004,Vendas!$C$5:$C$3004,B110))</f>
        <v/>
      </c>
      <c r="F110" s="27" t="str">
        <f aca="false">IF(B110="","",SUMIFS(Recebi!$D$5:$D$3004,Recebi!$C$5:$C$3004,B110)+SUMIFS(Vendas!$G$5:$G$3004,Vendas!$C$5:$C$3004,B110,Vendas!$J$5:$J$3004,"Sim"))</f>
        <v/>
      </c>
      <c r="G110" s="27" t="str">
        <f aca="false">IF(B110="","",SUMIFS(Acertos!$D$5:$D$504,Acertos!$C$5:$C$504,B110))</f>
        <v/>
      </c>
      <c r="H110" s="36" t="str">
        <f aca="false">IF(B110="","",E110+G110-F110)</f>
        <v/>
      </c>
      <c r="I110" s="46" t="str">
        <f aca="false">IF(B110="","",IF(COUNTIF(Vendas!$C$5:$C$3004,B110)=0,"",_xlfn.MAXIFS(Vendas!$B$5:$B$3004,Vendas!$C$5:$C$3004,B110)))</f>
        <v/>
      </c>
      <c r="J110" s="39" t="str">
        <f aca="false">IF(B110="","",IF(H110&gt;0.005,"Deve",IF(H110&lt;-0.005,"Tem crédito",IF(E110&gt;0,"Em dia","Ainda não comprou"))))</f>
        <v/>
      </c>
    </row>
    <row r="111" customFormat="false" ht="21" hidden="false" customHeight="true" outlineLevel="0" collapsed="false">
      <c r="B111" s="9"/>
      <c r="C111" s="45"/>
      <c r="D111" s="9"/>
      <c r="E111" s="27" t="str">
        <f aca="false">IF(B111="","",SUMIFS(Vendas!$G$5:$G$3004,Vendas!$C$5:$C$3004,B111))</f>
        <v/>
      </c>
      <c r="F111" s="27" t="str">
        <f aca="false">IF(B111="","",SUMIFS(Recebi!$D$5:$D$3004,Recebi!$C$5:$C$3004,B111)+SUMIFS(Vendas!$G$5:$G$3004,Vendas!$C$5:$C$3004,B111,Vendas!$J$5:$J$3004,"Sim"))</f>
        <v/>
      </c>
      <c r="G111" s="27" t="str">
        <f aca="false">IF(B111="","",SUMIFS(Acertos!$D$5:$D$504,Acertos!$C$5:$C$504,B111))</f>
        <v/>
      </c>
      <c r="H111" s="36" t="str">
        <f aca="false">IF(B111="","",E111+G111-F111)</f>
        <v/>
      </c>
      <c r="I111" s="46" t="str">
        <f aca="false">IF(B111="","",IF(COUNTIF(Vendas!$C$5:$C$3004,B111)=0,"",_xlfn.MAXIFS(Vendas!$B$5:$B$3004,Vendas!$C$5:$C$3004,B111)))</f>
        <v/>
      </c>
      <c r="J111" s="39" t="str">
        <f aca="false">IF(B111="","",IF(H111&gt;0.005,"Deve",IF(H111&lt;-0.005,"Tem crédito",IF(E111&gt;0,"Em dia","Ainda não comprou"))))</f>
        <v/>
      </c>
    </row>
    <row r="112" customFormat="false" ht="21" hidden="false" customHeight="true" outlineLevel="0" collapsed="false">
      <c r="B112" s="9"/>
      <c r="C112" s="45"/>
      <c r="D112" s="9"/>
      <c r="E112" s="27" t="str">
        <f aca="false">IF(B112="","",SUMIFS(Vendas!$G$5:$G$3004,Vendas!$C$5:$C$3004,B112))</f>
        <v/>
      </c>
      <c r="F112" s="27" t="str">
        <f aca="false">IF(B112="","",SUMIFS(Recebi!$D$5:$D$3004,Recebi!$C$5:$C$3004,B112)+SUMIFS(Vendas!$G$5:$G$3004,Vendas!$C$5:$C$3004,B112,Vendas!$J$5:$J$3004,"Sim"))</f>
        <v/>
      </c>
      <c r="G112" s="27" t="str">
        <f aca="false">IF(B112="","",SUMIFS(Acertos!$D$5:$D$504,Acertos!$C$5:$C$504,B112))</f>
        <v/>
      </c>
      <c r="H112" s="36" t="str">
        <f aca="false">IF(B112="","",E112+G112-F112)</f>
        <v/>
      </c>
      <c r="I112" s="46" t="str">
        <f aca="false">IF(B112="","",IF(COUNTIF(Vendas!$C$5:$C$3004,B112)=0,"",_xlfn.MAXIFS(Vendas!$B$5:$B$3004,Vendas!$C$5:$C$3004,B112)))</f>
        <v/>
      </c>
      <c r="J112" s="39" t="str">
        <f aca="false">IF(B112="","",IF(H112&gt;0.005,"Deve",IF(H112&lt;-0.005,"Tem crédito",IF(E112&gt;0,"Em dia","Ainda não comprou"))))</f>
        <v/>
      </c>
    </row>
    <row r="113" customFormat="false" ht="21" hidden="false" customHeight="true" outlineLevel="0" collapsed="false">
      <c r="B113" s="9"/>
      <c r="C113" s="45"/>
      <c r="D113" s="9"/>
      <c r="E113" s="27" t="str">
        <f aca="false">IF(B113="","",SUMIFS(Vendas!$G$5:$G$3004,Vendas!$C$5:$C$3004,B113))</f>
        <v/>
      </c>
      <c r="F113" s="27" t="str">
        <f aca="false">IF(B113="","",SUMIFS(Recebi!$D$5:$D$3004,Recebi!$C$5:$C$3004,B113)+SUMIFS(Vendas!$G$5:$G$3004,Vendas!$C$5:$C$3004,B113,Vendas!$J$5:$J$3004,"Sim"))</f>
        <v/>
      </c>
      <c r="G113" s="27" t="str">
        <f aca="false">IF(B113="","",SUMIFS(Acertos!$D$5:$D$504,Acertos!$C$5:$C$504,B113))</f>
        <v/>
      </c>
      <c r="H113" s="36" t="str">
        <f aca="false">IF(B113="","",E113+G113-F113)</f>
        <v/>
      </c>
      <c r="I113" s="46" t="str">
        <f aca="false">IF(B113="","",IF(COUNTIF(Vendas!$C$5:$C$3004,B113)=0,"",_xlfn.MAXIFS(Vendas!$B$5:$B$3004,Vendas!$C$5:$C$3004,B113)))</f>
        <v/>
      </c>
      <c r="J113" s="39" t="str">
        <f aca="false">IF(B113="","",IF(H113&gt;0.005,"Deve",IF(H113&lt;-0.005,"Tem crédito",IF(E113&gt;0,"Em dia","Ainda não comprou"))))</f>
        <v/>
      </c>
    </row>
    <row r="114" customFormat="false" ht="21" hidden="false" customHeight="true" outlineLevel="0" collapsed="false">
      <c r="B114" s="9"/>
      <c r="C114" s="45"/>
      <c r="D114" s="9"/>
      <c r="E114" s="27" t="str">
        <f aca="false">IF(B114="","",SUMIFS(Vendas!$G$5:$G$3004,Vendas!$C$5:$C$3004,B114))</f>
        <v/>
      </c>
      <c r="F114" s="27" t="str">
        <f aca="false">IF(B114="","",SUMIFS(Recebi!$D$5:$D$3004,Recebi!$C$5:$C$3004,B114)+SUMIFS(Vendas!$G$5:$G$3004,Vendas!$C$5:$C$3004,B114,Vendas!$J$5:$J$3004,"Sim"))</f>
        <v/>
      </c>
      <c r="G114" s="27" t="str">
        <f aca="false">IF(B114="","",SUMIFS(Acertos!$D$5:$D$504,Acertos!$C$5:$C$504,B114))</f>
        <v/>
      </c>
      <c r="H114" s="36" t="str">
        <f aca="false">IF(B114="","",E114+G114-F114)</f>
        <v/>
      </c>
      <c r="I114" s="46" t="str">
        <f aca="false">IF(B114="","",IF(COUNTIF(Vendas!$C$5:$C$3004,B114)=0,"",_xlfn.MAXIFS(Vendas!$B$5:$B$3004,Vendas!$C$5:$C$3004,B114)))</f>
        <v/>
      </c>
      <c r="J114" s="39" t="str">
        <f aca="false">IF(B114="","",IF(H114&gt;0.005,"Deve",IF(H114&lt;-0.005,"Tem crédito",IF(E114&gt;0,"Em dia","Ainda não comprou"))))</f>
        <v/>
      </c>
    </row>
    <row r="115" customFormat="false" ht="21" hidden="false" customHeight="true" outlineLevel="0" collapsed="false">
      <c r="B115" s="9"/>
      <c r="C115" s="45"/>
      <c r="D115" s="9"/>
      <c r="E115" s="27" t="str">
        <f aca="false">IF(B115="","",SUMIFS(Vendas!$G$5:$G$3004,Vendas!$C$5:$C$3004,B115))</f>
        <v/>
      </c>
      <c r="F115" s="27" t="str">
        <f aca="false">IF(B115="","",SUMIFS(Recebi!$D$5:$D$3004,Recebi!$C$5:$C$3004,B115)+SUMIFS(Vendas!$G$5:$G$3004,Vendas!$C$5:$C$3004,B115,Vendas!$J$5:$J$3004,"Sim"))</f>
        <v/>
      </c>
      <c r="G115" s="27" t="str">
        <f aca="false">IF(B115="","",SUMIFS(Acertos!$D$5:$D$504,Acertos!$C$5:$C$504,B115))</f>
        <v/>
      </c>
      <c r="H115" s="36" t="str">
        <f aca="false">IF(B115="","",E115+G115-F115)</f>
        <v/>
      </c>
      <c r="I115" s="46" t="str">
        <f aca="false">IF(B115="","",IF(COUNTIF(Vendas!$C$5:$C$3004,B115)=0,"",_xlfn.MAXIFS(Vendas!$B$5:$B$3004,Vendas!$C$5:$C$3004,B115)))</f>
        <v/>
      </c>
      <c r="J115" s="39" t="str">
        <f aca="false">IF(B115="","",IF(H115&gt;0.005,"Deve",IF(H115&lt;-0.005,"Tem crédito",IF(E115&gt;0,"Em dia","Ainda não comprou"))))</f>
        <v/>
      </c>
    </row>
    <row r="116" customFormat="false" ht="21" hidden="false" customHeight="true" outlineLevel="0" collapsed="false">
      <c r="B116" s="9"/>
      <c r="C116" s="45"/>
      <c r="D116" s="9"/>
      <c r="E116" s="27" t="str">
        <f aca="false">IF(B116="","",SUMIFS(Vendas!$G$5:$G$3004,Vendas!$C$5:$C$3004,B116))</f>
        <v/>
      </c>
      <c r="F116" s="27" t="str">
        <f aca="false">IF(B116="","",SUMIFS(Recebi!$D$5:$D$3004,Recebi!$C$5:$C$3004,B116)+SUMIFS(Vendas!$G$5:$G$3004,Vendas!$C$5:$C$3004,B116,Vendas!$J$5:$J$3004,"Sim"))</f>
        <v/>
      </c>
      <c r="G116" s="27" t="str">
        <f aca="false">IF(B116="","",SUMIFS(Acertos!$D$5:$D$504,Acertos!$C$5:$C$504,B116))</f>
        <v/>
      </c>
      <c r="H116" s="36" t="str">
        <f aca="false">IF(B116="","",E116+G116-F116)</f>
        <v/>
      </c>
      <c r="I116" s="46" t="str">
        <f aca="false">IF(B116="","",IF(COUNTIF(Vendas!$C$5:$C$3004,B116)=0,"",_xlfn.MAXIFS(Vendas!$B$5:$B$3004,Vendas!$C$5:$C$3004,B116)))</f>
        <v/>
      </c>
      <c r="J116" s="39" t="str">
        <f aca="false">IF(B116="","",IF(H116&gt;0.005,"Deve",IF(H116&lt;-0.005,"Tem crédito",IF(E116&gt;0,"Em dia","Ainda não comprou"))))</f>
        <v/>
      </c>
    </row>
    <row r="117" customFormat="false" ht="21" hidden="false" customHeight="true" outlineLevel="0" collapsed="false">
      <c r="B117" s="9"/>
      <c r="C117" s="45"/>
      <c r="D117" s="9"/>
      <c r="E117" s="27" t="str">
        <f aca="false">IF(B117="","",SUMIFS(Vendas!$G$5:$G$3004,Vendas!$C$5:$C$3004,B117))</f>
        <v/>
      </c>
      <c r="F117" s="27" t="str">
        <f aca="false">IF(B117="","",SUMIFS(Recebi!$D$5:$D$3004,Recebi!$C$5:$C$3004,B117)+SUMIFS(Vendas!$G$5:$G$3004,Vendas!$C$5:$C$3004,B117,Vendas!$J$5:$J$3004,"Sim"))</f>
        <v/>
      </c>
      <c r="G117" s="27" t="str">
        <f aca="false">IF(B117="","",SUMIFS(Acertos!$D$5:$D$504,Acertos!$C$5:$C$504,B117))</f>
        <v/>
      </c>
      <c r="H117" s="36" t="str">
        <f aca="false">IF(B117="","",E117+G117-F117)</f>
        <v/>
      </c>
      <c r="I117" s="46" t="str">
        <f aca="false">IF(B117="","",IF(COUNTIF(Vendas!$C$5:$C$3004,B117)=0,"",_xlfn.MAXIFS(Vendas!$B$5:$B$3004,Vendas!$C$5:$C$3004,B117)))</f>
        <v/>
      </c>
      <c r="J117" s="39" t="str">
        <f aca="false">IF(B117="","",IF(H117&gt;0.005,"Deve",IF(H117&lt;-0.005,"Tem crédito",IF(E117&gt;0,"Em dia","Ainda não comprou"))))</f>
        <v/>
      </c>
    </row>
    <row r="118" customFormat="false" ht="21" hidden="false" customHeight="true" outlineLevel="0" collapsed="false">
      <c r="B118" s="9"/>
      <c r="C118" s="45"/>
      <c r="D118" s="9"/>
      <c r="E118" s="27" t="str">
        <f aca="false">IF(B118="","",SUMIFS(Vendas!$G$5:$G$3004,Vendas!$C$5:$C$3004,B118))</f>
        <v/>
      </c>
      <c r="F118" s="27" t="str">
        <f aca="false">IF(B118="","",SUMIFS(Recebi!$D$5:$D$3004,Recebi!$C$5:$C$3004,B118)+SUMIFS(Vendas!$G$5:$G$3004,Vendas!$C$5:$C$3004,B118,Vendas!$J$5:$J$3004,"Sim"))</f>
        <v/>
      </c>
      <c r="G118" s="27" t="str">
        <f aca="false">IF(B118="","",SUMIFS(Acertos!$D$5:$D$504,Acertos!$C$5:$C$504,B118))</f>
        <v/>
      </c>
      <c r="H118" s="36" t="str">
        <f aca="false">IF(B118="","",E118+G118-F118)</f>
        <v/>
      </c>
      <c r="I118" s="46" t="str">
        <f aca="false">IF(B118="","",IF(COUNTIF(Vendas!$C$5:$C$3004,B118)=0,"",_xlfn.MAXIFS(Vendas!$B$5:$B$3004,Vendas!$C$5:$C$3004,B118)))</f>
        <v/>
      </c>
      <c r="J118" s="39" t="str">
        <f aca="false">IF(B118="","",IF(H118&gt;0.005,"Deve",IF(H118&lt;-0.005,"Tem crédito",IF(E118&gt;0,"Em dia","Ainda não comprou"))))</f>
        <v/>
      </c>
    </row>
    <row r="119" customFormat="false" ht="21" hidden="false" customHeight="true" outlineLevel="0" collapsed="false">
      <c r="B119" s="9"/>
      <c r="C119" s="45"/>
      <c r="D119" s="9"/>
      <c r="E119" s="27" t="str">
        <f aca="false">IF(B119="","",SUMIFS(Vendas!$G$5:$G$3004,Vendas!$C$5:$C$3004,B119))</f>
        <v/>
      </c>
      <c r="F119" s="27" t="str">
        <f aca="false">IF(B119="","",SUMIFS(Recebi!$D$5:$D$3004,Recebi!$C$5:$C$3004,B119)+SUMIFS(Vendas!$G$5:$G$3004,Vendas!$C$5:$C$3004,B119,Vendas!$J$5:$J$3004,"Sim"))</f>
        <v/>
      </c>
      <c r="G119" s="27" t="str">
        <f aca="false">IF(B119="","",SUMIFS(Acertos!$D$5:$D$504,Acertos!$C$5:$C$504,B119))</f>
        <v/>
      </c>
      <c r="H119" s="36" t="str">
        <f aca="false">IF(B119="","",E119+G119-F119)</f>
        <v/>
      </c>
      <c r="I119" s="46" t="str">
        <f aca="false">IF(B119="","",IF(COUNTIF(Vendas!$C$5:$C$3004,B119)=0,"",_xlfn.MAXIFS(Vendas!$B$5:$B$3004,Vendas!$C$5:$C$3004,B119)))</f>
        <v/>
      </c>
      <c r="J119" s="39" t="str">
        <f aca="false">IF(B119="","",IF(H119&gt;0.005,"Deve",IF(H119&lt;-0.005,"Tem crédito",IF(E119&gt;0,"Em dia","Ainda não comprou"))))</f>
        <v/>
      </c>
    </row>
    <row r="120" customFormat="false" ht="21" hidden="false" customHeight="true" outlineLevel="0" collapsed="false">
      <c r="B120" s="9"/>
      <c r="C120" s="45"/>
      <c r="D120" s="9"/>
      <c r="E120" s="27" t="str">
        <f aca="false">IF(B120="","",SUMIFS(Vendas!$G$5:$G$3004,Vendas!$C$5:$C$3004,B120))</f>
        <v/>
      </c>
      <c r="F120" s="27" t="str">
        <f aca="false">IF(B120="","",SUMIFS(Recebi!$D$5:$D$3004,Recebi!$C$5:$C$3004,B120)+SUMIFS(Vendas!$G$5:$G$3004,Vendas!$C$5:$C$3004,B120,Vendas!$J$5:$J$3004,"Sim"))</f>
        <v/>
      </c>
      <c r="G120" s="27" t="str">
        <f aca="false">IF(B120="","",SUMIFS(Acertos!$D$5:$D$504,Acertos!$C$5:$C$504,B120))</f>
        <v/>
      </c>
      <c r="H120" s="36" t="str">
        <f aca="false">IF(B120="","",E120+G120-F120)</f>
        <v/>
      </c>
      <c r="I120" s="46" t="str">
        <f aca="false">IF(B120="","",IF(COUNTIF(Vendas!$C$5:$C$3004,B120)=0,"",_xlfn.MAXIFS(Vendas!$B$5:$B$3004,Vendas!$C$5:$C$3004,B120)))</f>
        <v/>
      </c>
      <c r="J120" s="39" t="str">
        <f aca="false">IF(B120="","",IF(H120&gt;0.005,"Deve",IF(H120&lt;-0.005,"Tem crédito",IF(E120&gt;0,"Em dia","Ainda não comprou"))))</f>
        <v/>
      </c>
    </row>
    <row r="121" customFormat="false" ht="21" hidden="false" customHeight="true" outlineLevel="0" collapsed="false">
      <c r="B121" s="9"/>
      <c r="C121" s="45"/>
      <c r="D121" s="9"/>
      <c r="E121" s="27" t="str">
        <f aca="false">IF(B121="","",SUMIFS(Vendas!$G$5:$G$3004,Vendas!$C$5:$C$3004,B121))</f>
        <v/>
      </c>
      <c r="F121" s="27" t="str">
        <f aca="false">IF(B121="","",SUMIFS(Recebi!$D$5:$D$3004,Recebi!$C$5:$C$3004,B121)+SUMIFS(Vendas!$G$5:$G$3004,Vendas!$C$5:$C$3004,B121,Vendas!$J$5:$J$3004,"Sim"))</f>
        <v/>
      </c>
      <c r="G121" s="27" t="str">
        <f aca="false">IF(B121="","",SUMIFS(Acertos!$D$5:$D$504,Acertos!$C$5:$C$504,B121))</f>
        <v/>
      </c>
      <c r="H121" s="36" t="str">
        <f aca="false">IF(B121="","",E121+G121-F121)</f>
        <v/>
      </c>
      <c r="I121" s="46" t="str">
        <f aca="false">IF(B121="","",IF(COUNTIF(Vendas!$C$5:$C$3004,B121)=0,"",_xlfn.MAXIFS(Vendas!$B$5:$B$3004,Vendas!$C$5:$C$3004,B121)))</f>
        <v/>
      </c>
      <c r="J121" s="39" t="str">
        <f aca="false">IF(B121="","",IF(H121&gt;0.005,"Deve",IF(H121&lt;-0.005,"Tem crédito",IF(E121&gt;0,"Em dia","Ainda não comprou"))))</f>
        <v/>
      </c>
    </row>
    <row r="122" customFormat="false" ht="21" hidden="false" customHeight="true" outlineLevel="0" collapsed="false">
      <c r="B122" s="9"/>
      <c r="C122" s="45"/>
      <c r="D122" s="9"/>
      <c r="E122" s="27" t="str">
        <f aca="false">IF(B122="","",SUMIFS(Vendas!$G$5:$G$3004,Vendas!$C$5:$C$3004,B122))</f>
        <v/>
      </c>
      <c r="F122" s="27" t="str">
        <f aca="false">IF(B122="","",SUMIFS(Recebi!$D$5:$D$3004,Recebi!$C$5:$C$3004,B122)+SUMIFS(Vendas!$G$5:$G$3004,Vendas!$C$5:$C$3004,B122,Vendas!$J$5:$J$3004,"Sim"))</f>
        <v/>
      </c>
      <c r="G122" s="27" t="str">
        <f aca="false">IF(B122="","",SUMIFS(Acertos!$D$5:$D$504,Acertos!$C$5:$C$504,B122))</f>
        <v/>
      </c>
      <c r="H122" s="36" t="str">
        <f aca="false">IF(B122="","",E122+G122-F122)</f>
        <v/>
      </c>
      <c r="I122" s="46" t="str">
        <f aca="false">IF(B122="","",IF(COUNTIF(Vendas!$C$5:$C$3004,B122)=0,"",_xlfn.MAXIFS(Vendas!$B$5:$B$3004,Vendas!$C$5:$C$3004,B122)))</f>
        <v/>
      </c>
      <c r="J122" s="39" t="str">
        <f aca="false">IF(B122="","",IF(H122&gt;0.005,"Deve",IF(H122&lt;-0.005,"Tem crédito",IF(E122&gt;0,"Em dia","Ainda não comprou"))))</f>
        <v/>
      </c>
    </row>
    <row r="123" customFormat="false" ht="21" hidden="false" customHeight="true" outlineLevel="0" collapsed="false">
      <c r="B123" s="9"/>
      <c r="C123" s="45"/>
      <c r="D123" s="9"/>
      <c r="E123" s="27" t="str">
        <f aca="false">IF(B123="","",SUMIFS(Vendas!$G$5:$G$3004,Vendas!$C$5:$C$3004,B123))</f>
        <v/>
      </c>
      <c r="F123" s="27" t="str">
        <f aca="false">IF(B123="","",SUMIFS(Recebi!$D$5:$D$3004,Recebi!$C$5:$C$3004,B123)+SUMIFS(Vendas!$G$5:$G$3004,Vendas!$C$5:$C$3004,B123,Vendas!$J$5:$J$3004,"Sim"))</f>
        <v/>
      </c>
      <c r="G123" s="27" t="str">
        <f aca="false">IF(B123="","",SUMIFS(Acertos!$D$5:$D$504,Acertos!$C$5:$C$504,B123))</f>
        <v/>
      </c>
      <c r="H123" s="36" t="str">
        <f aca="false">IF(B123="","",E123+G123-F123)</f>
        <v/>
      </c>
      <c r="I123" s="46" t="str">
        <f aca="false">IF(B123="","",IF(COUNTIF(Vendas!$C$5:$C$3004,B123)=0,"",_xlfn.MAXIFS(Vendas!$B$5:$B$3004,Vendas!$C$5:$C$3004,B123)))</f>
        <v/>
      </c>
      <c r="J123" s="39" t="str">
        <f aca="false">IF(B123="","",IF(H123&gt;0.005,"Deve",IF(H123&lt;-0.005,"Tem crédito",IF(E123&gt;0,"Em dia","Ainda não comprou"))))</f>
        <v/>
      </c>
    </row>
    <row r="124" customFormat="false" ht="21" hidden="false" customHeight="true" outlineLevel="0" collapsed="false">
      <c r="B124" s="9"/>
      <c r="C124" s="45"/>
      <c r="D124" s="9"/>
      <c r="E124" s="27" t="str">
        <f aca="false">IF(B124="","",SUMIFS(Vendas!$G$5:$G$3004,Vendas!$C$5:$C$3004,B124))</f>
        <v/>
      </c>
      <c r="F124" s="27" t="str">
        <f aca="false">IF(B124="","",SUMIFS(Recebi!$D$5:$D$3004,Recebi!$C$5:$C$3004,B124)+SUMIFS(Vendas!$G$5:$G$3004,Vendas!$C$5:$C$3004,B124,Vendas!$J$5:$J$3004,"Sim"))</f>
        <v/>
      </c>
      <c r="G124" s="27" t="str">
        <f aca="false">IF(B124="","",SUMIFS(Acertos!$D$5:$D$504,Acertos!$C$5:$C$504,B124))</f>
        <v/>
      </c>
      <c r="H124" s="36" t="str">
        <f aca="false">IF(B124="","",E124+G124-F124)</f>
        <v/>
      </c>
      <c r="I124" s="46" t="str">
        <f aca="false">IF(B124="","",IF(COUNTIF(Vendas!$C$5:$C$3004,B124)=0,"",_xlfn.MAXIFS(Vendas!$B$5:$B$3004,Vendas!$C$5:$C$3004,B124)))</f>
        <v/>
      </c>
      <c r="J124" s="39" t="str">
        <f aca="false">IF(B124="","",IF(H124&gt;0.005,"Deve",IF(H124&lt;-0.005,"Tem crédito",IF(E124&gt;0,"Em dia","Ainda não comprou"))))</f>
        <v/>
      </c>
    </row>
    <row r="125" customFormat="false" ht="21" hidden="false" customHeight="true" outlineLevel="0" collapsed="false">
      <c r="B125" s="9"/>
      <c r="C125" s="45"/>
      <c r="D125" s="9"/>
      <c r="E125" s="27" t="str">
        <f aca="false">IF(B125="","",SUMIFS(Vendas!$G$5:$G$3004,Vendas!$C$5:$C$3004,B125))</f>
        <v/>
      </c>
      <c r="F125" s="27" t="str">
        <f aca="false">IF(B125="","",SUMIFS(Recebi!$D$5:$D$3004,Recebi!$C$5:$C$3004,B125)+SUMIFS(Vendas!$G$5:$G$3004,Vendas!$C$5:$C$3004,B125,Vendas!$J$5:$J$3004,"Sim"))</f>
        <v/>
      </c>
      <c r="G125" s="27" t="str">
        <f aca="false">IF(B125="","",SUMIFS(Acertos!$D$5:$D$504,Acertos!$C$5:$C$504,B125))</f>
        <v/>
      </c>
      <c r="H125" s="36" t="str">
        <f aca="false">IF(B125="","",E125+G125-F125)</f>
        <v/>
      </c>
      <c r="I125" s="46" t="str">
        <f aca="false">IF(B125="","",IF(COUNTIF(Vendas!$C$5:$C$3004,B125)=0,"",_xlfn.MAXIFS(Vendas!$B$5:$B$3004,Vendas!$C$5:$C$3004,B125)))</f>
        <v/>
      </c>
      <c r="J125" s="39" t="str">
        <f aca="false">IF(B125="","",IF(H125&gt;0.005,"Deve",IF(H125&lt;-0.005,"Tem crédito",IF(E125&gt;0,"Em dia","Ainda não comprou"))))</f>
        <v/>
      </c>
    </row>
    <row r="126" customFormat="false" ht="21" hidden="false" customHeight="true" outlineLevel="0" collapsed="false">
      <c r="B126" s="9"/>
      <c r="C126" s="45"/>
      <c r="D126" s="9"/>
      <c r="E126" s="27" t="str">
        <f aca="false">IF(B126="","",SUMIFS(Vendas!$G$5:$G$3004,Vendas!$C$5:$C$3004,B126))</f>
        <v/>
      </c>
      <c r="F126" s="27" t="str">
        <f aca="false">IF(B126="","",SUMIFS(Recebi!$D$5:$D$3004,Recebi!$C$5:$C$3004,B126)+SUMIFS(Vendas!$G$5:$G$3004,Vendas!$C$5:$C$3004,B126,Vendas!$J$5:$J$3004,"Sim"))</f>
        <v/>
      </c>
      <c r="G126" s="27" t="str">
        <f aca="false">IF(B126="","",SUMIFS(Acertos!$D$5:$D$504,Acertos!$C$5:$C$504,B126))</f>
        <v/>
      </c>
      <c r="H126" s="36" t="str">
        <f aca="false">IF(B126="","",E126+G126-F126)</f>
        <v/>
      </c>
      <c r="I126" s="46" t="str">
        <f aca="false">IF(B126="","",IF(COUNTIF(Vendas!$C$5:$C$3004,B126)=0,"",_xlfn.MAXIFS(Vendas!$B$5:$B$3004,Vendas!$C$5:$C$3004,B126)))</f>
        <v/>
      </c>
      <c r="J126" s="39" t="str">
        <f aca="false">IF(B126="","",IF(H126&gt;0.005,"Deve",IF(H126&lt;-0.005,"Tem crédito",IF(E126&gt;0,"Em dia","Ainda não comprou"))))</f>
        <v/>
      </c>
    </row>
    <row r="127" customFormat="false" ht="21" hidden="false" customHeight="true" outlineLevel="0" collapsed="false">
      <c r="B127" s="9"/>
      <c r="C127" s="45"/>
      <c r="D127" s="9"/>
      <c r="E127" s="27" t="str">
        <f aca="false">IF(B127="","",SUMIFS(Vendas!$G$5:$G$3004,Vendas!$C$5:$C$3004,B127))</f>
        <v/>
      </c>
      <c r="F127" s="27" t="str">
        <f aca="false">IF(B127="","",SUMIFS(Recebi!$D$5:$D$3004,Recebi!$C$5:$C$3004,B127)+SUMIFS(Vendas!$G$5:$G$3004,Vendas!$C$5:$C$3004,B127,Vendas!$J$5:$J$3004,"Sim"))</f>
        <v/>
      </c>
      <c r="G127" s="27" t="str">
        <f aca="false">IF(B127="","",SUMIFS(Acertos!$D$5:$D$504,Acertos!$C$5:$C$504,B127))</f>
        <v/>
      </c>
      <c r="H127" s="36" t="str">
        <f aca="false">IF(B127="","",E127+G127-F127)</f>
        <v/>
      </c>
      <c r="I127" s="46" t="str">
        <f aca="false">IF(B127="","",IF(COUNTIF(Vendas!$C$5:$C$3004,B127)=0,"",_xlfn.MAXIFS(Vendas!$B$5:$B$3004,Vendas!$C$5:$C$3004,B127)))</f>
        <v/>
      </c>
      <c r="J127" s="39" t="str">
        <f aca="false">IF(B127="","",IF(H127&gt;0.005,"Deve",IF(H127&lt;-0.005,"Tem crédito",IF(E127&gt;0,"Em dia","Ainda não comprou"))))</f>
        <v/>
      </c>
    </row>
    <row r="128" customFormat="false" ht="21" hidden="false" customHeight="true" outlineLevel="0" collapsed="false">
      <c r="B128" s="9"/>
      <c r="C128" s="45"/>
      <c r="D128" s="9"/>
      <c r="E128" s="27" t="str">
        <f aca="false">IF(B128="","",SUMIFS(Vendas!$G$5:$G$3004,Vendas!$C$5:$C$3004,B128))</f>
        <v/>
      </c>
      <c r="F128" s="27" t="str">
        <f aca="false">IF(B128="","",SUMIFS(Recebi!$D$5:$D$3004,Recebi!$C$5:$C$3004,B128)+SUMIFS(Vendas!$G$5:$G$3004,Vendas!$C$5:$C$3004,B128,Vendas!$J$5:$J$3004,"Sim"))</f>
        <v/>
      </c>
      <c r="G128" s="27" t="str">
        <f aca="false">IF(B128="","",SUMIFS(Acertos!$D$5:$D$504,Acertos!$C$5:$C$504,B128))</f>
        <v/>
      </c>
      <c r="H128" s="36" t="str">
        <f aca="false">IF(B128="","",E128+G128-F128)</f>
        <v/>
      </c>
      <c r="I128" s="46" t="str">
        <f aca="false">IF(B128="","",IF(COUNTIF(Vendas!$C$5:$C$3004,B128)=0,"",_xlfn.MAXIFS(Vendas!$B$5:$B$3004,Vendas!$C$5:$C$3004,B128)))</f>
        <v/>
      </c>
      <c r="J128" s="39" t="str">
        <f aca="false">IF(B128="","",IF(H128&gt;0.005,"Deve",IF(H128&lt;-0.005,"Tem crédito",IF(E128&gt;0,"Em dia","Ainda não comprou"))))</f>
        <v/>
      </c>
    </row>
    <row r="129" customFormat="false" ht="21" hidden="false" customHeight="true" outlineLevel="0" collapsed="false">
      <c r="B129" s="9"/>
      <c r="C129" s="45"/>
      <c r="D129" s="9"/>
      <c r="E129" s="27" t="str">
        <f aca="false">IF(B129="","",SUMIFS(Vendas!$G$5:$G$3004,Vendas!$C$5:$C$3004,B129))</f>
        <v/>
      </c>
      <c r="F129" s="27" t="str">
        <f aca="false">IF(B129="","",SUMIFS(Recebi!$D$5:$D$3004,Recebi!$C$5:$C$3004,B129)+SUMIFS(Vendas!$G$5:$G$3004,Vendas!$C$5:$C$3004,B129,Vendas!$J$5:$J$3004,"Sim"))</f>
        <v/>
      </c>
      <c r="G129" s="27" t="str">
        <f aca="false">IF(B129="","",SUMIFS(Acertos!$D$5:$D$504,Acertos!$C$5:$C$504,B129))</f>
        <v/>
      </c>
      <c r="H129" s="36" t="str">
        <f aca="false">IF(B129="","",E129+G129-F129)</f>
        <v/>
      </c>
      <c r="I129" s="46" t="str">
        <f aca="false">IF(B129="","",IF(COUNTIF(Vendas!$C$5:$C$3004,B129)=0,"",_xlfn.MAXIFS(Vendas!$B$5:$B$3004,Vendas!$C$5:$C$3004,B129)))</f>
        <v/>
      </c>
      <c r="J129" s="39" t="str">
        <f aca="false">IF(B129="","",IF(H129&gt;0.005,"Deve",IF(H129&lt;-0.005,"Tem crédito",IF(E129&gt;0,"Em dia","Ainda não comprou"))))</f>
        <v/>
      </c>
    </row>
    <row r="130" customFormat="false" ht="21" hidden="false" customHeight="true" outlineLevel="0" collapsed="false">
      <c r="B130" s="9"/>
      <c r="C130" s="45"/>
      <c r="D130" s="9"/>
      <c r="E130" s="27" t="str">
        <f aca="false">IF(B130="","",SUMIFS(Vendas!$G$5:$G$3004,Vendas!$C$5:$C$3004,B130))</f>
        <v/>
      </c>
      <c r="F130" s="27" t="str">
        <f aca="false">IF(B130="","",SUMIFS(Recebi!$D$5:$D$3004,Recebi!$C$5:$C$3004,B130)+SUMIFS(Vendas!$G$5:$G$3004,Vendas!$C$5:$C$3004,B130,Vendas!$J$5:$J$3004,"Sim"))</f>
        <v/>
      </c>
      <c r="G130" s="27" t="str">
        <f aca="false">IF(B130="","",SUMIFS(Acertos!$D$5:$D$504,Acertos!$C$5:$C$504,B130))</f>
        <v/>
      </c>
      <c r="H130" s="36" t="str">
        <f aca="false">IF(B130="","",E130+G130-F130)</f>
        <v/>
      </c>
      <c r="I130" s="46" t="str">
        <f aca="false">IF(B130="","",IF(COUNTIF(Vendas!$C$5:$C$3004,B130)=0,"",_xlfn.MAXIFS(Vendas!$B$5:$B$3004,Vendas!$C$5:$C$3004,B130)))</f>
        <v/>
      </c>
      <c r="J130" s="39" t="str">
        <f aca="false">IF(B130="","",IF(H130&gt;0.005,"Deve",IF(H130&lt;-0.005,"Tem crédito",IF(E130&gt;0,"Em dia","Ainda não comprou"))))</f>
        <v/>
      </c>
    </row>
    <row r="131" customFormat="false" ht="21" hidden="false" customHeight="true" outlineLevel="0" collapsed="false">
      <c r="B131" s="9"/>
      <c r="C131" s="45"/>
      <c r="D131" s="9"/>
      <c r="E131" s="27" t="str">
        <f aca="false">IF(B131="","",SUMIFS(Vendas!$G$5:$G$3004,Vendas!$C$5:$C$3004,B131))</f>
        <v/>
      </c>
      <c r="F131" s="27" t="str">
        <f aca="false">IF(B131="","",SUMIFS(Recebi!$D$5:$D$3004,Recebi!$C$5:$C$3004,B131)+SUMIFS(Vendas!$G$5:$G$3004,Vendas!$C$5:$C$3004,B131,Vendas!$J$5:$J$3004,"Sim"))</f>
        <v/>
      </c>
      <c r="G131" s="27" t="str">
        <f aca="false">IF(B131="","",SUMIFS(Acertos!$D$5:$D$504,Acertos!$C$5:$C$504,B131))</f>
        <v/>
      </c>
      <c r="H131" s="36" t="str">
        <f aca="false">IF(B131="","",E131+G131-F131)</f>
        <v/>
      </c>
      <c r="I131" s="46" t="str">
        <f aca="false">IF(B131="","",IF(COUNTIF(Vendas!$C$5:$C$3004,B131)=0,"",_xlfn.MAXIFS(Vendas!$B$5:$B$3004,Vendas!$C$5:$C$3004,B131)))</f>
        <v/>
      </c>
      <c r="J131" s="39" t="str">
        <f aca="false">IF(B131="","",IF(H131&gt;0.005,"Deve",IF(H131&lt;-0.005,"Tem crédito",IF(E131&gt;0,"Em dia","Ainda não comprou"))))</f>
        <v/>
      </c>
    </row>
    <row r="132" customFormat="false" ht="21" hidden="false" customHeight="true" outlineLevel="0" collapsed="false">
      <c r="B132" s="9"/>
      <c r="C132" s="45"/>
      <c r="D132" s="9"/>
      <c r="E132" s="27" t="str">
        <f aca="false">IF(B132="","",SUMIFS(Vendas!$G$5:$G$3004,Vendas!$C$5:$C$3004,B132))</f>
        <v/>
      </c>
      <c r="F132" s="27" t="str">
        <f aca="false">IF(B132="","",SUMIFS(Recebi!$D$5:$D$3004,Recebi!$C$5:$C$3004,B132)+SUMIFS(Vendas!$G$5:$G$3004,Vendas!$C$5:$C$3004,B132,Vendas!$J$5:$J$3004,"Sim"))</f>
        <v/>
      </c>
      <c r="G132" s="27" t="str">
        <f aca="false">IF(B132="","",SUMIFS(Acertos!$D$5:$D$504,Acertos!$C$5:$C$504,B132))</f>
        <v/>
      </c>
      <c r="H132" s="36" t="str">
        <f aca="false">IF(B132="","",E132+G132-F132)</f>
        <v/>
      </c>
      <c r="I132" s="46" t="str">
        <f aca="false">IF(B132="","",IF(COUNTIF(Vendas!$C$5:$C$3004,B132)=0,"",_xlfn.MAXIFS(Vendas!$B$5:$B$3004,Vendas!$C$5:$C$3004,B132)))</f>
        <v/>
      </c>
      <c r="J132" s="39" t="str">
        <f aca="false">IF(B132="","",IF(H132&gt;0.005,"Deve",IF(H132&lt;-0.005,"Tem crédito",IF(E132&gt;0,"Em dia","Ainda não comprou"))))</f>
        <v/>
      </c>
    </row>
    <row r="133" customFormat="false" ht="21" hidden="false" customHeight="true" outlineLevel="0" collapsed="false">
      <c r="B133" s="9"/>
      <c r="C133" s="45"/>
      <c r="D133" s="9"/>
      <c r="E133" s="27" t="str">
        <f aca="false">IF(B133="","",SUMIFS(Vendas!$G$5:$G$3004,Vendas!$C$5:$C$3004,B133))</f>
        <v/>
      </c>
      <c r="F133" s="27" t="str">
        <f aca="false">IF(B133="","",SUMIFS(Recebi!$D$5:$D$3004,Recebi!$C$5:$C$3004,B133)+SUMIFS(Vendas!$G$5:$G$3004,Vendas!$C$5:$C$3004,B133,Vendas!$J$5:$J$3004,"Sim"))</f>
        <v/>
      </c>
      <c r="G133" s="27" t="str">
        <f aca="false">IF(B133="","",SUMIFS(Acertos!$D$5:$D$504,Acertos!$C$5:$C$504,B133))</f>
        <v/>
      </c>
      <c r="H133" s="36" t="str">
        <f aca="false">IF(B133="","",E133+G133-F133)</f>
        <v/>
      </c>
      <c r="I133" s="46" t="str">
        <f aca="false">IF(B133="","",IF(COUNTIF(Vendas!$C$5:$C$3004,B133)=0,"",_xlfn.MAXIFS(Vendas!$B$5:$B$3004,Vendas!$C$5:$C$3004,B133)))</f>
        <v/>
      </c>
      <c r="J133" s="39" t="str">
        <f aca="false">IF(B133="","",IF(H133&gt;0.005,"Deve",IF(H133&lt;-0.005,"Tem crédito",IF(E133&gt;0,"Em dia","Ainda não comprou"))))</f>
        <v/>
      </c>
    </row>
    <row r="134" customFormat="false" ht="21" hidden="false" customHeight="true" outlineLevel="0" collapsed="false">
      <c r="B134" s="9"/>
      <c r="C134" s="45"/>
      <c r="D134" s="9"/>
      <c r="E134" s="27" t="str">
        <f aca="false">IF(B134="","",SUMIFS(Vendas!$G$5:$G$3004,Vendas!$C$5:$C$3004,B134))</f>
        <v/>
      </c>
      <c r="F134" s="27" t="str">
        <f aca="false">IF(B134="","",SUMIFS(Recebi!$D$5:$D$3004,Recebi!$C$5:$C$3004,B134)+SUMIFS(Vendas!$G$5:$G$3004,Vendas!$C$5:$C$3004,B134,Vendas!$J$5:$J$3004,"Sim"))</f>
        <v/>
      </c>
      <c r="G134" s="27" t="str">
        <f aca="false">IF(B134="","",SUMIFS(Acertos!$D$5:$D$504,Acertos!$C$5:$C$504,B134))</f>
        <v/>
      </c>
      <c r="H134" s="36" t="str">
        <f aca="false">IF(B134="","",E134+G134-F134)</f>
        <v/>
      </c>
      <c r="I134" s="46" t="str">
        <f aca="false">IF(B134="","",IF(COUNTIF(Vendas!$C$5:$C$3004,B134)=0,"",_xlfn.MAXIFS(Vendas!$B$5:$B$3004,Vendas!$C$5:$C$3004,B134)))</f>
        <v/>
      </c>
      <c r="J134" s="39" t="str">
        <f aca="false">IF(B134="","",IF(H134&gt;0.005,"Deve",IF(H134&lt;-0.005,"Tem crédito",IF(E134&gt;0,"Em dia","Ainda não comprou"))))</f>
        <v/>
      </c>
    </row>
    <row r="135" customFormat="false" ht="21" hidden="false" customHeight="true" outlineLevel="0" collapsed="false">
      <c r="B135" s="9"/>
      <c r="C135" s="45"/>
      <c r="D135" s="9"/>
      <c r="E135" s="27" t="str">
        <f aca="false">IF(B135="","",SUMIFS(Vendas!$G$5:$G$3004,Vendas!$C$5:$C$3004,B135))</f>
        <v/>
      </c>
      <c r="F135" s="27" t="str">
        <f aca="false">IF(B135="","",SUMIFS(Recebi!$D$5:$D$3004,Recebi!$C$5:$C$3004,B135)+SUMIFS(Vendas!$G$5:$G$3004,Vendas!$C$5:$C$3004,B135,Vendas!$J$5:$J$3004,"Sim"))</f>
        <v/>
      </c>
      <c r="G135" s="27" t="str">
        <f aca="false">IF(B135="","",SUMIFS(Acertos!$D$5:$D$504,Acertos!$C$5:$C$504,B135))</f>
        <v/>
      </c>
      <c r="H135" s="36" t="str">
        <f aca="false">IF(B135="","",E135+G135-F135)</f>
        <v/>
      </c>
      <c r="I135" s="46" t="str">
        <f aca="false">IF(B135="","",IF(COUNTIF(Vendas!$C$5:$C$3004,B135)=0,"",_xlfn.MAXIFS(Vendas!$B$5:$B$3004,Vendas!$C$5:$C$3004,B135)))</f>
        <v/>
      </c>
      <c r="J135" s="39" t="str">
        <f aca="false">IF(B135="","",IF(H135&gt;0.005,"Deve",IF(H135&lt;-0.005,"Tem crédito",IF(E135&gt;0,"Em dia","Ainda não comprou"))))</f>
        <v/>
      </c>
    </row>
    <row r="136" customFormat="false" ht="21" hidden="false" customHeight="true" outlineLevel="0" collapsed="false">
      <c r="B136" s="9"/>
      <c r="C136" s="45"/>
      <c r="D136" s="9"/>
      <c r="E136" s="27" t="str">
        <f aca="false">IF(B136="","",SUMIFS(Vendas!$G$5:$G$3004,Vendas!$C$5:$C$3004,B136))</f>
        <v/>
      </c>
      <c r="F136" s="27" t="str">
        <f aca="false">IF(B136="","",SUMIFS(Recebi!$D$5:$D$3004,Recebi!$C$5:$C$3004,B136)+SUMIFS(Vendas!$G$5:$G$3004,Vendas!$C$5:$C$3004,B136,Vendas!$J$5:$J$3004,"Sim"))</f>
        <v/>
      </c>
      <c r="G136" s="27" t="str">
        <f aca="false">IF(B136="","",SUMIFS(Acertos!$D$5:$D$504,Acertos!$C$5:$C$504,B136))</f>
        <v/>
      </c>
      <c r="H136" s="36" t="str">
        <f aca="false">IF(B136="","",E136+G136-F136)</f>
        <v/>
      </c>
      <c r="I136" s="46" t="str">
        <f aca="false">IF(B136="","",IF(COUNTIF(Vendas!$C$5:$C$3004,B136)=0,"",_xlfn.MAXIFS(Vendas!$B$5:$B$3004,Vendas!$C$5:$C$3004,B136)))</f>
        <v/>
      </c>
      <c r="J136" s="39" t="str">
        <f aca="false">IF(B136="","",IF(H136&gt;0.005,"Deve",IF(H136&lt;-0.005,"Tem crédito",IF(E136&gt;0,"Em dia","Ainda não comprou"))))</f>
        <v/>
      </c>
    </row>
    <row r="137" customFormat="false" ht="21" hidden="false" customHeight="true" outlineLevel="0" collapsed="false">
      <c r="B137" s="9"/>
      <c r="C137" s="45"/>
      <c r="D137" s="9"/>
      <c r="E137" s="27" t="str">
        <f aca="false">IF(B137="","",SUMIFS(Vendas!$G$5:$G$3004,Vendas!$C$5:$C$3004,B137))</f>
        <v/>
      </c>
      <c r="F137" s="27" t="str">
        <f aca="false">IF(B137="","",SUMIFS(Recebi!$D$5:$D$3004,Recebi!$C$5:$C$3004,B137)+SUMIFS(Vendas!$G$5:$G$3004,Vendas!$C$5:$C$3004,B137,Vendas!$J$5:$J$3004,"Sim"))</f>
        <v/>
      </c>
      <c r="G137" s="27" t="str">
        <f aca="false">IF(B137="","",SUMIFS(Acertos!$D$5:$D$504,Acertos!$C$5:$C$504,B137))</f>
        <v/>
      </c>
      <c r="H137" s="36" t="str">
        <f aca="false">IF(B137="","",E137+G137-F137)</f>
        <v/>
      </c>
      <c r="I137" s="46" t="str">
        <f aca="false">IF(B137="","",IF(COUNTIF(Vendas!$C$5:$C$3004,B137)=0,"",_xlfn.MAXIFS(Vendas!$B$5:$B$3004,Vendas!$C$5:$C$3004,B137)))</f>
        <v/>
      </c>
      <c r="J137" s="39" t="str">
        <f aca="false">IF(B137="","",IF(H137&gt;0.005,"Deve",IF(H137&lt;-0.005,"Tem crédito",IF(E137&gt;0,"Em dia","Ainda não comprou"))))</f>
        <v/>
      </c>
    </row>
    <row r="138" customFormat="false" ht="21" hidden="false" customHeight="true" outlineLevel="0" collapsed="false">
      <c r="B138" s="9"/>
      <c r="C138" s="45"/>
      <c r="D138" s="9"/>
      <c r="E138" s="27" t="str">
        <f aca="false">IF(B138="","",SUMIFS(Vendas!$G$5:$G$3004,Vendas!$C$5:$C$3004,B138))</f>
        <v/>
      </c>
      <c r="F138" s="27" t="str">
        <f aca="false">IF(B138="","",SUMIFS(Recebi!$D$5:$D$3004,Recebi!$C$5:$C$3004,B138)+SUMIFS(Vendas!$G$5:$G$3004,Vendas!$C$5:$C$3004,B138,Vendas!$J$5:$J$3004,"Sim"))</f>
        <v/>
      </c>
      <c r="G138" s="27" t="str">
        <f aca="false">IF(B138="","",SUMIFS(Acertos!$D$5:$D$504,Acertos!$C$5:$C$504,B138))</f>
        <v/>
      </c>
      <c r="H138" s="36" t="str">
        <f aca="false">IF(B138="","",E138+G138-F138)</f>
        <v/>
      </c>
      <c r="I138" s="46" t="str">
        <f aca="false">IF(B138="","",IF(COUNTIF(Vendas!$C$5:$C$3004,B138)=0,"",_xlfn.MAXIFS(Vendas!$B$5:$B$3004,Vendas!$C$5:$C$3004,B138)))</f>
        <v/>
      </c>
      <c r="J138" s="39" t="str">
        <f aca="false">IF(B138="","",IF(H138&gt;0.005,"Deve",IF(H138&lt;-0.005,"Tem crédito",IF(E138&gt;0,"Em dia","Ainda não comprou"))))</f>
        <v/>
      </c>
    </row>
    <row r="139" customFormat="false" ht="21" hidden="false" customHeight="true" outlineLevel="0" collapsed="false">
      <c r="B139" s="9"/>
      <c r="C139" s="45"/>
      <c r="D139" s="9"/>
      <c r="E139" s="27" t="str">
        <f aca="false">IF(B139="","",SUMIFS(Vendas!$G$5:$G$3004,Vendas!$C$5:$C$3004,B139))</f>
        <v/>
      </c>
      <c r="F139" s="27" t="str">
        <f aca="false">IF(B139="","",SUMIFS(Recebi!$D$5:$D$3004,Recebi!$C$5:$C$3004,B139)+SUMIFS(Vendas!$G$5:$G$3004,Vendas!$C$5:$C$3004,B139,Vendas!$J$5:$J$3004,"Sim"))</f>
        <v/>
      </c>
      <c r="G139" s="27" t="str">
        <f aca="false">IF(B139="","",SUMIFS(Acertos!$D$5:$D$504,Acertos!$C$5:$C$504,B139))</f>
        <v/>
      </c>
      <c r="H139" s="36" t="str">
        <f aca="false">IF(B139="","",E139+G139-F139)</f>
        <v/>
      </c>
      <c r="I139" s="46" t="str">
        <f aca="false">IF(B139="","",IF(COUNTIF(Vendas!$C$5:$C$3004,B139)=0,"",_xlfn.MAXIFS(Vendas!$B$5:$B$3004,Vendas!$C$5:$C$3004,B139)))</f>
        <v/>
      </c>
      <c r="J139" s="39" t="str">
        <f aca="false">IF(B139="","",IF(H139&gt;0.005,"Deve",IF(H139&lt;-0.005,"Tem crédito",IF(E139&gt;0,"Em dia","Ainda não comprou"))))</f>
        <v/>
      </c>
    </row>
    <row r="140" customFormat="false" ht="21" hidden="false" customHeight="true" outlineLevel="0" collapsed="false">
      <c r="B140" s="9"/>
      <c r="C140" s="45"/>
      <c r="D140" s="9"/>
      <c r="E140" s="27" t="str">
        <f aca="false">IF(B140="","",SUMIFS(Vendas!$G$5:$G$3004,Vendas!$C$5:$C$3004,B140))</f>
        <v/>
      </c>
      <c r="F140" s="27" t="str">
        <f aca="false">IF(B140="","",SUMIFS(Recebi!$D$5:$D$3004,Recebi!$C$5:$C$3004,B140)+SUMIFS(Vendas!$G$5:$G$3004,Vendas!$C$5:$C$3004,B140,Vendas!$J$5:$J$3004,"Sim"))</f>
        <v/>
      </c>
      <c r="G140" s="27" t="str">
        <f aca="false">IF(B140="","",SUMIFS(Acertos!$D$5:$D$504,Acertos!$C$5:$C$504,B140))</f>
        <v/>
      </c>
      <c r="H140" s="36" t="str">
        <f aca="false">IF(B140="","",E140+G140-F140)</f>
        <v/>
      </c>
      <c r="I140" s="46" t="str">
        <f aca="false">IF(B140="","",IF(COUNTIF(Vendas!$C$5:$C$3004,B140)=0,"",_xlfn.MAXIFS(Vendas!$B$5:$B$3004,Vendas!$C$5:$C$3004,B140)))</f>
        <v/>
      </c>
      <c r="J140" s="39" t="str">
        <f aca="false">IF(B140="","",IF(H140&gt;0.005,"Deve",IF(H140&lt;-0.005,"Tem crédito",IF(E140&gt;0,"Em dia","Ainda não comprou"))))</f>
        <v/>
      </c>
    </row>
    <row r="141" customFormat="false" ht="21" hidden="false" customHeight="true" outlineLevel="0" collapsed="false">
      <c r="B141" s="9"/>
      <c r="C141" s="45"/>
      <c r="D141" s="9"/>
      <c r="E141" s="27" t="str">
        <f aca="false">IF(B141="","",SUMIFS(Vendas!$G$5:$G$3004,Vendas!$C$5:$C$3004,B141))</f>
        <v/>
      </c>
      <c r="F141" s="27" t="str">
        <f aca="false">IF(B141="","",SUMIFS(Recebi!$D$5:$D$3004,Recebi!$C$5:$C$3004,B141)+SUMIFS(Vendas!$G$5:$G$3004,Vendas!$C$5:$C$3004,B141,Vendas!$J$5:$J$3004,"Sim"))</f>
        <v/>
      </c>
      <c r="G141" s="27" t="str">
        <f aca="false">IF(B141="","",SUMIFS(Acertos!$D$5:$D$504,Acertos!$C$5:$C$504,B141))</f>
        <v/>
      </c>
      <c r="H141" s="36" t="str">
        <f aca="false">IF(B141="","",E141+G141-F141)</f>
        <v/>
      </c>
      <c r="I141" s="46" t="str">
        <f aca="false">IF(B141="","",IF(COUNTIF(Vendas!$C$5:$C$3004,B141)=0,"",_xlfn.MAXIFS(Vendas!$B$5:$B$3004,Vendas!$C$5:$C$3004,B141)))</f>
        <v/>
      </c>
      <c r="J141" s="39" t="str">
        <f aca="false">IF(B141="","",IF(H141&gt;0.005,"Deve",IF(H141&lt;-0.005,"Tem crédito",IF(E141&gt;0,"Em dia","Ainda não comprou"))))</f>
        <v/>
      </c>
    </row>
    <row r="142" customFormat="false" ht="21" hidden="false" customHeight="true" outlineLevel="0" collapsed="false">
      <c r="B142" s="9"/>
      <c r="C142" s="45"/>
      <c r="D142" s="9"/>
      <c r="E142" s="27" t="str">
        <f aca="false">IF(B142="","",SUMIFS(Vendas!$G$5:$G$3004,Vendas!$C$5:$C$3004,B142))</f>
        <v/>
      </c>
      <c r="F142" s="27" t="str">
        <f aca="false">IF(B142="","",SUMIFS(Recebi!$D$5:$D$3004,Recebi!$C$5:$C$3004,B142)+SUMIFS(Vendas!$G$5:$G$3004,Vendas!$C$5:$C$3004,B142,Vendas!$J$5:$J$3004,"Sim"))</f>
        <v/>
      </c>
      <c r="G142" s="27" t="str">
        <f aca="false">IF(B142="","",SUMIFS(Acertos!$D$5:$D$504,Acertos!$C$5:$C$504,B142))</f>
        <v/>
      </c>
      <c r="H142" s="36" t="str">
        <f aca="false">IF(B142="","",E142+G142-F142)</f>
        <v/>
      </c>
      <c r="I142" s="46" t="str">
        <f aca="false">IF(B142="","",IF(COUNTIF(Vendas!$C$5:$C$3004,B142)=0,"",_xlfn.MAXIFS(Vendas!$B$5:$B$3004,Vendas!$C$5:$C$3004,B142)))</f>
        <v/>
      </c>
      <c r="J142" s="39" t="str">
        <f aca="false">IF(B142="","",IF(H142&gt;0.005,"Deve",IF(H142&lt;-0.005,"Tem crédito",IF(E142&gt;0,"Em dia","Ainda não comprou"))))</f>
        <v/>
      </c>
    </row>
    <row r="143" customFormat="false" ht="21" hidden="false" customHeight="true" outlineLevel="0" collapsed="false">
      <c r="B143" s="9"/>
      <c r="C143" s="45"/>
      <c r="D143" s="9"/>
      <c r="E143" s="27" t="str">
        <f aca="false">IF(B143="","",SUMIFS(Vendas!$G$5:$G$3004,Vendas!$C$5:$C$3004,B143))</f>
        <v/>
      </c>
      <c r="F143" s="27" t="str">
        <f aca="false">IF(B143="","",SUMIFS(Recebi!$D$5:$D$3004,Recebi!$C$5:$C$3004,B143)+SUMIFS(Vendas!$G$5:$G$3004,Vendas!$C$5:$C$3004,B143,Vendas!$J$5:$J$3004,"Sim"))</f>
        <v/>
      </c>
      <c r="G143" s="27" t="str">
        <f aca="false">IF(B143="","",SUMIFS(Acertos!$D$5:$D$504,Acertos!$C$5:$C$504,B143))</f>
        <v/>
      </c>
      <c r="H143" s="36" t="str">
        <f aca="false">IF(B143="","",E143+G143-F143)</f>
        <v/>
      </c>
      <c r="I143" s="46" t="str">
        <f aca="false">IF(B143="","",IF(COUNTIF(Vendas!$C$5:$C$3004,B143)=0,"",_xlfn.MAXIFS(Vendas!$B$5:$B$3004,Vendas!$C$5:$C$3004,B143)))</f>
        <v/>
      </c>
      <c r="J143" s="39" t="str">
        <f aca="false">IF(B143="","",IF(H143&gt;0.005,"Deve",IF(H143&lt;-0.005,"Tem crédito",IF(E143&gt;0,"Em dia","Ainda não comprou"))))</f>
        <v/>
      </c>
    </row>
    <row r="144" customFormat="false" ht="21" hidden="false" customHeight="true" outlineLevel="0" collapsed="false">
      <c r="B144" s="9"/>
      <c r="C144" s="45"/>
      <c r="D144" s="9"/>
      <c r="E144" s="27" t="str">
        <f aca="false">IF(B144="","",SUMIFS(Vendas!$G$5:$G$3004,Vendas!$C$5:$C$3004,B144))</f>
        <v/>
      </c>
      <c r="F144" s="27" t="str">
        <f aca="false">IF(B144="","",SUMIFS(Recebi!$D$5:$D$3004,Recebi!$C$5:$C$3004,B144)+SUMIFS(Vendas!$G$5:$G$3004,Vendas!$C$5:$C$3004,B144,Vendas!$J$5:$J$3004,"Sim"))</f>
        <v/>
      </c>
      <c r="G144" s="27" t="str">
        <f aca="false">IF(B144="","",SUMIFS(Acertos!$D$5:$D$504,Acertos!$C$5:$C$504,B144))</f>
        <v/>
      </c>
      <c r="H144" s="36" t="str">
        <f aca="false">IF(B144="","",E144+G144-F144)</f>
        <v/>
      </c>
      <c r="I144" s="46" t="str">
        <f aca="false">IF(B144="","",IF(COUNTIF(Vendas!$C$5:$C$3004,B144)=0,"",_xlfn.MAXIFS(Vendas!$B$5:$B$3004,Vendas!$C$5:$C$3004,B144)))</f>
        <v/>
      </c>
      <c r="J144" s="39" t="str">
        <f aca="false">IF(B144="","",IF(H144&gt;0.005,"Deve",IF(H144&lt;-0.005,"Tem crédito",IF(E144&gt;0,"Em dia","Ainda não comprou"))))</f>
        <v/>
      </c>
    </row>
    <row r="145" customFormat="false" ht="21" hidden="false" customHeight="true" outlineLevel="0" collapsed="false">
      <c r="B145" s="9"/>
      <c r="C145" s="45"/>
      <c r="D145" s="9"/>
      <c r="E145" s="27" t="str">
        <f aca="false">IF(B145="","",SUMIFS(Vendas!$G$5:$G$3004,Vendas!$C$5:$C$3004,B145))</f>
        <v/>
      </c>
      <c r="F145" s="27" t="str">
        <f aca="false">IF(B145="","",SUMIFS(Recebi!$D$5:$D$3004,Recebi!$C$5:$C$3004,B145)+SUMIFS(Vendas!$G$5:$G$3004,Vendas!$C$5:$C$3004,B145,Vendas!$J$5:$J$3004,"Sim"))</f>
        <v/>
      </c>
      <c r="G145" s="27" t="str">
        <f aca="false">IF(B145="","",SUMIFS(Acertos!$D$5:$D$504,Acertos!$C$5:$C$504,B145))</f>
        <v/>
      </c>
      <c r="H145" s="36" t="str">
        <f aca="false">IF(B145="","",E145+G145-F145)</f>
        <v/>
      </c>
      <c r="I145" s="46" t="str">
        <f aca="false">IF(B145="","",IF(COUNTIF(Vendas!$C$5:$C$3004,B145)=0,"",_xlfn.MAXIFS(Vendas!$B$5:$B$3004,Vendas!$C$5:$C$3004,B145)))</f>
        <v/>
      </c>
      <c r="J145" s="39" t="str">
        <f aca="false">IF(B145="","",IF(H145&gt;0.005,"Deve",IF(H145&lt;-0.005,"Tem crédito",IF(E145&gt;0,"Em dia","Ainda não comprou"))))</f>
        <v/>
      </c>
    </row>
    <row r="146" customFormat="false" ht="21" hidden="false" customHeight="true" outlineLevel="0" collapsed="false">
      <c r="B146" s="9"/>
      <c r="C146" s="45"/>
      <c r="D146" s="9"/>
      <c r="E146" s="27" t="str">
        <f aca="false">IF(B146="","",SUMIFS(Vendas!$G$5:$G$3004,Vendas!$C$5:$C$3004,B146))</f>
        <v/>
      </c>
      <c r="F146" s="27" t="str">
        <f aca="false">IF(B146="","",SUMIFS(Recebi!$D$5:$D$3004,Recebi!$C$5:$C$3004,B146)+SUMIFS(Vendas!$G$5:$G$3004,Vendas!$C$5:$C$3004,B146,Vendas!$J$5:$J$3004,"Sim"))</f>
        <v/>
      </c>
      <c r="G146" s="27" t="str">
        <f aca="false">IF(B146="","",SUMIFS(Acertos!$D$5:$D$504,Acertos!$C$5:$C$504,B146))</f>
        <v/>
      </c>
      <c r="H146" s="36" t="str">
        <f aca="false">IF(B146="","",E146+G146-F146)</f>
        <v/>
      </c>
      <c r="I146" s="46" t="str">
        <f aca="false">IF(B146="","",IF(COUNTIF(Vendas!$C$5:$C$3004,B146)=0,"",_xlfn.MAXIFS(Vendas!$B$5:$B$3004,Vendas!$C$5:$C$3004,B146)))</f>
        <v/>
      </c>
      <c r="J146" s="39" t="str">
        <f aca="false">IF(B146="","",IF(H146&gt;0.005,"Deve",IF(H146&lt;-0.005,"Tem crédito",IF(E146&gt;0,"Em dia","Ainda não comprou"))))</f>
        <v/>
      </c>
    </row>
    <row r="147" customFormat="false" ht="21" hidden="false" customHeight="true" outlineLevel="0" collapsed="false">
      <c r="B147" s="9"/>
      <c r="C147" s="45"/>
      <c r="D147" s="9"/>
      <c r="E147" s="27" t="str">
        <f aca="false">IF(B147="","",SUMIFS(Vendas!$G$5:$G$3004,Vendas!$C$5:$C$3004,B147))</f>
        <v/>
      </c>
      <c r="F147" s="27" t="str">
        <f aca="false">IF(B147="","",SUMIFS(Recebi!$D$5:$D$3004,Recebi!$C$5:$C$3004,B147)+SUMIFS(Vendas!$G$5:$G$3004,Vendas!$C$5:$C$3004,B147,Vendas!$J$5:$J$3004,"Sim"))</f>
        <v/>
      </c>
      <c r="G147" s="27" t="str">
        <f aca="false">IF(B147="","",SUMIFS(Acertos!$D$5:$D$504,Acertos!$C$5:$C$504,B147))</f>
        <v/>
      </c>
      <c r="H147" s="36" t="str">
        <f aca="false">IF(B147="","",E147+G147-F147)</f>
        <v/>
      </c>
      <c r="I147" s="46" t="str">
        <f aca="false">IF(B147="","",IF(COUNTIF(Vendas!$C$5:$C$3004,B147)=0,"",_xlfn.MAXIFS(Vendas!$B$5:$B$3004,Vendas!$C$5:$C$3004,B147)))</f>
        <v/>
      </c>
      <c r="J147" s="39" t="str">
        <f aca="false">IF(B147="","",IF(H147&gt;0.005,"Deve",IF(H147&lt;-0.005,"Tem crédito",IF(E147&gt;0,"Em dia","Ainda não comprou"))))</f>
        <v/>
      </c>
    </row>
    <row r="148" customFormat="false" ht="21" hidden="false" customHeight="true" outlineLevel="0" collapsed="false">
      <c r="B148" s="9"/>
      <c r="C148" s="45"/>
      <c r="D148" s="9"/>
      <c r="E148" s="27" t="str">
        <f aca="false">IF(B148="","",SUMIFS(Vendas!$G$5:$G$3004,Vendas!$C$5:$C$3004,B148))</f>
        <v/>
      </c>
      <c r="F148" s="27" t="str">
        <f aca="false">IF(B148="","",SUMIFS(Recebi!$D$5:$D$3004,Recebi!$C$5:$C$3004,B148)+SUMIFS(Vendas!$G$5:$G$3004,Vendas!$C$5:$C$3004,B148,Vendas!$J$5:$J$3004,"Sim"))</f>
        <v/>
      </c>
      <c r="G148" s="27" t="str">
        <f aca="false">IF(B148="","",SUMIFS(Acertos!$D$5:$D$504,Acertos!$C$5:$C$504,B148))</f>
        <v/>
      </c>
      <c r="H148" s="36" t="str">
        <f aca="false">IF(B148="","",E148+G148-F148)</f>
        <v/>
      </c>
      <c r="I148" s="46" t="str">
        <f aca="false">IF(B148="","",IF(COUNTIF(Vendas!$C$5:$C$3004,B148)=0,"",_xlfn.MAXIFS(Vendas!$B$5:$B$3004,Vendas!$C$5:$C$3004,B148)))</f>
        <v/>
      </c>
      <c r="J148" s="39" t="str">
        <f aca="false">IF(B148="","",IF(H148&gt;0.005,"Deve",IF(H148&lt;-0.005,"Tem crédito",IF(E148&gt;0,"Em dia","Ainda não comprou"))))</f>
        <v/>
      </c>
    </row>
    <row r="149" customFormat="false" ht="21" hidden="false" customHeight="true" outlineLevel="0" collapsed="false">
      <c r="B149" s="9"/>
      <c r="C149" s="45"/>
      <c r="D149" s="9"/>
      <c r="E149" s="27" t="str">
        <f aca="false">IF(B149="","",SUMIFS(Vendas!$G$5:$G$3004,Vendas!$C$5:$C$3004,B149))</f>
        <v/>
      </c>
      <c r="F149" s="27" t="str">
        <f aca="false">IF(B149="","",SUMIFS(Recebi!$D$5:$D$3004,Recebi!$C$5:$C$3004,B149)+SUMIFS(Vendas!$G$5:$G$3004,Vendas!$C$5:$C$3004,B149,Vendas!$J$5:$J$3004,"Sim"))</f>
        <v/>
      </c>
      <c r="G149" s="27" t="str">
        <f aca="false">IF(B149="","",SUMIFS(Acertos!$D$5:$D$504,Acertos!$C$5:$C$504,B149))</f>
        <v/>
      </c>
      <c r="H149" s="36" t="str">
        <f aca="false">IF(B149="","",E149+G149-F149)</f>
        <v/>
      </c>
      <c r="I149" s="46" t="str">
        <f aca="false">IF(B149="","",IF(COUNTIF(Vendas!$C$5:$C$3004,B149)=0,"",_xlfn.MAXIFS(Vendas!$B$5:$B$3004,Vendas!$C$5:$C$3004,B149)))</f>
        <v/>
      </c>
      <c r="J149" s="39" t="str">
        <f aca="false">IF(B149="","",IF(H149&gt;0.005,"Deve",IF(H149&lt;-0.005,"Tem crédito",IF(E149&gt;0,"Em dia","Ainda não comprou"))))</f>
        <v/>
      </c>
    </row>
    <row r="150" customFormat="false" ht="21" hidden="false" customHeight="true" outlineLevel="0" collapsed="false">
      <c r="B150" s="9"/>
      <c r="C150" s="45"/>
      <c r="D150" s="9"/>
      <c r="E150" s="27" t="str">
        <f aca="false">IF(B150="","",SUMIFS(Vendas!$G$5:$G$3004,Vendas!$C$5:$C$3004,B150))</f>
        <v/>
      </c>
      <c r="F150" s="27" t="str">
        <f aca="false">IF(B150="","",SUMIFS(Recebi!$D$5:$D$3004,Recebi!$C$5:$C$3004,B150)+SUMIFS(Vendas!$G$5:$G$3004,Vendas!$C$5:$C$3004,B150,Vendas!$J$5:$J$3004,"Sim"))</f>
        <v/>
      </c>
      <c r="G150" s="27" t="str">
        <f aca="false">IF(B150="","",SUMIFS(Acertos!$D$5:$D$504,Acertos!$C$5:$C$504,B150))</f>
        <v/>
      </c>
      <c r="H150" s="36" t="str">
        <f aca="false">IF(B150="","",E150+G150-F150)</f>
        <v/>
      </c>
      <c r="I150" s="46" t="str">
        <f aca="false">IF(B150="","",IF(COUNTIF(Vendas!$C$5:$C$3004,B150)=0,"",_xlfn.MAXIFS(Vendas!$B$5:$B$3004,Vendas!$C$5:$C$3004,B150)))</f>
        <v/>
      </c>
      <c r="J150" s="39" t="str">
        <f aca="false">IF(B150="","",IF(H150&gt;0.005,"Deve",IF(H150&lt;-0.005,"Tem crédito",IF(E150&gt;0,"Em dia","Ainda não comprou"))))</f>
        <v/>
      </c>
    </row>
    <row r="151" customFormat="false" ht="21" hidden="false" customHeight="true" outlineLevel="0" collapsed="false">
      <c r="B151" s="9"/>
      <c r="C151" s="45"/>
      <c r="D151" s="9"/>
      <c r="E151" s="27" t="str">
        <f aca="false">IF(B151="","",SUMIFS(Vendas!$G$5:$G$3004,Vendas!$C$5:$C$3004,B151))</f>
        <v/>
      </c>
      <c r="F151" s="27" t="str">
        <f aca="false">IF(B151="","",SUMIFS(Recebi!$D$5:$D$3004,Recebi!$C$5:$C$3004,B151)+SUMIFS(Vendas!$G$5:$G$3004,Vendas!$C$5:$C$3004,B151,Vendas!$J$5:$J$3004,"Sim"))</f>
        <v/>
      </c>
      <c r="G151" s="27" t="str">
        <f aca="false">IF(B151="","",SUMIFS(Acertos!$D$5:$D$504,Acertos!$C$5:$C$504,B151))</f>
        <v/>
      </c>
      <c r="H151" s="36" t="str">
        <f aca="false">IF(B151="","",E151+G151-F151)</f>
        <v/>
      </c>
      <c r="I151" s="46" t="str">
        <f aca="false">IF(B151="","",IF(COUNTIF(Vendas!$C$5:$C$3004,B151)=0,"",_xlfn.MAXIFS(Vendas!$B$5:$B$3004,Vendas!$C$5:$C$3004,B151)))</f>
        <v/>
      </c>
      <c r="J151" s="39" t="str">
        <f aca="false">IF(B151="","",IF(H151&gt;0.005,"Deve",IF(H151&lt;-0.005,"Tem crédito",IF(E151&gt;0,"Em dia","Ainda não comprou"))))</f>
        <v/>
      </c>
    </row>
    <row r="152" customFormat="false" ht="21" hidden="false" customHeight="true" outlineLevel="0" collapsed="false">
      <c r="B152" s="9"/>
      <c r="C152" s="45"/>
      <c r="D152" s="9"/>
      <c r="E152" s="27" t="str">
        <f aca="false">IF(B152="","",SUMIFS(Vendas!$G$5:$G$3004,Vendas!$C$5:$C$3004,B152))</f>
        <v/>
      </c>
      <c r="F152" s="27" t="str">
        <f aca="false">IF(B152="","",SUMIFS(Recebi!$D$5:$D$3004,Recebi!$C$5:$C$3004,B152)+SUMIFS(Vendas!$G$5:$G$3004,Vendas!$C$5:$C$3004,B152,Vendas!$J$5:$J$3004,"Sim"))</f>
        <v/>
      </c>
      <c r="G152" s="27" t="str">
        <f aca="false">IF(B152="","",SUMIFS(Acertos!$D$5:$D$504,Acertos!$C$5:$C$504,B152))</f>
        <v/>
      </c>
      <c r="H152" s="36" t="str">
        <f aca="false">IF(B152="","",E152+G152-F152)</f>
        <v/>
      </c>
      <c r="I152" s="46" t="str">
        <f aca="false">IF(B152="","",IF(COUNTIF(Vendas!$C$5:$C$3004,B152)=0,"",_xlfn.MAXIFS(Vendas!$B$5:$B$3004,Vendas!$C$5:$C$3004,B152)))</f>
        <v/>
      </c>
      <c r="J152" s="39" t="str">
        <f aca="false">IF(B152="","",IF(H152&gt;0.005,"Deve",IF(H152&lt;-0.005,"Tem crédito",IF(E152&gt;0,"Em dia","Ainda não comprou"))))</f>
        <v/>
      </c>
    </row>
    <row r="153" customFormat="false" ht="21" hidden="false" customHeight="true" outlineLevel="0" collapsed="false">
      <c r="B153" s="9"/>
      <c r="C153" s="45"/>
      <c r="D153" s="9"/>
      <c r="E153" s="27" t="str">
        <f aca="false">IF(B153="","",SUMIFS(Vendas!$G$5:$G$3004,Vendas!$C$5:$C$3004,B153))</f>
        <v/>
      </c>
      <c r="F153" s="27" t="str">
        <f aca="false">IF(B153="","",SUMIFS(Recebi!$D$5:$D$3004,Recebi!$C$5:$C$3004,B153)+SUMIFS(Vendas!$G$5:$G$3004,Vendas!$C$5:$C$3004,B153,Vendas!$J$5:$J$3004,"Sim"))</f>
        <v/>
      </c>
      <c r="G153" s="27" t="str">
        <f aca="false">IF(B153="","",SUMIFS(Acertos!$D$5:$D$504,Acertos!$C$5:$C$504,B153))</f>
        <v/>
      </c>
      <c r="H153" s="36" t="str">
        <f aca="false">IF(B153="","",E153+G153-F153)</f>
        <v/>
      </c>
      <c r="I153" s="46" t="str">
        <f aca="false">IF(B153="","",IF(COUNTIF(Vendas!$C$5:$C$3004,B153)=0,"",_xlfn.MAXIFS(Vendas!$B$5:$B$3004,Vendas!$C$5:$C$3004,B153)))</f>
        <v/>
      </c>
      <c r="J153" s="39" t="str">
        <f aca="false">IF(B153="","",IF(H153&gt;0.005,"Deve",IF(H153&lt;-0.005,"Tem crédito",IF(E153&gt;0,"Em dia","Ainda não comprou"))))</f>
        <v/>
      </c>
    </row>
    <row r="154" customFormat="false" ht="21" hidden="false" customHeight="true" outlineLevel="0" collapsed="false">
      <c r="B154" s="9"/>
      <c r="C154" s="45"/>
      <c r="D154" s="9"/>
      <c r="E154" s="27" t="str">
        <f aca="false">IF(B154="","",SUMIFS(Vendas!$G$5:$G$3004,Vendas!$C$5:$C$3004,B154))</f>
        <v/>
      </c>
      <c r="F154" s="27" t="str">
        <f aca="false">IF(B154="","",SUMIFS(Recebi!$D$5:$D$3004,Recebi!$C$5:$C$3004,B154)+SUMIFS(Vendas!$G$5:$G$3004,Vendas!$C$5:$C$3004,B154,Vendas!$J$5:$J$3004,"Sim"))</f>
        <v/>
      </c>
      <c r="G154" s="27" t="str">
        <f aca="false">IF(B154="","",SUMIFS(Acertos!$D$5:$D$504,Acertos!$C$5:$C$504,B154))</f>
        <v/>
      </c>
      <c r="H154" s="36" t="str">
        <f aca="false">IF(B154="","",E154+G154-F154)</f>
        <v/>
      </c>
      <c r="I154" s="46" t="str">
        <f aca="false">IF(B154="","",IF(COUNTIF(Vendas!$C$5:$C$3004,B154)=0,"",_xlfn.MAXIFS(Vendas!$B$5:$B$3004,Vendas!$C$5:$C$3004,B154)))</f>
        <v/>
      </c>
      <c r="J154" s="39" t="str">
        <f aca="false">IF(B154="","",IF(H154&gt;0.005,"Deve",IF(H154&lt;-0.005,"Tem crédito",IF(E154&gt;0,"Em dia","Ainda não comprou"))))</f>
        <v/>
      </c>
    </row>
    <row r="155" customFormat="false" ht="21" hidden="false" customHeight="true" outlineLevel="0" collapsed="false">
      <c r="B155" s="9"/>
      <c r="C155" s="45"/>
      <c r="D155" s="9"/>
      <c r="E155" s="27" t="str">
        <f aca="false">IF(B155="","",SUMIFS(Vendas!$G$5:$G$3004,Vendas!$C$5:$C$3004,B155))</f>
        <v/>
      </c>
      <c r="F155" s="27" t="str">
        <f aca="false">IF(B155="","",SUMIFS(Recebi!$D$5:$D$3004,Recebi!$C$5:$C$3004,B155)+SUMIFS(Vendas!$G$5:$G$3004,Vendas!$C$5:$C$3004,B155,Vendas!$J$5:$J$3004,"Sim"))</f>
        <v/>
      </c>
      <c r="G155" s="27" t="str">
        <f aca="false">IF(B155="","",SUMIFS(Acertos!$D$5:$D$504,Acertos!$C$5:$C$504,B155))</f>
        <v/>
      </c>
      <c r="H155" s="36" t="str">
        <f aca="false">IF(B155="","",E155+G155-F155)</f>
        <v/>
      </c>
      <c r="I155" s="46" t="str">
        <f aca="false">IF(B155="","",IF(COUNTIF(Vendas!$C$5:$C$3004,B155)=0,"",_xlfn.MAXIFS(Vendas!$B$5:$B$3004,Vendas!$C$5:$C$3004,B155)))</f>
        <v/>
      </c>
      <c r="J155" s="39" t="str">
        <f aca="false">IF(B155="","",IF(H155&gt;0.005,"Deve",IF(H155&lt;-0.005,"Tem crédito",IF(E155&gt;0,"Em dia","Ainda não comprou"))))</f>
        <v/>
      </c>
    </row>
    <row r="156" customFormat="false" ht="21" hidden="false" customHeight="true" outlineLevel="0" collapsed="false">
      <c r="B156" s="9"/>
      <c r="C156" s="45"/>
      <c r="D156" s="9"/>
      <c r="E156" s="27" t="str">
        <f aca="false">IF(B156="","",SUMIFS(Vendas!$G$5:$G$3004,Vendas!$C$5:$C$3004,B156))</f>
        <v/>
      </c>
      <c r="F156" s="27" t="str">
        <f aca="false">IF(B156="","",SUMIFS(Recebi!$D$5:$D$3004,Recebi!$C$5:$C$3004,B156)+SUMIFS(Vendas!$G$5:$G$3004,Vendas!$C$5:$C$3004,B156,Vendas!$J$5:$J$3004,"Sim"))</f>
        <v/>
      </c>
      <c r="G156" s="27" t="str">
        <f aca="false">IF(B156="","",SUMIFS(Acertos!$D$5:$D$504,Acertos!$C$5:$C$504,B156))</f>
        <v/>
      </c>
      <c r="H156" s="36" t="str">
        <f aca="false">IF(B156="","",E156+G156-F156)</f>
        <v/>
      </c>
      <c r="I156" s="46" t="str">
        <f aca="false">IF(B156="","",IF(COUNTIF(Vendas!$C$5:$C$3004,B156)=0,"",_xlfn.MAXIFS(Vendas!$B$5:$B$3004,Vendas!$C$5:$C$3004,B156)))</f>
        <v/>
      </c>
      <c r="J156" s="39" t="str">
        <f aca="false">IF(B156="","",IF(H156&gt;0.005,"Deve",IF(H156&lt;-0.005,"Tem crédito",IF(E156&gt;0,"Em dia","Ainda não comprou"))))</f>
        <v/>
      </c>
    </row>
    <row r="157" customFormat="false" ht="21" hidden="false" customHeight="true" outlineLevel="0" collapsed="false">
      <c r="B157" s="9"/>
      <c r="C157" s="45"/>
      <c r="D157" s="9"/>
      <c r="E157" s="27" t="str">
        <f aca="false">IF(B157="","",SUMIFS(Vendas!$G$5:$G$3004,Vendas!$C$5:$C$3004,B157))</f>
        <v/>
      </c>
      <c r="F157" s="27" t="str">
        <f aca="false">IF(B157="","",SUMIFS(Recebi!$D$5:$D$3004,Recebi!$C$5:$C$3004,B157)+SUMIFS(Vendas!$G$5:$G$3004,Vendas!$C$5:$C$3004,B157,Vendas!$J$5:$J$3004,"Sim"))</f>
        <v/>
      </c>
      <c r="G157" s="27" t="str">
        <f aca="false">IF(B157="","",SUMIFS(Acertos!$D$5:$D$504,Acertos!$C$5:$C$504,B157))</f>
        <v/>
      </c>
      <c r="H157" s="36" t="str">
        <f aca="false">IF(B157="","",E157+G157-F157)</f>
        <v/>
      </c>
      <c r="I157" s="46" t="str">
        <f aca="false">IF(B157="","",IF(COUNTIF(Vendas!$C$5:$C$3004,B157)=0,"",_xlfn.MAXIFS(Vendas!$B$5:$B$3004,Vendas!$C$5:$C$3004,B157)))</f>
        <v/>
      </c>
      <c r="J157" s="39" t="str">
        <f aca="false">IF(B157="","",IF(H157&gt;0.005,"Deve",IF(H157&lt;-0.005,"Tem crédito",IF(E157&gt;0,"Em dia","Ainda não comprou"))))</f>
        <v/>
      </c>
    </row>
    <row r="158" customFormat="false" ht="21" hidden="false" customHeight="true" outlineLevel="0" collapsed="false">
      <c r="B158" s="9"/>
      <c r="C158" s="45"/>
      <c r="D158" s="9"/>
      <c r="E158" s="27" t="str">
        <f aca="false">IF(B158="","",SUMIFS(Vendas!$G$5:$G$3004,Vendas!$C$5:$C$3004,B158))</f>
        <v/>
      </c>
      <c r="F158" s="27" t="str">
        <f aca="false">IF(B158="","",SUMIFS(Recebi!$D$5:$D$3004,Recebi!$C$5:$C$3004,B158)+SUMIFS(Vendas!$G$5:$G$3004,Vendas!$C$5:$C$3004,B158,Vendas!$J$5:$J$3004,"Sim"))</f>
        <v/>
      </c>
      <c r="G158" s="27" t="str">
        <f aca="false">IF(B158="","",SUMIFS(Acertos!$D$5:$D$504,Acertos!$C$5:$C$504,B158))</f>
        <v/>
      </c>
      <c r="H158" s="36" t="str">
        <f aca="false">IF(B158="","",E158+G158-F158)</f>
        <v/>
      </c>
      <c r="I158" s="46" t="str">
        <f aca="false">IF(B158="","",IF(COUNTIF(Vendas!$C$5:$C$3004,B158)=0,"",_xlfn.MAXIFS(Vendas!$B$5:$B$3004,Vendas!$C$5:$C$3004,B158)))</f>
        <v/>
      </c>
      <c r="J158" s="39" t="str">
        <f aca="false">IF(B158="","",IF(H158&gt;0.005,"Deve",IF(H158&lt;-0.005,"Tem crédito",IF(E158&gt;0,"Em dia","Ainda não comprou"))))</f>
        <v/>
      </c>
    </row>
    <row r="159" customFormat="false" ht="21" hidden="false" customHeight="true" outlineLevel="0" collapsed="false">
      <c r="B159" s="9"/>
      <c r="C159" s="45"/>
      <c r="D159" s="9"/>
      <c r="E159" s="27" t="str">
        <f aca="false">IF(B159="","",SUMIFS(Vendas!$G$5:$G$3004,Vendas!$C$5:$C$3004,B159))</f>
        <v/>
      </c>
      <c r="F159" s="27" t="str">
        <f aca="false">IF(B159="","",SUMIFS(Recebi!$D$5:$D$3004,Recebi!$C$5:$C$3004,B159)+SUMIFS(Vendas!$G$5:$G$3004,Vendas!$C$5:$C$3004,B159,Vendas!$J$5:$J$3004,"Sim"))</f>
        <v/>
      </c>
      <c r="G159" s="27" t="str">
        <f aca="false">IF(B159="","",SUMIFS(Acertos!$D$5:$D$504,Acertos!$C$5:$C$504,B159))</f>
        <v/>
      </c>
      <c r="H159" s="36" t="str">
        <f aca="false">IF(B159="","",E159+G159-F159)</f>
        <v/>
      </c>
      <c r="I159" s="46" t="str">
        <f aca="false">IF(B159="","",IF(COUNTIF(Vendas!$C$5:$C$3004,B159)=0,"",_xlfn.MAXIFS(Vendas!$B$5:$B$3004,Vendas!$C$5:$C$3004,B159)))</f>
        <v/>
      </c>
      <c r="J159" s="39" t="str">
        <f aca="false">IF(B159="","",IF(H159&gt;0.005,"Deve",IF(H159&lt;-0.005,"Tem crédito",IF(E159&gt;0,"Em dia","Ainda não comprou"))))</f>
        <v/>
      </c>
    </row>
    <row r="160" customFormat="false" ht="21" hidden="false" customHeight="true" outlineLevel="0" collapsed="false">
      <c r="B160" s="9"/>
      <c r="C160" s="45"/>
      <c r="D160" s="9"/>
      <c r="E160" s="27" t="str">
        <f aca="false">IF(B160="","",SUMIFS(Vendas!$G$5:$G$3004,Vendas!$C$5:$C$3004,B160))</f>
        <v/>
      </c>
      <c r="F160" s="27" t="str">
        <f aca="false">IF(B160="","",SUMIFS(Recebi!$D$5:$D$3004,Recebi!$C$5:$C$3004,B160)+SUMIFS(Vendas!$G$5:$G$3004,Vendas!$C$5:$C$3004,B160,Vendas!$J$5:$J$3004,"Sim"))</f>
        <v/>
      </c>
      <c r="G160" s="27" t="str">
        <f aca="false">IF(B160="","",SUMIFS(Acertos!$D$5:$D$504,Acertos!$C$5:$C$504,B160))</f>
        <v/>
      </c>
      <c r="H160" s="36" t="str">
        <f aca="false">IF(B160="","",E160+G160-F160)</f>
        <v/>
      </c>
      <c r="I160" s="46" t="str">
        <f aca="false">IF(B160="","",IF(COUNTIF(Vendas!$C$5:$C$3004,B160)=0,"",_xlfn.MAXIFS(Vendas!$B$5:$B$3004,Vendas!$C$5:$C$3004,B160)))</f>
        <v/>
      </c>
      <c r="J160" s="39" t="str">
        <f aca="false">IF(B160="","",IF(H160&gt;0.005,"Deve",IF(H160&lt;-0.005,"Tem crédito",IF(E160&gt;0,"Em dia","Ainda não comprou"))))</f>
        <v/>
      </c>
    </row>
    <row r="161" customFormat="false" ht="21" hidden="false" customHeight="true" outlineLevel="0" collapsed="false">
      <c r="B161" s="9"/>
      <c r="C161" s="45"/>
      <c r="D161" s="9"/>
      <c r="E161" s="27" t="str">
        <f aca="false">IF(B161="","",SUMIFS(Vendas!$G$5:$G$3004,Vendas!$C$5:$C$3004,B161))</f>
        <v/>
      </c>
      <c r="F161" s="27" t="str">
        <f aca="false">IF(B161="","",SUMIFS(Recebi!$D$5:$D$3004,Recebi!$C$5:$C$3004,B161)+SUMIFS(Vendas!$G$5:$G$3004,Vendas!$C$5:$C$3004,B161,Vendas!$J$5:$J$3004,"Sim"))</f>
        <v/>
      </c>
      <c r="G161" s="27" t="str">
        <f aca="false">IF(B161="","",SUMIFS(Acertos!$D$5:$D$504,Acertos!$C$5:$C$504,B161))</f>
        <v/>
      </c>
      <c r="H161" s="36" t="str">
        <f aca="false">IF(B161="","",E161+G161-F161)</f>
        <v/>
      </c>
      <c r="I161" s="46" t="str">
        <f aca="false">IF(B161="","",IF(COUNTIF(Vendas!$C$5:$C$3004,B161)=0,"",_xlfn.MAXIFS(Vendas!$B$5:$B$3004,Vendas!$C$5:$C$3004,B161)))</f>
        <v/>
      </c>
      <c r="J161" s="39" t="str">
        <f aca="false">IF(B161="","",IF(H161&gt;0.005,"Deve",IF(H161&lt;-0.005,"Tem crédito",IF(E161&gt;0,"Em dia","Ainda não comprou"))))</f>
        <v/>
      </c>
    </row>
    <row r="162" customFormat="false" ht="21" hidden="false" customHeight="true" outlineLevel="0" collapsed="false">
      <c r="B162" s="9"/>
      <c r="C162" s="45"/>
      <c r="D162" s="9"/>
      <c r="E162" s="27" t="str">
        <f aca="false">IF(B162="","",SUMIFS(Vendas!$G$5:$G$3004,Vendas!$C$5:$C$3004,B162))</f>
        <v/>
      </c>
      <c r="F162" s="27" t="str">
        <f aca="false">IF(B162="","",SUMIFS(Recebi!$D$5:$D$3004,Recebi!$C$5:$C$3004,B162)+SUMIFS(Vendas!$G$5:$G$3004,Vendas!$C$5:$C$3004,B162,Vendas!$J$5:$J$3004,"Sim"))</f>
        <v/>
      </c>
      <c r="G162" s="27" t="str">
        <f aca="false">IF(B162="","",SUMIFS(Acertos!$D$5:$D$504,Acertos!$C$5:$C$504,B162))</f>
        <v/>
      </c>
      <c r="H162" s="36" t="str">
        <f aca="false">IF(B162="","",E162+G162-F162)</f>
        <v/>
      </c>
      <c r="I162" s="46" t="str">
        <f aca="false">IF(B162="","",IF(COUNTIF(Vendas!$C$5:$C$3004,B162)=0,"",_xlfn.MAXIFS(Vendas!$B$5:$B$3004,Vendas!$C$5:$C$3004,B162)))</f>
        <v/>
      </c>
      <c r="J162" s="39" t="str">
        <f aca="false">IF(B162="","",IF(H162&gt;0.005,"Deve",IF(H162&lt;-0.005,"Tem crédito",IF(E162&gt;0,"Em dia","Ainda não comprou"))))</f>
        <v/>
      </c>
    </row>
    <row r="163" customFormat="false" ht="21" hidden="false" customHeight="true" outlineLevel="0" collapsed="false">
      <c r="B163" s="9"/>
      <c r="C163" s="45"/>
      <c r="D163" s="9"/>
      <c r="E163" s="27" t="str">
        <f aca="false">IF(B163="","",SUMIFS(Vendas!$G$5:$G$3004,Vendas!$C$5:$C$3004,B163))</f>
        <v/>
      </c>
      <c r="F163" s="27" t="str">
        <f aca="false">IF(B163="","",SUMIFS(Recebi!$D$5:$D$3004,Recebi!$C$5:$C$3004,B163)+SUMIFS(Vendas!$G$5:$G$3004,Vendas!$C$5:$C$3004,B163,Vendas!$J$5:$J$3004,"Sim"))</f>
        <v/>
      </c>
      <c r="G163" s="27" t="str">
        <f aca="false">IF(B163="","",SUMIFS(Acertos!$D$5:$D$504,Acertos!$C$5:$C$504,B163))</f>
        <v/>
      </c>
      <c r="H163" s="36" t="str">
        <f aca="false">IF(B163="","",E163+G163-F163)</f>
        <v/>
      </c>
      <c r="I163" s="46" t="str">
        <f aca="false">IF(B163="","",IF(COUNTIF(Vendas!$C$5:$C$3004,B163)=0,"",_xlfn.MAXIFS(Vendas!$B$5:$B$3004,Vendas!$C$5:$C$3004,B163)))</f>
        <v/>
      </c>
      <c r="J163" s="39" t="str">
        <f aca="false">IF(B163="","",IF(H163&gt;0.005,"Deve",IF(H163&lt;-0.005,"Tem crédito",IF(E163&gt;0,"Em dia","Ainda não comprou"))))</f>
        <v/>
      </c>
    </row>
    <row r="164" customFormat="false" ht="21" hidden="false" customHeight="true" outlineLevel="0" collapsed="false">
      <c r="B164" s="9"/>
      <c r="C164" s="45"/>
      <c r="D164" s="9"/>
      <c r="E164" s="27" t="str">
        <f aca="false">IF(B164="","",SUMIFS(Vendas!$G$5:$G$3004,Vendas!$C$5:$C$3004,B164))</f>
        <v/>
      </c>
      <c r="F164" s="27" t="str">
        <f aca="false">IF(B164="","",SUMIFS(Recebi!$D$5:$D$3004,Recebi!$C$5:$C$3004,B164)+SUMIFS(Vendas!$G$5:$G$3004,Vendas!$C$5:$C$3004,B164,Vendas!$J$5:$J$3004,"Sim"))</f>
        <v/>
      </c>
      <c r="G164" s="27" t="str">
        <f aca="false">IF(B164="","",SUMIFS(Acertos!$D$5:$D$504,Acertos!$C$5:$C$504,B164))</f>
        <v/>
      </c>
      <c r="H164" s="36" t="str">
        <f aca="false">IF(B164="","",E164+G164-F164)</f>
        <v/>
      </c>
      <c r="I164" s="46" t="str">
        <f aca="false">IF(B164="","",IF(COUNTIF(Vendas!$C$5:$C$3004,B164)=0,"",_xlfn.MAXIFS(Vendas!$B$5:$B$3004,Vendas!$C$5:$C$3004,B164)))</f>
        <v/>
      </c>
      <c r="J164" s="39" t="str">
        <f aca="false">IF(B164="","",IF(H164&gt;0.005,"Deve",IF(H164&lt;-0.005,"Tem crédito",IF(E164&gt;0,"Em dia","Ainda não comprou"))))</f>
        <v/>
      </c>
    </row>
    <row r="165" customFormat="false" ht="21" hidden="false" customHeight="true" outlineLevel="0" collapsed="false">
      <c r="B165" s="9"/>
      <c r="C165" s="45"/>
      <c r="D165" s="9"/>
      <c r="E165" s="27" t="str">
        <f aca="false">IF(B165="","",SUMIFS(Vendas!$G$5:$G$3004,Vendas!$C$5:$C$3004,B165))</f>
        <v/>
      </c>
      <c r="F165" s="27" t="str">
        <f aca="false">IF(B165="","",SUMIFS(Recebi!$D$5:$D$3004,Recebi!$C$5:$C$3004,B165)+SUMIFS(Vendas!$G$5:$G$3004,Vendas!$C$5:$C$3004,B165,Vendas!$J$5:$J$3004,"Sim"))</f>
        <v/>
      </c>
      <c r="G165" s="27" t="str">
        <f aca="false">IF(B165="","",SUMIFS(Acertos!$D$5:$D$504,Acertos!$C$5:$C$504,B165))</f>
        <v/>
      </c>
      <c r="H165" s="36" t="str">
        <f aca="false">IF(B165="","",E165+G165-F165)</f>
        <v/>
      </c>
      <c r="I165" s="46" t="str">
        <f aca="false">IF(B165="","",IF(COUNTIF(Vendas!$C$5:$C$3004,B165)=0,"",_xlfn.MAXIFS(Vendas!$B$5:$B$3004,Vendas!$C$5:$C$3004,B165)))</f>
        <v/>
      </c>
      <c r="J165" s="39" t="str">
        <f aca="false">IF(B165="","",IF(H165&gt;0.005,"Deve",IF(H165&lt;-0.005,"Tem crédito",IF(E165&gt;0,"Em dia","Ainda não comprou"))))</f>
        <v/>
      </c>
    </row>
    <row r="166" customFormat="false" ht="21" hidden="false" customHeight="true" outlineLevel="0" collapsed="false">
      <c r="B166" s="9"/>
      <c r="C166" s="45"/>
      <c r="D166" s="9"/>
      <c r="E166" s="27" t="str">
        <f aca="false">IF(B166="","",SUMIFS(Vendas!$G$5:$G$3004,Vendas!$C$5:$C$3004,B166))</f>
        <v/>
      </c>
      <c r="F166" s="27" t="str">
        <f aca="false">IF(B166="","",SUMIFS(Recebi!$D$5:$D$3004,Recebi!$C$5:$C$3004,B166)+SUMIFS(Vendas!$G$5:$G$3004,Vendas!$C$5:$C$3004,B166,Vendas!$J$5:$J$3004,"Sim"))</f>
        <v/>
      </c>
      <c r="G166" s="27" t="str">
        <f aca="false">IF(B166="","",SUMIFS(Acertos!$D$5:$D$504,Acertos!$C$5:$C$504,B166))</f>
        <v/>
      </c>
      <c r="H166" s="36" t="str">
        <f aca="false">IF(B166="","",E166+G166-F166)</f>
        <v/>
      </c>
      <c r="I166" s="46" t="str">
        <f aca="false">IF(B166="","",IF(COUNTIF(Vendas!$C$5:$C$3004,B166)=0,"",_xlfn.MAXIFS(Vendas!$B$5:$B$3004,Vendas!$C$5:$C$3004,B166)))</f>
        <v/>
      </c>
      <c r="J166" s="39" t="str">
        <f aca="false">IF(B166="","",IF(H166&gt;0.005,"Deve",IF(H166&lt;-0.005,"Tem crédito",IF(E166&gt;0,"Em dia","Ainda não comprou"))))</f>
        <v/>
      </c>
    </row>
    <row r="167" customFormat="false" ht="21" hidden="false" customHeight="true" outlineLevel="0" collapsed="false">
      <c r="B167" s="9"/>
      <c r="C167" s="45"/>
      <c r="D167" s="9"/>
      <c r="E167" s="27" t="str">
        <f aca="false">IF(B167="","",SUMIFS(Vendas!$G$5:$G$3004,Vendas!$C$5:$C$3004,B167))</f>
        <v/>
      </c>
      <c r="F167" s="27" t="str">
        <f aca="false">IF(B167="","",SUMIFS(Recebi!$D$5:$D$3004,Recebi!$C$5:$C$3004,B167)+SUMIFS(Vendas!$G$5:$G$3004,Vendas!$C$5:$C$3004,B167,Vendas!$J$5:$J$3004,"Sim"))</f>
        <v/>
      </c>
      <c r="G167" s="27" t="str">
        <f aca="false">IF(B167="","",SUMIFS(Acertos!$D$5:$D$504,Acertos!$C$5:$C$504,B167))</f>
        <v/>
      </c>
      <c r="H167" s="36" t="str">
        <f aca="false">IF(B167="","",E167+G167-F167)</f>
        <v/>
      </c>
      <c r="I167" s="46" t="str">
        <f aca="false">IF(B167="","",IF(COUNTIF(Vendas!$C$5:$C$3004,B167)=0,"",_xlfn.MAXIFS(Vendas!$B$5:$B$3004,Vendas!$C$5:$C$3004,B167)))</f>
        <v/>
      </c>
      <c r="J167" s="39" t="str">
        <f aca="false">IF(B167="","",IF(H167&gt;0.005,"Deve",IF(H167&lt;-0.005,"Tem crédito",IF(E167&gt;0,"Em dia","Ainda não comprou"))))</f>
        <v/>
      </c>
    </row>
    <row r="168" customFormat="false" ht="21" hidden="false" customHeight="true" outlineLevel="0" collapsed="false">
      <c r="B168" s="9"/>
      <c r="C168" s="45"/>
      <c r="D168" s="9"/>
      <c r="E168" s="27" t="str">
        <f aca="false">IF(B168="","",SUMIFS(Vendas!$G$5:$G$3004,Vendas!$C$5:$C$3004,B168))</f>
        <v/>
      </c>
      <c r="F168" s="27" t="str">
        <f aca="false">IF(B168="","",SUMIFS(Recebi!$D$5:$D$3004,Recebi!$C$5:$C$3004,B168)+SUMIFS(Vendas!$G$5:$G$3004,Vendas!$C$5:$C$3004,B168,Vendas!$J$5:$J$3004,"Sim"))</f>
        <v/>
      </c>
      <c r="G168" s="27" t="str">
        <f aca="false">IF(B168="","",SUMIFS(Acertos!$D$5:$D$504,Acertos!$C$5:$C$504,B168))</f>
        <v/>
      </c>
      <c r="H168" s="36" t="str">
        <f aca="false">IF(B168="","",E168+G168-F168)</f>
        <v/>
      </c>
      <c r="I168" s="46" t="str">
        <f aca="false">IF(B168="","",IF(COUNTIF(Vendas!$C$5:$C$3004,B168)=0,"",_xlfn.MAXIFS(Vendas!$B$5:$B$3004,Vendas!$C$5:$C$3004,B168)))</f>
        <v/>
      </c>
      <c r="J168" s="39" t="str">
        <f aca="false">IF(B168="","",IF(H168&gt;0.005,"Deve",IF(H168&lt;-0.005,"Tem crédito",IF(E168&gt;0,"Em dia","Ainda não comprou"))))</f>
        <v/>
      </c>
    </row>
    <row r="169" customFormat="false" ht="21" hidden="false" customHeight="true" outlineLevel="0" collapsed="false">
      <c r="B169" s="9"/>
      <c r="C169" s="45"/>
      <c r="D169" s="9"/>
      <c r="E169" s="27" t="str">
        <f aca="false">IF(B169="","",SUMIFS(Vendas!$G$5:$G$3004,Vendas!$C$5:$C$3004,B169))</f>
        <v/>
      </c>
      <c r="F169" s="27" t="str">
        <f aca="false">IF(B169="","",SUMIFS(Recebi!$D$5:$D$3004,Recebi!$C$5:$C$3004,B169)+SUMIFS(Vendas!$G$5:$G$3004,Vendas!$C$5:$C$3004,B169,Vendas!$J$5:$J$3004,"Sim"))</f>
        <v/>
      </c>
      <c r="G169" s="27" t="str">
        <f aca="false">IF(B169="","",SUMIFS(Acertos!$D$5:$D$504,Acertos!$C$5:$C$504,B169))</f>
        <v/>
      </c>
      <c r="H169" s="36" t="str">
        <f aca="false">IF(B169="","",E169+G169-F169)</f>
        <v/>
      </c>
      <c r="I169" s="46" t="str">
        <f aca="false">IF(B169="","",IF(COUNTIF(Vendas!$C$5:$C$3004,B169)=0,"",_xlfn.MAXIFS(Vendas!$B$5:$B$3004,Vendas!$C$5:$C$3004,B169)))</f>
        <v/>
      </c>
      <c r="J169" s="39" t="str">
        <f aca="false">IF(B169="","",IF(H169&gt;0.005,"Deve",IF(H169&lt;-0.005,"Tem crédito",IF(E169&gt;0,"Em dia","Ainda não comprou"))))</f>
        <v/>
      </c>
    </row>
    <row r="170" customFormat="false" ht="21" hidden="false" customHeight="true" outlineLevel="0" collapsed="false">
      <c r="B170" s="9"/>
      <c r="C170" s="45"/>
      <c r="D170" s="9"/>
      <c r="E170" s="27" t="str">
        <f aca="false">IF(B170="","",SUMIFS(Vendas!$G$5:$G$3004,Vendas!$C$5:$C$3004,B170))</f>
        <v/>
      </c>
      <c r="F170" s="27" t="str">
        <f aca="false">IF(B170="","",SUMIFS(Recebi!$D$5:$D$3004,Recebi!$C$5:$C$3004,B170)+SUMIFS(Vendas!$G$5:$G$3004,Vendas!$C$5:$C$3004,B170,Vendas!$J$5:$J$3004,"Sim"))</f>
        <v/>
      </c>
      <c r="G170" s="27" t="str">
        <f aca="false">IF(B170="","",SUMIFS(Acertos!$D$5:$D$504,Acertos!$C$5:$C$504,B170))</f>
        <v/>
      </c>
      <c r="H170" s="36" t="str">
        <f aca="false">IF(B170="","",E170+G170-F170)</f>
        <v/>
      </c>
      <c r="I170" s="46" t="str">
        <f aca="false">IF(B170="","",IF(COUNTIF(Vendas!$C$5:$C$3004,B170)=0,"",_xlfn.MAXIFS(Vendas!$B$5:$B$3004,Vendas!$C$5:$C$3004,B170)))</f>
        <v/>
      </c>
      <c r="J170" s="39" t="str">
        <f aca="false">IF(B170="","",IF(H170&gt;0.005,"Deve",IF(H170&lt;-0.005,"Tem crédito",IF(E170&gt;0,"Em dia","Ainda não comprou"))))</f>
        <v/>
      </c>
    </row>
    <row r="171" customFormat="false" ht="21" hidden="false" customHeight="true" outlineLevel="0" collapsed="false">
      <c r="B171" s="9"/>
      <c r="C171" s="45"/>
      <c r="D171" s="9"/>
      <c r="E171" s="27" t="str">
        <f aca="false">IF(B171="","",SUMIFS(Vendas!$G$5:$G$3004,Vendas!$C$5:$C$3004,B171))</f>
        <v/>
      </c>
      <c r="F171" s="27" t="str">
        <f aca="false">IF(B171="","",SUMIFS(Recebi!$D$5:$D$3004,Recebi!$C$5:$C$3004,B171)+SUMIFS(Vendas!$G$5:$G$3004,Vendas!$C$5:$C$3004,B171,Vendas!$J$5:$J$3004,"Sim"))</f>
        <v/>
      </c>
      <c r="G171" s="27" t="str">
        <f aca="false">IF(B171="","",SUMIFS(Acertos!$D$5:$D$504,Acertos!$C$5:$C$504,B171))</f>
        <v/>
      </c>
      <c r="H171" s="36" t="str">
        <f aca="false">IF(B171="","",E171+G171-F171)</f>
        <v/>
      </c>
      <c r="I171" s="46" t="str">
        <f aca="false">IF(B171="","",IF(COUNTIF(Vendas!$C$5:$C$3004,B171)=0,"",_xlfn.MAXIFS(Vendas!$B$5:$B$3004,Vendas!$C$5:$C$3004,B171)))</f>
        <v/>
      </c>
      <c r="J171" s="39" t="str">
        <f aca="false">IF(B171="","",IF(H171&gt;0.005,"Deve",IF(H171&lt;-0.005,"Tem crédito",IF(E171&gt;0,"Em dia","Ainda não comprou"))))</f>
        <v/>
      </c>
    </row>
    <row r="172" customFormat="false" ht="21" hidden="false" customHeight="true" outlineLevel="0" collapsed="false">
      <c r="B172" s="9"/>
      <c r="C172" s="45"/>
      <c r="D172" s="9"/>
      <c r="E172" s="27" t="str">
        <f aca="false">IF(B172="","",SUMIFS(Vendas!$G$5:$G$3004,Vendas!$C$5:$C$3004,B172))</f>
        <v/>
      </c>
      <c r="F172" s="27" t="str">
        <f aca="false">IF(B172="","",SUMIFS(Recebi!$D$5:$D$3004,Recebi!$C$5:$C$3004,B172)+SUMIFS(Vendas!$G$5:$G$3004,Vendas!$C$5:$C$3004,B172,Vendas!$J$5:$J$3004,"Sim"))</f>
        <v/>
      </c>
      <c r="G172" s="27" t="str">
        <f aca="false">IF(B172="","",SUMIFS(Acertos!$D$5:$D$504,Acertos!$C$5:$C$504,B172))</f>
        <v/>
      </c>
      <c r="H172" s="36" t="str">
        <f aca="false">IF(B172="","",E172+G172-F172)</f>
        <v/>
      </c>
      <c r="I172" s="46" t="str">
        <f aca="false">IF(B172="","",IF(COUNTIF(Vendas!$C$5:$C$3004,B172)=0,"",_xlfn.MAXIFS(Vendas!$B$5:$B$3004,Vendas!$C$5:$C$3004,B172)))</f>
        <v/>
      </c>
      <c r="J172" s="39" t="str">
        <f aca="false">IF(B172="","",IF(H172&gt;0.005,"Deve",IF(H172&lt;-0.005,"Tem crédito",IF(E172&gt;0,"Em dia","Ainda não comprou"))))</f>
        <v/>
      </c>
    </row>
    <row r="173" customFormat="false" ht="21" hidden="false" customHeight="true" outlineLevel="0" collapsed="false">
      <c r="B173" s="9"/>
      <c r="C173" s="45"/>
      <c r="D173" s="9"/>
      <c r="E173" s="27" t="str">
        <f aca="false">IF(B173="","",SUMIFS(Vendas!$G$5:$G$3004,Vendas!$C$5:$C$3004,B173))</f>
        <v/>
      </c>
      <c r="F173" s="27" t="str">
        <f aca="false">IF(B173="","",SUMIFS(Recebi!$D$5:$D$3004,Recebi!$C$5:$C$3004,B173)+SUMIFS(Vendas!$G$5:$G$3004,Vendas!$C$5:$C$3004,B173,Vendas!$J$5:$J$3004,"Sim"))</f>
        <v/>
      </c>
      <c r="G173" s="27" t="str">
        <f aca="false">IF(B173="","",SUMIFS(Acertos!$D$5:$D$504,Acertos!$C$5:$C$504,B173))</f>
        <v/>
      </c>
      <c r="H173" s="36" t="str">
        <f aca="false">IF(B173="","",E173+G173-F173)</f>
        <v/>
      </c>
      <c r="I173" s="46" t="str">
        <f aca="false">IF(B173="","",IF(COUNTIF(Vendas!$C$5:$C$3004,B173)=0,"",_xlfn.MAXIFS(Vendas!$B$5:$B$3004,Vendas!$C$5:$C$3004,B173)))</f>
        <v/>
      </c>
      <c r="J173" s="39" t="str">
        <f aca="false">IF(B173="","",IF(H173&gt;0.005,"Deve",IF(H173&lt;-0.005,"Tem crédito",IF(E173&gt;0,"Em dia","Ainda não comprou"))))</f>
        <v/>
      </c>
    </row>
    <row r="174" customFormat="false" ht="21" hidden="false" customHeight="true" outlineLevel="0" collapsed="false">
      <c r="B174" s="9"/>
      <c r="C174" s="45"/>
      <c r="D174" s="9"/>
      <c r="E174" s="27" t="str">
        <f aca="false">IF(B174="","",SUMIFS(Vendas!$G$5:$G$3004,Vendas!$C$5:$C$3004,B174))</f>
        <v/>
      </c>
      <c r="F174" s="27" t="str">
        <f aca="false">IF(B174="","",SUMIFS(Recebi!$D$5:$D$3004,Recebi!$C$5:$C$3004,B174)+SUMIFS(Vendas!$G$5:$G$3004,Vendas!$C$5:$C$3004,B174,Vendas!$J$5:$J$3004,"Sim"))</f>
        <v/>
      </c>
      <c r="G174" s="27" t="str">
        <f aca="false">IF(B174="","",SUMIFS(Acertos!$D$5:$D$504,Acertos!$C$5:$C$504,B174))</f>
        <v/>
      </c>
      <c r="H174" s="36" t="str">
        <f aca="false">IF(B174="","",E174+G174-F174)</f>
        <v/>
      </c>
      <c r="I174" s="46" t="str">
        <f aca="false">IF(B174="","",IF(COUNTIF(Vendas!$C$5:$C$3004,B174)=0,"",_xlfn.MAXIFS(Vendas!$B$5:$B$3004,Vendas!$C$5:$C$3004,B174)))</f>
        <v/>
      </c>
      <c r="J174" s="39" t="str">
        <f aca="false">IF(B174="","",IF(H174&gt;0.005,"Deve",IF(H174&lt;-0.005,"Tem crédito",IF(E174&gt;0,"Em dia","Ainda não comprou"))))</f>
        <v/>
      </c>
    </row>
    <row r="175" customFormat="false" ht="21" hidden="false" customHeight="true" outlineLevel="0" collapsed="false">
      <c r="B175" s="9"/>
      <c r="C175" s="45"/>
      <c r="D175" s="9"/>
      <c r="E175" s="27" t="str">
        <f aca="false">IF(B175="","",SUMIFS(Vendas!$G$5:$G$3004,Vendas!$C$5:$C$3004,B175))</f>
        <v/>
      </c>
      <c r="F175" s="27" t="str">
        <f aca="false">IF(B175="","",SUMIFS(Recebi!$D$5:$D$3004,Recebi!$C$5:$C$3004,B175)+SUMIFS(Vendas!$G$5:$G$3004,Vendas!$C$5:$C$3004,B175,Vendas!$J$5:$J$3004,"Sim"))</f>
        <v/>
      </c>
      <c r="G175" s="27" t="str">
        <f aca="false">IF(B175="","",SUMIFS(Acertos!$D$5:$D$504,Acertos!$C$5:$C$504,B175))</f>
        <v/>
      </c>
      <c r="H175" s="36" t="str">
        <f aca="false">IF(B175="","",E175+G175-F175)</f>
        <v/>
      </c>
      <c r="I175" s="46" t="str">
        <f aca="false">IF(B175="","",IF(COUNTIF(Vendas!$C$5:$C$3004,B175)=0,"",_xlfn.MAXIFS(Vendas!$B$5:$B$3004,Vendas!$C$5:$C$3004,B175)))</f>
        <v/>
      </c>
      <c r="J175" s="39" t="str">
        <f aca="false">IF(B175="","",IF(H175&gt;0.005,"Deve",IF(H175&lt;-0.005,"Tem crédito",IF(E175&gt;0,"Em dia","Ainda não comprou"))))</f>
        <v/>
      </c>
    </row>
    <row r="176" customFormat="false" ht="21" hidden="false" customHeight="true" outlineLevel="0" collapsed="false">
      <c r="B176" s="9"/>
      <c r="C176" s="45"/>
      <c r="D176" s="9"/>
      <c r="E176" s="27" t="str">
        <f aca="false">IF(B176="","",SUMIFS(Vendas!$G$5:$G$3004,Vendas!$C$5:$C$3004,B176))</f>
        <v/>
      </c>
      <c r="F176" s="27" t="str">
        <f aca="false">IF(B176="","",SUMIFS(Recebi!$D$5:$D$3004,Recebi!$C$5:$C$3004,B176)+SUMIFS(Vendas!$G$5:$G$3004,Vendas!$C$5:$C$3004,B176,Vendas!$J$5:$J$3004,"Sim"))</f>
        <v/>
      </c>
      <c r="G176" s="27" t="str">
        <f aca="false">IF(B176="","",SUMIFS(Acertos!$D$5:$D$504,Acertos!$C$5:$C$504,B176))</f>
        <v/>
      </c>
      <c r="H176" s="36" t="str">
        <f aca="false">IF(B176="","",E176+G176-F176)</f>
        <v/>
      </c>
      <c r="I176" s="46" t="str">
        <f aca="false">IF(B176="","",IF(COUNTIF(Vendas!$C$5:$C$3004,B176)=0,"",_xlfn.MAXIFS(Vendas!$B$5:$B$3004,Vendas!$C$5:$C$3004,B176)))</f>
        <v/>
      </c>
      <c r="J176" s="39" t="str">
        <f aca="false">IF(B176="","",IF(H176&gt;0.005,"Deve",IF(H176&lt;-0.005,"Tem crédito",IF(E176&gt;0,"Em dia","Ainda não comprou"))))</f>
        <v/>
      </c>
    </row>
    <row r="177" customFormat="false" ht="21" hidden="false" customHeight="true" outlineLevel="0" collapsed="false">
      <c r="B177" s="9"/>
      <c r="C177" s="45"/>
      <c r="D177" s="9"/>
      <c r="E177" s="27" t="str">
        <f aca="false">IF(B177="","",SUMIFS(Vendas!$G$5:$G$3004,Vendas!$C$5:$C$3004,B177))</f>
        <v/>
      </c>
      <c r="F177" s="27" t="str">
        <f aca="false">IF(B177="","",SUMIFS(Recebi!$D$5:$D$3004,Recebi!$C$5:$C$3004,B177)+SUMIFS(Vendas!$G$5:$G$3004,Vendas!$C$5:$C$3004,B177,Vendas!$J$5:$J$3004,"Sim"))</f>
        <v/>
      </c>
      <c r="G177" s="27" t="str">
        <f aca="false">IF(B177="","",SUMIFS(Acertos!$D$5:$D$504,Acertos!$C$5:$C$504,B177))</f>
        <v/>
      </c>
      <c r="H177" s="36" t="str">
        <f aca="false">IF(B177="","",E177+G177-F177)</f>
        <v/>
      </c>
      <c r="I177" s="46" t="str">
        <f aca="false">IF(B177="","",IF(COUNTIF(Vendas!$C$5:$C$3004,B177)=0,"",_xlfn.MAXIFS(Vendas!$B$5:$B$3004,Vendas!$C$5:$C$3004,B177)))</f>
        <v/>
      </c>
      <c r="J177" s="39" t="str">
        <f aca="false">IF(B177="","",IF(H177&gt;0.005,"Deve",IF(H177&lt;-0.005,"Tem crédito",IF(E177&gt;0,"Em dia","Ainda não comprou"))))</f>
        <v/>
      </c>
    </row>
    <row r="178" customFormat="false" ht="21" hidden="false" customHeight="true" outlineLevel="0" collapsed="false">
      <c r="B178" s="9"/>
      <c r="C178" s="45"/>
      <c r="D178" s="9"/>
      <c r="E178" s="27" t="str">
        <f aca="false">IF(B178="","",SUMIFS(Vendas!$G$5:$G$3004,Vendas!$C$5:$C$3004,B178))</f>
        <v/>
      </c>
      <c r="F178" s="27" t="str">
        <f aca="false">IF(B178="","",SUMIFS(Recebi!$D$5:$D$3004,Recebi!$C$5:$C$3004,B178)+SUMIFS(Vendas!$G$5:$G$3004,Vendas!$C$5:$C$3004,B178,Vendas!$J$5:$J$3004,"Sim"))</f>
        <v/>
      </c>
      <c r="G178" s="27" t="str">
        <f aca="false">IF(B178="","",SUMIFS(Acertos!$D$5:$D$504,Acertos!$C$5:$C$504,B178))</f>
        <v/>
      </c>
      <c r="H178" s="36" t="str">
        <f aca="false">IF(B178="","",E178+G178-F178)</f>
        <v/>
      </c>
      <c r="I178" s="46" t="str">
        <f aca="false">IF(B178="","",IF(COUNTIF(Vendas!$C$5:$C$3004,B178)=0,"",_xlfn.MAXIFS(Vendas!$B$5:$B$3004,Vendas!$C$5:$C$3004,B178)))</f>
        <v/>
      </c>
      <c r="J178" s="39" t="str">
        <f aca="false">IF(B178="","",IF(H178&gt;0.005,"Deve",IF(H178&lt;-0.005,"Tem crédito",IF(E178&gt;0,"Em dia","Ainda não comprou"))))</f>
        <v/>
      </c>
    </row>
    <row r="179" customFormat="false" ht="21" hidden="false" customHeight="true" outlineLevel="0" collapsed="false">
      <c r="B179" s="9"/>
      <c r="C179" s="45"/>
      <c r="D179" s="9"/>
      <c r="E179" s="27" t="str">
        <f aca="false">IF(B179="","",SUMIFS(Vendas!$G$5:$G$3004,Vendas!$C$5:$C$3004,B179))</f>
        <v/>
      </c>
      <c r="F179" s="27" t="str">
        <f aca="false">IF(B179="","",SUMIFS(Recebi!$D$5:$D$3004,Recebi!$C$5:$C$3004,B179)+SUMIFS(Vendas!$G$5:$G$3004,Vendas!$C$5:$C$3004,B179,Vendas!$J$5:$J$3004,"Sim"))</f>
        <v/>
      </c>
      <c r="G179" s="27" t="str">
        <f aca="false">IF(B179="","",SUMIFS(Acertos!$D$5:$D$504,Acertos!$C$5:$C$504,B179))</f>
        <v/>
      </c>
      <c r="H179" s="36" t="str">
        <f aca="false">IF(B179="","",E179+G179-F179)</f>
        <v/>
      </c>
      <c r="I179" s="46" t="str">
        <f aca="false">IF(B179="","",IF(COUNTIF(Vendas!$C$5:$C$3004,B179)=0,"",_xlfn.MAXIFS(Vendas!$B$5:$B$3004,Vendas!$C$5:$C$3004,B179)))</f>
        <v/>
      </c>
      <c r="J179" s="39" t="str">
        <f aca="false">IF(B179="","",IF(H179&gt;0.005,"Deve",IF(H179&lt;-0.005,"Tem crédito",IF(E179&gt;0,"Em dia","Ainda não comprou"))))</f>
        <v/>
      </c>
    </row>
    <row r="180" customFormat="false" ht="21" hidden="false" customHeight="true" outlineLevel="0" collapsed="false">
      <c r="B180" s="9"/>
      <c r="C180" s="45"/>
      <c r="D180" s="9"/>
      <c r="E180" s="27" t="str">
        <f aca="false">IF(B180="","",SUMIFS(Vendas!$G$5:$G$3004,Vendas!$C$5:$C$3004,B180))</f>
        <v/>
      </c>
      <c r="F180" s="27" t="str">
        <f aca="false">IF(B180="","",SUMIFS(Recebi!$D$5:$D$3004,Recebi!$C$5:$C$3004,B180)+SUMIFS(Vendas!$G$5:$G$3004,Vendas!$C$5:$C$3004,B180,Vendas!$J$5:$J$3004,"Sim"))</f>
        <v/>
      </c>
      <c r="G180" s="27" t="str">
        <f aca="false">IF(B180="","",SUMIFS(Acertos!$D$5:$D$504,Acertos!$C$5:$C$504,B180))</f>
        <v/>
      </c>
      <c r="H180" s="36" t="str">
        <f aca="false">IF(B180="","",E180+G180-F180)</f>
        <v/>
      </c>
      <c r="I180" s="46" t="str">
        <f aca="false">IF(B180="","",IF(COUNTIF(Vendas!$C$5:$C$3004,B180)=0,"",_xlfn.MAXIFS(Vendas!$B$5:$B$3004,Vendas!$C$5:$C$3004,B180)))</f>
        <v/>
      </c>
      <c r="J180" s="39" t="str">
        <f aca="false">IF(B180="","",IF(H180&gt;0.005,"Deve",IF(H180&lt;-0.005,"Tem crédito",IF(E180&gt;0,"Em dia","Ainda não comprou"))))</f>
        <v/>
      </c>
    </row>
    <row r="181" customFormat="false" ht="21" hidden="false" customHeight="true" outlineLevel="0" collapsed="false">
      <c r="B181" s="9"/>
      <c r="C181" s="45"/>
      <c r="D181" s="9"/>
      <c r="E181" s="27" t="str">
        <f aca="false">IF(B181="","",SUMIFS(Vendas!$G$5:$G$3004,Vendas!$C$5:$C$3004,B181))</f>
        <v/>
      </c>
      <c r="F181" s="27" t="str">
        <f aca="false">IF(B181="","",SUMIFS(Recebi!$D$5:$D$3004,Recebi!$C$5:$C$3004,B181)+SUMIFS(Vendas!$G$5:$G$3004,Vendas!$C$5:$C$3004,B181,Vendas!$J$5:$J$3004,"Sim"))</f>
        <v/>
      </c>
      <c r="G181" s="27" t="str">
        <f aca="false">IF(B181="","",SUMIFS(Acertos!$D$5:$D$504,Acertos!$C$5:$C$504,B181))</f>
        <v/>
      </c>
      <c r="H181" s="36" t="str">
        <f aca="false">IF(B181="","",E181+G181-F181)</f>
        <v/>
      </c>
      <c r="I181" s="46" t="str">
        <f aca="false">IF(B181="","",IF(COUNTIF(Vendas!$C$5:$C$3004,B181)=0,"",_xlfn.MAXIFS(Vendas!$B$5:$B$3004,Vendas!$C$5:$C$3004,B181)))</f>
        <v/>
      </c>
      <c r="J181" s="39" t="str">
        <f aca="false">IF(B181="","",IF(H181&gt;0.005,"Deve",IF(H181&lt;-0.005,"Tem crédito",IF(E181&gt;0,"Em dia","Ainda não comprou"))))</f>
        <v/>
      </c>
    </row>
    <row r="182" customFormat="false" ht="21" hidden="false" customHeight="true" outlineLevel="0" collapsed="false">
      <c r="B182" s="9"/>
      <c r="C182" s="45"/>
      <c r="D182" s="9"/>
      <c r="E182" s="27" t="str">
        <f aca="false">IF(B182="","",SUMIFS(Vendas!$G$5:$G$3004,Vendas!$C$5:$C$3004,B182))</f>
        <v/>
      </c>
      <c r="F182" s="27" t="str">
        <f aca="false">IF(B182="","",SUMIFS(Recebi!$D$5:$D$3004,Recebi!$C$5:$C$3004,B182)+SUMIFS(Vendas!$G$5:$G$3004,Vendas!$C$5:$C$3004,B182,Vendas!$J$5:$J$3004,"Sim"))</f>
        <v/>
      </c>
      <c r="G182" s="27" t="str">
        <f aca="false">IF(B182="","",SUMIFS(Acertos!$D$5:$D$504,Acertos!$C$5:$C$504,B182))</f>
        <v/>
      </c>
      <c r="H182" s="36" t="str">
        <f aca="false">IF(B182="","",E182+G182-F182)</f>
        <v/>
      </c>
      <c r="I182" s="46" t="str">
        <f aca="false">IF(B182="","",IF(COUNTIF(Vendas!$C$5:$C$3004,B182)=0,"",_xlfn.MAXIFS(Vendas!$B$5:$B$3004,Vendas!$C$5:$C$3004,B182)))</f>
        <v/>
      </c>
      <c r="J182" s="39" t="str">
        <f aca="false">IF(B182="","",IF(H182&gt;0.005,"Deve",IF(H182&lt;-0.005,"Tem crédito",IF(E182&gt;0,"Em dia","Ainda não comprou"))))</f>
        <v/>
      </c>
    </row>
    <row r="183" customFormat="false" ht="21" hidden="false" customHeight="true" outlineLevel="0" collapsed="false">
      <c r="B183" s="9"/>
      <c r="C183" s="45"/>
      <c r="D183" s="9"/>
      <c r="E183" s="27" t="str">
        <f aca="false">IF(B183="","",SUMIFS(Vendas!$G$5:$G$3004,Vendas!$C$5:$C$3004,B183))</f>
        <v/>
      </c>
      <c r="F183" s="27" t="str">
        <f aca="false">IF(B183="","",SUMIFS(Recebi!$D$5:$D$3004,Recebi!$C$5:$C$3004,B183)+SUMIFS(Vendas!$G$5:$G$3004,Vendas!$C$5:$C$3004,B183,Vendas!$J$5:$J$3004,"Sim"))</f>
        <v/>
      </c>
      <c r="G183" s="27" t="str">
        <f aca="false">IF(B183="","",SUMIFS(Acertos!$D$5:$D$504,Acertos!$C$5:$C$504,B183))</f>
        <v/>
      </c>
      <c r="H183" s="36" t="str">
        <f aca="false">IF(B183="","",E183+G183-F183)</f>
        <v/>
      </c>
      <c r="I183" s="46" t="str">
        <f aca="false">IF(B183="","",IF(COUNTIF(Vendas!$C$5:$C$3004,B183)=0,"",_xlfn.MAXIFS(Vendas!$B$5:$B$3004,Vendas!$C$5:$C$3004,B183)))</f>
        <v/>
      </c>
      <c r="J183" s="39" t="str">
        <f aca="false">IF(B183="","",IF(H183&gt;0.005,"Deve",IF(H183&lt;-0.005,"Tem crédito",IF(E183&gt;0,"Em dia","Ainda não comprou"))))</f>
        <v/>
      </c>
    </row>
    <row r="184" customFormat="false" ht="21" hidden="false" customHeight="true" outlineLevel="0" collapsed="false">
      <c r="B184" s="9"/>
      <c r="C184" s="45"/>
      <c r="D184" s="9"/>
      <c r="E184" s="27" t="str">
        <f aca="false">IF(B184="","",SUMIFS(Vendas!$G$5:$G$3004,Vendas!$C$5:$C$3004,B184))</f>
        <v/>
      </c>
      <c r="F184" s="27" t="str">
        <f aca="false">IF(B184="","",SUMIFS(Recebi!$D$5:$D$3004,Recebi!$C$5:$C$3004,B184)+SUMIFS(Vendas!$G$5:$G$3004,Vendas!$C$5:$C$3004,B184,Vendas!$J$5:$J$3004,"Sim"))</f>
        <v/>
      </c>
      <c r="G184" s="27" t="str">
        <f aca="false">IF(B184="","",SUMIFS(Acertos!$D$5:$D$504,Acertos!$C$5:$C$504,B184))</f>
        <v/>
      </c>
      <c r="H184" s="36" t="str">
        <f aca="false">IF(B184="","",E184+G184-F184)</f>
        <v/>
      </c>
      <c r="I184" s="46" t="str">
        <f aca="false">IF(B184="","",IF(COUNTIF(Vendas!$C$5:$C$3004,B184)=0,"",_xlfn.MAXIFS(Vendas!$B$5:$B$3004,Vendas!$C$5:$C$3004,B184)))</f>
        <v/>
      </c>
      <c r="J184" s="39" t="str">
        <f aca="false">IF(B184="","",IF(H184&gt;0.005,"Deve",IF(H184&lt;-0.005,"Tem crédito",IF(E184&gt;0,"Em dia","Ainda não comprou"))))</f>
        <v/>
      </c>
    </row>
    <row r="185" customFormat="false" ht="21" hidden="false" customHeight="true" outlineLevel="0" collapsed="false">
      <c r="B185" s="9"/>
      <c r="C185" s="45"/>
      <c r="D185" s="9"/>
      <c r="E185" s="27" t="str">
        <f aca="false">IF(B185="","",SUMIFS(Vendas!$G$5:$G$3004,Vendas!$C$5:$C$3004,B185))</f>
        <v/>
      </c>
      <c r="F185" s="27" t="str">
        <f aca="false">IF(B185="","",SUMIFS(Recebi!$D$5:$D$3004,Recebi!$C$5:$C$3004,B185)+SUMIFS(Vendas!$G$5:$G$3004,Vendas!$C$5:$C$3004,B185,Vendas!$J$5:$J$3004,"Sim"))</f>
        <v/>
      </c>
      <c r="G185" s="27" t="str">
        <f aca="false">IF(B185="","",SUMIFS(Acertos!$D$5:$D$504,Acertos!$C$5:$C$504,B185))</f>
        <v/>
      </c>
      <c r="H185" s="36" t="str">
        <f aca="false">IF(B185="","",E185+G185-F185)</f>
        <v/>
      </c>
      <c r="I185" s="46" t="str">
        <f aca="false">IF(B185="","",IF(COUNTIF(Vendas!$C$5:$C$3004,B185)=0,"",_xlfn.MAXIFS(Vendas!$B$5:$B$3004,Vendas!$C$5:$C$3004,B185)))</f>
        <v/>
      </c>
      <c r="J185" s="39" t="str">
        <f aca="false">IF(B185="","",IF(H185&gt;0.005,"Deve",IF(H185&lt;-0.005,"Tem crédito",IF(E185&gt;0,"Em dia","Ainda não comprou"))))</f>
        <v/>
      </c>
    </row>
    <row r="186" customFormat="false" ht="21" hidden="false" customHeight="true" outlineLevel="0" collapsed="false">
      <c r="B186" s="9"/>
      <c r="C186" s="45"/>
      <c r="D186" s="9"/>
      <c r="E186" s="27" t="str">
        <f aca="false">IF(B186="","",SUMIFS(Vendas!$G$5:$G$3004,Vendas!$C$5:$C$3004,B186))</f>
        <v/>
      </c>
      <c r="F186" s="27" t="str">
        <f aca="false">IF(B186="","",SUMIFS(Recebi!$D$5:$D$3004,Recebi!$C$5:$C$3004,B186)+SUMIFS(Vendas!$G$5:$G$3004,Vendas!$C$5:$C$3004,B186,Vendas!$J$5:$J$3004,"Sim"))</f>
        <v/>
      </c>
      <c r="G186" s="27" t="str">
        <f aca="false">IF(B186="","",SUMIFS(Acertos!$D$5:$D$504,Acertos!$C$5:$C$504,B186))</f>
        <v/>
      </c>
      <c r="H186" s="36" t="str">
        <f aca="false">IF(B186="","",E186+G186-F186)</f>
        <v/>
      </c>
      <c r="I186" s="46" t="str">
        <f aca="false">IF(B186="","",IF(COUNTIF(Vendas!$C$5:$C$3004,B186)=0,"",_xlfn.MAXIFS(Vendas!$B$5:$B$3004,Vendas!$C$5:$C$3004,B186)))</f>
        <v/>
      </c>
      <c r="J186" s="39" t="str">
        <f aca="false">IF(B186="","",IF(H186&gt;0.005,"Deve",IF(H186&lt;-0.005,"Tem crédito",IF(E186&gt;0,"Em dia","Ainda não comprou"))))</f>
        <v/>
      </c>
    </row>
    <row r="187" customFormat="false" ht="21" hidden="false" customHeight="true" outlineLevel="0" collapsed="false">
      <c r="B187" s="9"/>
      <c r="C187" s="45"/>
      <c r="D187" s="9"/>
      <c r="E187" s="27" t="str">
        <f aca="false">IF(B187="","",SUMIFS(Vendas!$G$5:$G$3004,Vendas!$C$5:$C$3004,B187))</f>
        <v/>
      </c>
      <c r="F187" s="27" t="str">
        <f aca="false">IF(B187="","",SUMIFS(Recebi!$D$5:$D$3004,Recebi!$C$5:$C$3004,B187)+SUMIFS(Vendas!$G$5:$G$3004,Vendas!$C$5:$C$3004,B187,Vendas!$J$5:$J$3004,"Sim"))</f>
        <v/>
      </c>
      <c r="G187" s="27" t="str">
        <f aca="false">IF(B187="","",SUMIFS(Acertos!$D$5:$D$504,Acertos!$C$5:$C$504,B187))</f>
        <v/>
      </c>
      <c r="H187" s="36" t="str">
        <f aca="false">IF(B187="","",E187+G187-F187)</f>
        <v/>
      </c>
      <c r="I187" s="46" t="str">
        <f aca="false">IF(B187="","",IF(COUNTIF(Vendas!$C$5:$C$3004,B187)=0,"",_xlfn.MAXIFS(Vendas!$B$5:$B$3004,Vendas!$C$5:$C$3004,B187)))</f>
        <v/>
      </c>
      <c r="J187" s="39" t="str">
        <f aca="false">IF(B187="","",IF(H187&gt;0.005,"Deve",IF(H187&lt;-0.005,"Tem crédito",IF(E187&gt;0,"Em dia","Ainda não comprou"))))</f>
        <v/>
      </c>
    </row>
    <row r="188" customFormat="false" ht="21" hidden="false" customHeight="true" outlineLevel="0" collapsed="false">
      <c r="B188" s="9"/>
      <c r="C188" s="45"/>
      <c r="D188" s="9"/>
      <c r="E188" s="27" t="str">
        <f aca="false">IF(B188="","",SUMIFS(Vendas!$G$5:$G$3004,Vendas!$C$5:$C$3004,B188))</f>
        <v/>
      </c>
      <c r="F188" s="27" t="str">
        <f aca="false">IF(B188="","",SUMIFS(Recebi!$D$5:$D$3004,Recebi!$C$5:$C$3004,B188)+SUMIFS(Vendas!$G$5:$G$3004,Vendas!$C$5:$C$3004,B188,Vendas!$J$5:$J$3004,"Sim"))</f>
        <v/>
      </c>
      <c r="G188" s="27" t="str">
        <f aca="false">IF(B188="","",SUMIFS(Acertos!$D$5:$D$504,Acertos!$C$5:$C$504,B188))</f>
        <v/>
      </c>
      <c r="H188" s="36" t="str">
        <f aca="false">IF(B188="","",E188+G188-F188)</f>
        <v/>
      </c>
      <c r="I188" s="46" t="str">
        <f aca="false">IF(B188="","",IF(COUNTIF(Vendas!$C$5:$C$3004,B188)=0,"",_xlfn.MAXIFS(Vendas!$B$5:$B$3004,Vendas!$C$5:$C$3004,B188)))</f>
        <v/>
      </c>
      <c r="J188" s="39" t="str">
        <f aca="false">IF(B188="","",IF(H188&gt;0.005,"Deve",IF(H188&lt;-0.005,"Tem crédito",IF(E188&gt;0,"Em dia","Ainda não comprou"))))</f>
        <v/>
      </c>
    </row>
    <row r="189" customFormat="false" ht="21" hidden="false" customHeight="true" outlineLevel="0" collapsed="false">
      <c r="B189" s="9"/>
      <c r="C189" s="45"/>
      <c r="D189" s="9"/>
      <c r="E189" s="27" t="str">
        <f aca="false">IF(B189="","",SUMIFS(Vendas!$G$5:$G$3004,Vendas!$C$5:$C$3004,B189))</f>
        <v/>
      </c>
      <c r="F189" s="27" t="str">
        <f aca="false">IF(B189="","",SUMIFS(Recebi!$D$5:$D$3004,Recebi!$C$5:$C$3004,B189)+SUMIFS(Vendas!$G$5:$G$3004,Vendas!$C$5:$C$3004,B189,Vendas!$J$5:$J$3004,"Sim"))</f>
        <v/>
      </c>
      <c r="G189" s="27" t="str">
        <f aca="false">IF(B189="","",SUMIFS(Acertos!$D$5:$D$504,Acertos!$C$5:$C$504,B189))</f>
        <v/>
      </c>
      <c r="H189" s="36" t="str">
        <f aca="false">IF(B189="","",E189+G189-F189)</f>
        <v/>
      </c>
      <c r="I189" s="46" t="str">
        <f aca="false">IF(B189="","",IF(COUNTIF(Vendas!$C$5:$C$3004,B189)=0,"",_xlfn.MAXIFS(Vendas!$B$5:$B$3004,Vendas!$C$5:$C$3004,B189)))</f>
        <v/>
      </c>
      <c r="J189" s="39" t="str">
        <f aca="false">IF(B189="","",IF(H189&gt;0.005,"Deve",IF(H189&lt;-0.005,"Tem crédito",IF(E189&gt;0,"Em dia","Ainda não comprou"))))</f>
        <v/>
      </c>
    </row>
    <row r="190" customFormat="false" ht="21" hidden="false" customHeight="true" outlineLevel="0" collapsed="false">
      <c r="B190" s="9"/>
      <c r="C190" s="45"/>
      <c r="D190" s="9"/>
      <c r="E190" s="27" t="str">
        <f aca="false">IF(B190="","",SUMIFS(Vendas!$G$5:$G$3004,Vendas!$C$5:$C$3004,B190))</f>
        <v/>
      </c>
      <c r="F190" s="27" t="str">
        <f aca="false">IF(B190="","",SUMIFS(Recebi!$D$5:$D$3004,Recebi!$C$5:$C$3004,B190)+SUMIFS(Vendas!$G$5:$G$3004,Vendas!$C$5:$C$3004,B190,Vendas!$J$5:$J$3004,"Sim"))</f>
        <v/>
      </c>
      <c r="G190" s="27" t="str">
        <f aca="false">IF(B190="","",SUMIFS(Acertos!$D$5:$D$504,Acertos!$C$5:$C$504,B190))</f>
        <v/>
      </c>
      <c r="H190" s="36" t="str">
        <f aca="false">IF(B190="","",E190+G190-F190)</f>
        <v/>
      </c>
      <c r="I190" s="46" t="str">
        <f aca="false">IF(B190="","",IF(COUNTIF(Vendas!$C$5:$C$3004,B190)=0,"",_xlfn.MAXIFS(Vendas!$B$5:$B$3004,Vendas!$C$5:$C$3004,B190)))</f>
        <v/>
      </c>
      <c r="J190" s="39" t="str">
        <f aca="false">IF(B190="","",IF(H190&gt;0.005,"Deve",IF(H190&lt;-0.005,"Tem crédito",IF(E190&gt;0,"Em dia","Ainda não comprou"))))</f>
        <v/>
      </c>
    </row>
    <row r="191" customFormat="false" ht="21" hidden="false" customHeight="true" outlineLevel="0" collapsed="false">
      <c r="B191" s="9"/>
      <c r="C191" s="45"/>
      <c r="D191" s="9"/>
      <c r="E191" s="27" t="str">
        <f aca="false">IF(B191="","",SUMIFS(Vendas!$G$5:$G$3004,Vendas!$C$5:$C$3004,B191))</f>
        <v/>
      </c>
      <c r="F191" s="27" t="str">
        <f aca="false">IF(B191="","",SUMIFS(Recebi!$D$5:$D$3004,Recebi!$C$5:$C$3004,B191)+SUMIFS(Vendas!$G$5:$G$3004,Vendas!$C$5:$C$3004,B191,Vendas!$J$5:$J$3004,"Sim"))</f>
        <v/>
      </c>
      <c r="G191" s="27" t="str">
        <f aca="false">IF(B191="","",SUMIFS(Acertos!$D$5:$D$504,Acertos!$C$5:$C$504,B191))</f>
        <v/>
      </c>
      <c r="H191" s="36" t="str">
        <f aca="false">IF(B191="","",E191+G191-F191)</f>
        <v/>
      </c>
      <c r="I191" s="46" t="str">
        <f aca="false">IF(B191="","",IF(COUNTIF(Vendas!$C$5:$C$3004,B191)=0,"",_xlfn.MAXIFS(Vendas!$B$5:$B$3004,Vendas!$C$5:$C$3004,B191)))</f>
        <v/>
      </c>
      <c r="J191" s="39" t="str">
        <f aca="false">IF(B191="","",IF(H191&gt;0.005,"Deve",IF(H191&lt;-0.005,"Tem crédito",IF(E191&gt;0,"Em dia","Ainda não comprou"))))</f>
        <v/>
      </c>
    </row>
    <row r="192" customFormat="false" ht="21" hidden="false" customHeight="true" outlineLevel="0" collapsed="false">
      <c r="B192" s="9"/>
      <c r="C192" s="45"/>
      <c r="D192" s="9"/>
      <c r="E192" s="27" t="str">
        <f aca="false">IF(B192="","",SUMIFS(Vendas!$G$5:$G$3004,Vendas!$C$5:$C$3004,B192))</f>
        <v/>
      </c>
      <c r="F192" s="27" t="str">
        <f aca="false">IF(B192="","",SUMIFS(Recebi!$D$5:$D$3004,Recebi!$C$5:$C$3004,B192)+SUMIFS(Vendas!$G$5:$G$3004,Vendas!$C$5:$C$3004,B192,Vendas!$J$5:$J$3004,"Sim"))</f>
        <v/>
      </c>
      <c r="G192" s="27" t="str">
        <f aca="false">IF(B192="","",SUMIFS(Acertos!$D$5:$D$504,Acertos!$C$5:$C$504,B192))</f>
        <v/>
      </c>
      <c r="H192" s="36" t="str">
        <f aca="false">IF(B192="","",E192+G192-F192)</f>
        <v/>
      </c>
      <c r="I192" s="46" t="str">
        <f aca="false">IF(B192="","",IF(COUNTIF(Vendas!$C$5:$C$3004,B192)=0,"",_xlfn.MAXIFS(Vendas!$B$5:$B$3004,Vendas!$C$5:$C$3004,B192)))</f>
        <v/>
      </c>
      <c r="J192" s="39" t="str">
        <f aca="false">IF(B192="","",IF(H192&gt;0.005,"Deve",IF(H192&lt;-0.005,"Tem crédito",IF(E192&gt;0,"Em dia","Ainda não comprou"))))</f>
        <v/>
      </c>
    </row>
    <row r="193" customFormat="false" ht="21" hidden="false" customHeight="true" outlineLevel="0" collapsed="false">
      <c r="B193" s="9"/>
      <c r="C193" s="45"/>
      <c r="D193" s="9"/>
      <c r="E193" s="27" t="str">
        <f aca="false">IF(B193="","",SUMIFS(Vendas!$G$5:$G$3004,Vendas!$C$5:$C$3004,B193))</f>
        <v/>
      </c>
      <c r="F193" s="27" t="str">
        <f aca="false">IF(B193="","",SUMIFS(Recebi!$D$5:$D$3004,Recebi!$C$5:$C$3004,B193)+SUMIFS(Vendas!$G$5:$G$3004,Vendas!$C$5:$C$3004,B193,Vendas!$J$5:$J$3004,"Sim"))</f>
        <v/>
      </c>
      <c r="G193" s="27" t="str">
        <f aca="false">IF(B193="","",SUMIFS(Acertos!$D$5:$D$504,Acertos!$C$5:$C$504,B193))</f>
        <v/>
      </c>
      <c r="H193" s="36" t="str">
        <f aca="false">IF(B193="","",E193+G193-F193)</f>
        <v/>
      </c>
      <c r="I193" s="46" t="str">
        <f aca="false">IF(B193="","",IF(COUNTIF(Vendas!$C$5:$C$3004,B193)=0,"",_xlfn.MAXIFS(Vendas!$B$5:$B$3004,Vendas!$C$5:$C$3004,B193)))</f>
        <v/>
      </c>
      <c r="J193" s="39" t="str">
        <f aca="false">IF(B193="","",IF(H193&gt;0.005,"Deve",IF(H193&lt;-0.005,"Tem crédito",IF(E193&gt;0,"Em dia","Ainda não comprou"))))</f>
        <v/>
      </c>
    </row>
    <row r="194" customFormat="false" ht="21" hidden="false" customHeight="true" outlineLevel="0" collapsed="false">
      <c r="B194" s="9"/>
      <c r="C194" s="45"/>
      <c r="D194" s="9"/>
      <c r="E194" s="27" t="str">
        <f aca="false">IF(B194="","",SUMIFS(Vendas!$G$5:$G$3004,Vendas!$C$5:$C$3004,B194))</f>
        <v/>
      </c>
      <c r="F194" s="27" t="str">
        <f aca="false">IF(B194="","",SUMIFS(Recebi!$D$5:$D$3004,Recebi!$C$5:$C$3004,B194)+SUMIFS(Vendas!$G$5:$G$3004,Vendas!$C$5:$C$3004,B194,Vendas!$J$5:$J$3004,"Sim"))</f>
        <v/>
      </c>
      <c r="G194" s="27" t="str">
        <f aca="false">IF(B194="","",SUMIFS(Acertos!$D$5:$D$504,Acertos!$C$5:$C$504,B194))</f>
        <v/>
      </c>
      <c r="H194" s="36" t="str">
        <f aca="false">IF(B194="","",E194+G194-F194)</f>
        <v/>
      </c>
      <c r="I194" s="46" t="str">
        <f aca="false">IF(B194="","",IF(COUNTIF(Vendas!$C$5:$C$3004,B194)=0,"",_xlfn.MAXIFS(Vendas!$B$5:$B$3004,Vendas!$C$5:$C$3004,B194)))</f>
        <v/>
      </c>
      <c r="J194" s="39" t="str">
        <f aca="false">IF(B194="","",IF(H194&gt;0.005,"Deve",IF(H194&lt;-0.005,"Tem crédito",IF(E194&gt;0,"Em dia","Ainda não comprou"))))</f>
        <v/>
      </c>
    </row>
    <row r="195" customFormat="false" ht="21" hidden="false" customHeight="true" outlineLevel="0" collapsed="false">
      <c r="B195" s="9"/>
      <c r="C195" s="45"/>
      <c r="D195" s="9"/>
      <c r="E195" s="27" t="str">
        <f aca="false">IF(B195="","",SUMIFS(Vendas!$G$5:$G$3004,Vendas!$C$5:$C$3004,B195))</f>
        <v/>
      </c>
      <c r="F195" s="27" t="str">
        <f aca="false">IF(B195="","",SUMIFS(Recebi!$D$5:$D$3004,Recebi!$C$5:$C$3004,B195)+SUMIFS(Vendas!$G$5:$G$3004,Vendas!$C$5:$C$3004,B195,Vendas!$J$5:$J$3004,"Sim"))</f>
        <v/>
      </c>
      <c r="G195" s="27" t="str">
        <f aca="false">IF(B195="","",SUMIFS(Acertos!$D$5:$D$504,Acertos!$C$5:$C$504,B195))</f>
        <v/>
      </c>
      <c r="H195" s="36" t="str">
        <f aca="false">IF(B195="","",E195+G195-F195)</f>
        <v/>
      </c>
      <c r="I195" s="46" t="str">
        <f aca="false">IF(B195="","",IF(COUNTIF(Vendas!$C$5:$C$3004,B195)=0,"",_xlfn.MAXIFS(Vendas!$B$5:$B$3004,Vendas!$C$5:$C$3004,B195)))</f>
        <v/>
      </c>
      <c r="J195" s="39" t="str">
        <f aca="false">IF(B195="","",IF(H195&gt;0.005,"Deve",IF(H195&lt;-0.005,"Tem crédito",IF(E195&gt;0,"Em dia","Ainda não comprou"))))</f>
        <v/>
      </c>
    </row>
    <row r="196" customFormat="false" ht="21" hidden="false" customHeight="true" outlineLevel="0" collapsed="false">
      <c r="B196" s="9"/>
      <c r="C196" s="45"/>
      <c r="D196" s="9"/>
      <c r="E196" s="27" t="str">
        <f aca="false">IF(B196="","",SUMIFS(Vendas!$G$5:$G$3004,Vendas!$C$5:$C$3004,B196))</f>
        <v/>
      </c>
      <c r="F196" s="27" t="str">
        <f aca="false">IF(B196="","",SUMIFS(Recebi!$D$5:$D$3004,Recebi!$C$5:$C$3004,B196)+SUMIFS(Vendas!$G$5:$G$3004,Vendas!$C$5:$C$3004,B196,Vendas!$J$5:$J$3004,"Sim"))</f>
        <v/>
      </c>
      <c r="G196" s="27" t="str">
        <f aca="false">IF(B196="","",SUMIFS(Acertos!$D$5:$D$504,Acertos!$C$5:$C$504,B196))</f>
        <v/>
      </c>
      <c r="H196" s="36" t="str">
        <f aca="false">IF(B196="","",E196+G196-F196)</f>
        <v/>
      </c>
      <c r="I196" s="46" t="str">
        <f aca="false">IF(B196="","",IF(COUNTIF(Vendas!$C$5:$C$3004,B196)=0,"",_xlfn.MAXIFS(Vendas!$B$5:$B$3004,Vendas!$C$5:$C$3004,B196)))</f>
        <v/>
      </c>
      <c r="J196" s="39" t="str">
        <f aca="false">IF(B196="","",IF(H196&gt;0.005,"Deve",IF(H196&lt;-0.005,"Tem crédito",IF(E196&gt;0,"Em dia","Ainda não comprou"))))</f>
        <v/>
      </c>
    </row>
    <row r="197" customFormat="false" ht="21" hidden="false" customHeight="true" outlineLevel="0" collapsed="false">
      <c r="B197" s="9"/>
      <c r="C197" s="45"/>
      <c r="D197" s="9"/>
      <c r="E197" s="27" t="str">
        <f aca="false">IF(B197="","",SUMIFS(Vendas!$G$5:$G$3004,Vendas!$C$5:$C$3004,B197))</f>
        <v/>
      </c>
      <c r="F197" s="27" t="str">
        <f aca="false">IF(B197="","",SUMIFS(Recebi!$D$5:$D$3004,Recebi!$C$5:$C$3004,B197)+SUMIFS(Vendas!$G$5:$G$3004,Vendas!$C$5:$C$3004,B197,Vendas!$J$5:$J$3004,"Sim"))</f>
        <v/>
      </c>
      <c r="G197" s="27" t="str">
        <f aca="false">IF(B197="","",SUMIFS(Acertos!$D$5:$D$504,Acertos!$C$5:$C$504,B197))</f>
        <v/>
      </c>
      <c r="H197" s="36" t="str">
        <f aca="false">IF(B197="","",E197+G197-F197)</f>
        <v/>
      </c>
      <c r="I197" s="46" t="str">
        <f aca="false">IF(B197="","",IF(COUNTIF(Vendas!$C$5:$C$3004,B197)=0,"",_xlfn.MAXIFS(Vendas!$B$5:$B$3004,Vendas!$C$5:$C$3004,B197)))</f>
        <v/>
      </c>
      <c r="J197" s="39" t="str">
        <f aca="false">IF(B197="","",IF(H197&gt;0.005,"Deve",IF(H197&lt;-0.005,"Tem crédito",IF(E197&gt;0,"Em dia","Ainda não comprou"))))</f>
        <v/>
      </c>
    </row>
    <row r="198" customFormat="false" ht="21" hidden="false" customHeight="true" outlineLevel="0" collapsed="false">
      <c r="B198" s="9"/>
      <c r="C198" s="45"/>
      <c r="D198" s="9"/>
      <c r="E198" s="27" t="str">
        <f aca="false">IF(B198="","",SUMIFS(Vendas!$G$5:$G$3004,Vendas!$C$5:$C$3004,B198))</f>
        <v/>
      </c>
      <c r="F198" s="27" t="str">
        <f aca="false">IF(B198="","",SUMIFS(Recebi!$D$5:$D$3004,Recebi!$C$5:$C$3004,B198)+SUMIFS(Vendas!$G$5:$G$3004,Vendas!$C$5:$C$3004,B198,Vendas!$J$5:$J$3004,"Sim"))</f>
        <v/>
      </c>
      <c r="G198" s="27" t="str">
        <f aca="false">IF(B198="","",SUMIFS(Acertos!$D$5:$D$504,Acertos!$C$5:$C$504,B198))</f>
        <v/>
      </c>
      <c r="H198" s="36" t="str">
        <f aca="false">IF(B198="","",E198+G198-F198)</f>
        <v/>
      </c>
      <c r="I198" s="46" t="str">
        <f aca="false">IF(B198="","",IF(COUNTIF(Vendas!$C$5:$C$3004,B198)=0,"",_xlfn.MAXIFS(Vendas!$B$5:$B$3004,Vendas!$C$5:$C$3004,B198)))</f>
        <v/>
      </c>
      <c r="J198" s="39" t="str">
        <f aca="false">IF(B198="","",IF(H198&gt;0.005,"Deve",IF(H198&lt;-0.005,"Tem crédito",IF(E198&gt;0,"Em dia","Ainda não comprou"))))</f>
        <v/>
      </c>
    </row>
    <row r="199" customFormat="false" ht="21" hidden="false" customHeight="true" outlineLevel="0" collapsed="false">
      <c r="B199" s="9"/>
      <c r="C199" s="45"/>
      <c r="D199" s="9"/>
      <c r="E199" s="27" t="str">
        <f aca="false">IF(B199="","",SUMIFS(Vendas!$G$5:$G$3004,Vendas!$C$5:$C$3004,B199))</f>
        <v/>
      </c>
      <c r="F199" s="27" t="str">
        <f aca="false">IF(B199="","",SUMIFS(Recebi!$D$5:$D$3004,Recebi!$C$5:$C$3004,B199)+SUMIFS(Vendas!$G$5:$G$3004,Vendas!$C$5:$C$3004,B199,Vendas!$J$5:$J$3004,"Sim"))</f>
        <v/>
      </c>
      <c r="G199" s="27" t="str">
        <f aca="false">IF(B199="","",SUMIFS(Acertos!$D$5:$D$504,Acertos!$C$5:$C$504,B199))</f>
        <v/>
      </c>
      <c r="H199" s="36" t="str">
        <f aca="false">IF(B199="","",E199+G199-F199)</f>
        <v/>
      </c>
      <c r="I199" s="46" t="str">
        <f aca="false">IF(B199="","",IF(COUNTIF(Vendas!$C$5:$C$3004,B199)=0,"",_xlfn.MAXIFS(Vendas!$B$5:$B$3004,Vendas!$C$5:$C$3004,B199)))</f>
        <v/>
      </c>
      <c r="J199" s="39" t="str">
        <f aca="false">IF(B199="","",IF(H199&gt;0.005,"Deve",IF(H199&lt;-0.005,"Tem crédito",IF(E199&gt;0,"Em dia","Ainda não comprou"))))</f>
        <v/>
      </c>
    </row>
    <row r="200" customFormat="false" ht="21" hidden="false" customHeight="true" outlineLevel="0" collapsed="false">
      <c r="B200" s="9"/>
      <c r="C200" s="45"/>
      <c r="D200" s="9"/>
      <c r="E200" s="27" t="str">
        <f aca="false">IF(B200="","",SUMIFS(Vendas!$G$5:$G$3004,Vendas!$C$5:$C$3004,B200))</f>
        <v/>
      </c>
      <c r="F200" s="27" t="str">
        <f aca="false">IF(B200="","",SUMIFS(Recebi!$D$5:$D$3004,Recebi!$C$5:$C$3004,B200)+SUMIFS(Vendas!$G$5:$G$3004,Vendas!$C$5:$C$3004,B200,Vendas!$J$5:$J$3004,"Sim"))</f>
        <v/>
      </c>
      <c r="G200" s="27" t="str">
        <f aca="false">IF(B200="","",SUMIFS(Acertos!$D$5:$D$504,Acertos!$C$5:$C$504,B200))</f>
        <v/>
      </c>
      <c r="H200" s="36" t="str">
        <f aca="false">IF(B200="","",E200+G200-F200)</f>
        <v/>
      </c>
      <c r="I200" s="46" t="str">
        <f aca="false">IF(B200="","",IF(COUNTIF(Vendas!$C$5:$C$3004,B200)=0,"",_xlfn.MAXIFS(Vendas!$B$5:$B$3004,Vendas!$C$5:$C$3004,B200)))</f>
        <v/>
      </c>
      <c r="J200" s="39" t="str">
        <f aca="false">IF(B200="","",IF(H200&gt;0.005,"Deve",IF(H200&lt;-0.005,"Tem crédito",IF(E200&gt;0,"Em dia","Ainda não comprou"))))</f>
        <v/>
      </c>
    </row>
    <row r="201" customFormat="false" ht="21" hidden="false" customHeight="true" outlineLevel="0" collapsed="false">
      <c r="B201" s="9"/>
      <c r="C201" s="45"/>
      <c r="D201" s="9"/>
      <c r="E201" s="27" t="str">
        <f aca="false">IF(B201="","",SUMIFS(Vendas!$G$5:$G$3004,Vendas!$C$5:$C$3004,B201))</f>
        <v/>
      </c>
      <c r="F201" s="27" t="str">
        <f aca="false">IF(B201="","",SUMIFS(Recebi!$D$5:$D$3004,Recebi!$C$5:$C$3004,B201)+SUMIFS(Vendas!$G$5:$G$3004,Vendas!$C$5:$C$3004,B201,Vendas!$J$5:$J$3004,"Sim"))</f>
        <v/>
      </c>
      <c r="G201" s="27" t="str">
        <f aca="false">IF(B201="","",SUMIFS(Acertos!$D$5:$D$504,Acertos!$C$5:$C$504,B201))</f>
        <v/>
      </c>
      <c r="H201" s="36" t="str">
        <f aca="false">IF(B201="","",E201+G201-F201)</f>
        <v/>
      </c>
      <c r="I201" s="46" t="str">
        <f aca="false">IF(B201="","",IF(COUNTIF(Vendas!$C$5:$C$3004,B201)=0,"",_xlfn.MAXIFS(Vendas!$B$5:$B$3004,Vendas!$C$5:$C$3004,B201)))</f>
        <v/>
      </c>
      <c r="J201" s="39" t="str">
        <f aca="false">IF(B201="","",IF(H201&gt;0.005,"Deve",IF(H201&lt;-0.005,"Tem crédito",IF(E201&gt;0,"Em dia","Ainda não comprou"))))</f>
        <v/>
      </c>
    </row>
    <row r="202" customFormat="false" ht="21" hidden="false" customHeight="true" outlineLevel="0" collapsed="false">
      <c r="B202" s="9"/>
      <c r="C202" s="45"/>
      <c r="D202" s="9"/>
      <c r="E202" s="27" t="str">
        <f aca="false">IF(B202="","",SUMIFS(Vendas!$G$5:$G$3004,Vendas!$C$5:$C$3004,B202))</f>
        <v/>
      </c>
      <c r="F202" s="27" t="str">
        <f aca="false">IF(B202="","",SUMIFS(Recebi!$D$5:$D$3004,Recebi!$C$5:$C$3004,B202)+SUMIFS(Vendas!$G$5:$G$3004,Vendas!$C$5:$C$3004,B202,Vendas!$J$5:$J$3004,"Sim"))</f>
        <v/>
      </c>
      <c r="G202" s="27" t="str">
        <f aca="false">IF(B202="","",SUMIFS(Acertos!$D$5:$D$504,Acertos!$C$5:$C$504,B202))</f>
        <v/>
      </c>
      <c r="H202" s="36" t="str">
        <f aca="false">IF(B202="","",E202+G202-F202)</f>
        <v/>
      </c>
      <c r="I202" s="46" t="str">
        <f aca="false">IF(B202="","",IF(COUNTIF(Vendas!$C$5:$C$3004,B202)=0,"",_xlfn.MAXIFS(Vendas!$B$5:$B$3004,Vendas!$C$5:$C$3004,B202)))</f>
        <v/>
      </c>
      <c r="J202" s="39" t="str">
        <f aca="false">IF(B202="","",IF(H202&gt;0.005,"Deve",IF(H202&lt;-0.005,"Tem crédito",IF(E202&gt;0,"Em dia","Ainda não comprou"))))</f>
        <v/>
      </c>
    </row>
    <row r="203" customFormat="false" ht="21" hidden="false" customHeight="true" outlineLevel="0" collapsed="false">
      <c r="B203" s="9"/>
      <c r="C203" s="45"/>
      <c r="D203" s="9"/>
      <c r="E203" s="27" t="str">
        <f aca="false">IF(B203="","",SUMIFS(Vendas!$G$5:$G$3004,Vendas!$C$5:$C$3004,B203))</f>
        <v/>
      </c>
      <c r="F203" s="27" t="str">
        <f aca="false">IF(B203="","",SUMIFS(Recebi!$D$5:$D$3004,Recebi!$C$5:$C$3004,B203)+SUMIFS(Vendas!$G$5:$G$3004,Vendas!$C$5:$C$3004,B203,Vendas!$J$5:$J$3004,"Sim"))</f>
        <v/>
      </c>
      <c r="G203" s="27" t="str">
        <f aca="false">IF(B203="","",SUMIFS(Acertos!$D$5:$D$504,Acertos!$C$5:$C$504,B203))</f>
        <v/>
      </c>
      <c r="H203" s="36" t="str">
        <f aca="false">IF(B203="","",E203+G203-F203)</f>
        <v/>
      </c>
      <c r="I203" s="46" t="str">
        <f aca="false">IF(B203="","",IF(COUNTIF(Vendas!$C$5:$C$3004,B203)=0,"",_xlfn.MAXIFS(Vendas!$B$5:$B$3004,Vendas!$C$5:$C$3004,B203)))</f>
        <v/>
      </c>
      <c r="J203" s="39" t="str">
        <f aca="false">IF(B203="","",IF(H203&gt;0.005,"Deve",IF(H203&lt;-0.005,"Tem crédito",IF(E203&gt;0,"Em dia","Ainda não comprou"))))</f>
        <v/>
      </c>
    </row>
    <row r="204" customFormat="false" ht="21" hidden="false" customHeight="true" outlineLevel="0" collapsed="false">
      <c r="B204" s="9"/>
      <c r="C204" s="45"/>
      <c r="D204" s="9"/>
      <c r="E204" s="27" t="str">
        <f aca="false">IF(B204="","",SUMIFS(Vendas!$G$5:$G$3004,Vendas!$C$5:$C$3004,B204))</f>
        <v/>
      </c>
      <c r="F204" s="27" t="str">
        <f aca="false">IF(B204="","",SUMIFS(Recebi!$D$5:$D$3004,Recebi!$C$5:$C$3004,B204)+SUMIFS(Vendas!$G$5:$G$3004,Vendas!$C$5:$C$3004,B204,Vendas!$J$5:$J$3004,"Sim"))</f>
        <v/>
      </c>
      <c r="G204" s="27" t="str">
        <f aca="false">IF(B204="","",SUMIFS(Acertos!$D$5:$D$504,Acertos!$C$5:$C$504,B204))</f>
        <v/>
      </c>
      <c r="H204" s="36" t="str">
        <f aca="false">IF(B204="","",E204+G204-F204)</f>
        <v/>
      </c>
      <c r="I204" s="46" t="str">
        <f aca="false">IF(B204="","",IF(COUNTIF(Vendas!$C$5:$C$3004,B204)=0,"",_xlfn.MAXIFS(Vendas!$B$5:$B$3004,Vendas!$C$5:$C$3004,B204)))</f>
        <v/>
      </c>
      <c r="J204" s="39" t="str">
        <f aca="false">IF(B204="","",IF(H204&gt;0.005,"Deve",IF(H204&lt;-0.005,"Tem crédito",IF(E204&gt;0,"Em dia","Ainda não comprou"))))</f>
        <v/>
      </c>
    </row>
    <row r="205" customFormat="false" ht="21" hidden="false" customHeight="true" outlineLevel="0" collapsed="false">
      <c r="B205" s="9"/>
      <c r="C205" s="45"/>
      <c r="D205" s="9"/>
      <c r="E205" s="27" t="str">
        <f aca="false">IF(B205="","",SUMIFS(Vendas!$G$5:$G$3004,Vendas!$C$5:$C$3004,B205))</f>
        <v/>
      </c>
      <c r="F205" s="27" t="str">
        <f aca="false">IF(B205="","",SUMIFS(Recebi!$D$5:$D$3004,Recebi!$C$5:$C$3004,B205)+SUMIFS(Vendas!$G$5:$G$3004,Vendas!$C$5:$C$3004,B205,Vendas!$J$5:$J$3004,"Sim"))</f>
        <v/>
      </c>
      <c r="G205" s="27" t="str">
        <f aca="false">IF(B205="","",SUMIFS(Acertos!$D$5:$D$504,Acertos!$C$5:$C$504,B205))</f>
        <v/>
      </c>
      <c r="H205" s="36" t="str">
        <f aca="false">IF(B205="","",E205+G205-F205)</f>
        <v/>
      </c>
      <c r="I205" s="46" t="str">
        <f aca="false">IF(B205="","",IF(COUNTIF(Vendas!$C$5:$C$3004,B205)=0,"",_xlfn.MAXIFS(Vendas!$B$5:$B$3004,Vendas!$C$5:$C$3004,B205)))</f>
        <v/>
      </c>
      <c r="J205" s="39" t="str">
        <f aca="false">IF(B205="","",IF(H205&gt;0.005,"Deve",IF(H205&lt;-0.005,"Tem crédito",IF(E205&gt;0,"Em dia","Ainda não comprou"))))</f>
        <v/>
      </c>
    </row>
    <row r="206" customFormat="false" ht="21" hidden="false" customHeight="true" outlineLevel="0" collapsed="false">
      <c r="B206" s="9"/>
      <c r="C206" s="45"/>
      <c r="D206" s="9"/>
      <c r="E206" s="27" t="str">
        <f aca="false">IF(B206="","",SUMIFS(Vendas!$G$5:$G$3004,Vendas!$C$5:$C$3004,B206))</f>
        <v/>
      </c>
      <c r="F206" s="27" t="str">
        <f aca="false">IF(B206="","",SUMIFS(Recebi!$D$5:$D$3004,Recebi!$C$5:$C$3004,B206)+SUMIFS(Vendas!$G$5:$G$3004,Vendas!$C$5:$C$3004,B206,Vendas!$J$5:$J$3004,"Sim"))</f>
        <v/>
      </c>
      <c r="G206" s="27" t="str">
        <f aca="false">IF(B206="","",SUMIFS(Acertos!$D$5:$D$504,Acertos!$C$5:$C$504,B206))</f>
        <v/>
      </c>
      <c r="H206" s="36" t="str">
        <f aca="false">IF(B206="","",E206+G206-F206)</f>
        <v/>
      </c>
      <c r="I206" s="46" t="str">
        <f aca="false">IF(B206="","",IF(COUNTIF(Vendas!$C$5:$C$3004,B206)=0,"",_xlfn.MAXIFS(Vendas!$B$5:$B$3004,Vendas!$C$5:$C$3004,B206)))</f>
        <v/>
      </c>
      <c r="J206" s="39" t="str">
        <f aca="false">IF(B206="","",IF(H206&gt;0.005,"Deve",IF(H206&lt;-0.005,"Tem crédito",IF(E206&gt;0,"Em dia","Ainda não comprou"))))</f>
        <v/>
      </c>
    </row>
    <row r="207" customFormat="false" ht="21" hidden="false" customHeight="true" outlineLevel="0" collapsed="false">
      <c r="B207" s="9"/>
      <c r="C207" s="45"/>
      <c r="D207" s="9"/>
      <c r="E207" s="27" t="str">
        <f aca="false">IF(B207="","",SUMIFS(Vendas!$G$5:$G$3004,Vendas!$C$5:$C$3004,B207))</f>
        <v/>
      </c>
      <c r="F207" s="27" t="str">
        <f aca="false">IF(B207="","",SUMIFS(Recebi!$D$5:$D$3004,Recebi!$C$5:$C$3004,B207)+SUMIFS(Vendas!$G$5:$G$3004,Vendas!$C$5:$C$3004,B207,Vendas!$J$5:$J$3004,"Sim"))</f>
        <v/>
      </c>
      <c r="G207" s="27" t="str">
        <f aca="false">IF(B207="","",SUMIFS(Acertos!$D$5:$D$504,Acertos!$C$5:$C$504,B207))</f>
        <v/>
      </c>
      <c r="H207" s="36" t="str">
        <f aca="false">IF(B207="","",E207+G207-F207)</f>
        <v/>
      </c>
      <c r="I207" s="46" t="str">
        <f aca="false">IF(B207="","",IF(COUNTIF(Vendas!$C$5:$C$3004,B207)=0,"",_xlfn.MAXIFS(Vendas!$B$5:$B$3004,Vendas!$C$5:$C$3004,B207)))</f>
        <v/>
      </c>
      <c r="J207" s="39" t="str">
        <f aca="false">IF(B207="","",IF(H207&gt;0.005,"Deve",IF(H207&lt;-0.005,"Tem crédito",IF(E207&gt;0,"Em dia","Ainda não comprou"))))</f>
        <v/>
      </c>
    </row>
    <row r="208" customFormat="false" ht="21" hidden="false" customHeight="true" outlineLevel="0" collapsed="false">
      <c r="B208" s="9"/>
      <c r="C208" s="45"/>
      <c r="D208" s="9"/>
      <c r="E208" s="27" t="str">
        <f aca="false">IF(B208="","",SUMIFS(Vendas!$G$5:$G$3004,Vendas!$C$5:$C$3004,B208))</f>
        <v/>
      </c>
      <c r="F208" s="27" t="str">
        <f aca="false">IF(B208="","",SUMIFS(Recebi!$D$5:$D$3004,Recebi!$C$5:$C$3004,B208)+SUMIFS(Vendas!$G$5:$G$3004,Vendas!$C$5:$C$3004,B208,Vendas!$J$5:$J$3004,"Sim"))</f>
        <v/>
      </c>
      <c r="G208" s="27" t="str">
        <f aca="false">IF(B208="","",SUMIFS(Acertos!$D$5:$D$504,Acertos!$C$5:$C$504,B208))</f>
        <v/>
      </c>
      <c r="H208" s="36" t="str">
        <f aca="false">IF(B208="","",E208+G208-F208)</f>
        <v/>
      </c>
      <c r="I208" s="46" t="str">
        <f aca="false">IF(B208="","",IF(COUNTIF(Vendas!$C$5:$C$3004,B208)=0,"",_xlfn.MAXIFS(Vendas!$B$5:$B$3004,Vendas!$C$5:$C$3004,B208)))</f>
        <v/>
      </c>
      <c r="J208" s="39" t="str">
        <f aca="false">IF(B208="","",IF(H208&gt;0.005,"Deve",IF(H208&lt;-0.005,"Tem crédito",IF(E208&gt;0,"Em dia","Ainda não comprou"))))</f>
        <v/>
      </c>
    </row>
    <row r="209" customFormat="false" ht="21" hidden="false" customHeight="true" outlineLevel="0" collapsed="false">
      <c r="B209" s="9"/>
      <c r="C209" s="45"/>
      <c r="D209" s="9"/>
      <c r="E209" s="27" t="str">
        <f aca="false">IF(B209="","",SUMIFS(Vendas!$G$5:$G$3004,Vendas!$C$5:$C$3004,B209))</f>
        <v/>
      </c>
      <c r="F209" s="27" t="str">
        <f aca="false">IF(B209="","",SUMIFS(Recebi!$D$5:$D$3004,Recebi!$C$5:$C$3004,B209)+SUMIFS(Vendas!$G$5:$G$3004,Vendas!$C$5:$C$3004,B209,Vendas!$J$5:$J$3004,"Sim"))</f>
        <v/>
      </c>
      <c r="G209" s="27" t="str">
        <f aca="false">IF(B209="","",SUMIFS(Acertos!$D$5:$D$504,Acertos!$C$5:$C$504,B209))</f>
        <v/>
      </c>
      <c r="H209" s="36" t="str">
        <f aca="false">IF(B209="","",E209+G209-F209)</f>
        <v/>
      </c>
      <c r="I209" s="46" t="str">
        <f aca="false">IF(B209="","",IF(COUNTIF(Vendas!$C$5:$C$3004,B209)=0,"",_xlfn.MAXIFS(Vendas!$B$5:$B$3004,Vendas!$C$5:$C$3004,B209)))</f>
        <v/>
      </c>
      <c r="J209" s="39" t="str">
        <f aca="false">IF(B209="","",IF(H209&gt;0.005,"Deve",IF(H209&lt;-0.005,"Tem crédito",IF(E209&gt;0,"Em dia","Ainda não comprou"))))</f>
        <v/>
      </c>
    </row>
    <row r="210" customFormat="false" ht="21" hidden="false" customHeight="true" outlineLevel="0" collapsed="false">
      <c r="B210" s="9"/>
      <c r="C210" s="45"/>
      <c r="D210" s="9"/>
      <c r="E210" s="27" t="str">
        <f aca="false">IF(B210="","",SUMIFS(Vendas!$G$5:$G$3004,Vendas!$C$5:$C$3004,B210))</f>
        <v/>
      </c>
      <c r="F210" s="27" t="str">
        <f aca="false">IF(B210="","",SUMIFS(Recebi!$D$5:$D$3004,Recebi!$C$5:$C$3004,B210)+SUMIFS(Vendas!$G$5:$G$3004,Vendas!$C$5:$C$3004,B210,Vendas!$J$5:$J$3004,"Sim"))</f>
        <v/>
      </c>
      <c r="G210" s="27" t="str">
        <f aca="false">IF(B210="","",SUMIFS(Acertos!$D$5:$D$504,Acertos!$C$5:$C$504,B210))</f>
        <v/>
      </c>
      <c r="H210" s="36" t="str">
        <f aca="false">IF(B210="","",E210+G210-F210)</f>
        <v/>
      </c>
      <c r="I210" s="46" t="str">
        <f aca="false">IF(B210="","",IF(COUNTIF(Vendas!$C$5:$C$3004,B210)=0,"",_xlfn.MAXIFS(Vendas!$B$5:$B$3004,Vendas!$C$5:$C$3004,B210)))</f>
        <v/>
      </c>
      <c r="J210" s="39" t="str">
        <f aca="false">IF(B210="","",IF(H210&gt;0.005,"Deve",IF(H210&lt;-0.005,"Tem crédito",IF(E210&gt;0,"Em dia","Ainda não comprou"))))</f>
        <v/>
      </c>
    </row>
    <row r="211" customFormat="false" ht="21" hidden="false" customHeight="true" outlineLevel="0" collapsed="false">
      <c r="B211" s="9"/>
      <c r="C211" s="45"/>
      <c r="D211" s="9"/>
      <c r="E211" s="27" t="str">
        <f aca="false">IF(B211="","",SUMIFS(Vendas!$G$5:$G$3004,Vendas!$C$5:$C$3004,B211))</f>
        <v/>
      </c>
      <c r="F211" s="27" t="str">
        <f aca="false">IF(B211="","",SUMIFS(Recebi!$D$5:$D$3004,Recebi!$C$5:$C$3004,B211)+SUMIFS(Vendas!$G$5:$G$3004,Vendas!$C$5:$C$3004,B211,Vendas!$J$5:$J$3004,"Sim"))</f>
        <v/>
      </c>
      <c r="G211" s="27" t="str">
        <f aca="false">IF(B211="","",SUMIFS(Acertos!$D$5:$D$504,Acertos!$C$5:$C$504,B211))</f>
        <v/>
      </c>
      <c r="H211" s="36" t="str">
        <f aca="false">IF(B211="","",E211+G211-F211)</f>
        <v/>
      </c>
      <c r="I211" s="46" t="str">
        <f aca="false">IF(B211="","",IF(COUNTIF(Vendas!$C$5:$C$3004,B211)=0,"",_xlfn.MAXIFS(Vendas!$B$5:$B$3004,Vendas!$C$5:$C$3004,B211)))</f>
        <v/>
      </c>
      <c r="J211" s="39" t="str">
        <f aca="false">IF(B211="","",IF(H211&gt;0.005,"Deve",IF(H211&lt;-0.005,"Tem crédito",IF(E211&gt;0,"Em dia","Ainda não comprou"))))</f>
        <v/>
      </c>
    </row>
    <row r="212" customFormat="false" ht="21" hidden="false" customHeight="true" outlineLevel="0" collapsed="false">
      <c r="B212" s="9"/>
      <c r="C212" s="45"/>
      <c r="D212" s="9"/>
      <c r="E212" s="27" t="str">
        <f aca="false">IF(B212="","",SUMIFS(Vendas!$G$5:$G$3004,Vendas!$C$5:$C$3004,B212))</f>
        <v/>
      </c>
      <c r="F212" s="27" t="str">
        <f aca="false">IF(B212="","",SUMIFS(Recebi!$D$5:$D$3004,Recebi!$C$5:$C$3004,B212)+SUMIFS(Vendas!$G$5:$G$3004,Vendas!$C$5:$C$3004,B212,Vendas!$J$5:$J$3004,"Sim"))</f>
        <v/>
      </c>
      <c r="G212" s="27" t="str">
        <f aca="false">IF(B212="","",SUMIFS(Acertos!$D$5:$D$504,Acertos!$C$5:$C$504,B212))</f>
        <v/>
      </c>
      <c r="H212" s="36" t="str">
        <f aca="false">IF(B212="","",E212+G212-F212)</f>
        <v/>
      </c>
      <c r="I212" s="46" t="str">
        <f aca="false">IF(B212="","",IF(COUNTIF(Vendas!$C$5:$C$3004,B212)=0,"",_xlfn.MAXIFS(Vendas!$B$5:$B$3004,Vendas!$C$5:$C$3004,B212)))</f>
        <v/>
      </c>
      <c r="J212" s="39" t="str">
        <f aca="false">IF(B212="","",IF(H212&gt;0.005,"Deve",IF(H212&lt;-0.005,"Tem crédito",IF(E212&gt;0,"Em dia","Ainda não comprou"))))</f>
        <v/>
      </c>
    </row>
    <row r="213" customFormat="false" ht="21" hidden="false" customHeight="true" outlineLevel="0" collapsed="false">
      <c r="B213" s="9"/>
      <c r="C213" s="45"/>
      <c r="D213" s="9"/>
      <c r="E213" s="27" t="str">
        <f aca="false">IF(B213="","",SUMIFS(Vendas!$G$5:$G$3004,Vendas!$C$5:$C$3004,B213))</f>
        <v/>
      </c>
      <c r="F213" s="27" t="str">
        <f aca="false">IF(B213="","",SUMIFS(Recebi!$D$5:$D$3004,Recebi!$C$5:$C$3004,B213)+SUMIFS(Vendas!$G$5:$G$3004,Vendas!$C$5:$C$3004,B213,Vendas!$J$5:$J$3004,"Sim"))</f>
        <v/>
      </c>
      <c r="G213" s="27" t="str">
        <f aca="false">IF(B213="","",SUMIFS(Acertos!$D$5:$D$504,Acertos!$C$5:$C$504,B213))</f>
        <v/>
      </c>
      <c r="H213" s="36" t="str">
        <f aca="false">IF(B213="","",E213+G213-F213)</f>
        <v/>
      </c>
      <c r="I213" s="46" t="str">
        <f aca="false">IF(B213="","",IF(COUNTIF(Vendas!$C$5:$C$3004,B213)=0,"",_xlfn.MAXIFS(Vendas!$B$5:$B$3004,Vendas!$C$5:$C$3004,B213)))</f>
        <v/>
      </c>
      <c r="J213" s="39" t="str">
        <f aca="false">IF(B213="","",IF(H213&gt;0.005,"Deve",IF(H213&lt;-0.005,"Tem crédito",IF(E213&gt;0,"Em dia","Ainda não comprou"))))</f>
        <v/>
      </c>
    </row>
    <row r="214" customFormat="false" ht="21" hidden="false" customHeight="true" outlineLevel="0" collapsed="false">
      <c r="B214" s="9"/>
      <c r="C214" s="45"/>
      <c r="D214" s="9"/>
      <c r="E214" s="27" t="str">
        <f aca="false">IF(B214="","",SUMIFS(Vendas!$G$5:$G$3004,Vendas!$C$5:$C$3004,B214))</f>
        <v/>
      </c>
      <c r="F214" s="27" t="str">
        <f aca="false">IF(B214="","",SUMIFS(Recebi!$D$5:$D$3004,Recebi!$C$5:$C$3004,B214)+SUMIFS(Vendas!$G$5:$G$3004,Vendas!$C$5:$C$3004,B214,Vendas!$J$5:$J$3004,"Sim"))</f>
        <v/>
      </c>
      <c r="G214" s="27" t="str">
        <f aca="false">IF(B214="","",SUMIFS(Acertos!$D$5:$D$504,Acertos!$C$5:$C$504,B214))</f>
        <v/>
      </c>
      <c r="H214" s="36" t="str">
        <f aca="false">IF(B214="","",E214+G214-F214)</f>
        <v/>
      </c>
      <c r="I214" s="46" t="str">
        <f aca="false">IF(B214="","",IF(COUNTIF(Vendas!$C$5:$C$3004,B214)=0,"",_xlfn.MAXIFS(Vendas!$B$5:$B$3004,Vendas!$C$5:$C$3004,B214)))</f>
        <v/>
      </c>
      <c r="J214" s="39" t="str">
        <f aca="false">IF(B214="","",IF(H214&gt;0.005,"Deve",IF(H214&lt;-0.005,"Tem crédito",IF(E214&gt;0,"Em dia","Ainda não comprou"))))</f>
        <v/>
      </c>
    </row>
    <row r="215" customFormat="false" ht="21" hidden="false" customHeight="true" outlineLevel="0" collapsed="false">
      <c r="B215" s="9"/>
      <c r="C215" s="45"/>
      <c r="D215" s="9"/>
      <c r="E215" s="27" t="str">
        <f aca="false">IF(B215="","",SUMIFS(Vendas!$G$5:$G$3004,Vendas!$C$5:$C$3004,B215))</f>
        <v/>
      </c>
      <c r="F215" s="27" t="str">
        <f aca="false">IF(B215="","",SUMIFS(Recebi!$D$5:$D$3004,Recebi!$C$5:$C$3004,B215)+SUMIFS(Vendas!$G$5:$G$3004,Vendas!$C$5:$C$3004,B215,Vendas!$J$5:$J$3004,"Sim"))</f>
        <v/>
      </c>
      <c r="G215" s="27" t="str">
        <f aca="false">IF(B215="","",SUMIFS(Acertos!$D$5:$D$504,Acertos!$C$5:$C$504,B215))</f>
        <v/>
      </c>
      <c r="H215" s="36" t="str">
        <f aca="false">IF(B215="","",E215+G215-F215)</f>
        <v/>
      </c>
      <c r="I215" s="46" t="str">
        <f aca="false">IF(B215="","",IF(COUNTIF(Vendas!$C$5:$C$3004,B215)=0,"",_xlfn.MAXIFS(Vendas!$B$5:$B$3004,Vendas!$C$5:$C$3004,B215)))</f>
        <v/>
      </c>
      <c r="J215" s="39" t="str">
        <f aca="false">IF(B215="","",IF(H215&gt;0.005,"Deve",IF(H215&lt;-0.005,"Tem crédito",IF(E215&gt;0,"Em dia","Ainda não comprou"))))</f>
        <v/>
      </c>
    </row>
    <row r="216" customFormat="false" ht="21" hidden="false" customHeight="true" outlineLevel="0" collapsed="false">
      <c r="B216" s="9"/>
      <c r="C216" s="45"/>
      <c r="D216" s="9"/>
      <c r="E216" s="27" t="str">
        <f aca="false">IF(B216="","",SUMIFS(Vendas!$G$5:$G$3004,Vendas!$C$5:$C$3004,B216))</f>
        <v/>
      </c>
      <c r="F216" s="27" t="str">
        <f aca="false">IF(B216="","",SUMIFS(Recebi!$D$5:$D$3004,Recebi!$C$5:$C$3004,B216)+SUMIFS(Vendas!$G$5:$G$3004,Vendas!$C$5:$C$3004,B216,Vendas!$J$5:$J$3004,"Sim"))</f>
        <v/>
      </c>
      <c r="G216" s="27" t="str">
        <f aca="false">IF(B216="","",SUMIFS(Acertos!$D$5:$D$504,Acertos!$C$5:$C$504,B216))</f>
        <v/>
      </c>
      <c r="H216" s="36" t="str">
        <f aca="false">IF(B216="","",E216+G216-F216)</f>
        <v/>
      </c>
      <c r="I216" s="46" t="str">
        <f aca="false">IF(B216="","",IF(COUNTIF(Vendas!$C$5:$C$3004,B216)=0,"",_xlfn.MAXIFS(Vendas!$B$5:$B$3004,Vendas!$C$5:$C$3004,B216)))</f>
        <v/>
      </c>
      <c r="J216" s="39" t="str">
        <f aca="false">IF(B216="","",IF(H216&gt;0.005,"Deve",IF(H216&lt;-0.005,"Tem crédito",IF(E216&gt;0,"Em dia","Ainda não comprou"))))</f>
        <v/>
      </c>
    </row>
    <row r="217" customFormat="false" ht="21" hidden="false" customHeight="true" outlineLevel="0" collapsed="false">
      <c r="B217" s="9"/>
      <c r="C217" s="45"/>
      <c r="D217" s="9"/>
      <c r="E217" s="27" t="str">
        <f aca="false">IF(B217="","",SUMIFS(Vendas!$G$5:$G$3004,Vendas!$C$5:$C$3004,B217))</f>
        <v/>
      </c>
      <c r="F217" s="27" t="str">
        <f aca="false">IF(B217="","",SUMIFS(Recebi!$D$5:$D$3004,Recebi!$C$5:$C$3004,B217)+SUMIFS(Vendas!$G$5:$G$3004,Vendas!$C$5:$C$3004,B217,Vendas!$J$5:$J$3004,"Sim"))</f>
        <v/>
      </c>
      <c r="G217" s="27" t="str">
        <f aca="false">IF(B217="","",SUMIFS(Acertos!$D$5:$D$504,Acertos!$C$5:$C$504,B217))</f>
        <v/>
      </c>
      <c r="H217" s="36" t="str">
        <f aca="false">IF(B217="","",E217+G217-F217)</f>
        <v/>
      </c>
      <c r="I217" s="46" t="str">
        <f aca="false">IF(B217="","",IF(COUNTIF(Vendas!$C$5:$C$3004,B217)=0,"",_xlfn.MAXIFS(Vendas!$B$5:$B$3004,Vendas!$C$5:$C$3004,B217)))</f>
        <v/>
      </c>
      <c r="J217" s="39" t="str">
        <f aca="false">IF(B217="","",IF(H217&gt;0.005,"Deve",IF(H217&lt;-0.005,"Tem crédito",IF(E217&gt;0,"Em dia","Ainda não comprou"))))</f>
        <v/>
      </c>
    </row>
    <row r="218" customFormat="false" ht="21" hidden="false" customHeight="true" outlineLevel="0" collapsed="false">
      <c r="B218" s="9"/>
      <c r="C218" s="45"/>
      <c r="D218" s="9"/>
      <c r="E218" s="27" t="str">
        <f aca="false">IF(B218="","",SUMIFS(Vendas!$G$5:$G$3004,Vendas!$C$5:$C$3004,B218))</f>
        <v/>
      </c>
      <c r="F218" s="27" t="str">
        <f aca="false">IF(B218="","",SUMIFS(Recebi!$D$5:$D$3004,Recebi!$C$5:$C$3004,B218)+SUMIFS(Vendas!$G$5:$G$3004,Vendas!$C$5:$C$3004,B218,Vendas!$J$5:$J$3004,"Sim"))</f>
        <v/>
      </c>
      <c r="G218" s="27" t="str">
        <f aca="false">IF(B218="","",SUMIFS(Acertos!$D$5:$D$504,Acertos!$C$5:$C$504,B218))</f>
        <v/>
      </c>
      <c r="H218" s="36" t="str">
        <f aca="false">IF(B218="","",E218+G218-F218)</f>
        <v/>
      </c>
      <c r="I218" s="46" t="str">
        <f aca="false">IF(B218="","",IF(COUNTIF(Vendas!$C$5:$C$3004,B218)=0,"",_xlfn.MAXIFS(Vendas!$B$5:$B$3004,Vendas!$C$5:$C$3004,B218)))</f>
        <v/>
      </c>
      <c r="J218" s="39" t="str">
        <f aca="false">IF(B218="","",IF(H218&gt;0.005,"Deve",IF(H218&lt;-0.005,"Tem crédito",IF(E218&gt;0,"Em dia","Ainda não comprou"))))</f>
        <v/>
      </c>
    </row>
    <row r="219" customFormat="false" ht="21" hidden="false" customHeight="true" outlineLevel="0" collapsed="false">
      <c r="B219" s="9"/>
      <c r="C219" s="45"/>
      <c r="D219" s="9"/>
      <c r="E219" s="27" t="str">
        <f aca="false">IF(B219="","",SUMIFS(Vendas!$G$5:$G$3004,Vendas!$C$5:$C$3004,B219))</f>
        <v/>
      </c>
      <c r="F219" s="27" t="str">
        <f aca="false">IF(B219="","",SUMIFS(Recebi!$D$5:$D$3004,Recebi!$C$5:$C$3004,B219)+SUMIFS(Vendas!$G$5:$G$3004,Vendas!$C$5:$C$3004,B219,Vendas!$J$5:$J$3004,"Sim"))</f>
        <v/>
      </c>
      <c r="G219" s="27" t="str">
        <f aca="false">IF(B219="","",SUMIFS(Acertos!$D$5:$D$504,Acertos!$C$5:$C$504,B219))</f>
        <v/>
      </c>
      <c r="H219" s="36" t="str">
        <f aca="false">IF(B219="","",E219+G219-F219)</f>
        <v/>
      </c>
      <c r="I219" s="46" t="str">
        <f aca="false">IF(B219="","",IF(COUNTIF(Vendas!$C$5:$C$3004,B219)=0,"",_xlfn.MAXIFS(Vendas!$B$5:$B$3004,Vendas!$C$5:$C$3004,B219)))</f>
        <v/>
      </c>
      <c r="J219" s="39" t="str">
        <f aca="false">IF(B219="","",IF(H219&gt;0.005,"Deve",IF(H219&lt;-0.005,"Tem crédito",IF(E219&gt;0,"Em dia","Ainda não comprou"))))</f>
        <v/>
      </c>
    </row>
    <row r="220" customFormat="false" ht="21" hidden="false" customHeight="true" outlineLevel="0" collapsed="false">
      <c r="B220" s="9"/>
      <c r="C220" s="45"/>
      <c r="D220" s="9"/>
      <c r="E220" s="27" t="str">
        <f aca="false">IF(B220="","",SUMIFS(Vendas!$G$5:$G$3004,Vendas!$C$5:$C$3004,B220))</f>
        <v/>
      </c>
      <c r="F220" s="27" t="str">
        <f aca="false">IF(B220="","",SUMIFS(Recebi!$D$5:$D$3004,Recebi!$C$5:$C$3004,B220)+SUMIFS(Vendas!$G$5:$G$3004,Vendas!$C$5:$C$3004,B220,Vendas!$J$5:$J$3004,"Sim"))</f>
        <v/>
      </c>
      <c r="G220" s="27" t="str">
        <f aca="false">IF(B220="","",SUMIFS(Acertos!$D$5:$D$504,Acertos!$C$5:$C$504,B220))</f>
        <v/>
      </c>
      <c r="H220" s="36" t="str">
        <f aca="false">IF(B220="","",E220+G220-F220)</f>
        <v/>
      </c>
      <c r="I220" s="46" t="str">
        <f aca="false">IF(B220="","",IF(COUNTIF(Vendas!$C$5:$C$3004,B220)=0,"",_xlfn.MAXIFS(Vendas!$B$5:$B$3004,Vendas!$C$5:$C$3004,B220)))</f>
        <v/>
      </c>
      <c r="J220" s="39" t="str">
        <f aca="false">IF(B220="","",IF(H220&gt;0.005,"Deve",IF(H220&lt;-0.005,"Tem crédito",IF(E220&gt;0,"Em dia","Ainda não comprou"))))</f>
        <v/>
      </c>
    </row>
    <row r="221" customFormat="false" ht="21" hidden="false" customHeight="true" outlineLevel="0" collapsed="false">
      <c r="B221" s="9"/>
      <c r="C221" s="45"/>
      <c r="D221" s="9"/>
      <c r="E221" s="27" t="str">
        <f aca="false">IF(B221="","",SUMIFS(Vendas!$G$5:$G$3004,Vendas!$C$5:$C$3004,B221))</f>
        <v/>
      </c>
      <c r="F221" s="27" t="str">
        <f aca="false">IF(B221="","",SUMIFS(Recebi!$D$5:$D$3004,Recebi!$C$5:$C$3004,B221)+SUMIFS(Vendas!$G$5:$G$3004,Vendas!$C$5:$C$3004,B221,Vendas!$J$5:$J$3004,"Sim"))</f>
        <v/>
      </c>
      <c r="G221" s="27" t="str">
        <f aca="false">IF(B221="","",SUMIFS(Acertos!$D$5:$D$504,Acertos!$C$5:$C$504,B221))</f>
        <v/>
      </c>
      <c r="H221" s="36" t="str">
        <f aca="false">IF(B221="","",E221+G221-F221)</f>
        <v/>
      </c>
      <c r="I221" s="46" t="str">
        <f aca="false">IF(B221="","",IF(COUNTIF(Vendas!$C$5:$C$3004,B221)=0,"",_xlfn.MAXIFS(Vendas!$B$5:$B$3004,Vendas!$C$5:$C$3004,B221)))</f>
        <v/>
      </c>
      <c r="J221" s="39" t="str">
        <f aca="false">IF(B221="","",IF(H221&gt;0.005,"Deve",IF(H221&lt;-0.005,"Tem crédito",IF(E221&gt;0,"Em dia","Ainda não comprou"))))</f>
        <v/>
      </c>
    </row>
    <row r="222" customFormat="false" ht="21" hidden="false" customHeight="true" outlineLevel="0" collapsed="false">
      <c r="B222" s="9"/>
      <c r="C222" s="45"/>
      <c r="D222" s="9"/>
      <c r="E222" s="27" t="str">
        <f aca="false">IF(B222="","",SUMIFS(Vendas!$G$5:$G$3004,Vendas!$C$5:$C$3004,B222))</f>
        <v/>
      </c>
      <c r="F222" s="27" t="str">
        <f aca="false">IF(B222="","",SUMIFS(Recebi!$D$5:$D$3004,Recebi!$C$5:$C$3004,B222)+SUMIFS(Vendas!$G$5:$G$3004,Vendas!$C$5:$C$3004,B222,Vendas!$J$5:$J$3004,"Sim"))</f>
        <v/>
      </c>
      <c r="G222" s="27" t="str">
        <f aca="false">IF(B222="","",SUMIFS(Acertos!$D$5:$D$504,Acertos!$C$5:$C$504,B222))</f>
        <v/>
      </c>
      <c r="H222" s="36" t="str">
        <f aca="false">IF(B222="","",E222+G222-F222)</f>
        <v/>
      </c>
      <c r="I222" s="46" t="str">
        <f aca="false">IF(B222="","",IF(COUNTIF(Vendas!$C$5:$C$3004,B222)=0,"",_xlfn.MAXIFS(Vendas!$B$5:$B$3004,Vendas!$C$5:$C$3004,B222)))</f>
        <v/>
      </c>
      <c r="J222" s="39" t="str">
        <f aca="false">IF(B222="","",IF(H222&gt;0.005,"Deve",IF(H222&lt;-0.005,"Tem crédito",IF(E222&gt;0,"Em dia","Ainda não comprou"))))</f>
        <v/>
      </c>
    </row>
    <row r="223" customFormat="false" ht="21" hidden="false" customHeight="true" outlineLevel="0" collapsed="false">
      <c r="B223" s="9"/>
      <c r="C223" s="45"/>
      <c r="D223" s="9"/>
      <c r="E223" s="27" t="str">
        <f aca="false">IF(B223="","",SUMIFS(Vendas!$G$5:$G$3004,Vendas!$C$5:$C$3004,B223))</f>
        <v/>
      </c>
      <c r="F223" s="27" t="str">
        <f aca="false">IF(B223="","",SUMIFS(Recebi!$D$5:$D$3004,Recebi!$C$5:$C$3004,B223)+SUMIFS(Vendas!$G$5:$G$3004,Vendas!$C$5:$C$3004,B223,Vendas!$J$5:$J$3004,"Sim"))</f>
        <v/>
      </c>
      <c r="G223" s="27" t="str">
        <f aca="false">IF(B223="","",SUMIFS(Acertos!$D$5:$D$504,Acertos!$C$5:$C$504,B223))</f>
        <v/>
      </c>
      <c r="H223" s="36" t="str">
        <f aca="false">IF(B223="","",E223+G223-F223)</f>
        <v/>
      </c>
      <c r="I223" s="46" t="str">
        <f aca="false">IF(B223="","",IF(COUNTIF(Vendas!$C$5:$C$3004,B223)=0,"",_xlfn.MAXIFS(Vendas!$B$5:$B$3004,Vendas!$C$5:$C$3004,B223)))</f>
        <v/>
      </c>
      <c r="J223" s="39" t="str">
        <f aca="false">IF(B223="","",IF(H223&gt;0.005,"Deve",IF(H223&lt;-0.005,"Tem crédito",IF(E223&gt;0,"Em dia","Ainda não comprou"))))</f>
        <v/>
      </c>
    </row>
    <row r="224" customFormat="false" ht="21" hidden="false" customHeight="true" outlineLevel="0" collapsed="false">
      <c r="B224" s="9"/>
      <c r="C224" s="45"/>
      <c r="D224" s="9"/>
      <c r="E224" s="27" t="str">
        <f aca="false">IF(B224="","",SUMIFS(Vendas!$G$5:$G$3004,Vendas!$C$5:$C$3004,B224))</f>
        <v/>
      </c>
      <c r="F224" s="27" t="str">
        <f aca="false">IF(B224="","",SUMIFS(Recebi!$D$5:$D$3004,Recebi!$C$5:$C$3004,B224)+SUMIFS(Vendas!$G$5:$G$3004,Vendas!$C$5:$C$3004,B224,Vendas!$J$5:$J$3004,"Sim"))</f>
        <v/>
      </c>
      <c r="G224" s="27" t="str">
        <f aca="false">IF(B224="","",SUMIFS(Acertos!$D$5:$D$504,Acertos!$C$5:$C$504,B224))</f>
        <v/>
      </c>
      <c r="H224" s="36" t="str">
        <f aca="false">IF(B224="","",E224+G224-F224)</f>
        <v/>
      </c>
      <c r="I224" s="46" t="str">
        <f aca="false">IF(B224="","",IF(COUNTIF(Vendas!$C$5:$C$3004,B224)=0,"",_xlfn.MAXIFS(Vendas!$B$5:$B$3004,Vendas!$C$5:$C$3004,B224)))</f>
        <v/>
      </c>
      <c r="J224" s="39" t="str">
        <f aca="false">IF(B224="","",IF(H224&gt;0.005,"Deve",IF(H224&lt;-0.005,"Tem crédito",IF(E224&gt;0,"Em dia","Ainda não comprou"))))</f>
        <v/>
      </c>
    </row>
    <row r="225" customFormat="false" ht="21" hidden="false" customHeight="true" outlineLevel="0" collapsed="false">
      <c r="B225" s="9"/>
      <c r="C225" s="45"/>
      <c r="D225" s="9"/>
      <c r="E225" s="27" t="str">
        <f aca="false">IF(B225="","",SUMIFS(Vendas!$G$5:$G$3004,Vendas!$C$5:$C$3004,B225))</f>
        <v/>
      </c>
      <c r="F225" s="27" t="str">
        <f aca="false">IF(B225="","",SUMIFS(Recebi!$D$5:$D$3004,Recebi!$C$5:$C$3004,B225)+SUMIFS(Vendas!$G$5:$G$3004,Vendas!$C$5:$C$3004,B225,Vendas!$J$5:$J$3004,"Sim"))</f>
        <v/>
      </c>
      <c r="G225" s="27" t="str">
        <f aca="false">IF(B225="","",SUMIFS(Acertos!$D$5:$D$504,Acertos!$C$5:$C$504,B225))</f>
        <v/>
      </c>
      <c r="H225" s="36" t="str">
        <f aca="false">IF(B225="","",E225+G225-F225)</f>
        <v/>
      </c>
      <c r="I225" s="46" t="str">
        <f aca="false">IF(B225="","",IF(COUNTIF(Vendas!$C$5:$C$3004,B225)=0,"",_xlfn.MAXIFS(Vendas!$B$5:$B$3004,Vendas!$C$5:$C$3004,B225)))</f>
        <v/>
      </c>
      <c r="J225" s="39" t="str">
        <f aca="false">IF(B225="","",IF(H225&gt;0.005,"Deve",IF(H225&lt;-0.005,"Tem crédito",IF(E225&gt;0,"Em dia","Ainda não comprou"))))</f>
        <v/>
      </c>
    </row>
    <row r="226" customFormat="false" ht="21" hidden="false" customHeight="true" outlineLevel="0" collapsed="false">
      <c r="B226" s="9"/>
      <c r="C226" s="45"/>
      <c r="D226" s="9"/>
      <c r="E226" s="27" t="str">
        <f aca="false">IF(B226="","",SUMIFS(Vendas!$G$5:$G$3004,Vendas!$C$5:$C$3004,B226))</f>
        <v/>
      </c>
      <c r="F226" s="27" t="str">
        <f aca="false">IF(B226="","",SUMIFS(Recebi!$D$5:$D$3004,Recebi!$C$5:$C$3004,B226)+SUMIFS(Vendas!$G$5:$G$3004,Vendas!$C$5:$C$3004,B226,Vendas!$J$5:$J$3004,"Sim"))</f>
        <v/>
      </c>
      <c r="G226" s="27" t="str">
        <f aca="false">IF(B226="","",SUMIFS(Acertos!$D$5:$D$504,Acertos!$C$5:$C$504,B226))</f>
        <v/>
      </c>
      <c r="H226" s="36" t="str">
        <f aca="false">IF(B226="","",E226+G226-F226)</f>
        <v/>
      </c>
      <c r="I226" s="46" t="str">
        <f aca="false">IF(B226="","",IF(COUNTIF(Vendas!$C$5:$C$3004,B226)=0,"",_xlfn.MAXIFS(Vendas!$B$5:$B$3004,Vendas!$C$5:$C$3004,B226)))</f>
        <v/>
      </c>
      <c r="J226" s="39" t="str">
        <f aca="false">IF(B226="","",IF(H226&gt;0.005,"Deve",IF(H226&lt;-0.005,"Tem crédito",IF(E226&gt;0,"Em dia","Ainda não comprou"))))</f>
        <v/>
      </c>
    </row>
    <row r="227" customFormat="false" ht="21" hidden="false" customHeight="true" outlineLevel="0" collapsed="false">
      <c r="B227" s="9"/>
      <c r="C227" s="45"/>
      <c r="D227" s="9"/>
      <c r="E227" s="27" t="str">
        <f aca="false">IF(B227="","",SUMIFS(Vendas!$G$5:$G$3004,Vendas!$C$5:$C$3004,B227))</f>
        <v/>
      </c>
      <c r="F227" s="27" t="str">
        <f aca="false">IF(B227="","",SUMIFS(Recebi!$D$5:$D$3004,Recebi!$C$5:$C$3004,B227)+SUMIFS(Vendas!$G$5:$G$3004,Vendas!$C$5:$C$3004,B227,Vendas!$J$5:$J$3004,"Sim"))</f>
        <v/>
      </c>
      <c r="G227" s="27" t="str">
        <f aca="false">IF(B227="","",SUMIFS(Acertos!$D$5:$D$504,Acertos!$C$5:$C$504,B227))</f>
        <v/>
      </c>
      <c r="H227" s="36" t="str">
        <f aca="false">IF(B227="","",E227+G227-F227)</f>
        <v/>
      </c>
      <c r="I227" s="46" t="str">
        <f aca="false">IF(B227="","",IF(COUNTIF(Vendas!$C$5:$C$3004,B227)=0,"",_xlfn.MAXIFS(Vendas!$B$5:$B$3004,Vendas!$C$5:$C$3004,B227)))</f>
        <v/>
      </c>
      <c r="J227" s="39" t="str">
        <f aca="false">IF(B227="","",IF(H227&gt;0.005,"Deve",IF(H227&lt;-0.005,"Tem crédito",IF(E227&gt;0,"Em dia","Ainda não comprou"))))</f>
        <v/>
      </c>
    </row>
    <row r="228" customFormat="false" ht="21" hidden="false" customHeight="true" outlineLevel="0" collapsed="false">
      <c r="B228" s="9"/>
      <c r="C228" s="45"/>
      <c r="D228" s="9"/>
      <c r="E228" s="27" t="str">
        <f aca="false">IF(B228="","",SUMIFS(Vendas!$G$5:$G$3004,Vendas!$C$5:$C$3004,B228))</f>
        <v/>
      </c>
      <c r="F228" s="27" t="str">
        <f aca="false">IF(B228="","",SUMIFS(Recebi!$D$5:$D$3004,Recebi!$C$5:$C$3004,B228)+SUMIFS(Vendas!$G$5:$G$3004,Vendas!$C$5:$C$3004,B228,Vendas!$J$5:$J$3004,"Sim"))</f>
        <v/>
      </c>
      <c r="G228" s="27" t="str">
        <f aca="false">IF(B228="","",SUMIFS(Acertos!$D$5:$D$504,Acertos!$C$5:$C$504,B228))</f>
        <v/>
      </c>
      <c r="H228" s="36" t="str">
        <f aca="false">IF(B228="","",E228+G228-F228)</f>
        <v/>
      </c>
      <c r="I228" s="46" t="str">
        <f aca="false">IF(B228="","",IF(COUNTIF(Vendas!$C$5:$C$3004,B228)=0,"",_xlfn.MAXIFS(Vendas!$B$5:$B$3004,Vendas!$C$5:$C$3004,B228)))</f>
        <v/>
      </c>
      <c r="J228" s="39" t="str">
        <f aca="false">IF(B228="","",IF(H228&gt;0.005,"Deve",IF(H228&lt;-0.005,"Tem crédito",IF(E228&gt;0,"Em dia","Ainda não comprou"))))</f>
        <v/>
      </c>
    </row>
    <row r="229" customFormat="false" ht="21" hidden="false" customHeight="true" outlineLevel="0" collapsed="false">
      <c r="B229" s="9"/>
      <c r="C229" s="45"/>
      <c r="D229" s="9"/>
      <c r="E229" s="27" t="str">
        <f aca="false">IF(B229="","",SUMIFS(Vendas!$G$5:$G$3004,Vendas!$C$5:$C$3004,B229))</f>
        <v/>
      </c>
      <c r="F229" s="27" t="str">
        <f aca="false">IF(B229="","",SUMIFS(Recebi!$D$5:$D$3004,Recebi!$C$5:$C$3004,B229)+SUMIFS(Vendas!$G$5:$G$3004,Vendas!$C$5:$C$3004,B229,Vendas!$J$5:$J$3004,"Sim"))</f>
        <v/>
      </c>
      <c r="G229" s="27" t="str">
        <f aca="false">IF(B229="","",SUMIFS(Acertos!$D$5:$D$504,Acertos!$C$5:$C$504,B229))</f>
        <v/>
      </c>
      <c r="H229" s="36" t="str">
        <f aca="false">IF(B229="","",E229+G229-F229)</f>
        <v/>
      </c>
      <c r="I229" s="46" t="str">
        <f aca="false">IF(B229="","",IF(COUNTIF(Vendas!$C$5:$C$3004,B229)=0,"",_xlfn.MAXIFS(Vendas!$B$5:$B$3004,Vendas!$C$5:$C$3004,B229)))</f>
        <v/>
      </c>
      <c r="J229" s="39" t="str">
        <f aca="false">IF(B229="","",IF(H229&gt;0.005,"Deve",IF(H229&lt;-0.005,"Tem crédito",IF(E229&gt;0,"Em dia","Ainda não comprou"))))</f>
        <v/>
      </c>
    </row>
    <row r="230" customFormat="false" ht="21" hidden="false" customHeight="true" outlineLevel="0" collapsed="false">
      <c r="B230" s="9"/>
      <c r="C230" s="45"/>
      <c r="D230" s="9"/>
      <c r="E230" s="27" t="str">
        <f aca="false">IF(B230="","",SUMIFS(Vendas!$G$5:$G$3004,Vendas!$C$5:$C$3004,B230))</f>
        <v/>
      </c>
      <c r="F230" s="27" t="str">
        <f aca="false">IF(B230="","",SUMIFS(Recebi!$D$5:$D$3004,Recebi!$C$5:$C$3004,B230)+SUMIFS(Vendas!$G$5:$G$3004,Vendas!$C$5:$C$3004,B230,Vendas!$J$5:$J$3004,"Sim"))</f>
        <v/>
      </c>
      <c r="G230" s="27" t="str">
        <f aca="false">IF(B230="","",SUMIFS(Acertos!$D$5:$D$504,Acertos!$C$5:$C$504,B230))</f>
        <v/>
      </c>
      <c r="H230" s="36" t="str">
        <f aca="false">IF(B230="","",E230+G230-F230)</f>
        <v/>
      </c>
      <c r="I230" s="46" t="str">
        <f aca="false">IF(B230="","",IF(COUNTIF(Vendas!$C$5:$C$3004,B230)=0,"",_xlfn.MAXIFS(Vendas!$B$5:$B$3004,Vendas!$C$5:$C$3004,B230)))</f>
        <v/>
      </c>
      <c r="J230" s="39" t="str">
        <f aca="false">IF(B230="","",IF(H230&gt;0.005,"Deve",IF(H230&lt;-0.005,"Tem crédito",IF(E230&gt;0,"Em dia","Ainda não comprou"))))</f>
        <v/>
      </c>
    </row>
    <row r="231" customFormat="false" ht="21" hidden="false" customHeight="true" outlineLevel="0" collapsed="false">
      <c r="B231" s="9"/>
      <c r="C231" s="45"/>
      <c r="D231" s="9"/>
      <c r="E231" s="27" t="str">
        <f aca="false">IF(B231="","",SUMIFS(Vendas!$G$5:$G$3004,Vendas!$C$5:$C$3004,B231))</f>
        <v/>
      </c>
      <c r="F231" s="27" t="str">
        <f aca="false">IF(B231="","",SUMIFS(Recebi!$D$5:$D$3004,Recebi!$C$5:$C$3004,B231)+SUMIFS(Vendas!$G$5:$G$3004,Vendas!$C$5:$C$3004,B231,Vendas!$J$5:$J$3004,"Sim"))</f>
        <v/>
      </c>
      <c r="G231" s="27" t="str">
        <f aca="false">IF(B231="","",SUMIFS(Acertos!$D$5:$D$504,Acertos!$C$5:$C$504,B231))</f>
        <v/>
      </c>
      <c r="H231" s="36" t="str">
        <f aca="false">IF(B231="","",E231+G231-F231)</f>
        <v/>
      </c>
      <c r="I231" s="46" t="str">
        <f aca="false">IF(B231="","",IF(COUNTIF(Vendas!$C$5:$C$3004,B231)=0,"",_xlfn.MAXIFS(Vendas!$B$5:$B$3004,Vendas!$C$5:$C$3004,B231)))</f>
        <v/>
      </c>
      <c r="J231" s="39" t="str">
        <f aca="false">IF(B231="","",IF(H231&gt;0.005,"Deve",IF(H231&lt;-0.005,"Tem crédito",IF(E231&gt;0,"Em dia","Ainda não comprou"))))</f>
        <v/>
      </c>
    </row>
    <row r="232" customFormat="false" ht="21" hidden="false" customHeight="true" outlineLevel="0" collapsed="false">
      <c r="B232" s="9"/>
      <c r="C232" s="45"/>
      <c r="D232" s="9"/>
      <c r="E232" s="27" t="str">
        <f aca="false">IF(B232="","",SUMIFS(Vendas!$G$5:$G$3004,Vendas!$C$5:$C$3004,B232))</f>
        <v/>
      </c>
      <c r="F232" s="27" t="str">
        <f aca="false">IF(B232="","",SUMIFS(Recebi!$D$5:$D$3004,Recebi!$C$5:$C$3004,B232)+SUMIFS(Vendas!$G$5:$G$3004,Vendas!$C$5:$C$3004,B232,Vendas!$J$5:$J$3004,"Sim"))</f>
        <v/>
      </c>
      <c r="G232" s="27" t="str">
        <f aca="false">IF(B232="","",SUMIFS(Acertos!$D$5:$D$504,Acertos!$C$5:$C$504,B232))</f>
        <v/>
      </c>
      <c r="H232" s="36" t="str">
        <f aca="false">IF(B232="","",E232+G232-F232)</f>
        <v/>
      </c>
      <c r="I232" s="46" t="str">
        <f aca="false">IF(B232="","",IF(COUNTIF(Vendas!$C$5:$C$3004,B232)=0,"",_xlfn.MAXIFS(Vendas!$B$5:$B$3004,Vendas!$C$5:$C$3004,B232)))</f>
        <v/>
      </c>
      <c r="J232" s="39" t="str">
        <f aca="false">IF(B232="","",IF(H232&gt;0.005,"Deve",IF(H232&lt;-0.005,"Tem crédito",IF(E232&gt;0,"Em dia","Ainda não comprou"))))</f>
        <v/>
      </c>
    </row>
    <row r="233" customFormat="false" ht="21" hidden="false" customHeight="true" outlineLevel="0" collapsed="false">
      <c r="B233" s="9"/>
      <c r="C233" s="45"/>
      <c r="D233" s="9"/>
      <c r="E233" s="27" t="str">
        <f aca="false">IF(B233="","",SUMIFS(Vendas!$G$5:$G$3004,Vendas!$C$5:$C$3004,B233))</f>
        <v/>
      </c>
      <c r="F233" s="27" t="str">
        <f aca="false">IF(B233="","",SUMIFS(Recebi!$D$5:$D$3004,Recebi!$C$5:$C$3004,B233)+SUMIFS(Vendas!$G$5:$G$3004,Vendas!$C$5:$C$3004,B233,Vendas!$J$5:$J$3004,"Sim"))</f>
        <v/>
      </c>
      <c r="G233" s="27" t="str">
        <f aca="false">IF(B233="","",SUMIFS(Acertos!$D$5:$D$504,Acertos!$C$5:$C$504,B233))</f>
        <v/>
      </c>
      <c r="H233" s="36" t="str">
        <f aca="false">IF(B233="","",E233+G233-F233)</f>
        <v/>
      </c>
      <c r="I233" s="46" t="str">
        <f aca="false">IF(B233="","",IF(COUNTIF(Vendas!$C$5:$C$3004,B233)=0,"",_xlfn.MAXIFS(Vendas!$B$5:$B$3004,Vendas!$C$5:$C$3004,B233)))</f>
        <v/>
      </c>
      <c r="J233" s="39" t="str">
        <f aca="false">IF(B233="","",IF(H233&gt;0.005,"Deve",IF(H233&lt;-0.005,"Tem crédito",IF(E233&gt;0,"Em dia","Ainda não comprou"))))</f>
        <v/>
      </c>
    </row>
    <row r="234" customFormat="false" ht="21" hidden="false" customHeight="true" outlineLevel="0" collapsed="false">
      <c r="B234" s="9"/>
      <c r="C234" s="45"/>
      <c r="D234" s="9"/>
      <c r="E234" s="27" t="str">
        <f aca="false">IF(B234="","",SUMIFS(Vendas!$G$5:$G$3004,Vendas!$C$5:$C$3004,B234))</f>
        <v/>
      </c>
      <c r="F234" s="27" t="str">
        <f aca="false">IF(B234="","",SUMIFS(Recebi!$D$5:$D$3004,Recebi!$C$5:$C$3004,B234)+SUMIFS(Vendas!$G$5:$G$3004,Vendas!$C$5:$C$3004,B234,Vendas!$J$5:$J$3004,"Sim"))</f>
        <v/>
      </c>
      <c r="G234" s="27" t="str">
        <f aca="false">IF(B234="","",SUMIFS(Acertos!$D$5:$D$504,Acertos!$C$5:$C$504,B234))</f>
        <v/>
      </c>
      <c r="H234" s="36" t="str">
        <f aca="false">IF(B234="","",E234+G234-F234)</f>
        <v/>
      </c>
      <c r="I234" s="46" t="str">
        <f aca="false">IF(B234="","",IF(COUNTIF(Vendas!$C$5:$C$3004,B234)=0,"",_xlfn.MAXIFS(Vendas!$B$5:$B$3004,Vendas!$C$5:$C$3004,B234)))</f>
        <v/>
      </c>
      <c r="J234" s="39" t="str">
        <f aca="false">IF(B234="","",IF(H234&gt;0.005,"Deve",IF(H234&lt;-0.005,"Tem crédito",IF(E234&gt;0,"Em dia","Ainda não comprou"))))</f>
        <v/>
      </c>
    </row>
    <row r="235" customFormat="false" ht="21" hidden="false" customHeight="true" outlineLevel="0" collapsed="false">
      <c r="B235" s="9"/>
      <c r="C235" s="45"/>
      <c r="D235" s="9"/>
      <c r="E235" s="27" t="str">
        <f aca="false">IF(B235="","",SUMIFS(Vendas!$G$5:$G$3004,Vendas!$C$5:$C$3004,B235))</f>
        <v/>
      </c>
      <c r="F235" s="27" t="str">
        <f aca="false">IF(B235="","",SUMIFS(Recebi!$D$5:$D$3004,Recebi!$C$5:$C$3004,B235)+SUMIFS(Vendas!$G$5:$G$3004,Vendas!$C$5:$C$3004,B235,Vendas!$J$5:$J$3004,"Sim"))</f>
        <v/>
      </c>
      <c r="G235" s="27" t="str">
        <f aca="false">IF(B235="","",SUMIFS(Acertos!$D$5:$D$504,Acertos!$C$5:$C$504,B235))</f>
        <v/>
      </c>
      <c r="H235" s="36" t="str">
        <f aca="false">IF(B235="","",E235+G235-F235)</f>
        <v/>
      </c>
      <c r="I235" s="46" t="str">
        <f aca="false">IF(B235="","",IF(COUNTIF(Vendas!$C$5:$C$3004,B235)=0,"",_xlfn.MAXIFS(Vendas!$B$5:$B$3004,Vendas!$C$5:$C$3004,B235)))</f>
        <v/>
      </c>
      <c r="J235" s="39" t="str">
        <f aca="false">IF(B235="","",IF(H235&gt;0.005,"Deve",IF(H235&lt;-0.005,"Tem crédito",IF(E235&gt;0,"Em dia","Ainda não comprou"))))</f>
        <v/>
      </c>
    </row>
    <row r="236" customFormat="false" ht="21" hidden="false" customHeight="true" outlineLevel="0" collapsed="false">
      <c r="B236" s="9"/>
      <c r="C236" s="45"/>
      <c r="D236" s="9"/>
      <c r="E236" s="27" t="str">
        <f aca="false">IF(B236="","",SUMIFS(Vendas!$G$5:$G$3004,Vendas!$C$5:$C$3004,B236))</f>
        <v/>
      </c>
      <c r="F236" s="27" t="str">
        <f aca="false">IF(B236="","",SUMIFS(Recebi!$D$5:$D$3004,Recebi!$C$5:$C$3004,B236)+SUMIFS(Vendas!$G$5:$G$3004,Vendas!$C$5:$C$3004,B236,Vendas!$J$5:$J$3004,"Sim"))</f>
        <v/>
      </c>
      <c r="G236" s="27" t="str">
        <f aca="false">IF(B236="","",SUMIFS(Acertos!$D$5:$D$504,Acertos!$C$5:$C$504,B236))</f>
        <v/>
      </c>
      <c r="H236" s="36" t="str">
        <f aca="false">IF(B236="","",E236+G236-F236)</f>
        <v/>
      </c>
      <c r="I236" s="46" t="str">
        <f aca="false">IF(B236="","",IF(COUNTIF(Vendas!$C$5:$C$3004,B236)=0,"",_xlfn.MAXIFS(Vendas!$B$5:$B$3004,Vendas!$C$5:$C$3004,B236)))</f>
        <v/>
      </c>
      <c r="J236" s="39" t="str">
        <f aca="false">IF(B236="","",IF(H236&gt;0.005,"Deve",IF(H236&lt;-0.005,"Tem crédito",IF(E236&gt;0,"Em dia","Ainda não comprou"))))</f>
        <v/>
      </c>
    </row>
    <row r="237" customFormat="false" ht="21" hidden="false" customHeight="true" outlineLevel="0" collapsed="false">
      <c r="B237" s="9"/>
      <c r="C237" s="45"/>
      <c r="D237" s="9"/>
      <c r="E237" s="27" t="str">
        <f aca="false">IF(B237="","",SUMIFS(Vendas!$G$5:$G$3004,Vendas!$C$5:$C$3004,B237))</f>
        <v/>
      </c>
      <c r="F237" s="27" t="str">
        <f aca="false">IF(B237="","",SUMIFS(Recebi!$D$5:$D$3004,Recebi!$C$5:$C$3004,B237)+SUMIFS(Vendas!$G$5:$G$3004,Vendas!$C$5:$C$3004,B237,Vendas!$J$5:$J$3004,"Sim"))</f>
        <v/>
      </c>
      <c r="G237" s="27" t="str">
        <f aca="false">IF(B237="","",SUMIFS(Acertos!$D$5:$D$504,Acertos!$C$5:$C$504,B237))</f>
        <v/>
      </c>
      <c r="H237" s="36" t="str">
        <f aca="false">IF(B237="","",E237+G237-F237)</f>
        <v/>
      </c>
      <c r="I237" s="46" t="str">
        <f aca="false">IF(B237="","",IF(COUNTIF(Vendas!$C$5:$C$3004,B237)=0,"",_xlfn.MAXIFS(Vendas!$B$5:$B$3004,Vendas!$C$5:$C$3004,B237)))</f>
        <v/>
      </c>
      <c r="J237" s="39" t="str">
        <f aca="false">IF(B237="","",IF(H237&gt;0.005,"Deve",IF(H237&lt;-0.005,"Tem crédito",IF(E237&gt;0,"Em dia","Ainda não comprou"))))</f>
        <v/>
      </c>
    </row>
    <row r="238" customFormat="false" ht="21" hidden="false" customHeight="true" outlineLevel="0" collapsed="false">
      <c r="B238" s="9"/>
      <c r="C238" s="45"/>
      <c r="D238" s="9"/>
      <c r="E238" s="27" t="str">
        <f aca="false">IF(B238="","",SUMIFS(Vendas!$G$5:$G$3004,Vendas!$C$5:$C$3004,B238))</f>
        <v/>
      </c>
      <c r="F238" s="27" t="str">
        <f aca="false">IF(B238="","",SUMIFS(Recebi!$D$5:$D$3004,Recebi!$C$5:$C$3004,B238)+SUMIFS(Vendas!$G$5:$G$3004,Vendas!$C$5:$C$3004,B238,Vendas!$J$5:$J$3004,"Sim"))</f>
        <v/>
      </c>
      <c r="G238" s="27" t="str">
        <f aca="false">IF(B238="","",SUMIFS(Acertos!$D$5:$D$504,Acertos!$C$5:$C$504,B238))</f>
        <v/>
      </c>
      <c r="H238" s="36" t="str">
        <f aca="false">IF(B238="","",E238+G238-F238)</f>
        <v/>
      </c>
      <c r="I238" s="46" t="str">
        <f aca="false">IF(B238="","",IF(COUNTIF(Vendas!$C$5:$C$3004,B238)=0,"",_xlfn.MAXIFS(Vendas!$B$5:$B$3004,Vendas!$C$5:$C$3004,B238)))</f>
        <v/>
      </c>
      <c r="J238" s="39" t="str">
        <f aca="false">IF(B238="","",IF(H238&gt;0.005,"Deve",IF(H238&lt;-0.005,"Tem crédito",IF(E238&gt;0,"Em dia","Ainda não comprou"))))</f>
        <v/>
      </c>
    </row>
    <row r="239" customFormat="false" ht="21" hidden="false" customHeight="true" outlineLevel="0" collapsed="false">
      <c r="B239" s="9"/>
      <c r="C239" s="45"/>
      <c r="D239" s="9"/>
      <c r="E239" s="27" t="str">
        <f aca="false">IF(B239="","",SUMIFS(Vendas!$G$5:$G$3004,Vendas!$C$5:$C$3004,B239))</f>
        <v/>
      </c>
      <c r="F239" s="27" t="str">
        <f aca="false">IF(B239="","",SUMIFS(Recebi!$D$5:$D$3004,Recebi!$C$5:$C$3004,B239)+SUMIFS(Vendas!$G$5:$G$3004,Vendas!$C$5:$C$3004,B239,Vendas!$J$5:$J$3004,"Sim"))</f>
        <v/>
      </c>
      <c r="G239" s="27" t="str">
        <f aca="false">IF(B239="","",SUMIFS(Acertos!$D$5:$D$504,Acertos!$C$5:$C$504,B239))</f>
        <v/>
      </c>
      <c r="H239" s="36" t="str">
        <f aca="false">IF(B239="","",E239+G239-F239)</f>
        <v/>
      </c>
      <c r="I239" s="46" t="str">
        <f aca="false">IF(B239="","",IF(COUNTIF(Vendas!$C$5:$C$3004,B239)=0,"",_xlfn.MAXIFS(Vendas!$B$5:$B$3004,Vendas!$C$5:$C$3004,B239)))</f>
        <v/>
      </c>
      <c r="J239" s="39" t="str">
        <f aca="false">IF(B239="","",IF(H239&gt;0.005,"Deve",IF(H239&lt;-0.005,"Tem crédito",IF(E239&gt;0,"Em dia","Ainda não comprou"))))</f>
        <v/>
      </c>
    </row>
    <row r="240" customFormat="false" ht="21" hidden="false" customHeight="true" outlineLevel="0" collapsed="false">
      <c r="B240" s="9"/>
      <c r="C240" s="45"/>
      <c r="D240" s="9"/>
      <c r="E240" s="27" t="str">
        <f aca="false">IF(B240="","",SUMIFS(Vendas!$G$5:$G$3004,Vendas!$C$5:$C$3004,B240))</f>
        <v/>
      </c>
      <c r="F240" s="27" t="str">
        <f aca="false">IF(B240="","",SUMIFS(Recebi!$D$5:$D$3004,Recebi!$C$5:$C$3004,B240)+SUMIFS(Vendas!$G$5:$G$3004,Vendas!$C$5:$C$3004,B240,Vendas!$J$5:$J$3004,"Sim"))</f>
        <v/>
      </c>
      <c r="G240" s="27" t="str">
        <f aca="false">IF(B240="","",SUMIFS(Acertos!$D$5:$D$504,Acertos!$C$5:$C$504,B240))</f>
        <v/>
      </c>
      <c r="H240" s="36" t="str">
        <f aca="false">IF(B240="","",E240+G240-F240)</f>
        <v/>
      </c>
      <c r="I240" s="46" t="str">
        <f aca="false">IF(B240="","",IF(COUNTIF(Vendas!$C$5:$C$3004,B240)=0,"",_xlfn.MAXIFS(Vendas!$B$5:$B$3004,Vendas!$C$5:$C$3004,B240)))</f>
        <v/>
      </c>
      <c r="J240" s="39" t="str">
        <f aca="false">IF(B240="","",IF(H240&gt;0.005,"Deve",IF(H240&lt;-0.005,"Tem crédito",IF(E240&gt;0,"Em dia","Ainda não comprou"))))</f>
        <v/>
      </c>
    </row>
    <row r="241" customFormat="false" ht="21" hidden="false" customHeight="true" outlineLevel="0" collapsed="false">
      <c r="B241" s="9"/>
      <c r="C241" s="45"/>
      <c r="D241" s="9"/>
      <c r="E241" s="27" t="str">
        <f aca="false">IF(B241="","",SUMIFS(Vendas!$G$5:$G$3004,Vendas!$C$5:$C$3004,B241))</f>
        <v/>
      </c>
      <c r="F241" s="27" t="str">
        <f aca="false">IF(B241="","",SUMIFS(Recebi!$D$5:$D$3004,Recebi!$C$5:$C$3004,B241)+SUMIFS(Vendas!$G$5:$G$3004,Vendas!$C$5:$C$3004,B241,Vendas!$J$5:$J$3004,"Sim"))</f>
        <v/>
      </c>
      <c r="G241" s="27" t="str">
        <f aca="false">IF(B241="","",SUMIFS(Acertos!$D$5:$D$504,Acertos!$C$5:$C$504,B241))</f>
        <v/>
      </c>
      <c r="H241" s="36" t="str">
        <f aca="false">IF(B241="","",E241+G241-F241)</f>
        <v/>
      </c>
      <c r="I241" s="46" t="str">
        <f aca="false">IF(B241="","",IF(COUNTIF(Vendas!$C$5:$C$3004,B241)=0,"",_xlfn.MAXIFS(Vendas!$B$5:$B$3004,Vendas!$C$5:$C$3004,B241)))</f>
        <v/>
      </c>
      <c r="J241" s="39" t="str">
        <f aca="false">IF(B241="","",IF(H241&gt;0.005,"Deve",IF(H241&lt;-0.005,"Tem crédito",IF(E241&gt;0,"Em dia","Ainda não comprou"))))</f>
        <v/>
      </c>
    </row>
    <row r="242" customFormat="false" ht="21" hidden="false" customHeight="true" outlineLevel="0" collapsed="false">
      <c r="B242" s="9"/>
      <c r="C242" s="45"/>
      <c r="D242" s="9"/>
      <c r="E242" s="27" t="str">
        <f aca="false">IF(B242="","",SUMIFS(Vendas!$G$5:$G$3004,Vendas!$C$5:$C$3004,B242))</f>
        <v/>
      </c>
      <c r="F242" s="27" t="str">
        <f aca="false">IF(B242="","",SUMIFS(Recebi!$D$5:$D$3004,Recebi!$C$5:$C$3004,B242)+SUMIFS(Vendas!$G$5:$G$3004,Vendas!$C$5:$C$3004,B242,Vendas!$J$5:$J$3004,"Sim"))</f>
        <v/>
      </c>
      <c r="G242" s="27" t="str">
        <f aca="false">IF(B242="","",SUMIFS(Acertos!$D$5:$D$504,Acertos!$C$5:$C$504,B242))</f>
        <v/>
      </c>
      <c r="H242" s="36" t="str">
        <f aca="false">IF(B242="","",E242+G242-F242)</f>
        <v/>
      </c>
      <c r="I242" s="46" t="str">
        <f aca="false">IF(B242="","",IF(COUNTIF(Vendas!$C$5:$C$3004,B242)=0,"",_xlfn.MAXIFS(Vendas!$B$5:$B$3004,Vendas!$C$5:$C$3004,B242)))</f>
        <v/>
      </c>
      <c r="J242" s="39" t="str">
        <f aca="false">IF(B242="","",IF(H242&gt;0.005,"Deve",IF(H242&lt;-0.005,"Tem crédito",IF(E242&gt;0,"Em dia","Ainda não comprou"))))</f>
        <v/>
      </c>
    </row>
    <row r="243" customFormat="false" ht="21" hidden="false" customHeight="true" outlineLevel="0" collapsed="false">
      <c r="B243" s="9"/>
      <c r="C243" s="45"/>
      <c r="D243" s="9"/>
      <c r="E243" s="27" t="str">
        <f aca="false">IF(B243="","",SUMIFS(Vendas!$G$5:$G$3004,Vendas!$C$5:$C$3004,B243))</f>
        <v/>
      </c>
      <c r="F243" s="27" t="str">
        <f aca="false">IF(B243="","",SUMIFS(Recebi!$D$5:$D$3004,Recebi!$C$5:$C$3004,B243)+SUMIFS(Vendas!$G$5:$G$3004,Vendas!$C$5:$C$3004,B243,Vendas!$J$5:$J$3004,"Sim"))</f>
        <v/>
      </c>
      <c r="G243" s="27" t="str">
        <f aca="false">IF(B243="","",SUMIFS(Acertos!$D$5:$D$504,Acertos!$C$5:$C$504,B243))</f>
        <v/>
      </c>
      <c r="H243" s="36" t="str">
        <f aca="false">IF(B243="","",E243+G243-F243)</f>
        <v/>
      </c>
      <c r="I243" s="46" t="str">
        <f aca="false">IF(B243="","",IF(COUNTIF(Vendas!$C$5:$C$3004,B243)=0,"",_xlfn.MAXIFS(Vendas!$B$5:$B$3004,Vendas!$C$5:$C$3004,B243)))</f>
        <v/>
      </c>
      <c r="J243" s="39" t="str">
        <f aca="false">IF(B243="","",IF(H243&gt;0.005,"Deve",IF(H243&lt;-0.005,"Tem crédito",IF(E243&gt;0,"Em dia","Ainda não comprou"))))</f>
        <v/>
      </c>
    </row>
    <row r="244" customFormat="false" ht="21" hidden="false" customHeight="true" outlineLevel="0" collapsed="false">
      <c r="B244" s="9"/>
      <c r="C244" s="45"/>
      <c r="D244" s="9"/>
      <c r="E244" s="27" t="str">
        <f aca="false">IF(B244="","",SUMIFS(Vendas!$G$5:$G$3004,Vendas!$C$5:$C$3004,B244))</f>
        <v/>
      </c>
      <c r="F244" s="27" t="str">
        <f aca="false">IF(B244="","",SUMIFS(Recebi!$D$5:$D$3004,Recebi!$C$5:$C$3004,B244)+SUMIFS(Vendas!$G$5:$G$3004,Vendas!$C$5:$C$3004,B244,Vendas!$J$5:$J$3004,"Sim"))</f>
        <v/>
      </c>
      <c r="G244" s="27" t="str">
        <f aca="false">IF(B244="","",SUMIFS(Acertos!$D$5:$D$504,Acertos!$C$5:$C$504,B244))</f>
        <v/>
      </c>
      <c r="H244" s="36" t="str">
        <f aca="false">IF(B244="","",E244+G244-F244)</f>
        <v/>
      </c>
      <c r="I244" s="46" t="str">
        <f aca="false">IF(B244="","",IF(COUNTIF(Vendas!$C$5:$C$3004,B244)=0,"",_xlfn.MAXIFS(Vendas!$B$5:$B$3004,Vendas!$C$5:$C$3004,B244)))</f>
        <v/>
      </c>
      <c r="J244" s="39" t="str">
        <f aca="false">IF(B244="","",IF(H244&gt;0.005,"Deve",IF(H244&lt;-0.005,"Tem crédito",IF(E244&gt;0,"Em dia","Ainda não comprou"))))</f>
        <v/>
      </c>
    </row>
    <row r="245" customFormat="false" ht="21" hidden="false" customHeight="true" outlineLevel="0" collapsed="false">
      <c r="B245" s="9"/>
      <c r="C245" s="45"/>
      <c r="D245" s="9"/>
      <c r="E245" s="27" t="str">
        <f aca="false">IF(B245="","",SUMIFS(Vendas!$G$5:$G$3004,Vendas!$C$5:$C$3004,B245))</f>
        <v/>
      </c>
      <c r="F245" s="27" t="str">
        <f aca="false">IF(B245="","",SUMIFS(Recebi!$D$5:$D$3004,Recebi!$C$5:$C$3004,B245)+SUMIFS(Vendas!$G$5:$G$3004,Vendas!$C$5:$C$3004,B245,Vendas!$J$5:$J$3004,"Sim"))</f>
        <v/>
      </c>
      <c r="G245" s="27" t="str">
        <f aca="false">IF(B245="","",SUMIFS(Acertos!$D$5:$D$504,Acertos!$C$5:$C$504,B245))</f>
        <v/>
      </c>
      <c r="H245" s="36" t="str">
        <f aca="false">IF(B245="","",E245+G245-F245)</f>
        <v/>
      </c>
      <c r="I245" s="46" t="str">
        <f aca="false">IF(B245="","",IF(COUNTIF(Vendas!$C$5:$C$3004,B245)=0,"",_xlfn.MAXIFS(Vendas!$B$5:$B$3004,Vendas!$C$5:$C$3004,B245)))</f>
        <v/>
      </c>
      <c r="J245" s="39" t="str">
        <f aca="false">IF(B245="","",IF(H245&gt;0.005,"Deve",IF(H245&lt;-0.005,"Tem crédito",IF(E245&gt;0,"Em dia","Ainda não comprou"))))</f>
        <v/>
      </c>
    </row>
    <row r="246" customFormat="false" ht="21" hidden="false" customHeight="true" outlineLevel="0" collapsed="false">
      <c r="B246" s="9"/>
      <c r="C246" s="45"/>
      <c r="D246" s="9"/>
      <c r="E246" s="27" t="str">
        <f aca="false">IF(B246="","",SUMIFS(Vendas!$G$5:$G$3004,Vendas!$C$5:$C$3004,B246))</f>
        <v/>
      </c>
      <c r="F246" s="27" t="str">
        <f aca="false">IF(B246="","",SUMIFS(Recebi!$D$5:$D$3004,Recebi!$C$5:$C$3004,B246)+SUMIFS(Vendas!$G$5:$G$3004,Vendas!$C$5:$C$3004,B246,Vendas!$J$5:$J$3004,"Sim"))</f>
        <v/>
      </c>
      <c r="G246" s="27" t="str">
        <f aca="false">IF(B246="","",SUMIFS(Acertos!$D$5:$D$504,Acertos!$C$5:$C$504,B246))</f>
        <v/>
      </c>
      <c r="H246" s="36" t="str">
        <f aca="false">IF(B246="","",E246+G246-F246)</f>
        <v/>
      </c>
      <c r="I246" s="46" t="str">
        <f aca="false">IF(B246="","",IF(COUNTIF(Vendas!$C$5:$C$3004,B246)=0,"",_xlfn.MAXIFS(Vendas!$B$5:$B$3004,Vendas!$C$5:$C$3004,B246)))</f>
        <v/>
      </c>
      <c r="J246" s="39" t="str">
        <f aca="false">IF(B246="","",IF(H246&gt;0.005,"Deve",IF(H246&lt;-0.005,"Tem crédito",IF(E246&gt;0,"Em dia","Ainda não comprou"))))</f>
        <v/>
      </c>
    </row>
    <row r="247" customFormat="false" ht="21" hidden="false" customHeight="true" outlineLevel="0" collapsed="false">
      <c r="B247" s="9"/>
      <c r="C247" s="45"/>
      <c r="D247" s="9"/>
      <c r="E247" s="27" t="str">
        <f aca="false">IF(B247="","",SUMIFS(Vendas!$G$5:$G$3004,Vendas!$C$5:$C$3004,B247))</f>
        <v/>
      </c>
      <c r="F247" s="27" t="str">
        <f aca="false">IF(B247="","",SUMIFS(Recebi!$D$5:$D$3004,Recebi!$C$5:$C$3004,B247)+SUMIFS(Vendas!$G$5:$G$3004,Vendas!$C$5:$C$3004,B247,Vendas!$J$5:$J$3004,"Sim"))</f>
        <v/>
      </c>
      <c r="G247" s="27" t="str">
        <f aca="false">IF(B247="","",SUMIFS(Acertos!$D$5:$D$504,Acertos!$C$5:$C$504,B247))</f>
        <v/>
      </c>
      <c r="H247" s="36" t="str">
        <f aca="false">IF(B247="","",E247+G247-F247)</f>
        <v/>
      </c>
      <c r="I247" s="46" t="str">
        <f aca="false">IF(B247="","",IF(COUNTIF(Vendas!$C$5:$C$3004,B247)=0,"",_xlfn.MAXIFS(Vendas!$B$5:$B$3004,Vendas!$C$5:$C$3004,B247)))</f>
        <v/>
      </c>
      <c r="J247" s="39" t="str">
        <f aca="false">IF(B247="","",IF(H247&gt;0.005,"Deve",IF(H247&lt;-0.005,"Tem crédito",IF(E247&gt;0,"Em dia","Ainda não comprou"))))</f>
        <v/>
      </c>
    </row>
    <row r="248" customFormat="false" ht="21" hidden="false" customHeight="true" outlineLevel="0" collapsed="false">
      <c r="B248" s="9"/>
      <c r="C248" s="45"/>
      <c r="D248" s="9"/>
      <c r="E248" s="27" t="str">
        <f aca="false">IF(B248="","",SUMIFS(Vendas!$G$5:$G$3004,Vendas!$C$5:$C$3004,B248))</f>
        <v/>
      </c>
      <c r="F248" s="27" t="str">
        <f aca="false">IF(B248="","",SUMIFS(Recebi!$D$5:$D$3004,Recebi!$C$5:$C$3004,B248)+SUMIFS(Vendas!$G$5:$G$3004,Vendas!$C$5:$C$3004,B248,Vendas!$J$5:$J$3004,"Sim"))</f>
        <v/>
      </c>
      <c r="G248" s="27" t="str">
        <f aca="false">IF(B248="","",SUMIFS(Acertos!$D$5:$D$504,Acertos!$C$5:$C$504,B248))</f>
        <v/>
      </c>
      <c r="H248" s="36" t="str">
        <f aca="false">IF(B248="","",E248+G248-F248)</f>
        <v/>
      </c>
      <c r="I248" s="46" t="str">
        <f aca="false">IF(B248="","",IF(COUNTIF(Vendas!$C$5:$C$3004,B248)=0,"",_xlfn.MAXIFS(Vendas!$B$5:$B$3004,Vendas!$C$5:$C$3004,B248)))</f>
        <v/>
      </c>
      <c r="J248" s="39" t="str">
        <f aca="false">IF(B248="","",IF(H248&gt;0.005,"Deve",IF(H248&lt;-0.005,"Tem crédito",IF(E248&gt;0,"Em dia","Ainda não comprou"))))</f>
        <v/>
      </c>
    </row>
    <row r="249" customFormat="false" ht="21" hidden="false" customHeight="true" outlineLevel="0" collapsed="false">
      <c r="B249" s="9"/>
      <c r="C249" s="45"/>
      <c r="D249" s="9"/>
      <c r="E249" s="27" t="str">
        <f aca="false">IF(B249="","",SUMIFS(Vendas!$G$5:$G$3004,Vendas!$C$5:$C$3004,B249))</f>
        <v/>
      </c>
      <c r="F249" s="27" t="str">
        <f aca="false">IF(B249="","",SUMIFS(Recebi!$D$5:$D$3004,Recebi!$C$5:$C$3004,B249)+SUMIFS(Vendas!$G$5:$G$3004,Vendas!$C$5:$C$3004,B249,Vendas!$J$5:$J$3004,"Sim"))</f>
        <v/>
      </c>
      <c r="G249" s="27" t="str">
        <f aca="false">IF(B249="","",SUMIFS(Acertos!$D$5:$D$504,Acertos!$C$5:$C$504,B249))</f>
        <v/>
      </c>
      <c r="H249" s="36" t="str">
        <f aca="false">IF(B249="","",E249+G249-F249)</f>
        <v/>
      </c>
      <c r="I249" s="46" t="str">
        <f aca="false">IF(B249="","",IF(COUNTIF(Vendas!$C$5:$C$3004,B249)=0,"",_xlfn.MAXIFS(Vendas!$B$5:$B$3004,Vendas!$C$5:$C$3004,B249)))</f>
        <v/>
      </c>
      <c r="J249" s="39" t="str">
        <f aca="false">IF(B249="","",IF(H249&gt;0.005,"Deve",IF(H249&lt;-0.005,"Tem crédito",IF(E249&gt;0,"Em dia","Ainda não comprou"))))</f>
        <v/>
      </c>
    </row>
    <row r="250" customFormat="false" ht="21" hidden="false" customHeight="true" outlineLevel="0" collapsed="false">
      <c r="B250" s="9"/>
      <c r="C250" s="45"/>
      <c r="D250" s="9"/>
      <c r="E250" s="27" t="str">
        <f aca="false">IF(B250="","",SUMIFS(Vendas!$G$5:$G$3004,Vendas!$C$5:$C$3004,B250))</f>
        <v/>
      </c>
      <c r="F250" s="27" t="str">
        <f aca="false">IF(B250="","",SUMIFS(Recebi!$D$5:$D$3004,Recebi!$C$5:$C$3004,B250)+SUMIFS(Vendas!$G$5:$G$3004,Vendas!$C$5:$C$3004,B250,Vendas!$J$5:$J$3004,"Sim"))</f>
        <v/>
      </c>
      <c r="G250" s="27" t="str">
        <f aca="false">IF(B250="","",SUMIFS(Acertos!$D$5:$D$504,Acertos!$C$5:$C$504,B250))</f>
        <v/>
      </c>
      <c r="H250" s="36" t="str">
        <f aca="false">IF(B250="","",E250+G250-F250)</f>
        <v/>
      </c>
      <c r="I250" s="46" t="str">
        <f aca="false">IF(B250="","",IF(COUNTIF(Vendas!$C$5:$C$3004,B250)=0,"",_xlfn.MAXIFS(Vendas!$B$5:$B$3004,Vendas!$C$5:$C$3004,B250)))</f>
        <v/>
      </c>
      <c r="J250" s="39" t="str">
        <f aca="false">IF(B250="","",IF(H250&gt;0.005,"Deve",IF(H250&lt;-0.005,"Tem crédito",IF(E250&gt;0,"Em dia","Ainda não comprou"))))</f>
        <v/>
      </c>
    </row>
    <row r="251" customFormat="false" ht="21" hidden="false" customHeight="true" outlineLevel="0" collapsed="false">
      <c r="B251" s="9"/>
      <c r="C251" s="45"/>
      <c r="D251" s="9"/>
      <c r="E251" s="27" t="str">
        <f aca="false">IF(B251="","",SUMIFS(Vendas!$G$5:$G$3004,Vendas!$C$5:$C$3004,B251))</f>
        <v/>
      </c>
      <c r="F251" s="27" t="str">
        <f aca="false">IF(B251="","",SUMIFS(Recebi!$D$5:$D$3004,Recebi!$C$5:$C$3004,B251)+SUMIFS(Vendas!$G$5:$G$3004,Vendas!$C$5:$C$3004,B251,Vendas!$J$5:$J$3004,"Sim"))</f>
        <v/>
      </c>
      <c r="G251" s="27" t="str">
        <f aca="false">IF(B251="","",SUMIFS(Acertos!$D$5:$D$504,Acertos!$C$5:$C$504,B251))</f>
        <v/>
      </c>
      <c r="H251" s="36" t="str">
        <f aca="false">IF(B251="","",E251+G251-F251)</f>
        <v/>
      </c>
      <c r="I251" s="46" t="str">
        <f aca="false">IF(B251="","",IF(COUNTIF(Vendas!$C$5:$C$3004,B251)=0,"",_xlfn.MAXIFS(Vendas!$B$5:$B$3004,Vendas!$C$5:$C$3004,B251)))</f>
        <v/>
      </c>
      <c r="J251" s="39" t="str">
        <f aca="false">IF(B251="","",IF(H251&gt;0.005,"Deve",IF(H251&lt;-0.005,"Tem crédito",IF(E251&gt;0,"Em dia","Ainda não comprou"))))</f>
        <v/>
      </c>
    </row>
    <row r="252" customFormat="false" ht="21" hidden="false" customHeight="true" outlineLevel="0" collapsed="false">
      <c r="B252" s="9"/>
      <c r="C252" s="45"/>
      <c r="D252" s="9"/>
      <c r="E252" s="27" t="str">
        <f aca="false">IF(B252="","",SUMIFS(Vendas!$G$5:$G$3004,Vendas!$C$5:$C$3004,B252))</f>
        <v/>
      </c>
      <c r="F252" s="27" t="str">
        <f aca="false">IF(B252="","",SUMIFS(Recebi!$D$5:$D$3004,Recebi!$C$5:$C$3004,B252)+SUMIFS(Vendas!$G$5:$G$3004,Vendas!$C$5:$C$3004,B252,Vendas!$J$5:$J$3004,"Sim"))</f>
        <v/>
      </c>
      <c r="G252" s="27" t="str">
        <f aca="false">IF(B252="","",SUMIFS(Acertos!$D$5:$D$504,Acertos!$C$5:$C$504,B252))</f>
        <v/>
      </c>
      <c r="H252" s="36" t="str">
        <f aca="false">IF(B252="","",E252+G252-F252)</f>
        <v/>
      </c>
      <c r="I252" s="46" t="str">
        <f aca="false">IF(B252="","",IF(COUNTIF(Vendas!$C$5:$C$3004,B252)=0,"",_xlfn.MAXIFS(Vendas!$B$5:$B$3004,Vendas!$C$5:$C$3004,B252)))</f>
        <v/>
      </c>
      <c r="J252" s="39" t="str">
        <f aca="false">IF(B252="","",IF(H252&gt;0.005,"Deve",IF(H252&lt;-0.005,"Tem crédito",IF(E252&gt;0,"Em dia","Ainda não comprou"))))</f>
        <v/>
      </c>
    </row>
    <row r="253" customFormat="false" ht="21" hidden="false" customHeight="true" outlineLevel="0" collapsed="false">
      <c r="B253" s="9"/>
      <c r="C253" s="45"/>
      <c r="D253" s="9"/>
      <c r="E253" s="27" t="str">
        <f aca="false">IF(B253="","",SUMIFS(Vendas!$G$5:$G$3004,Vendas!$C$5:$C$3004,B253))</f>
        <v/>
      </c>
      <c r="F253" s="27" t="str">
        <f aca="false">IF(B253="","",SUMIFS(Recebi!$D$5:$D$3004,Recebi!$C$5:$C$3004,B253)+SUMIFS(Vendas!$G$5:$G$3004,Vendas!$C$5:$C$3004,B253,Vendas!$J$5:$J$3004,"Sim"))</f>
        <v/>
      </c>
      <c r="G253" s="27" t="str">
        <f aca="false">IF(B253="","",SUMIFS(Acertos!$D$5:$D$504,Acertos!$C$5:$C$504,B253))</f>
        <v/>
      </c>
      <c r="H253" s="36" t="str">
        <f aca="false">IF(B253="","",E253+G253-F253)</f>
        <v/>
      </c>
      <c r="I253" s="46" t="str">
        <f aca="false">IF(B253="","",IF(COUNTIF(Vendas!$C$5:$C$3004,B253)=0,"",_xlfn.MAXIFS(Vendas!$B$5:$B$3004,Vendas!$C$5:$C$3004,B253)))</f>
        <v/>
      </c>
      <c r="J253" s="39" t="str">
        <f aca="false">IF(B253="","",IF(H253&gt;0.005,"Deve",IF(H253&lt;-0.005,"Tem crédito",IF(E253&gt;0,"Em dia","Ainda não comprou"))))</f>
        <v/>
      </c>
    </row>
    <row r="254" customFormat="false" ht="21" hidden="false" customHeight="true" outlineLevel="0" collapsed="false">
      <c r="B254" s="9"/>
      <c r="C254" s="45"/>
      <c r="D254" s="9"/>
      <c r="E254" s="27" t="str">
        <f aca="false">IF(B254="","",SUMIFS(Vendas!$G$5:$G$3004,Vendas!$C$5:$C$3004,B254))</f>
        <v/>
      </c>
      <c r="F254" s="27" t="str">
        <f aca="false">IF(B254="","",SUMIFS(Recebi!$D$5:$D$3004,Recebi!$C$5:$C$3004,B254)+SUMIFS(Vendas!$G$5:$G$3004,Vendas!$C$5:$C$3004,B254,Vendas!$J$5:$J$3004,"Sim"))</f>
        <v/>
      </c>
      <c r="G254" s="27" t="str">
        <f aca="false">IF(B254="","",SUMIFS(Acertos!$D$5:$D$504,Acertos!$C$5:$C$504,B254))</f>
        <v/>
      </c>
      <c r="H254" s="36" t="str">
        <f aca="false">IF(B254="","",E254+G254-F254)</f>
        <v/>
      </c>
      <c r="I254" s="46" t="str">
        <f aca="false">IF(B254="","",IF(COUNTIF(Vendas!$C$5:$C$3004,B254)=0,"",_xlfn.MAXIFS(Vendas!$B$5:$B$3004,Vendas!$C$5:$C$3004,B254)))</f>
        <v/>
      </c>
      <c r="J254" s="39" t="str">
        <f aca="false">IF(B254="","",IF(H254&gt;0.005,"Deve",IF(H254&lt;-0.005,"Tem crédito",IF(E254&gt;0,"Em dia","Ainda não comprou"))))</f>
        <v/>
      </c>
    </row>
    <row r="255" customFormat="false" ht="21" hidden="false" customHeight="true" outlineLevel="0" collapsed="false">
      <c r="B255" s="9"/>
      <c r="C255" s="45"/>
      <c r="D255" s="9"/>
      <c r="E255" s="27" t="str">
        <f aca="false">IF(B255="","",SUMIFS(Vendas!$G$5:$G$3004,Vendas!$C$5:$C$3004,B255))</f>
        <v/>
      </c>
      <c r="F255" s="27" t="str">
        <f aca="false">IF(B255="","",SUMIFS(Recebi!$D$5:$D$3004,Recebi!$C$5:$C$3004,B255)+SUMIFS(Vendas!$G$5:$G$3004,Vendas!$C$5:$C$3004,B255,Vendas!$J$5:$J$3004,"Sim"))</f>
        <v/>
      </c>
      <c r="G255" s="27" t="str">
        <f aca="false">IF(B255="","",SUMIFS(Acertos!$D$5:$D$504,Acertos!$C$5:$C$504,B255))</f>
        <v/>
      </c>
      <c r="H255" s="36" t="str">
        <f aca="false">IF(B255="","",E255+G255-F255)</f>
        <v/>
      </c>
      <c r="I255" s="46" t="str">
        <f aca="false">IF(B255="","",IF(COUNTIF(Vendas!$C$5:$C$3004,B255)=0,"",_xlfn.MAXIFS(Vendas!$B$5:$B$3004,Vendas!$C$5:$C$3004,B255)))</f>
        <v/>
      </c>
      <c r="J255" s="39" t="str">
        <f aca="false">IF(B255="","",IF(H255&gt;0.005,"Deve",IF(H255&lt;-0.005,"Tem crédito",IF(E255&gt;0,"Em dia","Ainda não comprou"))))</f>
        <v/>
      </c>
    </row>
    <row r="256" customFormat="false" ht="21" hidden="false" customHeight="true" outlineLevel="0" collapsed="false">
      <c r="B256" s="9"/>
      <c r="C256" s="45"/>
      <c r="D256" s="9"/>
      <c r="E256" s="27" t="str">
        <f aca="false">IF(B256="","",SUMIFS(Vendas!$G$5:$G$3004,Vendas!$C$5:$C$3004,B256))</f>
        <v/>
      </c>
      <c r="F256" s="27" t="str">
        <f aca="false">IF(B256="","",SUMIFS(Recebi!$D$5:$D$3004,Recebi!$C$5:$C$3004,B256)+SUMIFS(Vendas!$G$5:$G$3004,Vendas!$C$5:$C$3004,B256,Vendas!$J$5:$J$3004,"Sim"))</f>
        <v/>
      </c>
      <c r="G256" s="27" t="str">
        <f aca="false">IF(B256="","",SUMIFS(Acertos!$D$5:$D$504,Acertos!$C$5:$C$504,B256))</f>
        <v/>
      </c>
      <c r="H256" s="36" t="str">
        <f aca="false">IF(B256="","",E256+G256-F256)</f>
        <v/>
      </c>
      <c r="I256" s="46" t="str">
        <f aca="false">IF(B256="","",IF(COUNTIF(Vendas!$C$5:$C$3004,B256)=0,"",_xlfn.MAXIFS(Vendas!$B$5:$B$3004,Vendas!$C$5:$C$3004,B256)))</f>
        <v/>
      </c>
      <c r="J256" s="39" t="str">
        <f aca="false">IF(B256="","",IF(H256&gt;0.005,"Deve",IF(H256&lt;-0.005,"Tem crédito",IF(E256&gt;0,"Em dia","Ainda não comprou"))))</f>
        <v/>
      </c>
    </row>
    <row r="257" customFormat="false" ht="21" hidden="false" customHeight="true" outlineLevel="0" collapsed="false">
      <c r="B257" s="9"/>
      <c r="C257" s="45"/>
      <c r="D257" s="9"/>
      <c r="E257" s="27" t="str">
        <f aca="false">IF(B257="","",SUMIFS(Vendas!$G$5:$G$3004,Vendas!$C$5:$C$3004,B257))</f>
        <v/>
      </c>
      <c r="F257" s="27" t="str">
        <f aca="false">IF(B257="","",SUMIFS(Recebi!$D$5:$D$3004,Recebi!$C$5:$C$3004,B257)+SUMIFS(Vendas!$G$5:$G$3004,Vendas!$C$5:$C$3004,B257,Vendas!$J$5:$J$3004,"Sim"))</f>
        <v/>
      </c>
      <c r="G257" s="27" t="str">
        <f aca="false">IF(B257="","",SUMIFS(Acertos!$D$5:$D$504,Acertos!$C$5:$C$504,B257))</f>
        <v/>
      </c>
      <c r="H257" s="36" t="str">
        <f aca="false">IF(B257="","",E257+G257-F257)</f>
        <v/>
      </c>
      <c r="I257" s="46" t="str">
        <f aca="false">IF(B257="","",IF(COUNTIF(Vendas!$C$5:$C$3004,B257)=0,"",_xlfn.MAXIFS(Vendas!$B$5:$B$3004,Vendas!$C$5:$C$3004,B257)))</f>
        <v/>
      </c>
      <c r="J257" s="39" t="str">
        <f aca="false">IF(B257="","",IF(H257&gt;0.005,"Deve",IF(H257&lt;-0.005,"Tem crédito",IF(E257&gt;0,"Em dia","Ainda não comprou"))))</f>
        <v/>
      </c>
    </row>
    <row r="258" customFormat="false" ht="21" hidden="false" customHeight="true" outlineLevel="0" collapsed="false">
      <c r="B258" s="9"/>
      <c r="C258" s="45"/>
      <c r="D258" s="9"/>
      <c r="E258" s="27" t="str">
        <f aca="false">IF(B258="","",SUMIFS(Vendas!$G$5:$G$3004,Vendas!$C$5:$C$3004,B258))</f>
        <v/>
      </c>
      <c r="F258" s="27" t="str">
        <f aca="false">IF(B258="","",SUMIFS(Recebi!$D$5:$D$3004,Recebi!$C$5:$C$3004,B258)+SUMIFS(Vendas!$G$5:$G$3004,Vendas!$C$5:$C$3004,B258,Vendas!$J$5:$J$3004,"Sim"))</f>
        <v/>
      </c>
      <c r="G258" s="27" t="str">
        <f aca="false">IF(B258="","",SUMIFS(Acertos!$D$5:$D$504,Acertos!$C$5:$C$504,B258))</f>
        <v/>
      </c>
      <c r="H258" s="36" t="str">
        <f aca="false">IF(B258="","",E258+G258-F258)</f>
        <v/>
      </c>
      <c r="I258" s="46" t="str">
        <f aca="false">IF(B258="","",IF(COUNTIF(Vendas!$C$5:$C$3004,B258)=0,"",_xlfn.MAXIFS(Vendas!$B$5:$B$3004,Vendas!$C$5:$C$3004,B258)))</f>
        <v/>
      </c>
      <c r="J258" s="39" t="str">
        <f aca="false">IF(B258="","",IF(H258&gt;0.005,"Deve",IF(H258&lt;-0.005,"Tem crédito",IF(E258&gt;0,"Em dia","Ainda não comprou"))))</f>
        <v/>
      </c>
    </row>
    <row r="259" customFormat="false" ht="21" hidden="false" customHeight="true" outlineLevel="0" collapsed="false">
      <c r="B259" s="9"/>
      <c r="C259" s="45"/>
      <c r="D259" s="9"/>
      <c r="E259" s="27" t="str">
        <f aca="false">IF(B259="","",SUMIFS(Vendas!$G$5:$G$3004,Vendas!$C$5:$C$3004,B259))</f>
        <v/>
      </c>
      <c r="F259" s="27" t="str">
        <f aca="false">IF(B259="","",SUMIFS(Recebi!$D$5:$D$3004,Recebi!$C$5:$C$3004,B259)+SUMIFS(Vendas!$G$5:$G$3004,Vendas!$C$5:$C$3004,B259,Vendas!$J$5:$J$3004,"Sim"))</f>
        <v/>
      </c>
      <c r="G259" s="27" t="str">
        <f aca="false">IF(B259="","",SUMIFS(Acertos!$D$5:$D$504,Acertos!$C$5:$C$504,B259))</f>
        <v/>
      </c>
      <c r="H259" s="36" t="str">
        <f aca="false">IF(B259="","",E259+G259-F259)</f>
        <v/>
      </c>
      <c r="I259" s="46" t="str">
        <f aca="false">IF(B259="","",IF(COUNTIF(Vendas!$C$5:$C$3004,B259)=0,"",_xlfn.MAXIFS(Vendas!$B$5:$B$3004,Vendas!$C$5:$C$3004,B259)))</f>
        <v/>
      </c>
      <c r="J259" s="39" t="str">
        <f aca="false">IF(B259="","",IF(H259&gt;0.005,"Deve",IF(H259&lt;-0.005,"Tem crédito",IF(E259&gt;0,"Em dia","Ainda não comprou"))))</f>
        <v/>
      </c>
    </row>
    <row r="260" customFormat="false" ht="21" hidden="false" customHeight="true" outlineLevel="0" collapsed="false">
      <c r="B260" s="9"/>
      <c r="C260" s="45"/>
      <c r="D260" s="9"/>
      <c r="E260" s="27" t="str">
        <f aca="false">IF(B260="","",SUMIFS(Vendas!$G$5:$G$3004,Vendas!$C$5:$C$3004,B260))</f>
        <v/>
      </c>
      <c r="F260" s="27" t="str">
        <f aca="false">IF(B260="","",SUMIFS(Recebi!$D$5:$D$3004,Recebi!$C$5:$C$3004,B260)+SUMIFS(Vendas!$G$5:$G$3004,Vendas!$C$5:$C$3004,B260,Vendas!$J$5:$J$3004,"Sim"))</f>
        <v/>
      </c>
      <c r="G260" s="27" t="str">
        <f aca="false">IF(B260="","",SUMIFS(Acertos!$D$5:$D$504,Acertos!$C$5:$C$504,B260))</f>
        <v/>
      </c>
      <c r="H260" s="36" t="str">
        <f aca="false">IF(B260="","",E260+G260-F260)</f>
        <v/>
      </c>
      <c r="I260" s="46" t="str">
        <f aca="false">IF(B260="","",IF(COUNTIF(Vendas!$C$5:$C$3004,B260)=0,"",_xlfn.MAXIFS(Vendas!$B$5:$B$3004,Vendas!$C$5:$C$3004,B260)))</f>
        <v/>
      </c>
      <c r="J260" s="39" t="str">
        <f aca="false">IF(B260="","",IF(H260&gt;0.005,"Deve",IF(H260&lt;-0.005,"Tem crédito",IF(E260&gt;0,"Em dia","Ainda não comprou"))))</f>
        <v/>
      </c>
    </row>
    <row r="261" customFormat="false" ht="21" hidden="false" customHeight="true" outlineLevel="0" collapsed="false">
      <c r="B261" s="9"/>
      <c r="C261" s="45"/>
      <c r="D261" s="9"/>
      <c r="E261" s="27" t="str">
        <f aca="false">IF(B261="","",SUMIFS(Vendas!$G$5:$G$3004,Vendas!$C$5:$C$3004,B261))</f>
        <v/>
      </c>
      <c r="F261" s="27" t="str">
        <f aca="false">IF(B261="","",SUMIFS(Recebi!$D$5:$D$3004,Recebi!$C$5:$C$3004,B261)+SUMIFS(Vendas!$G$5:$G$3004,Vendas!$C$5:$C$3004,B261,Vendas!$J$5:$J$3004,"Sim"))</f>
        <v/>
      </c>
      <c r="G261" s="27" t="str">
        <f aca="false">IF(B261="","",SUMIFS(Acertos!$D$5:$D$504,Acertos!$C$5:$C$504,B261))</f>
        <v/>
      </c>
      <c r="H261" s="36" t="str">
        <f aca="false">IF(B261="","",E261+G261-F261)</f>
        <v/>
      </c>
      <c r="I261" s="46" t="str">
        <f aca="false">IF(B261="","",IF(COUNTIF(Vendas!$C$5:$C$3004,B261)=0,"",_xlfn.MAXIFS(Vendas!$B$5:$B$3004,Vendas!$C$5:$C$3004,B261)))</f>
        <v/>
      </c>
      <c r="J261" s="39" t="str">
        <f aca="false">IF(B261="","",IF(H261&gt;0.005,"Deve",IF(H261&lt;-0.005,"Tem crédito",IF(E261&gt;0,"Em dia","Ainda não comprou"))))</f>
        <v/>
      </c>
    </row>
    <row r="262" customFormat="false" ht="21" hidden="false" customHeight="true" outlineLevel="0" collapsed="false">
      <c r="B262" s="9"/>
      <c r="C262" s="45"/>
      <c r="D262" s="9"/>
      <c r="E262" s="27" t="str">
        <f aca="false">IF(B262="","",SUMIFS(Vendas!$G$5:$G$3004,Vendas!$C$5:$C$3004,B262))</f>
        <v/>
      </c>
      <c r="F262" s="27" t="str">
        <f aca="false">IF(B262="","",SUMIFS(Recebi!$D$5:$D$3004,Recebi!$C$5:$C$3004,B262)+SUMIFS(Vendas!$G$5:$G$3004,Vendas!$C$5:$C$3004,B262,Vendas!$J$5:$J$3004,"Sim"))</f>
        <v/>
      </c>
      <c r="G262" s="27" t="str">
        <f aca="false">IF(B262="","",SUMIFS(Acertos!$D$5:$D$504,Acertos!$C$5:$C$504,B262))</f>
        <v/>
      </c>
      <c r="H262" s="36" t="str">
        <f aca="false">IF(B262="","",E262+G262-F262)</f>
        <v/>
      </c>
      <c r="I262" s="46" t="str">
        <f aca="false">IF(B262="","",IF(COUNTIF(Vendas!$C$5:$C$3004,B262)=0,"",_xlfn.MAXIFS(Vendas!$B$5:$B$3004,Vendas!$C$5:$C$3004,B262)))</f>
        <v/>
      </c>
      <c r="J262" s="39" t="str">
        <f aca="false">IF(B262="","",IF(H262&gt;0.005,"Deve",IF(H262&lt;-0.005,"Tem crédito",IF(E262&gt;0,"Em dia","Ainda não comprou"))))</f>
        <v/>
      </c>
    </row>
    <row r="263" customFormat="false" ht="21" hidden="false" customHeight="true" outlineLevel="0" collapsed="false">
      <c r="B263" s="9"/>
      <c r="C263" s="45"/>
      <c r="D263" s="9"/>
      <c r="E263" s="27" t="str">
        <f aca="false">IF(B263="","",SUMIFS(Vendas!$G$5:$G$3004,Vendas!$C$5:$C$3004,B263))</f>
        <v/>
      </c>
      <c r="F263" s="27" t="str">
        <f aca="false">IF(B263="","",SUMIFS(Recebi!$D$5:$D$3004,Recebi!$C$5:$C$3004,B263)+SUMIFS(Vendas!$G$5:$G$3004,Vendas!$C$5:$C$3004,B263,Vendas!$J$5:$J$3004,"Sim"))</f>
        <v/>
      </c>
      <c r="G263" s="27" t="str">
        <f aca="false">IF(B263="","",SUMIFS(Acertos!$D$5:$D$504,Acertos!$C$5:$C$504,B263))</f>
        <v/>
      </c>
      <c r="H263" s="36" t="str">
        <f aca="false">IF(B263="","",E263+G263-F263)</f>
        <v/>
      </c>
      <c r="I263" s="46" t="str">
        <f aca="false">IF(B263="","",IF(COUNTIF(Vendas!$C$5:$C$3004,B263)=0,"",_xlfn.MAXIFS(Vendas!$B$5:$B$3004,Vendas!$C$5:$C$3004,B263)))</f>
        <v/>
      </c>
      <c r="J263" s="39" t="str">
        <f aca="false">IF(B263="","",IF(H263&gt;0.005,"Deve",IF(H263&lt;-0.005,"Tem crédito",IF(E263&gt;0,"Em dia","Ainda não comprou"))))</f>
        <v/>
      </c>
    </row>
    <row r="264" customFormat="false" ht="21" hidden="false" customHeight="true" outlineLevel="0" collapsed="false">
      <c r="B264" s="9"/>
      <c r="C264" s="45"/>
      <c r="D264" s="9"/>
      <c r="E264" s="27" t="str">
        <f aca="false">IF(B264="","",SUMIFS(Vendas!$G$5:$G$3004,Vendas!$C$5:$C$3004,B264))</f>
        <v/>
      </c>
      <c r="F264" s="27" t="str">
        <f aca="false">IF(B264="","",SUMIFS(Recebi!$D$5:$D$3004,Recebi!$C$5:$C$3004,B264)+SUMIFS(Vendas!$G$5:$G$3004,Vendas!$C$5:$C$3004,B264,Vendas!$J$5:$J$3004,"Sim"))</f>
        <v/>
      </c>
      <c r="G264" s="27" t="str">
        <f aca="false">IF(B264="","",SUMIFS(Acertos!$D$5:$D$504,Acertos!$C$5:$C$504,B264))</f>
        <v/>
      </c>
      <c r="H264" s="36" t="str">
        <f aca="false">IF(B264="","",E264+G264-F264)</f>
        <v/>
      </c>
      <c r="I264" s="46" t="str">
        <f aca="false">IF(B264="","",IF(COUNTIF(Vendas!$C$5:$C$3004,B264)=0,"",_xlfn.MAXIFS(Vendas!$B$5:$B$3004,Vendas!$C$5:$C$3004,B264)))</f>
        <v/>
      </c>
      <c r="J264" s="39" t="str">
        <f aca="false">IF(B264="","",IF(H264&gt;0.005,"Deve",IF(H264&lt;-0.005,"Tem crédito",IF(E264&gt;0,"Em dia","Ainda não comprou"))))</f>
        <v/>
      </c>
    </row>
    <row r="265" customFormat="false" ht="21" hidden="false" customHeight="true" outlineLevel="0" collapsed="false">
      <c r="B265" s="9"/>
      <c r="C265" s="45"/>
      <c r="D265" s="9"/>
      <c r="E265" s="27" t="str">
        <f aca="false">IF(B265="","",SUMIFS(Vendas!$G$5:$G$3004,Vendas!$C$5:$C$3004,B265))</f>
        <v/>
      </c>
      <c r="F265" s="27" t="str">
        <f aca="false">IF(B265="","",SUMIFS(Recebi!$D$5:$D$3004,Recebi!$C$5:$C$3004,B265)+SUMIFS(Vendas!$G$5:$G$3004,Vendas!$C$5:$C$3004,B265,Vendas!$J$5:$J$3004,"Sim"))</f>
        <v/>
      </c>
      <c r="G265" s="27" t="str">
        <f aca="false">IF(B265="","",SUMIFS(Acertos!$D$5:$D$504,Acertos!$C$5:$C$504,B265))</f>
        <v/>
      </c>
      <c r="H265" s="36" t="str">
        <f aca="false">IF(B265="","",E265+G265-F265)</f>
        <v/>
      </c>
      <c r="I265" s="46" t="str">
        <f aca="false">IF(B265="","",IF(COUNTIF(Vendas!$C$5:$C$3004,B265)=0,"",_xlfn.MAXIFS(Vendas!$B$5:$B$3004,Vendas!$C$5:$C$3004,B265)))</f>
        <v/>
      </c>
      <c r="J265" s="39" t="str">
        <f aca="false">IF(B265="","",IF(H265&gt;0.005,"Deve",IF(H265&lt;-0.005,"Tem crédito",IF(E265&gt;0,"Em dia","Ainda não comprou"))))</f>
        <v/>
      </c>
    </row>
    <row r="266" customFormat="false" ht="21" hidden="false" customHeight="true" outlineLevel="0" collapsed="false">
      <c r="B266" s="9"/>
      <c r="C266" s="45"/>
      <c r="D266" s="9"/>
      <c r="E266" s="27" t="str">
        <f aca="false">IF(B266="","",SUMIFS(Vendas!$G$5:$G$3004,Vendas!$C$5:$C$3004,B266))</f>
        <v/>
      </c>
      <c r="F266" s="27" t="str">
        <f aca="false">IF(B266="","",SUMIFS(Recebi!$D$5:$D$3004,Recebi!$C$5:$C$3004,B266)+SUMIFS(Vendas!$G$5:$G$3004,Vendas!$C$5:$C$3004,B266,Vendas!$J$5:$J$3004,"Sim"))</f>
        <v/>
      </c>
      <c r="G266" s="27" t="str">
        <f aca="false">IF(B266="","",SUMIFS(Acertos!$D$5:$D$504,Acertos!$C$5:$C$504,B266))</f>
        <v/>
      </c>
      <c r="H266" s="36" t="str">
        <f aca="false">IF(B266="","",E266+G266-F266)</f>
        <v/>
      </c>
      <c r="I266" s="46" t="str">
        <f aca="false">IF(B266="","",IF(COUNTIF(Vendas!$C$5:$C$3004,B266)=0,"",_xlfn.MAXIFS(Vendas!$B$5:$B$3004,Vendas!$C$5:$C$3004,B266)))</f>
        <v/>
      </c>
      <c r="J266" s="39" t="str">
        <f aca="false">IF(B266="","",IF(H266&gt;0.005,"Deve",IF(H266&lt;-0.005,"Tem crédito",IF(E266&gt;0,"Em dia","Ainda não comprou"))))</f>
        <v/>
      </c>
    </row>
    <row r="267" customFormat="false" ht="21" hidden="false" customHeight="true" outlineLevel="0" collapsed="false">
      <c r="B267" s="9"/>
      <c r="C267" s="45"/>
      <c r="D267" s="9"/>
      <c r="E267" s="27" t="str">
        <f aca="false">IF(B267="","",SUMIFS(Vendas!$G$5:$G$3004,Vendas!$C$5:$C$3004,B267))</f>
        <v/>
      </c>
      <c r="F267" s="27" t="str">
        <f aca="false">IF(B267="","",SUMIFS(Recebi!$D$5:$D$3004,Recebi!$C$5:$C$3004,B267)+SUMIFS(Vendas!$G$5:$G$3004,Vendas!$C$5:$C$3004,B267,Vendas!$J$5:$J$3004,"Sim"))</f>
        <v/>
      </c>
      <c r="G267" s="27" t="str">
        <f aca="false">IF(B267="","",SUMIFS(Acertos!$D$5:$D$504,Acertos!$C$5:$C$504,B267))</f>
        <v/>
      </c>
      <c r="H267" s="36" t="str">
        <f aca="false">IF(B267="","",E267+G267-F267)</f>
        <v/>
      </c>
      <c r="I267" s="46" t="str">
        <f aca="false">IF(B267="","",IF(COUNTIF(Vendas!$C$5:$C$3004,B267)=0,"",_xlfn.MAXIFS(Vendas!$B$5:$B$3004,Vendas!$C$5:$C$3004,B267)))</f>
        <v/>
      </c>
      <c r="J267" s="39" t="str">
        <f aca="false">IF(B267="","",IF(H267&gt;0.005,"Deve",IF(H267&lt;-0.005,"Tem crédito",IF(E267&gt;0,"Em dia","Ainda não comprou"))))</f>
        <v/>
      </c>
    </row>
    <row r="268" customFormat="false" ht="21" hidden="false" customHeight="true" outlineLevel="0" collapsed="false">
      <c r="B268" s="9"/>
      <c r="C268" s="45"/>
      <c r="D268" s="9"/>
      <c r="E268" s="27" t="str">
        <f aca="false">IF(B268="","",SUMIFS(Vendas!$G$5:$G$3004,Vendas!$C$5:$C$3004,B268))</f>
        <v/>
      </c>
      <c r="F268" s="27" t="str">
        <f aca="false">IF(B268="","",SUMIFS(Recebi!$D$5:$D$3004,Recebi!$C$5:$C$3004,B268)+SUMIFS(Vendas!$G$5:$G$3004,Vendas!$C$5:$C$3004,B268,Vendas!$J$5:$J$3004,"Sim"))</f>
        <v/>
      </c>
      <c r="G268" s="27" t="str">
        <f aca="false">IF(B268="","",SUMIFS(Acertos!$D$5:$D$504,Acertos!$C$5:$C$504,B268))</f>
        <v/>
      </c>
      <c r="H268" s="36" t="str">
        <f aca="false">IF(B268="","",E268+G268-F268)</f>
        <v/>
      </c>
      <c r="I268" s="46" t="str">
        <f aca="false">IF(B268="","",IF(COUNTIF(Vendas!$C$5:$C$3004,B268)=0,"",_xlfn.MAXIFS(Vendas!$B$5:$B$3004,Vendas!$C$5:$C$3004,B268)))</f>
        <v/>
      </c>
      <c r="J268" s="39" t="str">
        <f aca="false">IF(B268="","",IF(H268&gt;0.005,"Deve",IF(H268&lt;-0.005,"Tem crédito",IF(E268&gt;0,"Em dia","Ainda não comprou"))))</f>
        <v/>
      </c>
    </row>
    <row r="269" customFormat="false" ht="21" hidden="false" customHeight="true" outlineLevel="0" collapsed="false">
      <c r="B269" s="9"/>
      <c r="C269" s="45"/>
      <c r="D269" s="9"/>
      <c r="E269" s="27" t="str">
        <f aca="false">IF(B269="","",SUMIFS(Vendas!$G$5:$G$3004,Vendas!$C$5:$C$3004,B269))</f>
        <v/>
      </c>
      <c r="F269" s="27" t="str">
        <f aca="false">IF(B269="","",SUMIFS(Recebi!$D$5:$D$3004,Recebi!$C$5:$C$3004,B269)+SUMIFS(Vendas!$G$5:$G$3004,Vendas!$C$5:$C$3004,B269,Vendas!$J$5:$J$3004,"Sim"))</f>
        <v/>
      </c>
      <c r="G269" s="27" t="str">
        <f aca="false">IF(B269="","",SUMIFS(Acertos!$D$5:$D$504,Acertos!$C$5:$C$504,B269))</f>
        <v/>
      </c>
      <c r="H269" s="36" t="str">
        <f aca="false">IF(B269="","",E269+G269-F269)</f>
        <v/>
      </c>
      <c r="I269" s="46" t="str">
        <f aca="false">IF(B269="","",IF(COUNTIF(Vendas!$C$5:$C$3004,B269)=0,"",_xlfn.MAXIFS(Vendas!$B$5:$B$3004,Vendas!$C$5:$C$3004,B269)))</f>
        <v/>
      </c>
      <c r="J269" s="39" t="str">
        <f aca="false">IF(B269="","",IF(H269&gt;0.005,"Deve",IF(H269&lt;-0.005,"Tem crédito",IF(E269&gt;0,"Em dia","Ainda não comprou"))))</f>
        <v/>
      </c>
    </row>
    <row r="270" customFormat="false" ht="21" hidden="false" customHeight="true" outlineLevel="0" collapsed="false">
      <c r="B270" s="9"/>
      <c r="C270" s="45"/>
      <c r="D270" s="9"/>
      <c r="E270" s="27" t="str">
        <f aca="false">IF(B270="","",SUMIFS(Vendas!$G$5:$G$3004,Vendas!$C$5:$C$3004,B270))</f>
        <v/>
      </c>
      <c r="F270" s="27" t="str">
        <f aca="false">IF(B270="","",SUMIFS(Recebi!$D$5:$D$3004,Recebi!$C$5:$C$3004,B270)+SUMIFS(Vendas!$G$5:$G$3004,Vendas!$C$5:$C$3004,B270,Vendas!$J$5:$J$3004,"Sim"))</f>
        <v/>
      </c>
      <c r="G270" s="27" t="str">
        <f aca="false">IF(B270="","",SUMIFS(Acertos!$D$5:$D$504,Acertos!$C$5:$C$504,B270))</f>
        <v/>
      </c>
      <c r="H270" s="36" t="str">
        <f aca="false">IF(B270="","",E270+G270-F270)</f>
        <v/>
      </c>
      <c r="I270" s="46" t="str">
        <f aca="false">IF(B270="","",IF(COUNTIF(Vendas!$C$5:$C$3004,B270)=0,"",_xlfn.MAXIFS(Vendas!$B$5:$B$3004,Vendas!$C$5:$C$3004,B270)))</f>
        <v/>
      </c>
      <c r="J270" s="39" t="str">
        <f aca="false">IF(B270="","",IF(H270&gt;0.005,"Deve",IF(H270&lt;-0.005,"Tem crédito",IF(E270&gt;0,"Em dia","Ainda não comprou"))))</f>
        <v/>
      </c>
    </row>
    <row r="271" customFormat="false" ht="21" hidden="false" customHeight="true" outlineLevel="0" collapsed="false">
      <c r="B271" s="9"/>
      <c r="C271" s="45"/>
      <c r="D271" s="9"/>
      <c r="E271" s="27" t="str">
        <f aca="false">IF(B271="","",SUMIFS(Vendas!$G$5:$G$3004,Vendas!$C$5:$C$3004,B271))</f>
        <v/>
      </c>
      <c r="F271" s="27" t="str">
        <f aca="false">IF(B271="","",SUMIFS(Recebi!$D$5:$D$3004,Recebi!$C$5:$C$3004,B271)+SUMIFS(Vendas!$G$5:$G$3004,Vendas!$C$5:$C$3004,B271,Vendas!$J$5:$J$3004,"Sim"))</f>
        <v/>
      </c>
      <c r="G271" s="27" t="str">
        <f aca="false">IF(B271="","",SUMIFS(Acertos!$D$5:$D$504,Acertos!$C$5:$C$504,B271))</f>
        <v/>
      </c>
      <c r="H271" s="36" t="str">
        <f aca="false">IF(B271="","",E271+G271-F271)</f>
        <v/>
      </c>
      <c r="I271" s="46" t="str">
        <f aca="false">IF(B271="","",IF(COUNTIF(Vendas!$C$5:$C$3004,B271)=0,"",_xlfn.MAXIFS(Vendas!$B$5:$B$3004,Vendas!$C$5:$C$3004,B271)))</f>
        <v/>
      </c>
      <c r="J271" s="39" t="str">
        <f aca="false">IF(B271="","",IF(H271&gt;0.005,"Deve",IF(H271&lt;-0.005,"Tem crédito",IF(E271&gt;0,"Em dia","Ainda não comprou"))))</f>
        <v/>
      </c>
    </row>
    <row r="272" customFormat="false" ht="21" hidden="false" customHeight="true" outlineLevel="0" collapsed="false">
      <c r="B272" s="9"/>
      <c r="C272" s="45"/>
      <c r="D272" s="9"/>
      <c r="E272" s="27" t="str">
        <f aca="false">IF(B272="","",SUMIFS(Vendas!$G$5:$G$3004,Vendas!$C$5:$C$3004,B272))</f>
        <v/>
      </c>
      <c r="F272" s="27" t="str">
        <f aca="false">IF(B272="","",SUMIFS(Recebi!$D$5:$D$3004,Recebi!$C$5:$C$3004,B272)+SUMIFS(Vendas!$G$5:$G$3004,Vendas!$C$5:$C$3004,B272,Vendas!$J$5:$J$3004,"Sim"))</f>
        <v/>
      </c>
      <c r="G272" s="27" t="str">
        <f aca="false">IF(B272="","",SUMIFS(Acertos!$D$5:$D$504,Acertos!$C$5:$C$504,B272))</f>
        <v/>
      </c>
      <c r="H272" s="36" t="str">
        <f aca="false">IF(B272="","",E272+G272-F272)</f>
        <v/>
      </c>
      <c r="I272" s="46" t="str">
        <f aca="false">IF(B272="","",IF(COUNTIF(Vendas!$C$5:$C$3004,B272)=0,"",_xlfn.MAXIFS(Vendas!$B$5:$B$3004,Vendas!$C$5:$C$3004,B272)))</f>
        <v/>
      </c>
      <c r="J272" s="39" t="str">
        <f aca="false">IF(B272="","",IF(H272&gt;0.005,"Deve",IF(H272&lt;-0.005,"Tem crédito",IF(E272&gt;0,"Em dia","Ainda não comprou"))))</f>
        <v/>
      </c>
    </row>
    <row r="273" customFormat="false" ht="21" hidden="false" customHeight="true" outlineLevel="0" collapsed="false">
      <c r="B273" s="9"/>
      <c r="C273" s="45"/>
      <c r="D273" s="9"/>
      <c r="E273" s="27" t="str">
        <f aca="false">IF(B273="","",SUMIFS(Vendas!$G$5:$G$3004,Vendas!$C$5:$C$3004,B273))</f>
        <v/>
      </c>
      <c r="F273" s="27" t="str">
        <f aca="false">IF(B273="","",SUMIFS(Recebi!$D$5:$D$3004,Recebi!$C$5:$C$3004,B273)+SUMIFS(Vendas!$G$5:$G$3004,Vendas!$C$5:$C$3004,B273,Vendas!$J$5:$J$3004,"Sim"))</f>
        <v/>
      </c>
      <c r="G273" s="27" t="str">
        <f aca="false">IF(B273="","",SUMIFS(Acertos!$D$5:$D$504,Acertos!$C$5:$C$504,B273))</f>
        <v/>
      </c>
      <c r="H273" s="36" t="str">
        <f aca="false">IF(B273="","",E273+G273-F273)</f>
        <v/>
      </c>
      <c r="I273" s="46" t="str">
        <f aca="false">IF(B273="","",IF(COUNTIF(Vendas!$C$5:$C$3004,B273)=0,"",_xlfn.MAXIFS(Vendas!$B$5:$B$3004,Vendas!$C$5:$C$3004,B273)))</f>
        <v/>
      </c>
      <c r="J273" s="39" t="str">
        <f aca="false">IF(B273="","",IF(H273&gt;0.005,"Deve",IF(H273&lt;-0.005,"Tem crédito",IF(E273&gt;0,"Em dia","Ainda não comprou"))))</f>
        <v/>
      </c>
    </row>
    <row r="274" customFormat="false" ht="21" hidden="false" customHeight="true" outlineLevel="0" collapsed="false">
      <c r="B274" s="9"/>
      <c r="C274" s="45"/>
      <c r="D274" s="9"/>
      <c r="E274" s="27" t="str">
        <f aca="false">IF(B274="","",SUMIFS(Vendas!$G$5:$G$3004,Vendas!$C$5:$C$3004,B274))</f>
        <v/>
      </c>
      <c r="F274" s="27" t="str">
        <f aca="false">IF(B274="","",SUMIFS(Recebi!$D$5:$D$3004,Recebi!$C$5:$C$3004,B274)+SUMIFS(Vendas!$G$5:$G$3004,Vendas!$C$5:$C$3004,B274,Vendas!$J$5:$J$3004,"Sim"))</f>
        <v/>
      </c>
      <c r="G274" s="27" t="str">
        <f aca="false">IF(B274="","",SUMIFS(Acertos!$D$5:$D$504,Acertos!$C$5:$C$504,B274))</f>
        <v/>
      </c>
      <c r="H274" s="36" t="str">
        <f aca="false">IF(B274="","",E274+G274-F274)</f>
        <v/>
      </c>
      <c r="I274" s="46" t="str">
        <f aca="false">IF(B274="","",IF(COUNTIF(Vendas!$C$5:$C$3004,B274)=0,"",_xlfn.MAXIFS(Vendas!$B$5:$B$3004,Vendas!$C$5:$C$3004,B274)))</f>
        <v/>
      </c>
      <c r="J274" s="39" t="str">
        <f aca="false">IF(B274="","",IF(H274&gt;0.005,"Deve",IF(H274&lt;-0.005,"Tem crédito",IF(E274&gt;0,"Em dia","Ainda não comprou"))))</f>
        <v/>
      </c>
    </row>
    <row r="275" customFormat="false" ht="21" hidden="false" customHeight="true" outlineLevel="0" collapsed="false">
      <c r="B275" s="9"/>
      <c r="C275" s="45"/>
      <c r="D275" s="9"/>
      <c r="E275" s="27" t="str">
        <f aca="false">IF(B275="","",SUMIFS(Vendas!$G$5:$G$3004,Vendas!$C$5:$C$3004,B275))</f>
        <v/>
      </c>
      <c r="F275" s="27" t="str">
        <f aca="false">IF(B275="","",SUMIFS(Recebi!$D$5:$D$3004,Recebi!$C$5:$C$3004,B275)+SUMIFS(Vendas!$G$5:$G$3004,Vendas!$C$5:$C$3004,B275,Vendas!$J$5:$J$3004,"Sim"))</f>
        <v/>
      </c>
      <c r="G275" s="27" t="str">
        <f aca="false">IF(B275="","",SUMIFS(Acertos!$D$5:$D$504,Acertos!$C$5:$C$504,B275))</f>
        <v/>
      </c>
      <c r="H275" s="36" t="str">
        <f aca="false">IF(B275="","",E275+G275-F275)</f>
        <v/>
      </c>
      <c r="I275" s="46" t="str">
        <f aca="false">IF(B275="","",IF(COUNTIF(Vendas!$C$5:$C$3004,B275)=0,"",_xlfn.MAXIFS(Vendas!$B$5:$B$3004,Vendas!$C$5:$C$3004,B275)))</f>
        <v/>
      </c>
      <c r="J275" s="39" t="str">
        <f aca="false">IF(B275="","",IF(H275&gt;0.005,"Deve",IF(H275&lt;-0.005,"Tem crédito",IF(E275&gt;0,"Em dia","Ainda não comprou"))))</f>
        <v/>
      </c>
    </row>
    <row r="276" customFormat="false" ht="21" hidden="false" customHeight="true" outlineLevel="0" collapsed="false">
      <c r="B276" s="9"/>
      <c r="C276" s="45"/>
      <c r="D276" s="9"/>
      <c r="E276" s="27" t="str">
        <f aca="false">IF(B276="","",SUMIFS(Vendas!$G$5:$G$3004,Vendas!$C$5:$C$3004,B276))</f>
        <v/>
      </c>
      <c r="F276" s="27" t="str">
        <f aca="false">IF(B276="","",SUMIFS(Recebi!$D$5:$D$3004,Recebi!$C$5:$C$3004,B276)+SUMIFS(Vendas!$G$5:$G$3004,Vendas!$C$5:$C$3004,B276,Vendas!$J$5:$J$3004,"Sim"))</f>
        <v/>
      </c>
      <c r="G276" s="27" t="str">
        <f aca="false">IF(B276="","",SUMIFS(Acertos!$D$5:$D$504,Acertos!$C$5:$C$504,B276))</f>
        <v/>
      </c>
      <c r="H276" s="36" t="str">
        <f aca="false">IF(B276="","",E276+G276-F276)</f>
        <v/>
      </c>
      <c r="I276" s="46" t="str">
        <f aca="false">IF(B276="","",IF(COUNTIF(Vendas!$C$5:$C$3004,B276)=0,"",_xlfn.MAXIFS(Vendas!$B$5:$B$3004,Vendas!$C$5:$C$3004,B276)))</f>
        <v/>
      </c>
      <c r="J276" s="39" t="str">
        <f aca="false">IF(B276="","",IF(H276&gt;0.005,"Deve",IF(H276&lt;-0.005,"Tem crédito",IF(E276&gt;0,"Em dia","Ainda não comprou"))))</f>
        <v/>
      </c>
    </row>
    <row r="277" customFormat="false" ht="21" hidden="false" customHeight="true" outlineLevel="0" collapsed="false">
      <c r="B277" s="9"/>
      <c r="C277" s="45"/>
      <c r="D277" s="9"/>
      <c r="E277" s="27" t="str">
        <f aca="false">IF(B277="","",SUMIFS(Vendas!$G$5:$G$3004,Vendas!$C$5:$C$3004,B277))</f>
        <v/>
      </c>
      <c r="F277" s="27" t="str">
        <f aca="false">IF(B277="","",SUMIFS(Recebi!$D$5:$D$3004,Recebi!$C$5:$C$3004,B277)+SUMIFS(Vendas!$G$5:$G$3004,Vendas!$C$5:$C$3004,B277,Vendas!$J$5:$J$3004,"Sim"))</f>
        <v/>
      </c>
      <c r="G277" s="27" t="str">
        <f aca="false">IF(B277="","",SUMIFS(Acertos!$D$5:$D$504,Acertos!$C$5:$C$504,B277))</f>
        <v/>
      </c>
      <c r="H277" s="36" t="str">
        <f aca="false">IF(B277="","",E277+G277-F277)</f>
        <v/>
      </c>
      <c r="I277" s="46" t="str">
        <f aca="false">IF(B277="","",IF(COUNTIF(Vendas!$C$5:$C$3004,B277)=0,"",_xlfn.MAXIFS(Vendas!$B$5:$B$3004,Vendas!$C$5:$C$3004,B277)))</f>
        <v/>
      </c>
      <c r="J277" s="39" t="str">
        <f aca="false">IF(B277="","",IF(H277&gt;0.005,"Deve",IF(H277&lt;-0.005,"Tem crédito",IF(E277&gt;0,"Em dia","Ainda não comprou"))))</f>
        <v/>
      </c>
    </row>
    <row r="278" customFormat="false" ht="21" hidden="false" customHeight="true" outlineLevel="0" collapsed="false">
      <c r="B278" s="9"/>
      <c r="C278" s="45"/>
      <c r="D278" s="9"/>
      <c r="E278" s="27" t="str">
        <f aca="false">IF(B278="","",SUMIFS(Vendas!$G$5:$G$3004,Vendas!$C$5:$C$3004,B278))</f>
        <v/>
      </c>
      <c r="F278" s="27" t="str">
        <f aca="false">IF(B278="","",SUMIFS(Recebi!$D$5:$D$3004,Recebi!$C$5:$C$3004,B278)+SUMIFS(Vendas!$G$5:$G$3004,Vendas!$C$5:$C$3004,B278,Vendas!$J$5:$J$3004,"Sim"))</f>
        <v/>
      </c>
      <c r="G278" s="27" t="str">
        <f aca="false">IF(B278="","",SUMIFS(Acertos!$D$5:$D$504,Acertos!$C$5:$C$504,B278))</f>
        <v/>
      </c>
      <c r="H278" s="36" t="str">
        <f aca="false">IF(B278="","",E278+G278-F278)</f>
        <v/>
      </c>
      <c r="I278" s="46" t="str">
        <f aca="false">IF(B278="","",IF(COUNTIF(Vendas!$C$5:$C$3004,B278)=0,"",_xlfn.MAXIFS(Vendas!$B$5:$B$3004,Vendas!$C$5:$C$3004,B278)))</f>
        <v/>
      </c>
      <c r="J278" s="39" t="str">
        <f aca="false">IF(B278="","",IF(H278&gt;0.005,"Deve",IF(H278&lt;-0.005,"Tem crédito",IF(E278&gt;0,"Em dia","Ainda não comprou"))))</f>
        <v/>
      </c>
    </row>
    <row r="279" customFormat="false" ht="21" hidden="false" customHeight="true" outlineLevel="0" collapsed="false">
      <c r="B279" s="9"/>
      <c r="C279" s="45"/>
      <c r="D279" s="9"/>
      <c r="E279" s="27" t="str">
        <f aca="false">IF(B279="","",SUMIFS(Vendas!$G$5:$G$3004,Vendas!$C$5:$C$3004,B279))</f>
        <v/>
      </c>
      <c r="F279" s="27" t="str">
        <f aca="false">IF(B279="","",SUMIFS(Recebi!$D$5:$D$3004,Recebi!$C$5:$C$3004,B279)+SUMIFS(Vendas!$G$5:$G$3004,Vendas!$C$5:$C$3004,B279,Vendas!$J$5:$J$3004,"Sim"))</f>
        <v/>
      </c>
      <c r="G279" s="27" t="str">
        <f aca="false">IF(B279="","",SUMIFS(Acertos!$D$5:$D$504,Acertos!$C$5:$C$504,B279))</f>
        <v/>
      </c>
      <c r="H279" s="36" t="str">
        <f aca="false">IF(B279="","",E279+G279-F279)</f>
        <v/>
      </c>
      <c r="I279" s="46" t="str">
        <f aca="false">IF(B279="","",IF(COUNTIF(Vendas!$C$5:$C$3004,B279)=0,"",_xlfn.MAXIFS(Vendas!$B$5:$B$3004,Vendas!$C$5:$C$3004,B279)))</f>
        <v/>
      </c>
      <c r="J279" s="39" t="str">
        <f aca="false">IF(B279="","",IF(H279&gt;0.005,"Deve",IF(H279&lt;-0.005,"Tem crédito",IF(E279&gt;0,"Em dia","Ainda não comprou"))))</f>
        <v/>
      </c>
    </row>
    <row r="280" customFormat="false" ht="21" hidden="false" customHeight="true" outlineLevel="0" collapsed="false">
      <c r="B280" s="9"/>
      <c r="C280" s="45"/>
      <c r="D280" s="9"/>
      <c r="E280" s="27" t="str">
        <f aca="false">IF(B280="","",SUMIFS(Vendas!$G$5:$G$3004,Vendas!$C$5:$C$3004,B280))</f>
        <v/>
      </c>
      <c r="F280" s="27" t="str">
        <f aca="false">IF(B280="","",SUMIFS(Recebi!$D$5:$D$3004,Recebi!$C$5:$C$3004,B280)+SUMIFS(Vendas!$G$5:$G$3004,Vendas!$C$5:$C$3004,B280,Vendas!$J$5:$J$3004,"Sim"))</f>
        <v/>
      </c>
      <c r="G280" s="27" t="str">
        <f aca="false">IF(B280="","",SUMIFS(Acertos!$D$5:$D$504,Acertos!$C$5:$C$504,B280))</f>
        <v/>
      </c>
      <c r="H280" s="36" t="str">
        <f aca="false">IF(B280="","",E280+G280-F280)</f>
        <v/>
      </c>
      <c r="I280" s="46" t="str">
        <f aca="false">IF(B280="","",IF(COUNTIF(Vendas!$C$5:$C$3004,B280)=0,"",_xlfn.MAXIFS(Vendas!$B$5:$B$3004,Vendas!$C$5:$C$3004,B280)))</f>
        <v/>
      </c>
      <c r="J280" s="39" t="str">
        <f aca="false">IF(B280="","",IF(H280&gt;0.005,"Deve",IF(H280&lt;-0.005,"Tem crédito",IF(E280&gt;0,"Em dia","Ainda não comprou"))))</f>
        <v/>
      </c>
    </row>
    <row r="281" customFormat="false" ht="21" hidden="false" customHeight="true" outlineLevel="0" collapsed="false">
      <c r="B281" s="9"/>
      <c r="C281" s="45"/>
      <c r="D281" s="9"/>
      <c r="E281" s="27" t="str">
        <f aca="false">IF(B281="","",SUMIFS(Vendas!$G$5:$G$3004,Vendas!$C$5:$C$3004,B281))</f>
        <v/>
      </c>
      <c r="F281" s="27" t="str">
        <f aca="false">IF(B281="","",SUMIFS(Recebi!$D$5:$D$3004,Recebi!$C$5:$C$3004,B281)+SUMIFS(Vendas!$G$5:$G$3004,Vendas!$C$5:$C$3004,B281,Vendas!$J$5:$J$3004,"Sim"))</f>
        <v/>
      </c>
      <c r="G281" s="27" t="str">
        <f aca="false">IF(B281="","",SUMIFS(Acertos!$D$5:$D$504,Acertos!$C$5:$C$504,B281))</f>
        <v/>
      </c>
      <c r="H281" s="36" t="str">
        <f aca="false">IF(B281="","",E281+G281-F281)</f>
        <v/>
      </c>
      <c r="I281" s="46" t="str">
        <f aca="false">IF(B281="","",IF(COUNTIF(Vendas!$C$5:$C$3004,B281)=0,"",_xlfn.MAXIFS(Vendas!$B$5:$B$3004,Vendas!$C$5:$C$3004,B281)))</f>
        <v/>
      </c>
      <c r="J281" s="39" t="str">
        <f aca="false">IF(B281="","",IF(H281&gt;0.005,"Deve",IF(H281&lt;-0.005,"Tem crédito",IF(E281&gt;0,"Em dia","Ainda não comprou"))))</f>
        <v/>
      </c>
    </row>
    <row r="282" customFormat="false" ht="21" hidden="false" customHeight="true" outlineLevel="0" collapsed="false">
      <c r="B282" s="9"/>
      <c r="C282" s="45"/>
      <c r="D282" s="9"/>
      <c r="E282" s="27" t="str">
        <f aca="false">IF(B282="","",SUMIFS(Vendas!$G$5:$G$3004,Vendas!$C$5:$C$3004,B282))</f>
        <v/>
      </c>
      <c r="F282" s="27" t="str">
        <f aca="false">IF(B282="","",SUMIFS(Recebi!$D$5:$D$3004,Recebi!$C$5:$C$3004,B282)+SUMIFS(Vendas!$G$5:$G$3004,Vendas!$C$5:$C$3004,B282,Vendas!$J$5:$J$3004,"Sim"))</f>
        <v/>
      </c>
      <c r="G282" s="27" t="str">
        <f aca="false">IF(B282="","",SUMIFS(Acertos!$D$5:$D$504,Acertos!$C$5:$C$504,B282))</f>
        <v/>
      </c>
      <c r="H282" s="36" t="str">
        <f aca="false">IF(B282="","",E282+G282-F282)</f>
        <v/>
      </c>
      <c r="I282" s="46" t="str">
        <f aca="false">IF(B282="","",IF(COUNTIF(Vendas!$C$5:$C$3004,B282)=0,"",_xlfn.MAXIFS(Vendas!$B$5:$B$3004,Vendas!$C$5:$C$3004,B282)))</f>
        <v/>
      </c>
      <c r="J282" s="39" t="str">
        <f aca="false">IF(B282="","",IF(H282&gt;0.005,"Deve",IF(H282&lt;-0.005,"Tem crédito",IF(E282&gt;0,"Em dia","Ainda não comprou"))))</f>
        <v/>
      </c>
    </row>
    <row r="283" customFormat="false" ht="21" hidden="false" customHeight="true" outlineLevel="0" collapsed="false">
      <c r="B283" s="9"/>
      <c r="C283" s="45"/>
      <c r="D283" s="9"/>
      <c r="E283" s="27" t="str">
        <f aca="false">IF(B283="","",SUMIFS(Vendas!$G$5:$G$3004,Vendas!$C$5:$C$3004,B283))</f>
        <v/>
      </c>
      <c r="F283" s="27" t="str">
        <f aca="false">IF(B283="","",SUMIFS(Recebi!$D$5:$D$3004,Recebi!$C$5:$C$3004,B283)+SUMIFS(Vendas!$G$5:$G$3004,Vendas!$C$5:$C$3004,B283,Vendas!$J$5:$J$3004,"Sim"))</f>
        <v/>
      </c>
      <c r="G283" s="27" t="str">
        <f aca="false">IF(B283="","",SUMIFS(Acertos!$D$5:$D$504,Acertos!$C$5:$C$504,B283))</f>
        <v/>
      </c>
      <c r="H283" s="36" t="str">
        <f aca="false">IF(B283="","",E283+G283-F283)</f>
        <v/>
      </c>
      <c r="I283" s="46" t="str">
        <f aca="false">IF(B283="","",IF(COUNTIF(Vendas!$C$5:$C$3004,B283)=0,"",_xlfn.MAXIFS(Vendas!$B$5:$B$3004,Vendas!$C$5:$C$3004,B283)))</f>
        <v/>
      </c>
      <c r="J283" s="39" t="str">
        <f aca="false">IF(B283="","",IF(H283&gt;0.005,"Deve",IF(H283&lt;-0.005,"Tem crédito",IF(E283&gt;0,"Em dia","Ainda não comprou"))))</f>
        <v/>
      </c>
    </row>
    <row r="284" customFormat="false" ht="21" hidden="false" customHeight="true" outlineLevel="0" collapsed="false">
      <c r="B284" s="9"/>
      <c r="C284" s="45"/>
      <c r="D284" s="9"/>
      <c r="E284" s="27" t="str">
        <f aca="false">IF(B284="","",SUMIFS(Vendas!$G$5:$G$3004,Vendas!$C$5:$C$3004,B284))</f>
        <v/>
      </c>
      <c r="F284" s="27" t="str">
        <f aca="false">IF(B284="","",SUMIFS(Recebi!$D$5:$D$3004,Recebi!$C$5:$C$3004,B284)+SUMIFS(Vendas!$G$5:$G$3004,Vendas!$C$5:$C$3004,B284,Vendas!$J$5:$J$3004,"Sim"))</f>
        <v/>
      </c>
      <c r="G284" s="27" t="str">
        <f aca="false">IF(B284="","",SUMIFS(Acertos!$D$5:$D$504,Acertos!$C$5:$C$504,B284))</f>
        <v/>
      </c>
      <c r="H284" s="36" t="str">
        <f aca="false">IF(B284="","",E284+G284-F284)</f>
        <v/>
      </c>
      <c r="I284" s="46" t="str">
        <f aca="false">IF(B284="","",IF(COUNTIF(Vendas!$C$5:$C$3004,B284)=0,"",_xlfn.MAXIFS(Vendas!$B$5:$B$3004,Vendas!$C$5:$C$3004,B284)))</f>
        <v/>
      </c>
      <c r="J284" s="39" t="str">
        <f aca="false">IF(B284="","",IF(H284&gt;0.005,"Deve",IF(H284&lt;-0.005,"Tem crédito",IF(E284&gt;0,"Em dia","Ainda não comprou"))))</f>
        <v/>
      </c>
    </row>
    <row r="285" customFormat="false" ht="21" hidden="false" customHeight="true" outlineLevel="0" collapsed="false">
      <c r="B285" s="9"/>
      <c r="C285" s="45"/>
      <c r="D285" s="9"/>
      <c r="E285" s="27" t="str">
        <f aca="false">IF(B285="","",SUMIFS(Vendas!$G$5:$G$3004,Vendas!$C$5:$C$3004,B285))</f>
        <v/>
      </c>
      <c r="F285" s="27" t="str">
        <f aca="false">IF(B285="","",SUMIFS(Recebi!$D$5:$D$3004,Recebi!$C$5:$C$3004,B285)+SUMIFS(Vendas!$G$5:$G$3004,Vendas!$C$5:$C$3004,B285,Vendas!$J$5:$J$3004,"Sim"))</f>
        <v/>
      </c>
      <c r="G285" s="27" t="str">
        <f aca="false">IF(B285="","",SUMIFS(Acertos!$D$5:$D$504,Acertos!$C$5:$C$504,B285))</f>
        <v/>
      </c>
      <c r="H285" s="36" t="str">
        <f aca="false">IF(B285="","",E285+G285-F285)</f>
        <v/>
      </c>
      <c r="I285" s="46" t="str">
        <f aca="false">IF(B285="","",IF(COUNTIF(Vendas!$C$5:$C$3004,B285)=0,"",_xlfn.MAXIFS(Vendas!$B$5:$B$3004,Vendas!$C$5:$C$3004,B285)))</f>
        <v/>
      </c>
      <c r="J285" s="39" t="str">
        <f aca="false">IF(B285="","",IF(H285&gt;0.005,"Deve",IF(H285&lt;-0.005,"Tem crédito",IF(E285&gt;0,"Em dia","Ainda não comprou"))))</f>
        <v/>
      </c>
    </row>
    <row r="286" customFormat="false" ht="21" hidden="false" customHeight="true" outlineLevel="0" collapsed="false">
      <c r="B286" s="9"/>
      <c r="C286" s="45"/>
      <c r="D286" s="9"/>
      <c r="E286" s="27" t="str">
        <f aca="false">IF(B286="","",SUMIFS(Vendas!$G$5:$G$3004,Vendas!$C$5:$C$3004,B286))</f>
        <v/>
      </c>
      <c r="F286" s="27" t="str">
        <f aca="false">IF(B286="","",SUMIFS(Recebi!$D$5:$D$3004,Recebi!$C$5:$C$3004,B286)+SUMIFS(Vendas!$G$5:$G$3004,Vendas!$C$5:$C$3004,B286,Vendas!$J$5:$J$3004,"Sim"))</f>
        <v/>
      </c>
      <c r="G286" s="27" t="str">
        <f aca="false">IF(B286="","",SUMIFS(Acertos!$D$5:$D$504,Acertos!$C$5:$C$504,B286))</f>
        <v/>
      </c>
      <c r="H286" s="36" t="str">
        <f aca="false">IF(B286="","",E286+G286-F286)</f>
        <v/>
      </c>
      <c r="I286" s="46" t="str">
        <f aca="false">IF(B286="","",IF(COUNTIF(Vendas!$C$5:$C$3004,B286)=0,"",_xlfn.MAXIFS(Vendas!$B$5:$B$3004,Vendas!$C$5:$C$3004,B286)))</f>
        <v/>
      </c>
      <c r="J286" s="39" t="str">
        <f aca="false">IF(B286="","",IF(H286&gt;0.005,"Deve",IF(H286&lt;-0.005,"Tem crédito",IF(E286&gt;0,"Em dia","Ainda não comprou"))))</f>
        <v/>
      </c>
    </row>
    <row r="287" customFormat="false" ht="21" hidden="false" customHeight="true" outlineLevel="0" collapsed="false">
      <c r="B287" s="9"/>
      <c r="C287" s="45"/>
      <c r="D287" s="9"/>
      <c r="E287" s="27" t="str">
        <f aca="false">IF(B287="","",SUMIFS(Vendas!$G$5:$G$3004,Vendas!$C$5:$C$3004,B287))</f>
        <v/>
      </c>
      <c r="F287" s="27" t="str">
        <f aca="false">IF(B287="","",SUMIFS(Recebi!$D$5:$D$3004,Recebi!$C$5:$C$3004,B287)+SUMIFS(Vendas!$G$5:$G$3004,Vendas!$C$5:$C$3004,B287,Vendas!$J$5:$J$3004,"Sim"))</f>
        <v/>
      </c>
      <c r="G287" s="27" t="str">
        <f aca="false">IF(B287="","",SUMIFS(Acertos!$D$5:$D$504,Acertos!$C$5:$C$504,B287))</f>
        <v/>
      </c>
      <c r="H287" s="36" t="str">
        <f aca="false">IF(B287="","",E287+G287-F287)</f>
        <v/>
      </c>
      <c r="I287" s="46" t="str">
        <f aca="false">IF(B287="","",IF(COUNTIF(Vendas!$C$5:$C$3004,B287)=0,"",_xlfn.MAXIFS(Vendas!$B$5:$B$3004,Vendas!$C$5:$C$3004,B287)))</f>
        <v/>
      </c>
      <c r="J287" s="39" t="str">
        <f aca="false">IF(B287="","",IF(H287&gt;0.005,"Deve",IF(H287&lt;-0.005,"Tem crédito",IF(E287&gt;0,"Em dia","Ainda não comprou"))))</f>
        <v/>
      </c>
    </row>
    <row r="288" customFormat="false" ht="21" hidden="false" customHeight="true" outlineLevel="0" collapsed="false">
      <c r="B288" s="9"/>
      <c r="C288" s="45"/>
      <c r="D288" s="9"/>
      <c r="E288" s="27" t="str">
        <f aca="false">IF(B288="","",SUMIFS(Vendas!$G$5:$G$3004,Vendas!$C$5:$C$3004,B288))</f>
        <v/>
      </c>
      <c r="F288" s="27" t="str">
        <f aca="false">IF(B288="","",SUMIFS(Recebi!$D$5:$D$3004,Recebi!$C$5:$C$3004,B288)+SUMIFS(Vendas!$G$5:$G$3004,Vendas!$C$5:$C$3004,B288,Vendas!$J$5:$J$3004,"Sim"))</f>
        <v/>
      </c>
      <c r="G288" s="27" t="str">
        <f aca="false">IF(B288="","",SUMIFS(Acertos!$D$5:$D$504,Acertos!$C$5:$C$504,B288))</f>
        <v/>
      </c>
      <c r="H288" s="36" t="str">
        <f aca="false">IF(B288="","",E288+G288-F288)</f>
        <v/>
      </c>
      <c r="I288" s="46" t="str">
        <f aca="false">IF(B288="","",IF(COUNTIF(Vendas!$C$5:$C$3004,B288)=0,"",_xlfn.MAXIFS(Vendas!$B$5:$B$3004,Vendas!$C$5:$C$3004,B288)))</f>
        <v/>
      </c>
      <c r="J288" s="39" t="str">
        <f aca="false">IF(B288="","",IF(H288&gt;0.005,"Deve",IF(H288&lt;-0.005,"Tem crédito",IF(E288&gt;0,"Em dia","Ainda não comprou"))))</f>
        <v/>
      </c>
    </row>
    <row r="289" customFormat="false" ht="21" hidden="false" customHeight="true" outlineLevel="0" collapsed="false">
      <c r="B289" s="9"/>
      <c r="C289" s="45"/>
      <c r="D289" s="9"/>
      <c r="E289" s="27" t="str">
        <f aca="false">IF(B289="","",SUMIFS(Vendas!$G$5:$G$3004,Vendas!$C$5:$C$3004,B289))</f>
        <v/>
      </c>
      <c r="F289" s="27" t="str">
        <f aca="false">IF(B289="","",SUMIFS(Recebi!$D$5:$D$3004,Recebi!$C$5:$C$3004,B289)+SUMIFS(Vendas!$G$5:$G$3004,Vendas!$C$5:$C$3004,B289,Vendas!$J$5:$J$3004,"Sim"))</f>
        <v/>
      </c>
      <c r="G289" s="27" t="str">
        <f aca="false">IF(B289="","",SUMIFS(Acertos!$D$5:$D$504,Acertos!$C$5:$C$504,B289))</f>
        <v/>
      </c>
      <c r="H289" s="36" t="str">
        <f aca="false">IF(B289="","",E289+G289-F289)</f>
        <v/>
      </c>
      <c r="I289" s="46" t="str">
        <f aca="false">IF(B289="","",IF(COUNTIF(Vendas!$C$5:$C$3004,B289)=0,"",_xlfn.MAXIFS(Vendas!$B$5:$B$3004,Vendas!$C$5:$C$3004,B289)))</f>
        <v/>
      </c>
      <c r="J289" s="39" t="str">
        <f aca="false">IF(B289="","",IF(H289&gt;0.005,"Deve",IF(H289&lt;-0.005,"Tem crédito",IF(E289&gt;0,"Em dia","Ainda não comprou"))))</f>
        <v/>
      </c>
    </row>
    <row r="290" customFormat="false" ht="21" hidden="false" customHeight="true" outlineLevel="0" collapsed="false">
      <c r="B290" s="9"/>
      <c r="C290" s="45"/>
      <c r="D290" s="9"/>
      <c r="E290" s="27" t="str">
        <f aca="false">IF(B290="","",SUMIFS(Vendas!$G$5:$G$3004,Vendas!$C$5:$C$3004,B290))</f>
        <v/>
      </c>
      <c r="F290" s="27" t="str">
        <f aca="false">IF(B290="","",SUMIFS(Recebi!$D$5:$D$3004,Recebi!$C$5:$C$3004,B290)+SUMIFS(Vendas!$G$5:$G$3004,Vendas!$C$5:$C$3004,B290,Vendas!$J$5:$J$3004,"Sim"))</f>
        <v/>
      </c>
      <c r="G290" s="27" t="str">
        <f aca="false">IF(B290="","",SUMIFS(Acertos!$D$5:$D$504,Acertos!$C$5:$C$504,B290))</f>
        <v/>
      </c>
      <c r="H290" s="36" t="str">
        <f aca="false">IF(B290="","",E290+G290-F290)</f>
        <v/>
      </c>
      <c r="I290" s="46" t="str">
        <f aca="false">IF(B290="","",IF(COUNTIF(Vendas!$C$5:$C$3004,B290)=0,"",_xlfn.MAXIFS(Vendas!$B$5:$B$3004,Vendas!$C$5:$C$3004,B290)))</f>
        <v/>
      </c>
      <c r="J290" s="39" t="str">
        <f aca="false">IF(B290="","",IF(H290&gt;0.005,"Deve",IF(H290&lt;-0.005,"Tem crédito",IF(E290&gt;0,"Em dia","Ainda não comprou"))))</f>
        <v/>
      </c>
    </row>
    <row r="291" customFormat="false" ht="21" hidden="false" customHeight="true" outlineLevel="0" collapsed="false">
      <c r="B291" s="9"/>
      <c r="C291" s="45"/>
      <c r="D291" s="9"/>
      <c r="E291" s="27" t="str">
        <f aca="false">IF(B291="","",SUMIFS(Vendas!$G$5:$G$3004,Vendas!$C$5:$C$3004,B291))</f>
        <v/>
      </c>
      <c r="F291" s="27" t="str">
        <f aca="false">IF(B291="","",SUMIFS(Recebi!$D$5:$D$3004,Recebi!$C$5:$C$3004,B291)+SUMIFS(Vendas!$G$5:$G$3004,Vendas!$C$5:$C$3004,B291,Vendas!$J$5:$J$3004,"Sim"))</f>
        <v/>
      </c>
      <c r="G291" s="27" t="str">
        <f aca="false">IF(B291="","",SUMIFS(Acertos!$D$5:$D$504,Acertos!$C$5:$C$504,B291))</f>
        <v/>
      </c>
      <c r="H291" s="36" t="str">
        <f aca="false">IF(B291="","",E291+G291-F291)</f>
        <v/>
      </c>
      <c r="I291" s="46" t="str">
        <f aca="false">IF(B291="","",IF(COUNTIF(Vendas!$C$5:$C$3004,B291)=0,"",_xlfn.MAXIFS(Vendas!$B$5:$B$3004,Vendas!$C$5:$C$3004,B291)))</f>
        <v/>
      </c>
      <c r="J291" s="39" t="str">
        <f aca="false">IF(B291="","",IF(H291&gt;0.005,"Deve",IF(H291&lt;-0.005,"Tem crédito",IF(E291&gt;0,"Em dia","Ainda não comprou"))))</f>
        <v/>
      </c>
    </row>
    <row r="292" customFormat="false" ht="21" hidden="false" customHeight="true" outlineLevel="0" collapsed="false">
      <c r="B292" s="9"/>
      <c r="C292" s="45"/>
      <c r="D292" s="9"/>
      <c r="E292" s="27" t="str">
        <f aca="false">IF(B292="","",SUMIFS(Vendas!$G$5:$G$3004,Vendas!$C$5:$C$3004,B292))</f>
        <v/>
      </c>
      <c r="F292" s="27" t="str">
        <f aca="false">IF(B292="","",SUMIFS(Recebi!$D$5:$D$3004,Recebi!$C$5:$C$3004,B292)+SUMIFS(Vendas!$G$5:$G$3004,Vendas!$C$5:$C$3004,B292,Vendas!$J$5:$J$3004,"Sim"))</f>
        <v/>
      </c>
      <c r="G292" s="27" t="str">
        <f aca="false">IF(B292="","",SUMIFS(Acertos!$D$5:$D$504,Acertos!$C$5:$C$504,B292))</f>
        <v/>
      </c>
      <c r="H292" s="36" t="str">
        <f aca="false">IF(B292="","",E292+G292-F292)</f>
        <v/>
      </c>
      <c r="I292" s="46" t="str">
        <f aca="false">IF(B292="","",IF(COUNTIF(Vendas!$C$5:$C$3004,B292)=0,"",_xlfn.MAXIFS(Vendas!$B$5:$B$3004,Vendas!$C$5:$C$3004,B292)))</f>
        <v/>
      </c>
      <c r="J292" s="39" t="str">
        <f aca="false">IF(B292="","",IF(H292&gt;0.005,"Deve",IF(H292&lt;-0.005,"Tem crédito",IF(E292&gt;0,"Em dia","Ainda não comprou"))))</f>
        <v/>
      </c>
    </row>
    <row r="293" customFormat="false" ht="21" hidden="false" customHeight="true" outlineLevel="0" collapsed="false">
      <c r="B293" s="9"/>
      <c r="C293" s="45"/>
      <c r="D293" s="9"/>
      <c r="E293" s="27" t="str">
        <f aca="false">IF(B293="","",SUMIFS(Vendas!$G$5:$G$3004,Vendas!$C$5:$C$3004,B293))</f>
        <v/>
      </c>
      <c r="F293" s="27" t="str">
        <f aca="false">IF(B293="","",SUMIFS(Recebi!$D$5:$D$3004,Recebi!$C$5:$C$3004,B293)+SUMIFS(Vendas!$G$5:$G$3004,Vendas!$C$5:$C$3004,B293,Vendas!$J$5:$J$3004,"Sim"))</f>
        <v/>
      </c>
      <c r="G293" s="27" t="str">
        <f aca="false">IF(B293="","",SUMIFS(Acertos!$D$5:$D$504,Acertos!$C$5:$C$504,B293))</f>
        <v/>
      </c>
      <c r="H293" s="36" t="str">
        <f aca="false">IF(B293="","",E293+G293-F293)</f>
        <v/>
      </c>
      <c r="I293" s="46" t="str">
        <f aca="false">IF(B293="","",IF(COUNTIF(Vendas!$C$5:$C$3004,B293)=0,"",_xlfn.MAXIFS(Vendas!$B$5:$B$3004,Vendas!$C$5:$C$3004,B293)))</f>
        <v/>
      </c>
      <c r="J293" s="39" t="str">
        <f aca="false">IF(B293="","",IF(H293&gt;0.005,"Deve",IF(H293&lt;-0.005,"Tem crédito",IF(E293&gt;0,"Em dia","Ainda não comprou"))))</f>
        <v/>
      </c>
    </row>
    <row r="294" customFormat="false" ht="21" hidden="false" customHeight="true" outlineLevel="0" collapsed="false">
      <c r="B294" s="9"/>
      <c r="C294" s="45"/>
      <c r="D294" s="9"/>
      <c r="E294" s="27" t="str">
        <f aca="false">IF(B294="","",SUMIFS(Vendas!$G$5:$G$3004,Vendas!$C$5:$C$3004,B294))</f>
        <v/>
      </c>
      <c r="F294" s="27" t="str">
        <f aca="false">IF(B294="","",SUMIFS(Recebi!$D$5:$D$3004,Recebi!$C$5:$C$3004,B294)+SUMIFS(Vendas!$G$5:$G$3004,Vendas!$C$5:$C$3004,B294,Vendas!$J$5:$J$3004,"Sim"))</f>
        <v/>
      </c>
      <c r="G294" s="27" t="str">
        <f aca="false">IF(B294="","",SUMIFS(Acertos!$D$5:$D$504,Acertos!$C$5:$C$504,B294))</f>
        <v/>
      </c>
      <c r="H294" s="36" t="str">
        <f aca="false">IF(B294="","",E294+G294-F294)</f>
        <v/>
      </c>
      <c r="I294" s="46" t="str">
        <f aca="false">IF(B294="","",IF(COUNTIF(Vendas!$C$5:$C$3004,B294)=0,"",_xlfn.MAXIFS(Vendas!$B$5:$B$3004,Vendas!$C$5:$C$3004,B294)))</f>
        <v/>
      </c>
      <c r="J294" s="39" t="str">
        <f aca="false">IF(B294="","",IF(H294&gt;0.005,"Deve",IF(H294&lt;-0.005,"Tem crédito",IF(E294&gt;0,"Em dia","Ainda não comprou"))))</f>
        <v/>
      </c>
    </row>
    <row r="295" customFormat="false" ht="21" hidden="false" customHeight="true" outlineLevel="0" collapsed="false">
      <c r="B295" s="9"/>
      <c r="C295" s="45"/>
      <c r="D295" s="9"/>
      <c r="E295" s="27" t="str">
        <f aca="false">IF(B295="","",SUMIFS(Vendas!$G$5:$G$3004,Vendas!$C$5:$C$3004,B295))</f>
        <v/>
      </c>
      <c r="F295" s="27" t="str">
        <f aca="false">IF(B295="","",SUMIFS(Recebi!$D$5:$D$3004,Recebi!$C$5:$C$3004,B295)+SUMIFS(Vendas!$G$5:$G$3004,Vendas!$C$5:$C$3004,B295,Vendas!$J$5:$J$3004,"Sim"))</f>
        <v/>
      </c>
      <c r="G295" s="27" t="str">
        <f aca="false">IF(B295="","",SUMIFS(Acertos!$D$5:$D$504,Acertos!$C$5:$C$504,B295))</f>
        <v/>
      </c>
      <c r="H295" s="36" t="str">
        <f aca="false">IF(B295="","",E295+G295-F295)</f>
        <v/>
      </c>
      <c r="I295" s="46" t="str">
        <f aca="false">IF(B295="","",IF(COUNTIF(Vendas!$C$5:$C$3004,B295)=0,"",_xlfn.MAXIFS(Vendas!$B$5:$B$3004,Vendas!$C$5:$C$3004,B295)))</f>
        <v/>
      </c>
      <c r="J295" s="39" t="str">
        <f aca="false">IF(B295="","",IF(H295&gt;0.005,"Deve",IF(H295&lt;-0.005,"Tem crédito",IF(E295&gt;0,"Em dia","Ainda não comprou"))))</f>
        <v/>
      </c>
    </row>
    <row r="296" customFormat="false" ht="21" hidden="false" customHeight="true" outlineLevel="0" collapsed="false">
      <c r="B296" s="9"/>
      <c r="C296" s="45"/>
      <c r="D296" s="9"/>
      <c r="E296" s="27" t="str">
        <f aca="false">IF(B296="","",SUMIFS(Vendas!$G$5:$G$3004,Vendas!$C$5:$C$3004,B296))</f>
        <v/>
      </c>
      <c r="F296" s="27" t="str">
        <f aca="false">IF(B296="","",SUMIFS(Recebi!$D$5:$D$3004,Recebi!$C$5:$C$3004,B296)+SUMIFS(Vendas!$G$5:$G$3004,Vendas!$C$5:$C$3004,B296,Vendas!$J$5:$J$3004,"Sim"))</f>
        <v/>
      </c>
      <c r="G296" s="27" t="str">
        <f aca="false">IF(B296="","",SUMIFS(Acertos!$D$5:$D$504,Acertos!$C$5:$C$504,B296))</f>
        <v/>
      </c>
      <c r="H296" s="36" t="str">
        <f aca="false">IF(B296="","",E296+G296-F296)</f>
        <v/>
      </c>
      <c r="I296" s="46" t="str">
        <f aca="false">IF(B296="","",IF(COUNTIF(Vendas!$C$5:$C$3004,B296)=0,"",_xlfn.MAXIFS(Vendas!$B$5:$B$3004,Vendas!$C$5:$C$3004,B296)))</f>
        <v/>
      </c>
      <c r="J296" s="39" t="str">
        <f aca="false">IF(B296="","",IF(H296&gt;0.005,"Deve",IF(H296&lt;-0.005,"Tem crédito",IF(E296&gt;0,"Em dia","Ainda não comprou"))))</f>
        <v/>
      </c>
    </row>
    <row r="297" customFormat="false" ht="21" hidden="false" customHeight="true" outlineLevel="0" collapsed="false">
      <c r="B297" s="9"/>
      <c r="C297" s="45"/>
      <c r="D297" s="9"/>
      <c r="E297" s="27" t="str">
        <f aca="false">IF(B297="","",SUMIFS(Vendas!$G$5:$G$3004,Vendas!$C$5:$C$3004,B297))</f>
        <v/>
      </c>
      <c r="F297" s="27" t="str">
        <f aca="false">IF(B297="","",SUMIFS(Recebi!$D$5:$D$3004,Recebi!$C$5:$C$3004,B297)+SUMIFS(Vendas!$G$5:$G$3004,Vendas!$C$5:$C$3004,B297,Vendas!$J$5:$J$3004,"Sim"))</f>
        <v/>
      </c>
      <c r="G297" s="27" t="str">
        <f aca="false">IF(B297="","",SUMIFS(Acertos!$D$5:$D$504,Acertos!$C$5:$C$504,B297))</f>
        <v/>
      </c>
      <c r="H297" s="36" t="str">
        <f aca="false">IF(B297="","",E297+G297-F297)</f>
        <v/>
      </c>
      <c r="I297" s="46" t="str">
        <f aca="false">IF(B297="","",IF(COUNTIF(Vendas!$C$5:$C$3004,B297)=0,"",_xlfn.MAXIFS(Vendas!$B$5:$B$3004,Vendas!$C$5:$C$3004,B297)))</f>
        <v/>
      </c>
      <c r="J297" s="39" t="str">
        <f aca="false">IF(B297="","",IF(H297&gt;0.005,"Deve",IF(H297&lt;-0.005,"Tem crédito",IF(E297&gt;0,"Em dia","Ainda não comprou"))))</f>
        <v/>
      </c>
    </row>
    <row r="298" customFormat="false" ht="21" hidden="false" customHeight="true" outlineLevel="0" collapsed="false">
      <c r="B298" s="9"/>
      <c r="C298" s="45"/>
      <c r="D298" s="9"/>
      <c r="E298" s="27" t="str">
        <f aca="false">IF(B298="","",SUMIFS(Vendas!$G$5:$G$3004,Vendas!$C$5:$C$3004,B298))</f>
        <v/>
      </c>
      <c r="F298" s="27" t="str">
        <f aca="false">IF(B298="","",SUMIFS(Recebi!$D$5:$D$3004,Recebi!$C$5:$C$3004,B298)+SUMIFS(Vendas!$G$5:$G$3004,Vendas!$C$5:$C$3004,B298,Vendas!$J$5:$J$3004,"Sim"))</f>
        <v/>
      </c>
      <c r="G298" s="27" t="str">
        <f aca="false">IF(B298="","",SUMIFS(Acertos!$D$5:$D$504,Acertos!$C$5:$C$504,B298))</f>
        <v/>
      </c>
      <c r="H298" s="36" t="str">
        <f aca="false">IF(B298="","",E298+G298-F298)</f>
        <v/>
      </c>
      <c r="I298" s="46" t="str">
        <f aca="false">IF(B298="","",IF(COUNTIF(Vendas!$C$5:$C$3004,B298)=0,"",_xlfn.MAXIFS(Vendas!$B$5:$B$3004,Vendas!$C$5:$C$3004,B298)))</f>
        <v/>
      </c>
      <c r="J298" s="39" t="str">
        <f aca="false">IF(B298="","",IF(H298&gt;0.005,"Deve",IF(H298&lt;-0.005,"Tem crédito",IF(E298&gt;0,"Em dia","Ainda não comprou"))))</f>
        <v/>
      </c>
    </row>
    <row r="299" customFormat="false" ht="21" hidden="false" customHeight="true" outlineLevel="0" collapsed="false">
      <c r="B299" s="9"/>
      <c r="C299" s="45"/>
      <c r="D299" s="9"/>
      <c r="E299" s="27" t="str">
        <f aca="false">IF(B299="","",SUMIFS(Vendas!$G$5:$G$3004,Vendas!$C$5:$C$3004,B299))</f>
        <v/>
      </c>
      <c r="F299" s="27" t="str">
        <f aca="false">IF(B299="","",SUMIFS(Recebi!$D$5:$D$3004,Recebi!$C$5:$C$3004,B299)+SUMIFS(Vendas!$G$5:$G$3004,Vendas!$C$5:$C$3004,B299,Vendas!$J$5:$J$3004,"Sim"))</f>
        <v/>
      </c>
      <c r="G299" s="27" t="str">
        <f aca="false">IF(B299="","",SUMIFS(Acertos!$D$5:$D$504,Acertos!$C$5:$C$504,B299))</f>
        <v/>
      </c>
      <c r="H299" s="36" t="str">
        <f aca="false">IF(B299="","",E299+G299-F299)</f>
        <v/>
      </c>
      <c r="I299" s="46" t="str">
        <f aca="false">IF(B299="","",IF(COUNTIF(Vendas!$C$5:$C$3004,B299)=0,"",_xlfn.MAXIFS(Vendas!$B$5:$B$3004,Vendas!$C$5:$C$3004,B299)))</f>
        <v/>
      </c>
      <c r="J299" s="39" t="str">
        <f aca="false">IF(B299="","",IF(H299&gt;0.005,"Deve",IF(H299&lt;-0.005,"Tem crédito",IF(E299&gt;0,"Em dia","Ainda não comprou"))))</f>
        <v/>
      </c>
    </row>
    <row r="300" customFormat="false" ht="21" hidden="false" customHeight="true" outlineLevel="0" collapsed="false">
      <c r="B300" s="9"/>
      <c r="C300" s="45"/>
      <c r="D300" s="9"/>
      <c r="E300" s="27" t="str">
        <f aca="false">IF(B300="","",SUMIFS(Vendas!$G$5:$G$3004,Vendas!$C$5:$C$3004,B300))</f>
        <v/>
      </c>
      <c r="F300" s="27" t="str">
        <f aca="false">IF(B300="","",SUMIFS(Recebi!$D$5:$D$3004,Recebi!$C$5:$C$3004,B300)+SUMIFS(Vendas!$G$5:$G$3004,Vendas!$C$5:$C$3004,B300,Vendas!$J$5:$J$3004,"Sim"))</f>
        <v/>
      </c>
      <c r="G300" s="27" t="str">
        <f aca="false">IF(B300="","",SUMIFS(Acertos!$D$5:$D$504,Acertos!$C$5:$C$504,B300))</f>
        <v/>
      </c>
      <c r="H300" s="36" t="str">
        <f aca="false">IF(B300="","",E300+G300-F300)</f>
        <v/>
      </c>
      <c r="I300" s="46" t="str">
        <f aca="false">IF(B300="","",IF(COUNTIF(Vendas!$C$5:$C$3004,B300)=0,"",_xlfn.MAXIFS(Vendas!$B$5:$B$3004,Vendas!$C$5:$C$3004,B300)))</f>
        <v/>
      </c>
      <c r="J300" s="39" t="str">
        <f aca="false">IF(B300="","",IF(H300&gt;0.005,"Deve",IF(H300&lt;-0.005,"Tem crédito",IF(E300&gt;0,"Em dia","Ainda não comprou"))))</f>
        <v/>
      </c>
    </row>
    <row r="301" customFormat="false" ht="21" hidden="false" customHeight="true" outlineLevel="0" collapsed="false">
      <c r="B301" s="9"/>
      <c r="C301" s="45"/>
      <c r="D301" s="9"/>
      <c r="E301" s="27" t="str">
        <f aca="false">IF(B301="","",SUMIFS(Vendas!$G$5:$G$3004,Vendas!$C$5:$C$3004,B301))</f>
        <v/>
      </c>
      <c r="F301" s="27" t="str">
        <f aca="false">IF(B301="","",SUMIFS(Recebi!$D$5:$D$3004,Recebi!$C$5:$C$3004,B301)+SUMIFS(Vendas!$G$5:$G$3004,Vendas!$C$5:$C$3004,B301,Vendas!$J$5:$J$3004,"Sim"))</f>
        <v/>
      </c>
      <c r="G301" s="27" t="str">
        <f aca="false">IF(B301="","",SUMIFS(Acertos!$D$5:$D$504,Acertos!$C$5:$C$504,B301))</f>
        <v/>
      </c>
      <c r="H301" s="36" t="str">
        <f aca="false">IF(B301="","",E301+G301-F301)</f>
        <v/>
      </c>
      <c r="I301" s="46" t="str">
        <f aca="false">IF(B301="","",IF(COUNTIF(Vendas!$C$5:$C$3004,B301)=0,"",_xlfn.MAXIFS(Vendas!$B$5:$B$3004,Vendas!$C$5:$C$3004,B301)))</f>
        <v/>
      </c>
      <c r="J301" s="39" t="str">
        <f aca="false">IF(B301="","",IF(H301&gt;0.005,"Deve",IF(H301&lt;-0.005,"Tem crédito",IF(E301&gt;0,"Em dia","Ainda não comprou"))))</f>
        <v/>
      </c>
    </row>
    <row r="302" customFormat="false" ht="21" hidden="false" customHeight="true" outlineLevel="0" collapsed="false">
      <c r="B302" s="9"/>
      <c r="C302" s="45"/>
      <c r="D302" s="9"/>
      <c r="E302" s="27" t="str">
        <f aca="false">IF(B302="","",SUMIFS(Vendas!$G$5:$G$3004,Vendas!$C$5:$C$3004,B302))</f>
        <v/>
      </c>
      <c r="F302" s="27" t="str">
        <f aca="false">IF(B302="","",SUMIFS(Recebi!$D$5:$D$3004,Recebi!$C$5:$C$3004,B302)+SUMIFS(Vendas!$G$5:$G$3004,Vendas!$C$5:$C$3004,B302,Vendas!$J$5:$J$3004,"Sim"))</f>
        <v/>
      </c>
      <c r="G302" s="27" t="str">
        <f aca="false">IF(B302="","",SUMIFS(Acertos!$D$5:$D$504,Acertos!$C$5:$C$504,B302))</f>
        <v/>
      </c>
      <c r="H302" s="36" t="str">
        <f aca="false">IF(B302="","",E302+G302-F302)</f>
        <v/>
      </c>
      <c r="I302" s="46" t="str">
        <f aca="false">IF(B302="","",IF(COUNTIF(Vendas!$C$5:$C$3004,B302)=0,"",_xlfn.MAXIFS(Vendas!$B$5:$B$3004,Vendas!$C$5:$C$3004,B302)))</f>
        <v/>
      </c>
      <c r="J302" s="39" t="str">
        <f aca="false">IF(B302="","",IF(H302&gt;0.005,"Deve",IF(H302&lt;-0.005,"Tem crédito",IF(E302&gt;0,"Em dia","Ainda não comprou"))))</f>
        <v/>
      </c>
    </row>
    <row r="303" customFormat="false" ht="21" hidden="false" customHeight="true" outlineLevel="0" collapsed="false">
      <c r="B303" s="9"/>
      <c r="C303" s="45"/>
      <c r="D303" s="9"/>
      <c r="E303" s="27" t="str">
        <f aca="false">IF(B303="","",SUMIFS(Vendas!$G$5:$G$3004,Vendas!$C$5:$C$3004,B303))</f>
        <v/>
      </c>
      <c r="F303" s="27" t="str">
        <f aca="false">IF(B303="","",SUMIFS(Recebi!$D$5:$D$3004,Recebi!$C$5:$C$3004,B303)+SUMIFS(Vendas!$G$5:$G$3004,Vendas!$C$5:$C$3004,B303,Vendas!$J$5:$J$3004,"Sim"))</f>
        <v/>
      </c>
      <c r="G303" s="27" t="str">
        <f aca="false">IF(B303="","",SUMIFS(Acertos!$D$5:$D$504,Acertos!$C$5:$C$504,B303))</f>
        <v/>
      </c>
      <c r="H303" s="36" t="str">
        <f aca="false">IF(B303="","",E303+G303-F303)</f>
        <v/>
      </c>
      <c r="I303" s="46" t="str">
        <f aca="false">IF(B303="","",IF(COUNTIF(Vendas!$C$5:$C$3004,B303)=0,"",_xlfn.MAXIFS(Vendas!$B$5:$B$3004,Vendas!$C$5:$C$3004,B303)))</f>
        <v/>
      </c>
      <c r="J303" s="39" t="str">
        <f aca="false">IF(B303="","",IF(H303&gt;0.005,"Deve",IF(H303&lt;-0.005,"Tem crédito",IF(E303&gt;0,"Em dia","Ainda não comprou"))))</f>
        <v/>
      </c>
    </row>
    <row r="304" customFormat="false" ht="21" hidden="false" customHeight="true" outlineLevel="0" collapsed="false">
      <c r="B304" s="9"/>
      <c r="C304" s="45"/>
      <c r="D304" s="9"/>
      <c r="E304" s="27" t="str">
        <f aca="false">IF(B304="","",SUMIFS(Vendas!$G$5:$G$3004,Vendas!$C$5:$C$3004,B304))</f>
        <v/>
      </c>
      <c r="F304" s="27" t="str">
        <f aca="false">IF(B304="","",SUMIFS(Recebi!$D$5:$D$3004,Recebi!$C$5:$C$3004,B304)+SUMIFS(Vendas!$G$5:$G$3004,Vendas!$C$5:$C$3004,B304,Vendas!$J$5:$J$3004,"Sim"))</f>
        <v/>
      </c>
      <c r="G304" s="27" t="str">
        <f aca="false">IF(B304="","",SUMIFS(Acertos!$D$5:$D$504,Acertos!$C$5:$C$504,B304))</f>
        <v/>
      </c>
      <c r="H304" s="36" t="str">
        <f aca="false">IF(B304="","",E304+G304-F304)</f>
        <v/>
      </c>
      <c r="I304" s="46" t="str">
        <f aca="false">IF(B304="","",IF(COUNTIF(Vendas!$C$5:$C$3004,B304)=0,"",_xlfn.MAXIFS(Vendas!$B$5:$B$3004,Vendas!$C$5:$C$3004,B304)))</f>
        <v/>
      </c>
      <c r="J304" s="39" t="str">
        <f aca="false">IF(B304="","",IF(H304&gt;0.005,"Deve",IF(H304&lt;-0.005,"Tem crédito",IF(E304&gt;0,"Em dia","Ainda não comprou"))))</f>
        <v/>
      </c>
    </row>
  </sheetData>
  <mergeCells count="2">
    <mergeCell ref="B1:J1"/>
    <mergeCell ref="B2:J2"/>
  </mergeCells>
  <conditionalFormatting sqref="J5:J304">
    <cfRule type="expression" priority="2" aboveAverage="0" equalAverage="0" bottom="0" percent="0" rank="0" text="" dxfId="1">
      <formula>J5="Deve"</formula>
    </cfRule>
    <cfRule type="expression" priority="3" aboveAverage="0" equalAverage="0" bottom="0" percent="0" rank="0" text="" dxfId="2">
      <formula>J5="Em dia"</formula>
    </cfRule>
  </conditionalFormatting>
  <conditionalFormatting sqref="H5:H304">
    <cfRule type="cellIs" priority="4" operator="greaterThan" aboveAverage="0" equalAverage="0" bottom="0" percent="0" rank="0" text="" dxfId="0">
      <formula>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573"/>
    <pageSetUpPr fitToPage="true"/>
  </sheetPr>
  <dimension ref="B1:P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5"/>
    <col collapsed="false" customWidth="true" hidden="false" outlineLevel="0" max="13" min="10" style="0" width="14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true" outlineLevel="0" max="16" min="16" style="0" width="13"/>
  </cols>
  <sheetData>
    <row r="1" customFormat="false" ht="39.75" hidden="false" customHeight="true" outlineLevel="0" collapsed="false">
      <c r="B1" s="1" t="s">
        <v>142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6" hidden="false" customHeight="true" outlineLevel="0" collapsed="false">
      <c r="B2" s="2" t="s">
        <v>143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86</v>
      </c>
      <c r="C4" s="40" t="s">
        <v>144</v>
      </c>
      <c r="D4" s="40" t="s">
        <v>145</v>
      </c>
      <c r="E4" s="40" t="s">
        <v>146</v>
      </c>
      <c r="F4" s="18" t="s">
        <v>147</v>
      </c>
      <c r="G4" s="18" t="s">
        <v>148</v>
      </c>
      <c r="H4" s="18" t="s">
        <v>149</v>
      </c>
      <c r="I4" s="18" t="s">
        <v>150</v>
      </c>
      <c r="J4" s="18" t="s">
        <v>151</v>
      </c>
      <c r="K4" s="18" t="s">
        <v>43</v>
      </c>
      <c r="L4" s="40" t="s">
        <v>152</v>
      </c>
      <c r="M4" s="18" t="s">
        <v>153</v>
      </c>
      <c r="N4" s="18" t="s">
        <v>154</v>
      </c>
      <c r="O4" s="18" t="s">
        <v>46</v>
      </c>
    </row>
    <row r="5" customFormat="false" ht="21" hidden="false" customHeight="true" outlineLevel="0" collapsed="false">
      <c r="B5" s="9" t="s">
        <v>99</v>
      </c>
      <c r="C5" s="42" t="n">
        <v>12</v>
      </c>
      <c r="D5" s="42" t="n">
        <v>3</v>
      </c>
      <c r="E5" s="43"/>
      <c r="F5" s="27" t="n">
        <f aca="false">IF(B5="","",SUMIFS(Receitas!$F$5:$F$504,Receitas!$B$5:$B$504,B5))</f>
        <v>45.8083666666667</v>
      </c>
      <c r="G5" s="27" t="n">
        <f aca="false">IF(B5="","",IF(N(E5)&gt;0,E5*(1+Perdas),IF(AND(N(C5)&gt;0,N(F5)&gt;0),F5*(1+Perdas)/C5,"")))</f>
        <v>4.00823208333333</v>
      </c>
      <c r="H5" s="27" t="n">
        <f aca="false">IF(G5="","",IF(N(E5)&gt;0,0,N(D5)*ValorHora/C5))</f>
        <v>4.33409090909091</v>
      </c>
      <c r="I5" s="36" t="n">
        <f aca="false">IF(G5="","",G5+H5)</f>
        <v>8.34232299242424</v>
      </c>
      <c r="J5" s="27" t="n">
        <f aca="false">IF(I5="","",I5/(1-Taxas))</f>
        <v>8.60033298188066</v>
      </c>
      <c r="K5" s="36" t="n">
        <f aca="false">IF(I5="","",IF(Taxas+LucroDesejado&gt;=1,"",IF(I5/(1-Taxas-LucroDesejado)&lt;3,CEILING(I5/(1-Taxas-LucroDesejado),0.1),CEILING(I5/(1-Taxas-LucroDesejado),0.5))))</f>
        <v>10.5</v>
      </c>
      <c r="L5" s="43" t="n">
        <v>12</v>
      </c>
      <c r="M5" s="27" t="n">
        <f aca="false">IF(OR(I5="",N(L5)=0),"",L5-I5-L5*Taxas)</f>
        <v>3.29767700757576</v>
      </c>
      <c r="N5" s="35" t="n">
        <f aca="false">IF(M5="","",M5/L5)</f>
        <v>0.27480641729798</v>
      </c>
      <c r="O5" s="39" t="str">
        <f aca="false">IF(B5="","",IF(AND(N(E5)=0,N(F5)=0),"Falta a receita ou o custo",IF(G5="","Falta o rendimento",IF(N(L5)=0,"Falta o seu preço",IF(L5&lt;G5/(1-Taxas),"Prejuízo",IF(L5&lt;J5-0.005,"Não paga o seu tempo",IF(L5&lt;K5-0.005,"Abaixo do sugerido","Preço bom")))))))</f>
        <v>Preço bom</v>
      </c>
      <c r="P5" s="47" t="n">
        <f aca="false">IF(OR(G5="",N(L5)=0),"",(L5-G5)/L5-Taxas)</f>
        <v>0.635980659722222</v>
      </c>
    </row>
    <row r="6" customFormat="false" ht="21" hidden="false" customHeight="true" outlineLevel="0" collapsed="false">
      <c r="B6" s="9" t="s">
        <v>105</v>
      </c>
      <c r="C6" s="42" t="n">
        <v>20</v>
      </c>
      <c r="D6" s="42" t="n">
        <v>3</v>
      </c>
      <c r="E6" s="43"/>
      <c r="F6" s="27" t="n">
        <f aca="false">IF(B6="","",SUMIFS(Receitas!$F$5:$F$504,Receitas!$B$5:$B$504,B6))</f>
        <v>42.5305166666667</v>
      </c>
      <c r="G6" s="27" t="n">
        <f aca="false">IF(B6="","",IF(N(E6)&gt;0,E6*(1+Perdas),IF(AND(N(C6)&gt;0,N(F6)&gt;0),F6*(1+Perdas)/C6,"")))</f>
        <v>2.232852125</v>
      </c>
      <c r="H6" s="27" t="n">
        <f aca="false">IF(G6="","",IF(N(E6)&gt;0,0,N(D6)*ValorHora/C6))</f>
        <v>2.60045454545455</v>
      </c>
      <c r="I6" s="36" t="n">
        <f aca="false">IF(G6="","",G6+H6)</f>
        <v>4.83330667045455</v>
      </c>
      <c r="J6" s="27" t="n">
        <f aca="false">IF(I6="","",I6/(1-Taxas))</f>
        <v>4.9827903819119</v>
      </c>
      <c r="K6" s="36" t="n">
        <f aca="false">IF(I6="","",IF(Taxas+LucroDesejado&gt;=1,"",IF(I6/(1-Taxas-LucroDesejado)&lt;3,CEILING(I6/(1-Taxas-LucroDesejado),0.1),CEILING(I6/(1-Taxas-LucroDesejado),0.5))))</f>
        <v>6</v>
      </c>
      <c r="L6" s="43" t="n">
        <v>5</v>
      </c>
      <c r="M6" s="27" t="n">
        <f aca="false">IF(OR(I6="",N(L6)=0),"",L6-I6-L6*Taxas)</f>
        <v>0.0166933295454545</v>
      </c>
      <c r="N6" s="35" t="n">
        <f aca="false">IF(M6="","",M6/L6)</f>
        <v>0.00333866590909089</v>
      </c>
      <c r="O6" s="39" t="str">
        <f aca="false">IF(B6="","",IF(AND(N(E6)=0,N(F6)=0),"Falta a receita ou o custo",IF(G6="","Falta o rendimento",IF(N(L6)=0,"Falta o seu preço",IF(L6&lt;G6/(1-Taxas),"Prejuízo",IF(L6&lt;J6-0.005,"Não paga o seu tempo",IF(L6&lt;K6-0.005,"Abaixo do sugerido","Preço bom")))))))</f>
        <v>Abaixo do sugerido</v>
      </c>
      <c r="P6" s="47" t="n">
        <f aca="false">IF(OR(G6="",N(L6)=0),"",(L6-G6)/L6-Taxas)</f>
        <v>0.523429575</v>
      </c>
    </row>
    <row r="7" customFormat="false" ht="21" hidden="false" customHeight="true" outlineLevel="0" collapsed="false">
      <c r="B7" s="9" t="s">
        <v>101</v>
      </c>
      <c r="C7" s="42" t="n">
        <v>30</v>
      </c>
      <c r="D7" s="42" t="n">
        <v>1.5</v>
      </c>
      <c r="E7" s="43"/>
      <c r="F7" s="27" t="n">
        <f aca="false">IF(B7="","",SUMIFS(Receitas!$F$5:$F$504,Receitas!$B$5:$B$504,B7))</f>
        <v>13.614</v>
      </c>
      <c r="G7" s="27" t="n">
        <f aca="false">IF(B7="","",IF(N(E7)&gt;0,E7*(1+Perdas),IF(AND(N(C7)&gt;0,N(F7)&gt;0),F7*(1+Perdas)/C7,"")))</f>
        <v>0.47649</v>
      </c>
      <c r="H7" s="27" t="n">
        <f aca="false">IF(G7="","",IF(N(E7)&gt;0,0,N(D7)*ValorHora/C7))</f>
        <v>0.866818181818182</v>
      </c>
      <c r="I7" s="36" t="n">
        <f aca="false">IF(G7="","",G7+H7)</f>
        <v>1.34330818181818</v>
      </c>
      <c r="J7" s="27" t="n">
        <f aca="false">IF(I7="","",I7/(1-Taxas))</f>
        <v>1.38485379568885</v>
      </c>
      <c r="K7" s="36" t="n">
        <f aca="false">IF(I7="","",IF(Taxas+LucroDesejado&gt;=1,"",IF(I7/(1-Taxas-LucroDesejado)&lt;3,CEILING(I7/(1-Taxas-LucroDesejado),0.1),CEILING(I7/(1-Taxas-LucroDesejado),0.5))))</f>
        <v>1.7</v>
      </c>
      <c r="L7" s="43" t="n">
        <v>2.5</v>
      </c>
      <c r="M7" s="27" t="n">
        <f aca="false">IF(OR(I7="",N(L7)=0),"",L7-I7-L7*Taxas)</f>
        <v>1.08169181818182</v>
      </c>
      <c r="N7" s="35" t="n">
        <f aca="false">IF(M7="","",M7/L7)</f>
        <v>0.432676727272727</v>
      </c>
      <c r="O7" s="39" t="str">
        <f aca="false">IF(B7="","",IF(AND(N(E7)=0,N(F7)=0),"Falta a receita ou o custo",IF(G7="","Falta o rendimento",IF(N(L7)=0,"Falta o seu preço",IF(L7&lt;G7/(1-Taxas),"Prejuízo",IF(L7&lt;J7-0.005,"Não paga o seu tempo",IF(L7&lt;K7-0.005,"Abaixo do sugerido","Preço bom")))))))</f>
        <v>Preço bom</v>
      </c>
      <c r="P7" s="47" t="n">
        <f aca="false">IF(OR(G7="",N(L7)=0),"",(L7-G7)/L7-Taxas)</f>
        <v>0.779404</v>
      </c>
    </row>
    <row r="8" customFormat="false" ht="21" hidden="false" customHeight="true" outlineLevel="0" collapsed="false">
      <c r="B8" s="9" t="s">
        <v>104</v>
      </c>
      <c r="C8" s="42"/>
      <c r="D8" s="42"/>
      <c r="E8" s="43" t="n">
        <v>3.2</v>
      </c>
      <c r="F8" s="27" t="n">
        <f aca="false">IF(B8="","",SUMIFS(Receitas!$F$5:$F$504,Receitas!$B$5:$B$504,B8))</f>
        <v>0</v>
      </c>
      <c r="G8" s="27" t="n">
        <f aca="false">IF(B8="","",IF(N(E8)&gt;0,E8*(1+Perdas),IF(AND(N(C8)&gt;0,N(F8)&gt;0),F8*(1+Perdas)/C8,"")))</f>
        <v>3.36</v>
      </c>
      <c r="H8" s="27" t="n">
        <f aca="false">IF(G8="","",IF(N(E8)&gt;0,0,N(D8)*ValorHora/C8))</f>
        <v>0</v>
      </c>
      <c r="I8" s="36" t="n">
        <f aca="false">IF(G8="","",G8+H8)</f>
        <v>3.36</v>
      </c>
      <c r="J8" s="27" t="n">
        <f aca="false">IF(I8="","",I8/(1-Taxas))</f>
        <v>3.4639175257732</v>
      </c>
      <c r="K8" s="36" t="n">
        <f aca="false">IF(I8="","",IF(Taxas+LucroDesejado&gt;=1,"",IF(I8/(1-Taxas-LucroDesejado)&lt;3,CEILING(I8/(1-Taxas-LucroDesejado),0.1),CEILING(I8/(1-Taxas-LucroDesejado),0.5))))</f>
        <v>4.5</v>
      </c>
      <c r="L8" s="43" t="n">
        <v>6</v>
      </c>
      <c r="M8" s="27" t="n">
        <f aca="false">IF(OR(I8="",N(L8)=0),"",L8-I8-L8*Taxas)</f>
        <v>2.46</v>
      </c>
      <c r="N8" s="35" t="n">
        <f aca="false">IF(M8="","",M8/L8)</f>
        <v>0.41</v>
      </c>
      <c r="O8" s="39" t="str">
        <f aca="false">IF(B8="","",IF(AND(N(E8)=0,N(F8)=0),"Falta a receita ou o custo",IF(G8="","Falta o rendimento",IF(N(L8)=0,"Falta o seu preço",IF(L8&lt;G8/(1-Taxas),"Prejuízo",IF(L8&lt;J8-0.005,"Não paga o seu tempo",IF(L8&lt;K8-0.005,"Abaixo do sugerido","Preço bom")))))))</f>
        <v>Preço bom</v>
      </c>
      <c r="P8" s="47" t="n">
        <f aca="false">IF(OR(G8="",N(L8)=0),"",(L8-G8)/L8-Taxas)</f>
        <v>0.41</v>
      </c>
    </row>
    <row r="9" customFormat="false" ht="21" hidden="false" customHeight="true" outlineLevel="0" collapsed="false">
      <c r="B9" s="9"/>
      <c r="C9" s="42"/>
      <c r="D9" s="42"/>
      <c r="E9" s="43"/>
      <c r="F9" s="27" t="str">
        <f aca="false">IF(B9="","",SUMIFS(Receitas!$F$5:$F$504,Receitas!$B$5:$B$504,B9))</f>
        <v/>
      </c>
      <c r="G9" s="27" t="str">
        <f aca="false">IF(B9="","",IF(N(E9)&gt;0,E9*(1+Perdas),IF(AND(N(C9)&gt;0,N(F9)&gt;0),F9*(1+Perdas)/C9,"")))</f>
        <v/>
      </c>
      <c r="H9" s="27" t="str">
        <f aca="false">IF(G9="","",IF(N(E9)&gt;0,0,N(D9)*ValorHora/C9))</f>
        <v/>
      </c>
      <c r="I9" s="36" t="str">
        <f aca="false">IF(G9="","",G9+H9)</f>
        <v/>
      </c>
      <c r="J9" s="27" t="str">
        <f aca="false">IF(I9="","",I9/(1-Taxas))</f>
        <v/>
      </c>
      <c r="K9" s="36" t="str">
        <f aca="false">IF(I9="","",IF(Taxas+LucroDesejado&gt;=1,"",IF(I9/(1-Taxas-LucroDesejado)&lt;3,CEILING(I9/(1-Taxas-LucroDesejado),0.1),CEILING(I9/(1-Taxas-LucroDesejado),0.5))))</f>
        <v/>
      </c>
      <c r="L9" s="43"/>
      <c r="M9" s="27" t="str">
        <f aca="false">IF(OR(I9="",N(L9)=0),"",L9-I9-L9*Taxas)</f>
        <v/>
      </c>
      <c r="N9" s="35" t="str">
        <f aca="false">IF(M9="","",M9/L9)</f>
        <v/>
      </c>
      <c r="O9" s="39" t="str">
        <f aca="false">IF(B9="","",IF(AND(N(E9)=0,N(F9)=0),"Falta a receita ou o custo",IF(G9="","Falta o rendimento",IF(N(L9)=0,"Falta o seu preço",IF(L9&lt;G9/(1-Taxas),"Prejuízo",IF(L9&lt;J9-0.005,"Não paga o seu tempo",IF(L9&lt;K9-0.005,"Abaixo do sugerido","Preço bom")))))))</f>
        <v/>
      </c>
      <c r="P9" s="0" t="str">
        <f aca="false">IF(OR(G9="",N(L9)=0),"",(L9-G9)/L9-Taxas)</f>
        <v/>
      </c>
    </row>
    <row r="10" customFormat="false" ht="21" hidden="false" customHeight="true" outlineLevel="0" collapsed="false">
      <c r="B10" s="9"/>
      <c r="C10" s="42"/>
      <c r="D10" s="42"/>
      <c r="E10" s="43"/>
      <c r="F10" s="27" t="str">
        <f aca="false">IF(B10="","",SUMIFS(Receitas!$F$5:$F$504,Receitas!$B$5:$B$504,B10))</f>
        <v/>
      </c>
      <c r="G10" s="27" t="str">
        <f aca="false">IF(B10="","",IF(N(E10)&gt;0,E10*(1+Perdas),IF(AND(N(C10)&gt;0,N(F10)&gt;0),F10*(1+Perdas)/C10,"")))</f>
        <v/>
      </c>
      <c r="H10" s="27" t="str">
        <f aca="false">IF(G10="","",IF(N(E10)&gt;0,0,N(D10)*ValorHora/C10))</f>
        <v/>
      </c>
      <c r="I10" s="36" t="str">
        <f aca="false">IF(G10="","",G10+H10)</f>
        <v/>
      </c>
      <c r="J10" s="27" t="str">
        <f aca="false">IF(I10="","",I10/(1-Taxas))</f>
        <v/>
      </c>
      <c r="K10" s="36" t="str">
        <f aca="false">IF(I10="","",IF(Taxas+LucroDesejado&gt;=1,"",IF(I10/(1-Taxas-LucroDesejado)&lt;3,CEILING(I10/(1-Taxas-LucroDesejado),0.1),CEILING(I10/(1-Taxas-LucroDesejado),0.5))))</f>
        <v/>
      </c>
      <c r="L10" s="43"/>
      <c r="M10" s="27" t="str">
        <f aca="false">IF(OR(I10="",N(L10)=0),"",L10-I10-L10*Taxas)</f>
        <v/>
      </c>
      <c r="N10" s="35" t="str">
        <f aca="false">IF(M10="","",M10/L10)</f>
        <v/>
      </c>
      <c r="O10" s="39" t="str">
        <f aca="false">IF(B10="","",IF(AND(N(E10)=0,N(F10)=0),"Falta a receita ou o custo",IF(G10="","Falta o rendimento",IF(N(L10)=0,"Falta o seu preço",IF(L10&lt;G10/(1-Taxas),"Prejuízo",IF(L10&lt;J10-0.005,"Não paga o seu tempo",IF(L10&lt;K10-0.005,"Abaixo do sugerido","Preço bom")))))))</f>
        <v/>
      </c>
      <c r="P10" s="0" t="str">
        <f aca="false">IF(OR(G10="",N(L10)=0),"",(L10-G10)/L10-Taxas)</f>
        <v/>
      </c>
    </row>
    <row r="11" customFormat="false" ht="21" hidden="false" customHeight="true" outlineLevel="0" collapsed="false">
      <c r="B11" s="9"/>
      <c r="C11" s="42"/>
      <c r="D11" s="42"/>
      <c r="E11" s="43"/>
      <c r="F11" s="27" t="str">
        <f aca="false">IF(B11="","",SUMIFS(Receitas!$F$5:$F$504,Receitas!$B$5:$B$504,B11))</f>
        <v/>
      </c>
      <c r="G11" s="27" t="str">
        <f aca="false">IF(B11="","",IF(N(E11)&gt;0,E11*(1+Perdas),IF(AND(N(C11)&gt;0,N(F11)&gt;0),F11*(1+Perdas)/C11,"")))</f>
        <v/>
      </c>
      <c r="H11" s="27" t="str">
        <f aca="false">IF(G11="","",IF(N(E11)&gt;0,0,N(D11)*ValorHora/C11))</f>
        <v/>
      </c>
      <c r="I11" s="36" t="str">
        <f aca="false">IF(G11="","",G11+H11)</f>
        <v/>
      </c>
      <c r="J11" s="27" t="str">
        <f aca="false">IF(I11="","",I11/(1-Taxas))</f>
        <v/>
      </c>
      <c r="K11" s="36" t="str">
        <f aca="false">IF(I11="","",IF(Taxas+LucroDesejado&gt;=1,"",IF(I11/(1-Taxas-LucroDesejado)&lt;3,CEILING(I11/(1-Taxas-LucroDesejado),0.1),CEILING(I11/(1-Taxas-LucroDesejado),0.5))))</f>
        <v/>
      </c>
      <c r="L11" s="43"/>
      <c r="M11" s="27" t="str">
        <f aca="false">IF(OR(I11="",N(L11)=0),"",L11-I11-L11*Taxas)</f>
        <v/>
      </c>
      <c r="N11" s="35" t="str">
        <f aca="false">IF(M11="","",M11/L11)</f>
        <v/>
      </c>
      <c r="O11" s="39" t="str">
        <f aca="false">IF(B11="","",IF(AND(N(E11)=0,N(F11)=0),"Falta a receita ou o custo",IF(G11="","Falta o rendimento",IF(N(L11)=0,"Falta o seu preço",IF(L11&lt;G11/(1-Taxas),"Prejuízo",IF(L11&lt;J11-0.005,"Não paga o seu tempo",IF(L11&lt;K11-0.005,"Abaixo do sugerido","Preço bom")))))))</f>
        <v/>
      </c>
      <c r="P11" s="0" t="str">
        <f aca="false">IF(OR(G11="",N(L11)=0),"",(L11-G11)/L11-Taxas)</f>
        <v/>
      </c>
    </row>
    <row r="12" customFormat="false" ht="21" hidden="false" customHeight="true" outlineLevel="0" collapsed="false">
      <c r="B12" s="9"/>
      <c r="C12" s="42"/>
      <c r="D12" s="42"/>
      <c r="E12" s="43"/>
      <c r="F12" s="27" t="str">
        <f aca="false">IF(B12="","",SUMIFS(Receitas!$F$5:$F$504,Receitas!$B$5:$B$504,B12))</f>
        <v/>
      </c>
      <c r="G12" s="27" t="str">
        <f aca="false">IF(B12="","",IF(N(E12)&gt;0,E12*(1+Perdas),IF(AND(N(C12)&gt;0,N(F12)&gt;0),F12*(1+Perdas)/C12,"")))</f>
        <v/>
      </c>
      <c r="H12" s="27" t="str">
        <f aca="false">IF(G12="","",IF(N(E12)&gt;0,0,N(D12)*ValorHora/C12))</f>
        <v/>
      </c>
      <c r="I12" s="36" t="str">
        <f aca="false">IF(G12="","",G12+H12)</f>
        <v/>
      </c>
      <c r="J12" s="27" t="str">
        <f aca="false">IF(I12="","",I12/(1-Taxas))</f>
        <v/>
      </c>
      <c r="K12" s="36" t="str">
        <f aca="false">IF(I12="","",IF(Taxas+LucroDesejado&gt;=1,"",IF(I12/(1-Taxas-LucroDesejado)&lt;3,CEILING(I12/(1-Taxas-LucroDesejado),0.1),CEILING(I12/(1-Taxas-LucroDesejado),0.5))))</f>
        <v/>
      </c>
      <c r="L12" s="43"/>
      <c r="M12" s="27" t="str">
        <f aca="false">IF(OR(I12="",N(L12)=0),"",L12-I12-L12*Taxas)</f>
        <v/>
      </c>
      <c r="N12" s="35" t="str">
        <f aca="false">IF(M12="","",M12/L12)</f>
        <v/>
      </c>
      <c r="O12" s="39" t="str">
        <f aca="false">IF(B12="","",IF(AND(N(E12)=0,N(F12)=0),"Falta a receita ou o custo",IF(G12="","Falta o rendimento",IF(N(L12)=0,"Falta o seu preço",IF(L12&lt;G12/(1-Taxas),"Prejuízo",IF(L12&lt;J12-0.005,"Não paga o seu tempo",IF(L12&lt;K12-0.005,"Abaixo do sugerido","Preço bom")))))))</f>
        <v/>
      </c>
      <c r="P12" s="0" t="str">
        <f aca="false">IF(OR(G12="",N(L12)=0),"",(L12-G12)/L12-Taxas)</f>
        <v/>
      </c>
    </row>
    <row r="13" customFormat="false" ht="21" hidden="false" customHeight="true" outlineLevel="0" collapsed="false">
      <c r="B13" s="9"/>
      <c r="C13" s="42"/>
      <c r="D13" s="42"/>
      <c r="E13" s="43"/>
      <c r="F13" s="27" t="str">
        <f aca="false">IF(B13="","",SUMIFS(Receitas!$F$5:$F$504,Receitas!$B$5:$B$504,B13))</f>
        <v/>
      </c>
      <c r="G13" s="27" t="str">
        <f aca="false">IF(B13="","",IF(N(E13)&gt;0,E13*(1+Perdas),IF(AND(N(C13)&gt;0,N(F13)&gt;0),F13*(1+Perdas)/C13,"")))</f>
        <v/>
      </c>
      <c r="H13" s="27" t="str">
        <f aca="false">IF(G13="","",IF(N(E13)&gt;0,0,N(D13)*ValorHora/C13))</f>
        <v/>
      </c>
      <c r="I13" s="36" t="str">
        <f aca="false">IF(G13="","",G13+H13)</f>
        <v/>
      </c>
      <c r="J13" s="27" t="str">
        <f aca="false">IF(I13="","",I13/(1-Taxas))</f>
        <v/>
      </c>
      <c r="K13" s="36" t="str">
        <f aca="false">IF(I13="","",IF(Taxas+LucroDesejado&gt;=1,"",IF(I13/(1-Taxas-LucroDesejado)&lt;3,CEILING(I13/(1-Taxas-LucroDesejado),0.1),CEILING(I13/(1-Taxas-LucroDesejado),0.5))))</f>
        <v/>
      </c>
      <c r="L13" s="43"/>
      <c r="M13" s="27" t="str">
        <f aca="false">IF(OR(I13="",N(L13)=0),"",L13-I13-L13*Taxas)</f>
        <v/>
      </c>
      <c r="N13" s="35" t="str">
        <f aca="false">IF(M13="","",M13/L13)</f>
        <v/>
      </c>
      <c r="O13" s="39" t="str">
        <f aca="false">IF(B13="","",IF(AND(N(E13)=0,N(F13)=0),"Falta a receita ou o custo",IF(G13="","Falta o rendimento",IF(N(L13)=0,"Falta o seu preço",IF(L13&lt;G13/(1-Taxas),"Prejuízo",IF(L13&lt;J13-0.005,"Não paga o seu tempo",IF(L13&lt;K13-0.005,"Abaixo do sugerido","Preço bom")))))))</f>
        <v/>
      </c>
      <c r="P13" s="0" t="str">
        <f aca="false">IF(OR(G13="",N(L13)=0),"",(L13-G13)/L13-Taxas)</f>
        <v/>
      </c>
    </row>
    <row r="14" customFormat="false" ht="21" hidden="false" customHeight="true" outlineLevel="0" collapsed="false">
      <c r="B14" s="9"/>
      <c r="C14" s="42"/>
      <c r="D14" s="42"/>
      <c r="E14" s="43"/>
      <c r="F14" s="27" t="str">
        <f aca="false">IF(B14="","",SUMIFS(Receitas!$F$5:$F$504,Receitas!$B$5:$B$504,B14))</f>
        <v/>
      </c>
      <c r="G14" s="27" t="str">
        <f aca="false">IF(B14="","",IF(N(E14)&gt;0,E14*(1+Perdas),IF(AND(N(C14)&gt;0,N(F14)&gt;0),F14*(1+Perdas)/C14,"")))</f>
        <v/>
      </c>
      <c r="H14" s="27" t="str">
        <f aca="false">IF(G14="","",IF(N(E14)&gt;0,0,N(D14)*ValorHora/C14))</f>
        <v/>
      </c>
      <c r="I14" s="36" t="str">
        <f aca="false">IF(G14="","",G14+H14)</f>
        <v/>
      </c>
      <c r="J14" s="27" t="str">
        <f aca="false">IF(I14="","",I14/(1-Taxas))</f>
        <v/>
      </c>
      <c r="K14" s="36" t="str">
        <f aca="false">IF(I14="","",IF(Taxas+LucroDesejado&gt;=1,"",IF(I14/(1-Taxas-LucroDesejado)&lt;3,CEILING(I14/(1-Taxas-LucroDesejado),0.1),CEILING(I14/(1-Taxas-LucroDesejado),0.5))))</f>
        <v/>
      </c>
      <c r="L14" s="43"/>
      <c r="M14" s="27" t="str">
        <f aca="false">IF(OR(I14="",N(L14)=0),"",L14-I14-L14*Taxas)</f>
        <v/>
      </c>
      <c r="N14" s="35" t="str">
        <f aca="false">IF(M14="","",M14/L14)</f>
        <v/>
      </c>
      <c r="O14" s="39" t="str">
        <f aca="false">IF(B14="","",IF(AND(N(E14)=0,N(F14)=0),"Falta a receita ou o custo",IF(G14="","Falta o rendimento",IF(N(L14)=0,"Falta o seu preço",IF(L14&lt;G14/(1-Taxas),"Prejuízo",IF(L14&lt;J14-0.005,"Não paga o seu tempo",IF(L14&lt;K14-0.005,"Abaixo do sugerido","Preço bom")))))))</f>
        <v/>
      </c>
      <c r="P14" s="0" t="str">
        <f aca="false">IF(OR(G14="",N(L14)=0),"",(L14-G14)/L14-Taxas)</f>
        <v/>
      </c>
    </row>
    <row r="15" customFormat="false" ht="21" hidden="false" customHeight="true" outlineLevel="0" collapsed="false">
      <c r="B15" s="9"/>
      <c r="C15" s="42"/>
      <c r="D15" s="42"/>
      <c r="E15" s="43"/>
      <c r="F15" s="27" t="str">
        <f aca="false">IF(B15="","",SUMIFS(Receitas!$F$5:$F$504,Receitas!$B$5:$B$504,B15))</f>
        <v/>
      </c>
      <c r="G15" s="27" t="str">
        <f aca="false">IF(B15="","",IF(N(E15)&gt;0,E15*(1+Perdas),IF(AND(N(C15)&gt;0,N(F15)&gt;0),F15*(1+Perdas)/C15,"")))</f>
        <v/>
      </c>
      <c r="H15" s="27" t="str">
        <f aca="false">IF(G15="","",IF(N(E15)&gt;0,0,N(D15)*ValorHora/C15))</f>
        <v/>
      </c>
      <c r="I15" s="36" t="str">
        <f aca="false">IF(G15="","",G15+H15)</f>
        <v/>
      </c>
      <c r="J15" s="27" t="str">
        <f aca="false">IF(I15="","",I15/(1-Taxas))</f>
        <v/>
      </c>
      <c r="K15" s="36" t="str">
        <f aca="false">IF(I15="","",IF(Taxas+LucroDesejado&gt;=1,"",IF(I15/(1-Taxas-LucroDesejado)&lt;3,CEILING(I15/(1-Taxas-LucroDesejado),0.1),CEILING(I15/(1-Taxas-LucroDesejado),0.5))))</f>
        <v/>
      </c>
      <c r="L15" s="43"/>
      <c r="M15" s="27" t="str">
        <f aca="false">IF(OR(I15="",N(L15)=0),"",L15-I15-L15*Taxas)</f>
        <v/>
      </c>
      <c r="N15" s="35" t="str">
        <f aca="false">IF(M15="","",M15/L15)</f>
        <v/>
      </c>
      <c r="O15" s="39" t="str">
        <f aca="false">IF(B15="","",IF(AND(N(E15)=0,N(F15)=0),"Falta a receita ou o custo",IF(G15="","Falta o rendimento",IF(N(L15)=0,"Falta o seu preço",IF(L15&lt;G15/(1-Taxas),"Prejuízo",IF(L15&lt;J15-0.005,"Não paga o seu tempo",IF(L15&lt;K15-0.005,"Abaixo do sugerido","Preço bom")))))))</f>
        <v/>
      </c>
      <c r="P15" s="0" t="str">
        <f aca="false">IF(OR(G15="",N(L15)=0),"",(L15-G15)/L15-Taxas)</f>
        <v/>
      </c>
    </row>
    <row r="16" customFormat="false" ht="21" hidden="false" customHeight="true" outlineLevel="0" collapsed="false">
      <c r="B16" s="9"/>
      <c r="C16" s="42"/>
      <c r="D16" s="42"/>
      <c r="E16" s="43"/>
      <c r="F16" s="27" t="str">
        <f aca="false">IF(B16="","",SUMIFS(Receitas!$F$5:$F$504,Receitas!$B$5:$B$504,B16))</f>
        <v/>
      </c>
      <c r="G16" s="27" t="str">
        <f aca="false">IF(B16="","",IF(N(E16)&gt;0,E16*(1+Perdas),IF(AND(N(C16)&gt;0,N(F16)&gt;0),F16*(1+Perdas)/C16,"")))</f>
        <v/>
      </c>
      <c r="H16" s="27" t="str">
        <f aca="false">IF(G16="","",IF(N(E16)&gt;0,0,N(D16)*ValorHora/C16))</f>
        <v/>
      </c>
      <c r="I16" s="36" t="str">
        <f aca="false">IF(G16="","",G16+H16)</f>
        <v/>
      </c>
      <c r="J16" s="27" t="str">
        <f aca="false">IF(I16="","",I16/(1-Taxas))</f>
        <v/>
      </c>
      <c r="K16" s="36" t="str">
        <f aca="false">IF(I16="","",IF(Taxas+LucroDesejado&gt;=1,"",IF(I16/(1-Taxas-LucroDesejado)&lt;3,CEILING(I16/(1-Taxas-LucroDesejado),0.1),CEILING(I16/(1-Taxas-LucroDesejado),0.5))))</f>
        <v/>
      </c>
      <c r="L16" s="43"/>
      <c r="M16" s="27" t="str">
        <f aca="false">IF(OR(I16="",N(L16)=0),"",L16-I16-L16*Taxas)</f>
        <v/>
      </c>
      <c r="N16" s="35" t="str">
        <f aca="false">IF(M16="","",M16/L16)</f>
        <v/>
      </c>
      <c r="O16" s="39" t="str">
        <f aca="false">IF(B16="","",IF(AND(N(E16)=0,N(F16)=0),"Falta a receita ou o custo",IF(G16="","Falta o rendimento",IF(N(L16)=0,"Falta o seu preço",IF(L16&lt;G16/(1-Taxas),"Prejuízo",IF(L16&lt;J16-0.005,"Não paga o seu tempo",IF(L16&lt;K16-0.005,"Abaixo do sugerido","Preço bom")))))))</f>
        <v/>
      </c>
      <c r="P16" s="0" t="str">
        <f aca="false">IF(OR(G16="",N(L16)=0),"",(L16-G16)/L16-Taxas)</f>
        <v/>
      </c>
    </row>
    <row r="17" customFormat="false" ht="21" hidden="false" customHeight="true" outlineLevel="0" collapsed="false">
      <c r="B17" s="9"/>
      <c r="C17" s="42"/>
      <c r="D17" s="42"/>
      <c r="E17" s="43"/>
      <c r="F17" s="27" t="str">
        <f aca="false">IF(B17="","",SUMIFS(Receitas!$F$5:$F$504,Receitas!$B$5:$B$504,B17))</f>
        <v/>
      </c>
      <c r="G17" s="27" t="str">
        <f aca="false">IF(B17="","",IF(N(E17)&gt;0,E17*(1+Perdas),IF(AND(N(C17)&gt;0,N(F17)&gt;0),F17*(1+Perdas)/C17,"")))</f>
        <v/>
      </c>
      <c r="H17" s="27" t="str">
        <f aca="false">IF(G17="","",IF(N(E17)&gt;0,0,N(D17)*ValorHora/C17))</f>
        <v/>
      </c>
      <c r="I17" s="36" t="str">
        <f aca="false">IF(G17="","",G17+H17)</f>
        <v/>
      </c>
      <c r="J17" s="27" t="str">
        <f aca="false">IF(I17="","",I17/(1-Taxas))</f>
        <v/>
      </c>
      <c r="K17" s="36" t="str">
        <f aca="false">IF(I17="","",IF(Taxas+LucroDesejado&gt;=1,"",IF(I17/(1-Taxas-LucroDesejado)&lt;3,CEILING(I17/(1-Taxas-LucroDesejado),0.1),CEILING(I17/(1-Taxas-LucroDesejado),0.5))))</f>
        <v/>
      </c>
      <c r="L17" s="43"/>
      <c r="M17" s="27" t="str">
        <f aca="false">IF(OR(I17="",N(L17)=0),"",L17-I17-L17*Taxas)</f>
        <v/>
      </c>
      <c r="N17" s="35" t="str">
        <f aca="false">IF(M17="","",M17/L17)</f>
        <v/>
      </c>
      <c r="O17" s="39" t="str">
        <f aca="false">IF(B17="","",IF(AND(N(E17)=0,N(F17)=0),"Falta a receita ou o custo",IF(G17="","Falta o rendimento",IF(N(L17)=0,"Falta o seu preço",IF(L17&lt;G17/(1-Taxas),"Prejuízo",IF(L17&lt;J17-0.005,"Não paga o seu tempo",IF(L17&lt;K17-0.005,"Abaixo do sugerido","Preço bom")))))))</f>
        <v/>
      </c>
      <c r="P17" s="0" t="str">
        <f aca="false">IF(OR(G17="",N(L17)=0),"",(L17-G17)/L17-Taxas)</f>
        <v/>
      </c>
    </row>
    <row r="18" customFormat="false" ht="21" hidden="false" customHeight="true" outlineLevel="0" collapsed="false">
      <c r="B18" s="9"/>
      <c r="C18" s="42"/>
      <c r="D18" s="42"/>
      <c r="E18" s="43"/>
      <c r="F18" s="27" t="str">
        <f aca="false">IF(B18="","",SUMIFS(Receitas!$F$5:$F$504,Receitas!$B$5:$B$504,B18))</f>
        <v/>
      </c>
      <c r="G18" s="27" t="str">
        <f aca="false">IF(B18="","",IF(N(E18)&gt;0,E18*(1+Perdas),IF(AND(N(C18)&gt;0,N(F18)&gt;0),F18*(1+Perdas)/C18,"")))</f>
        <v/>
      </c>
      <c r="H18" s="27" t="str">
        <f aca="false">IF(G18="","",IF(N(E18)&gt;0,0,N(D18)*ValorHora/C18))</f>
        <v/>
      </c>
      <c r="I18" s="36" t="str">
        <f aca="false">IF(G18="","",G18+H18)</f>
        <v/>
      </c>
      <c r="J18" s="27" t="str">
        <f aca="false">IF(I18="","",I18/(1-Taxas))</f>
        <v/>
      </c>
      <c r="K18" s="36" t="str">
        <f aca="false">IF(I18="","",IF(Taxas+LucroDesejado&gt;=1,"",IF(I18/(1-Taxas-LucroDesejado)&lt;3,CEILING(I18/(1-Taxas-LucroDesejado),0.1),CEILING(I18/(1-Taxas-LucroDesejado),0.5))))</f>
        <v/>
      </c>
      <c r="L18" s="43"/>
      <c r="M18" s="27" t="str">
        <f aca="false">IF(OR(I18="",N(L18)=0),"",L18-I18-L18*Taxas)</f>
        <v/>
      </c>
      <c r="N18" s="35" t="str">
        <f aca="false">IF(M18="","",M18/L18)</f>
        <v/>
      </c>
      <c r="O18" s="39" t="str">
        <f aca="false">IF(B18="","",IF(AND(N(E18)=0,N(F18)=0),"Falta a receita ou o custo",IF(G18="","Falta o rendimento",IF(N(L18)=0,"Falta o seu preço",IF(L18&lt;G18/(1-Taxas),"Prejuízo",IF(L18&lt;J18-0.005,"Não paga o seu tempo",IF(L18&lt;K18-0.005,"Abaixo do sugerido","Preço bom")))))))</f>
        <v/>
      </c>
      <c r="P18" s="0" t="str">
        <f aca="false">IF(OR(G18="",N(L18)=0),"",(L18-G18)/L18-Taxas)</f>
        <v/>
      </c>
    </row>
    <row r="19" customFormat="false" ht="21" hidden="false" customHeight="true" outlineLevel="0" collapsed="false">
      <c r="B19" s="9"/>
      <c r="C19" s="42"/>
      <c r="D19" s="42"/>
      <c r="E19" s="43"/>
      <c r="F19" s="27" t="str">
        <f aca="false">IF(B19="","",SUMIFS(Receitas!$F$5:$F$504,Receitas!$B$5:$B$504,B19))</f>
        <v/>
      </c>
      <c r="G19" s="27" t="str">
        <f aca="false">IF(B19="","",IF(N(E19)&gt;0,E19*(1+Perdas),IF(AND(N(C19)&gt;0,N(F19)&gt;0),F19*(1+Perdas)/C19,"")))</f>
        <v/>
      </c>
      <c r="H19" s="27" t="str">
        <f aca="false">IF(G19="","",IF(N(E19)&gt;0,0,N(D19)*ValorHora/C19))</f>
        <v/>
      </c>
      <c r="I19" s="36" t="str">
        <f aca="false">IF(G19="","",G19+H19)</f>
        <v/>
      </c>
      <c r="J19" s="27" t="str">
        <f aca="false">IF(I19="","",I19/(1-Taxas))</f>
        <v/>
      </c>
      <c r="K19" s="36" t="str">
        <f aca="false">IF(I19="","",IF(Taxas+LucroDesejado&gt;=1,"",IF(I19/(1-Taxas-LucroDesejado)&lt;3,CEILING(I19/(1-Taxas-LucroDesejado),0.1),CEILING(I19/(1-Taxas-LucroDesejado),0.5))))</f>
        <v/>
      </c>
      <c r="L19" s="43"/>
      <c r="M19" s="27" t="str">
        <f aca="false">IF(OR(I19="",N(L19)=0),"",L19-I19-L19*Taxas)</f>
        <v/>
      </c>
      <c r="N19" s="35" t="str">
        <f aca="false">IF(M19="","",M19/L19)</f>
        <v/>
      </c>
      <c r="O19" s="39" t="str">
        <f aca="false">IF(B19="","",IF(AND(N(E19)=0,N(F19)=0),"Falta a receita ou o custo",IF(G19="","Falta o rendimento",IF(N(L19)=0,"Falta o seu preço",IF(L19&lt;G19/(1-Taxas),"Prejuízo",IF(L19&lt;J19-0.005,"Não paga o seu tempo",IF(L19&lt;K19-0.005,"Abaixo do sugerido","Preço bom")))))))</f>
        <v/>
      </c>
      <c r="P19" s="0" t="str">
        <f aca="false">IF(OR(G19="",N(L19)=0),"",(L19-G19)/L19-Taxas)</f>
        <v/>
      </c>
    </row>
    <row r="20" customFormat="false" ht="21" hidden="false" customHeight="true" outlineLevel="0" collapsed="false">
      <c r="B20" s="9"/>
      <c r="C20" s="42"/>
      <c r="D20" s="42"/>
      <c r="E20" s="43"/>
      <c r="F20" s="27" t="str">
        <f aca="false">IF(B20="","",SUMIFS(Receitas!$F$5:$F$504,Receitas!$B$5:$B$504,B20))</f>
        <v/>
      </c>
      <c r="G20" s="27" t="str">
        <f aca="false">IF(B20="","",IF(N(E20)&gt;0,E20*(1+Perdas),IF(AND(N(C20)&gt;0,N(F20)&gt;0),F20*(1+Perdas)/C20,"")))</f>
        <v/>
      </c>
      <c r="H20" s="27" t="str">
        <f aca="false">IF(G20="","",IF(N(E20)&gt;0,0,N(D20)*ValorHora/C20))</f>
        <v/>
      </c>
      <c r="I20" s="36" t="str">
        <f aca="false">IF(G20="","",G20+H20)</f>
        <v/>
      </c>
      <c r="J20" s="27" t="str">
        <f aca="false">IF(I20="","",I20/(1-Taxas))</f>
        <v/>
      </c>
      <c r="K20" s="36" t="str">
        <f aca="false">IF(I20="","",IF(Taxas+LucroDesejado&gt;=1,"",IF(I20/(1-Taxas-LucroDesejado)&lt;3,CEILING(I20/(1-Taxas-LucroDesejado),0.1),CEILING(I20/(1-Taxas-LucroDesejado),0.5))))</f>
        <v/>
      </c>
      <c r="L20" s="43"/>
      <c r="M20" s="27" t="str">
        <f aca="false">IF(OR(I20="",N(L20)=0),"",L20-I20-L20*Taxas)</f>
        <v/>
      </c>
      <c r="N20" s="35" t="str">
        <f aca="false">IF(M20="","",M20/L20)</f>
        <v/>
      </c>
      <c r="O20" s="39" t="str">
        <f aca="false">IF(B20="","",IF(AND(N(E20)=0,N(F20)=0),"Falta a receita ou o custo",IF(G20="","Falta o rendimento",IF(N(L20)=0,"Falta o seu preço",IF(L20&lt;G20/(1-Taxas),"Prejuízo",IF(L20&lt;J20-0.005,"Não paga o seu tempo",IF(L20&lt;K20-0.005,"Abaixo do sugerido","Preço bom")))))))</f>
        <v/>
      </c>
      <c r="P20" s="0" t="str">
        <f aca="false">IF(OR(G20="",N(L20)=0),"",(L20-G20)/L20-Taxas)</f>
        <v/>
      </c>
    </row>
    <row r="21" customFormat="false" ht="21" hidden="false" customHeight="true" outlineLevel="0" collapsed="false">
      <c r="B21" s="9"/>
      <c r="C21" s="42"/>
      <c r="D21" s="42"/>
      <c r="E21" s="43"/>
      <c r="F21" s="27" t="str">
        <f aca="false">IF(B21="","",SUMIFS(Receitas!$F$5:$F$504,Receitas!$B$5:$B$504,B21))</f>
        <v/>
      </c>
      <c r="G21" s="27" t="str">
        <f aca="false">IF(B21="","",IF(N(E21)&gt;0,E21*(1+Perdas),IF(AND(N(C21)&gt;0,N(F21)&gt;0),F21*(1+Perdas)/C21,"")))</f>
        <v/>
      </c>
      <c r="H21" s="27" t="str">
        <f aca="false">IF(G21="","",IF(N(E21)&gt;0,0,N(D21)*ValorHora/C21))</f>
        <v/>
      </c>
      <c r="I21" s="36" t="str">
        <f aca="false">IF(G21="","",G21+H21)</f>
        <v/>
      </c>
      <c r="J21" s="27" t="str">
        <f aca="false">IF(I21="","",I21/(1-Taxas))</f>
        <v/>
      </c>
      <c r="K21" s="36" t="str">
        <f aca="false">IF(I21="","",IF(Taxas+LucroDesejado&gt;=1,"",IF(I21/(1-Taxas-LucroDesejado)&lt;3,CEILING(I21/(1-Taxas-LucroDesejado),0.1),CEILING(I21/(1-Taxas-LucroDesejado),0.5))))</f>
        <v/>
      </c>
      <c r="L21" s="43"/>
      <c r="M21" s="27" t="str">
        <f aca="false">IF(OR(I21="",N(L21)=0),"",L21-I21-L21*Taxas)</f>
        <v/>
      </c>
      <c r="N21" s="35" t="str">
        <f aca="false">IF(M21="","",M21/L21)</f>
        <v/>
      </c>
      <c r="O21" s="39" t="str">
        <f aca="false">IF(B21="","",IF(AND(N(E21)=0,N(F21)=0),"Falta a receita ou o custo",IF(G21="","Falta o rendimento",IF(N(L21)=0,"Falta o seu preço",IF(L21&lt;G21/(1-Taxas),"Prejuízo",IF(L21&lt;J21-0.005,"Não paga o seu tempo",IF(L21&lt;K21-0.005,"Abaixo do sugerido","Preço bom")))))))</f>
        <v/>
      </c>
      <c r="P21" s="0" t="str">
        <f aca="false">IF(OR(G21="",N(L21)=0),"",(L21-G21)/L21-Taxas)</f>
        <v/>
      </c>
    </row>
    <row r="22" customFormat="false" ht="21" hidden="false" customHeight="true" outlineLevel="0" collapsed="false">
      <c r="B22" s="9"/>
      <c r="C22" s="42"/>
      <c r="D22" s="42"/>
      <c r="E22" s="43"/>
      <c r="F22" s="27" t="str">
        <f aca="false">IF(B22="","",SUMIFS(Receitas!$F$5:$F$504,Receitas!$B$5:$B$504,B22))</f>
        <v/>
      </c>
      <c r="G22" s="27" t="str">
        <f aca="false">IF(B22="","",IF(N(E22)&gt;0,E22*(1+Perdas),IF(AND(N(C22)&gt;0,N(F22)&gt;0),F22*(1+Perdas)/C22,"")))</f>
        <v/>
      </c>
      <c r="H22" s="27" t="str">
        <f aca="false">IF(G22="","",IF(N(E22)&gt;0,0,N(D22)*ValorHora/C22))</f>
        <v/>
      </c>
      <c r="I22" s="36" t="str">
        <f aca="false">IF(G22="","",G22+H22)</f>
        <v/>
      </c>
      <c r="J22" s="27" t="str">
        <f aca="false">IF(I22="","",I22/(1-Taxas))</f>
        <v/>
      </c>
      <c r="K22" s="36" t="str">
        <f aca="false">IF(I22="","",IF(Taxas+LucroDesejado&gt;=1,"",IF(I22/(1-Taxas-LucroDesejado)&lt;3,CEILING(I22/(1-Taxas-LucroDesejado),0.1),CEILING(I22/(1-Taxas-LucroDesejado),0.5))))</f>
        <v/>
      </c>
      <c r="L22" s="43"/>
      <c r="M22" s="27" t="str">
        <f aca="false">IF(OR(I22="",N(L22)=0),"",L22-I22-L22*Taxas)</f>
        <v/>
      </c>
      <c r="N22" s="35" t="str">
        <f aca="false">IF(M22="","",M22/L22)</f>
        <v/>
      </c>
      <c r="O22" s="39" t="str">
        <f aca="false">IF(B22="","",IF(AND(N(E22)=0,N(F22)=0),"Falta a receita ou o custo",IF(G22="","Falta o rendimento",IF(N(L22)=0,"Falta o seu preço",IF(L22&lt;G22/(1-Taxas),"Prejuízo",IF(L22&lt;J22-0.005,"Não paga o seu tempo",IF(L22&lt;K22-0.005,"Abaixo do sugerido","Preço bom")))))))</f>
        <v/>
      </c>
      <c r="P22" s="0" t="str">
        <f aca="false">IF(OR(G22="",N(L22)=0),"",(L22-G22)/L22-Taxas)</f>
        <v/>
      </c>
    </row>
    <row r="23" customFormat="false" ht="21" hidden="false" customHeight="true" outlineLevel="0" collapsed="false">
      <c r="B23" s="9"/>
      <c r="C23" s="42"/>
      <c r="D23" s="42"/>
      <c r="E23" s="43"/>
      <c r="F23" s="27" t="str">
        <f aca="false">IF(B23="","",SUMIFS(Receitas!$F$5:$F$504,Receitas!$B$5:$B$504,B23))</f>
        <v/>
      </c>
      <c r="G23" s="27" t="str">
        <f aca="false">IF(B23="","",IF(N(E23)&gt;0,E23*(1+Perdas),IF(AND(N(C23)&gt;0,N(F23)&gt;0),F23*(1+Perdas)/C23,"")))</f>
        <v/>
      </c>
      <c r="H23" s="27" t="str">
        <f aca="false">IF(G23="","",IF(N(E23)&gt;0,0,N(D23)*ValorHora/C23))</f>
        <v/>
      </c>
      <c r="I23" s="36" t="str">
        <f aca="false">IF(G23="","",G23+H23)</f>
        <v/>
      </c>
      <c r="J23" s="27" t="str">
        <f aca="false">IF(I23="","",I23/(1-Taxas))</f>
        <v/>
      </c>
      <c r="K23" s="36" t="str">
        <f aca="false">IF(I23="","",IF(Taxas+LucroDesejado&gt;=1,"",IF(I23/(1-Taxas-LucroDesejado)&lt;3,CEILING(I23/(1-Taxas-LucroDesejado),0.1),CEILING(I23/(1-Taxas-LucroDesejado),0.5))))</f>
        <v/>
      </c>
      <c r="L23" s="43"/>
      <c r="M23" s="27" t="str">
        <f aca="false">IF(OR(I23="",N(L23)=0),"",L23-I23-L23*Taxas)</f>
        <v/>
      </c>
      <c r="N23" s="35" t="str">
        <f aca="false">IF(M23="","",M23/L23)</f>
        <v/>
      </c>
      <c r="O23" s="39" t="str">
        <f aca="false">IF(B23="","",IF(AND(N(E23)=0,N(F23)=0),"Falta a receita ou o custo",IF(G23="","Falta o rendimento",IF(N(L23)=0,"Falta o seu preço",IF(L23&lt;G23/(1-Taxas),"Prejuízo",IF(L23&lt;J23-0.005,"Não paga o seu tempo",IF(L23&lt;K23-0.005,"Abaixo do sugerido","Preço bom")))))))</f>
        <v/>
      </c>
      <c r="P23" s="0" t="str">
        <f aca="false">IF(OR(G23="",N(L23)=0),"",(L23-G23)/L23-Taxas)</f>
        <v/>
      </c>
    </row>
    <row r="24" customFormat="false" ht="21" hidden="false" customHeight="true" outlineLevel="0" collapsed="false">
      <c r="B24" s="9"/>
      <c r="C24" s="42"/>
      <c r="D24" s="42"/>
      <c r="E24" s="43"/>
      <c r="F24" s="27" t="str">
        <f aca="false">IF(B24="","",SUMIFS(Receitas!$F$5:$F$504,Receitas!$B$5:$B$504,B24))</f>
        <v/>
      </c>
      <c r="G24" s="27" t="str">
        <f aca="false">IF(B24="","",IF(N(E24)&gt;0,E24*(1+Perdas),IF(AND(N(C24)&gt;0,N(F24)&gt;0),F24*(1+Perdas)/C24,"")))</f>
        <v/>
      </c>
      <c r="H24" s="27" t="str">
        <f aca="false">IF(G24="","",IF(N(E24)&gt;0,0,N(D24)*ValorHora/C24))</f>
        <v/>
      </c>
      <c r="I24" s="36" t="str">
        <f aca="false">IF(G24="","",G24+H24)</f>
        <v/>
      </c>
      <c r="J24" s="27" t="str">
        <f aca="false">IF(I24="","",I24/(1-Taxas))</f>
        <v/>
      </c>
      <c r="K24" s="36" t="str">
        <f aca="false">IF(I24="","",IF(Taxas+LucroDesejado&gt;=1,"",IF(I24/(1-Taxas-LucroDesejado)&lt;3,CEILING(I24/(1-Taxas-LucroDesejado),0.1),CEILING(I24/(1-Taxas-LucroDesejado),0.5))))</f>
        <v/>
      </c>
      <c r="L24" s="43"/>
      <c r="M24" s="27" t="str">
        <f aca="false">IF(OR(I24="",N(L24)=0),"",L24-I24-L24*Taxas)</f>
        <v/>
      </c>
      <c r="N24" s="35" t="str">
        <f aca="false">IF(M24="","",M24/L24)</f>
        <v/>
      </c>
      <c r="O24" s="39" t="str">
        <f aca="false">IF(B24="","",IF(AND(N(E24)=0,N(F24)=0),"Falta a receita ou o custo",IF(G24="","Falta o rendimento",IF(N(L24)=0,"Falta o seu preço",IF(L24&lt;G24/(1-Taxas),"Prejuízo",IF(L24&lt;J24-0.005,"Não paga o seu tempo",IF(L24&lt;K24-0.005,"Abaixo do sugerido","Preço bom")))))))</f>
        <v/>
      </c>
      <c r="P24" s="0" t="str">
        <f aca="false">IF(OR(G24="",N(L24)=0),"",(L24-G24)/L24-Taxas)</f>
        <v/>
      </c>
    </row>
    <row r="25" customFormat="false" ht="21" hidden="false" customHeight="true" outlineLevel="0" collapsed="false">
      <c r="B25" s="9"/>
      <c r="C25" s="42"/>
      <c r="D25" s="42"/>
      <c r="E25" s="43"/>
      <c r="F25" s="27" t="str">
        <f aca="false">IF(B25="","",SUMIFS(Receitas!$F$5:$F$504,Receitas!$B$5:$B$504,B25))</f>
        <v/>
      </c>
      <c r="G25" s="27" t="str">
        <f aca="false">IF(B25="","",IF(N(E25)&gt;0,E25*(1+Perdas),IF(AND(N(C25)&gt;0,N(F25)&gt;0),F25*(1+Perdas)/C25,"")))</f>
        <v/>
      </c>
      <c r="H25" s="27" t="str">
        <f aca="false">IF(G25="","",IF(N(E25)&gt;0,0,N(D25)*ValorHora/C25))</f>
        <v/>
      </c>
      <c r="I25" s="36" t="str">
        <f aca="false">IF(G25="","",G25+H25)</f>
        <v/>
      </c>
      <c r="J25" s="27" t="str">
        <f aca="false">IF(I25="","",I25/(1-Taxas))</f>
        <v/>
      </c>
      <c r="K25" s="36" t="str">
        <f aca="false">IF(I25="","",IF(Taxas+LucroDesejado&gt;=1,"",IF(I25/(1-Taxas-LucroDesejado)&lt;3,CEILING(I25/(1-Taxas-LucroDesejado),0.1),CEILING(I25/(1-Taxas-LucroDesejado),0.5))))</f>
        <v/>
      </c>
      <c r="L25" s="43"/>
      <c r="M25" s="27" t="str">
        <f aca="false">IF(OR(I25="",N(L25)=0),"",L25-I25-L25*Taxas)</f>
        <v/>
      </c>
      <c r="N25" s="35" t="str">
        <f aca="false">IF(M25="","",M25/L25)</f>
        <v/>
      </c>
      <c r="O25" s="39" t="str">
        <f aca="false">IF(B25="","",IF(AND(N(E25)=0,N(F25)=0),"Falta a receita ou o custo",IF(G25="","Falta o rendimento",IF(N(L25)=0,"Falta o seu preço",IF(L25&lt;G25/(1-Taxas),"Prejuízo",IF(L25&lt;J25-0.005,"Não paga o seu tempo",IF(L25&lt;K25-0.005,"Abaixo do sugerido","Preço bom")))))))</f>
        <v/>
      </c>
      <c r="P25" s="0" t="str">
        <f aca="false">IF(OR(G25="",N(L25)=0),"",(L25-G25)/L25-Taxas)</f>
        <v/>
      </c>
    </row>
    <row r="26" customFormat="false" ht="21" hidden="false" customHeight="true" outlineLevel="0" collapsed="false">
      <c r="B26" s="9"/>
      <c r="C26" s="42"/>
      <c r="D26" s="42"/>
      <c r="E26" s="43"/>
      <c r="F26" s="27" t="str">
        <f aca="false">IF(B26="","",SUMIFS(Receitas!$F$5:$F$504,Receitas!$B$5:$B$504,B26))</f>
        <v/>
      </c>
      <c r="G26" s="27" t="str">
        <f aca="false">IF(B26="","",IF(N(E26)&gt;0,E26*(1+Perdas),IF(AND(N(C26)&gt;0,N(F26)&gt;0),F26*(1+Perdas)/C26,"")))</f>
        <v/>
      </c>
      <c r="H26" s="27" t="str">
        <f aca="false">IF(G26="","",IF(N(E26)&gt;0,0,N(D26)*ValorHora/C26))</f>
        <v/>
      </c>
      <c r="I26" s="36" t="str">
        <f aca="false">IF(G26="","",G26+H26)</f>
        <v/>
      </c>
      <c r="J26" s="27" t="str">
        <f aca="false">IF(I26="","",I26/(1-Taxas))</f>
        <v/>
      </c>
      <c r="K26" s="36" t="str">
        <f aca="false">IF(I26="","",IF(Taxas+LucroDesejado&gt;=1,"",IF(I26/(1-Taxas-LucroDesejado)&lt;3,CEILING(I26/(1-Taxas-LucroDesejado),0.1),CEILING(I26/(1-Taxas-LucroDesejado),0.5))))</f>
        <v/>
      </c>
      <c r="L26" s="43"/>
      <c r="M26" s="27" t="str">
        <f aca="false">IF(OR(I26="",N(L26)=0),"",L26-I26-L26*Taxas)</f>
        <v/>
      </c>
      <c r="N26" s="35" t="str">
        <f aca="false">IF(M26="","",M26/L26)</f>
        <v/>
      </c>
      <c r="O26" s="39" t="str">
        <f aca="false">IF(B26="","",IF(AND(N(E26)=0,N(F26)=0),"Falta a receita ou o custo",IF(G26="","Falta o rendimento",IF(N(L26)=0,"Falta o seu preço",IF(L26&lt;G26/(1-Taxas),"Prejuízo",IF(L26&lt;J26-0.005,"Não paga o seu tempo",IF(L26&lt;K26-0.005,"Abaixo do sugerido","Preço bom")))))))</f>
        <v/>
      </c>
      <c r="P26" s="0" t="str">
        <f aca="false">IF(OR(G26="",N(L26)=0),"",(L26-G26)/L26-Taxas)</f>
        <v/>
      </c>
    </row>
    <row r="27" customFormat="false" ht="21" hidden="false" customHeight="true" outlineLevel="0" collapsed="false">
      <c r="B27" s="9"/>
      <c r="C27" s="42"/>
      <c r="D27" s="42"/>
      <c r="E27" s="43"/>
      <c r="F27" s="27" t="str">
        <f aca="false">IF(B27="","",SUMIFS(Receitas!$F$5:$F$504,Receitas!$B$5:$B$504,B27))</f>
        <v/>
      </c>
      <c r="G27" s="27" t="str">
        <f aca="false">IF(B27="","",IF(N(E27)&gt;0,E27*(1+Perdas),IF(AND(N(C27)&gt;0,N(F27)&gt;0),F27*(1+Perdas)/C27,"")))</f>
        <v/>
      </c>
      <c r="H27" s="27" t="str">
        <f aca="false">IF(G27="","",IF(N(E27)&gt;0,0,N(D27)*ValorHora/C27))</f>
        <v/>
      </c>
      <c r="I27" s="36" t="str">
        <f aca="false">IF(G27="","",G27+H27)</f>
        <v/>
      </c>
      <c r="J27" s="27" t="str">
        <f aca="false">IF(I27="","",I27/(1-Taxas))</f>
        <v/>
      </c>
      <c r="K27" s="36" t="str">
        <f aca="false">IF(I27="","",IF(Taxas+LucroDesejado&gt;=1,"",IF(I27/(1-Taxas-LucroDesejado)&lt;3,CEILING(I27/(1-Taxas-LucroDesejado),0.1),CEILING(I27/(1-Taxas-LucroDesejado),0.5))))</f>
        <v/>
      </c>
      <c r="L27" s="43"/>
      <c r="M27" s="27" t="str">
        <f aca="false">IF(OR(I27="",N(L27)=0),"",L27-I27-L27*Taxas)</f>
        <v/>
      </c>
      <c r="N27" s="35" t="str">
        <f aca="false">IF(M27="","",M27/L27)</f>
        <v/>
      </c>
      <c r="O27" s="39" t="str">
        <f aca="false">IF(B27="","",IF(AND(N(E27)=0,N(F27)=0),"Falta a receita ou o custo",IF(G27="","Falta o rendimento",IF(N(L27)=0,"Falta o seu preço",IF(L27&lt;G27/(1-Taxas),"Prejuízo",IF(L27&lt;J27-0.005,"Não paga o seu tempo",IF(L27&lt;K27-0.005,"Abaixo do sugerido","Preço bom")))))))</f>
        <v/>
      </c>
      <c r="P27" s="0" t="str">
        <f aca="false">IF(OR(G27="",N(L27)=0),"",(L27-G27)/L27-Taxas)</f>
        <v/>
      </c>
    </row>
    <row r="28" customFormat="false" ht="21" hidden="false" customHeight="true" outlineLevel="0" collapsed="false">
      <c r="B28" s="9"/>
      <c r="C28" s="42"/>
      <c r="D28" s="42"/>
      <c r="E28" s="43"/>
      <c r="F28" s="27" t="str">
        <f aca="false">IF(B28="","",SUMIFS(Receitas!$F$5:$F$504,Receitas!$B$5:$B$504,B28))</f>
        <v/>
      </c>
      <c r="G28" s="27" t="str">
        <f aca="false">IF(B28="","",IF(N(E28)&gt;0,E28*(1+Perdas),IF(AND(N(C28)&gt;0,N(F28)&gt;0),F28*(1+Perdas)/C28,"")))</f>
        <v/>
      </c>
      <c r="H28" s="27" t="str">
        <f aca="false">IF(G28="","",IF(N(E28)&gt;0,0,N(D28)*ValorHora/C28))</f>
        <v/>
      </c>
      <c r="I28" s="36" t="str">
        <f aca="false">IF(G28="","",G28+H28)</f>
        <v/>
      </c>
      <c r="J28" s="27" t="str">
        <f aca="false">IF(I28="","",I28/(1-Taxas))</f>
        <v/>
      </c>
      <c r="K28" s="36" t="str">
        <f aca="false">IF(I28="","",IF(Taxas+LucroDesejado&gt;=1,"",IF(I28/(1-Taxas-LucroDesejado)&lt;3,CEILING(I28/(1-Taxas-LucroDesejado),0.1),CEILING(I28/(1-Taxas-LucroDesejado),0.5))))</f>
        <v/>
      </c>
      <c r="L28" s="43"/>
      <c r="M28" s="27" t="str">
        <f aca="false">IF(OR(I28="",N(L28)=0),"",L28-I28-L28*Taxas)</f>
        <v/>
      </c>
      <c r="N28" s="35" t="str">
        <f aca="false">IF(M28="","",M28/L28)</f>
        <v/>
      </c>
      <c r="O28" s="39" t="str">
        <f aca="false">IF(B28="","",IF(AND(N(E28)=0,N(F28)=0),"Falta a receita ou o custo",IF(G28="","Falta o rendimento",IF(N(L28)=0,"Falta o seu preço",IF(L28&lt;G28/(1-Taxas),"Prejuízo",IF(L28&lt;J28-0.005,"Não paga o seu tempo",IF(L28&lt;K28-0.005,"Abaixo do sugerido","Preço bom")))))))</f>
        <v/>
      </c>
      <c r="P28" s="0" t="str">
        <f aca="false">IF(OR(G28="",N(L28)=0),"",(L28-G28)/L28-Taxas)</f>
        <v/>
      </c>
    </row>
    <row r="29" customFormat="false" ht="21" hidden="false" customHeight="true" outlineLevel="0" collapsed="false">
      <c r="B29" s="9"/>
      <c r="C29" s="42"/>
      <c r="D29" s="42"/>
      <c r="E29" s="43"/>
      <c r="F29" s="27" t="str">
        <f aca="false">IF(B29="","",SUMIFS(Receitas!$F$5:$F$504,Receitas!$B$5:$B$504,B29))</f>
        <v/>
      </c>
      <c r="G29" s="27" t="str">
        <f aca="false">IF(B29="","",IF(N(E29)&gt;0,E29*(1+Perdas),IF(AND(N(C29)&gt;0,N(F29)&gt;0),F29*(1+Perdas)/C29,"")))</f>
        <v/>
      </c>
      <c r="H29" s="27" t="str">
        <f aca="false">IF(G29="","",IF(N(E29)&gt;0,0,N(D29)*ValorHora/C29))</f>
        <v/>
      </c>
      <c r="I29" s="36" t="str">
        <f aca="false">IF(G29="","",G29+H29)</f>
        <v/>
      </c>
      <c r="J29" s="27" t="str">
        <f aca="false">IF(I29="","",I29/(1-Taxas))</f>
        <v/>
      </c>
      <c r="K29" s="36" t="str">
        <f aca="false">IF(I29="","",IF(Taxas+LucroDesejado&gt;=1,"",IF(I29/(1-Taxas-LucroDesejado)&lt;3,CEILING(I29/(1-Taxas-LucroDesejado),0.1),CEILING(I29/(1-Taxas-LucroDesejado),0.5))))</f>
        <v/>
      </c>
      <c r="L29" s="43"/>
      <c r="M29" s="27" t="str">
        <f aca="false">IF(OR(I29="",N(L29)=0),"",L29-I29-L29*Taxas)</f>
        <v/>
      </c>
      <c r="N29" s="35" t="str">
        <f aca="false">IF(M29="","",M29/L29)</f>
        <v/>
      </c>
      <c r="O29" s="39" t="str">
        <f aca="false">IF(B29="","",IF(AND(N(E29)=0,N(F29)=0),"Falta a receita ou o custo",IF(G29="","Falta o rendimento",IF(N(L29)=0,"Falta o seu preço",IF(L29&lt;G29/(1-Taxas),"Prejuízo",IF(L29&lt;J29-0.005,"Não paga o seu tempo",IF(L29&lt;K29-0.005,"Abaixo do sugerido","Preço bom")))))))</f>
        <v/>
      </c>
      <c r="P29" s="0" t="str">
        <f aca="false">IF(OR(G29="",N(L29)=0),"",(L29-G29)/L29-Taxas)</f>
        <v/>
      </c>
    </row>
    <row r="30" customFormat="false" ht="21" hidden="false" customHeight="true" outlineLevel="0" collapsed="false">
      <c r="B30" s="9"/>
      <c r="C30" s="42"/>
      <c r="D30" s="42"/>
      <c r="E30" s="43"/>
      <c r="F30" s="27" t="str">
        <f aca="false">IF(B30="","",SUMIFS(Receitas!$F$5:$F$504,Receitas!$B$5:$B$504,B30))</f>
        <v/>
      </c>
      <c r="G30" s="27" t="str">
        <f aca="false">IF(B30="","",IF(N(E30)&gt;0,E30*(1+Perdas),IF(AND(N(C30)&gt;0,N(F30)&gt;0),F30*(1+Perdas)/C30,"")))</f>
        <v/>
      </c>
      <c r="H30" s="27" t="str">
        <f aca="false">IF(G30="","",IF(N(E30)&gt;0,0,N(D30)*ValorHora/C30))</f>
        <v/>
      </c>
      <c r="I30" s="36" t="str">
        <f aca="false">IF(G30="","",G30+H30)</f>
        <v/>
      </c>
      <c r="J30" s="27" t="str">
        <f aca="false">IF(I30="","",I30/(1-Taxas))</f>
        <v/>
      </c>
      <c r="K30" s="36" t="str">
        <f aca="false">IF(I30="","",IF(Taxas+LucroDesejado&gt;=1,"",IF(I30/(1-Taxas-LucroDesejado)&lt;3,CEILING(I30/(1-Taxas-LucroDesejado),0.1),CEILING(I30/(1-Taxas-LucroDesejado),0.5))))</f>
        <v/>
      </c>
      <c r="L30" s="43"/>
      <c r="M30" s="27" t="str">
        <f aca="false">IF(OR(I30="",N(L30)=0),"",L30-I30-L30*Taxas)</f>
        <v/>
      </c>
      <c r="N30" s="35" t="str">
        <f aca="false">IF(M30="","",M30/L30)</f>
        <v/>
      </c>
      <c r="O30" s="39" t="str">
        <f aca="false">IF(B30="","",IF(AND(N(E30)=0,N(F30)=0),"Falta a receita ou o custo",IF(G30="","Falta o rendimento",IF(N(L30)=0,"Falta o seu preço",IF(L30&lt;G30/(1-Taxas),"Prejuízo",IF(L30&lt;J30-0.005,"Não paga o seu tempo",IF(L30&lt;K30-0.005,"Abaixo do sugerido","Preço bom")))))))</f>
        <v/>
      </c>
      <c r="P30" s="0" t="str">
        <f aca="false">IF(OR(G30="",N(L30)=0),"",(L30-G30)/L30-Taxas)</f>
        <v/>
      </c>
    </row>
    <row r="31" customFormat="false" ht="21" hidden="false" customHeight="true" outlineLevel="0" collapsed="false">
      <c r="B31" s="9"/>
      <c r="C31" s="42"/>
      <c r="D31" s="42"/>
      <c r="E31" s="43"/>
      <c r="F31" s="27" t="str">
        <f aca="false">IF(B31="","",SUMIFS(Receitas!$F$5:$F$504,Receitas!$B$5:$B$504,B31))</f>
        <v/>
      </c>
      <c r="G31" s="27" t="str">
        <f aca="false">IF(B31="","",IF(N(E31)&gt;0,E31*(1+Perdas),IF(AND(N(C31)&gt;0,N(F31)&gt;0),F31*(1+Perdas)/C31,"")))</f>
        <v/>
      </c>
      <c r="H31" s="27" t="str">
        <f aca="false">IF(G31="","",IF(N(E31)&gt;0,0,N(D31)*ValorHora/C31))</f>
        <v/>
      </c>
      <c r="I31" s="36" t="str">
        <f aca="false">IF(G31="","",G31+H31)</f>
        <v/>
      </c>
      <c r="J31" s="27" t="str">
        <f aca="false">IF(I31="","",I31/(1-Taxas))</f>
        <v/>
      </c>
      <c r="K31" s="36" t="str">
        <f aca="false">IF(I31="","",IF(Taxas+LucroDesejado&gt;=1,"",IF(I31/(1-Taxas-LucroDesejado)&lt;3,CEILING(I31/(1-Taxas-LucroDesejado),0.1),CEILING(I31/(1-Taxas-LucroDesejado),0.5))))</f>
        <v/>
      </c>
      <c r="L31" s="43"/>
      <c r="M31" s="27" t="str">
        <f aca="false">IF(OR(I31="",N(L31)=0),"",L31-I31-L31*Taxas)</f>
        <v/>
      </c>
      <c r="N31" s="35" t="str">
        <f aca="false">IF(M31="","",M31/L31)</f>
        <v/>
      </c>
      <c r="O31" s="39" t="str">
        <f aca="false">IF(B31="","",IF(AND(N(E31)=0,N(F31)=0),"Falta a receita ou o custo",IF(G31="","Falta o rendimento",IF(N(L31)=0,"Falta o seu preço",IF(L31&lt;G31/(1-Taxas),"Prejuízo",IF(L31&lt;J31-0.005,"Não paga o seu tempo",IF(L31&lt;K31-0.005,"Abaixo do sugerido","Preço bom")))))))</f>
        <v/>
      </c>
      <c r="P31" s="0" t="str">
        <f aca="false">IF(OR(G31="",N(L31)=0),"",(L31-G31)/L31-Taxas)</f>
        <v/>
      </c>
    </row>
    <row r="32" customFormat="false" ht="21" hidden="false" customHeight="true" outlineLevel="0" collapsed="false">
      <c r="B32" s="9"/>
      <c r="C32" s="42"/>
      <c r="D32" s="42"/>
      <c r="E32" s="43"/>
      <c r="F32" s="27" t="str">
        <f aca="false">IF(B32="","",SUMIFS(Receitas!$F$5:$F$504,Receitas!$B$5:$B$504,B32))</f>
        <v/>
      </c>
      <c r="G32" s="27" t="str">
        <f aca="false">IF(B32="","",IF(N(E32)&gt;0,E32*(1+Perdas),IF(AND(N(C32)&gt;0,N(F32)&gt;0),F32*(1+Perdas)/C32,"")))</f>
        <v/>
      </c>
      <c r="H32" s="27" t="str">
        <f aca="false">IF(G32="","",IF(N(E32)&gt;0,0,N(D32)*ValorHora/C32))</f>
        <v/>
      </c>
      <c r="I32" s="36" t="str">
        <f aca="false">IF(G32="","",G32+H32)</f>
        <v/>
      </c>
      <c r="J32" s="27" t="str">
        <f aca="false">IF(I32="","",I32/(1-Taxas))</f>
        <v/>
      </c>
      <c r="K32" s="36" t="str">
        <f aca="false">IF(I32="","",IF(Taxas+LucroDesejado&gt;=1,"",IF(I32/(1-Taxas-LucroDesejado)&lt;3,CEILING(I32/(1-Taxas-LucroDesejado),0.1),CEILING(I32/(1-Taxas-LucroDesejado),0.5))))</f>
        <v/>
      </c>
      <c r="L32" s="43"/>
      <c r="M32" s="27" t="str">
        <f aca="false">IF(OR(I32="",N(L32)=0),"",L32-I32-L32*Taxas)</f>
        <v/>
      </c>
      <c r="N32" s="35" t="str">
        <f aca="false">IF(M32="","",M32/L32)</f>
        <v/>
      </c>
      <c r="O32" s="39" t="str">
        <f aca="false">IF(B32="","",IF(AND(N(E32)=0,N(F32)=0),"Falta a receita ou o custo",IF(G32="","Falta o rendimento",IF(N(L32)=0,"Falta o seu preço",IF(L32&lt;G32/(1-Taxas),"Prejuízo",IF(L32&lt;J32-0.005,"Não paga o seu tempo",IF(L32&lt;K32-0.005,"Abaixo do sugerido","Preço bom")))))))</f>
        <v/>
      </c>
      <c r="P32" s="0" t="str">
        <f aca="false">IF(OR(G32="",N(L32)=0),"",(L32-G32)/L32-Taxas)</f>
        <v/>
      </c>
    </row>
    <row r="33" customFormat="false" ht="21" hidden="false" customHeight="true" outlineLevel="0" collapsed="false">
      <c r="B33" s="9"/>
      <c r="C33" s="42"/>
      <c r="D33" s="42"/>
      <c r="E33" s="43"/>
      <c r="F33" s="27" t="str">
        <f aca="false">IF(B33="","",SUMIFS(Receitas!$F$5:$F$504,Receitas!$B$5:$B$504,B33))</f>
        <v/>
      </c>
      <c r="G33" s="27" t="str">
        <f aca="false">IF(B33="","",IF(N(E33)&gt;0,E33*(1+Perdas),IF(AND(N(C33)&gt;0,N(F33)&gt;0),F33*(1+Perdas)/C33,"")))</f>
        <v/>
      </c>
      <c r="H33" s="27" t="str">
        <f aca="false">IF(G33="","",IF(N(E33)&gt;0,0,N(D33)*ValorHora/C33))</f>
        <v/>
      </c>
      <c r="I33" s="36" t="str">
        <f aca="false">IF(G33="","",G33+H33)</f>
        <v/>
      </c>
      <c r="J33" s="27" t="str">
        <f aca="false">IF(I33="","",I33/(1-Taxas))</f>
        <v/>
      </c>
      <c r="K33" s="36" t="str">
        <f aca="false">IF(I33="","",IF(Taxas+LucroDesejado&gt;=1,"",IF(I33/(1-Taxas-LucroDesejado)&lt;3,CEILING(I33/(1-Taxas-LucroDesejado),0.1),CEILING(I33/(1-Taxas-LucroDesejado),0.5))))</f>
        <v/>
      </c>
      <c r="L33" s="43"/>
      <c r="M33" s="27" t="str">
        <f aca="false">IF(OR(I33="",N(L33)=0),"",L33-I33-L33*Taxas)</f>
        <v/>
      </c>
      <c r="N33" s="35" t="str">
        <f aca="false">IF(M33="","",M33/L33)</f>
        <v/>
      </c>
      <c r="O33" s="39" t="str">
        <f aca="false">IF(B33="","",IF(AND(N(E33)=0,N(F33)=0),"Falta a receita ou o custo",IF(G33="","Falta o rendimento",IF(N(L33)=0,"Falta o seu preço",IF(L33&lt;G33/(1-Taxas),"Prejuízo",IF(L33&lt;J33-0.005,"Não paga o seu tempo",IF(L33&lt;K33-0.005,"Abaixo do sugerido","Preço bom")))))))</f>
        <v/>
      </c>
      <c r="P33" s="0" t="str">
        <f aca="false">IF(OR(G33="",N(L33)=0),"",(L33-G33)/L33-Taxas)</f>
        <v/>
      </c>
    </row>
    <row r="34" customFormat="false" ht="21" hidden="false" customHeight="true" outlineLevel="0" collapsed="false">
      <c r="B34" s="9"/>
      <c r="C34" s="42"/>
      <c r="D34" s="42"/>
      <c r="E34" s="43"/>
      <c r="F34" s="27" t="str">
        <f aca="false">IF(B34="","",SUMIFS(Receitas!$F$5:$F$504,Receitas!$B$5:$B$504,B34))</f>
        <v/>
      </c>
      <c r="G34" s="27" t="str">
        <f aca="false">IF(B34="","",IF(N(E34)&gt;0,E34*(1+Perdas),IF(AND(N(C34)&gt;0,N(F34)&gt;0),F34*(1+Perdas)/C34,"")))</f>
        <v/>
      </c>
      <c r="H34" s="27" t="str">
        <f aca="false">IF(G34="","",IF(N(E34)&gt;0,0,N(D34)*ValorHora/C34))</f>
        <v/>
      </c>
      <c r="I34" s="36" t="str">
        <f aca="false">IF(G34="","",G34+H34)</f>
        <v/>
      </c>
      <c r="J34" s="27" t="str">
        <f aca="false">IF(I34="","",I34/(1-Taxas))</f>
        <v/>
      </c>
      <c r="K34" s="36" t="str">
        <f aca="false">IF(I34="","",IF(Taxas+LucroDesejado&gt;=1,"",IF(I34/(1-Taxas-LucroDesejado)&lt;3,CEILING(I34/(1-Taxas-LucroDesejado),0.1),CEILING(I34/(1-Taxas-LucroDesejado),0.5))))</f>
        <v/>
      </c>
      <c r="L34" s="43"/>
      <c r="M34" s="27" t="str">
        <f aca="false">IF(OR(I34="",N(L34)=0),"",L34-I34-L34*Taxas)</f>
        <v/>
      </c>
      <c r="N34" s="35" t="str">
        <f aca="false">IF(M34="","",M34/L34)</f>
        <v/>
      </c>
      <c r="O34" s="39" t="str">
        <f aca="false">IF(B34="","",IF(AND(N(E34)=0,N(F34)=0),"Falta a receita ou o custo",IF(G34="","Falta o rendimento",IF(N(L34)=0,"Falta o seu preço",IF(L34&lt;G34/(1-Taxas),"Prejuízo",IF(L34&lt;J34-0.005,"Não paga o seu tempo",IF(L34&lt;K34-0.005,"Abaixo do sugerido","Preço bom")))))))</f>
        <v/>
      </c>
      <c r="P34" s="0" t="str">
        <f aca="false">IF(OR(G34="",N(L34)=0),"",(L34-G34)/L34-Taxas)</f>
        <v/>
      </c>
    </row>
    <row r="35" customFormat="false" ht="21" hidden="false" customHeight="true" outlineLevel="0" collapsed="false">
      <c r="B35" s="9"/>
      <c r="C35" s="42"/>
      <c r="D35" s="42"/>
      <c r="E35" s="43"/>
      <c r="F35" s="27" t="str">
        <f aca="false">IF(B35="","",SUMIFS(Receitas!$F$5:$F$504,Receitas!$B$5:$B$504,B35))</f>
        <v/>
      </c>
      <c r="G35" s="27" t="str">
        <f aca="false">IF(B35="","",IF(N(E35)&gt;0,E35*(1+Perdas),IF(AND(N(C35)&gt;0,N(F35)&gt;0),F35*(1+Perdas)/C35,"")))</f>
        <v/>
      </c>
      <c r="H35" s="27" t="str">
        <f aca="false">IF(G35="","",IF(N(E35)&gt;0,0,N(D35)*ValorHora/C35))</f>
        <v/>
      </c>
      <c r="I35" s="36" t="str">
        <f aca="false">IF(G35="","",G35+H35)</f>
        <v/>
      </c>
      <c r="J35" s="27" t="str">
        <f aca="false">IF(I35="","",I35/(1-Taxas))</f>
        <v/>
      </c>
      <c r="K35" s="36" t="str">
        <f aca="false">IF(I35="","",IF(Taxas+LucroDesejado&gt;=1,"",IF(I35/(1-Taxas-LucroDesejado)&lt;3,CEILING(I35/(1-Taxas-LucroDesejado),0.1),CEILING(I35/(1-Taxas-LucroDesejado),0.5))))</f>
        <v/>
      </c>
      <c r="L35" s="43"/>
      <c r="M35" s="27" t="str">
        <f aca="false">IF(OR(I35="",N(L35)=0),"",L35-I35-L35*Taxas)</f>
        <v/>
      </c>
      <c r="N35" s="35" t="str">
        <f aca="false">IF(M35="","",M35/L35)</f>
        <v/>
      </c>
      <c r="O35" s="39" t="str">
        <f aca="false">IF(B35="","",IF(AND(N(E35)=0,N(F35)=0),"Falta a receita ou o custo",IF(G35="","Falta o rendimento",IF(N(L35)=0,"Falta o seu preço",IF(L35&lt;G35/(1-Taxas),"Prejuízo",IF(L35&lt;J35-0.005,"Não paga o seu tempo",IF(L35&lt;K35-0.005,"Abaixo do sugerido","Preço bom")))))))</f>
        <v/>
      </c>
      <c r="P35" s="0" t="str">
        <f aca="false">IF(OR(G35="",N(L35)=0),"",(L35-G35)/L35-Taxas)</f>
        <v/>
      </c>
    </row>
    <row r="36" customFormat="false" ht="21" hidden="false" customHeight="true" outlineLevel="0" collapsed="false">
      <c r="B36" s="9"/>
      <c r="C36" s="42"/>
      <c r="D36" s="42"/>
      <c r="E36" s="43"/>
      <c r="F36" s="27" t="str">
        <f aca="false">IF(B36="","",SUMIFS(Receitas!$F$5:$F$504,Receitas!$B$5:$B$504,B36))</f>
        <v/>
      </c>
      <c r="G36" s="27" t="str">
        <f aca="false">IF(B36="","",IF(N(E36)&gt;0,E36*(1+Perdas),IF(AND(N(C36)&gt;0,N(F36)&gt;0),F36*(1+Perdas)/C36,"")))</f>
        <v/>
      </c>
      <c r="H36" s="27" t="str">
        <f aca="false">IF(G36="","",IF(N(E36)&gt;0,0,N(D36)*ValorHora/C36))</f>
        <v/>
      </c>
      <c r="I36" s="36" t="str">
        <f aca="false">IF(G36="","",G36+H36)</f>
        <v/>
      </c>
      <c r="J36" s="27" t="str">
        <f aca="false">IF(I36="","",I36/(1-Taxas))</f>
        <v/>
      </c>
      <c r="K36" s="36" t="str">
        <f aca="false">IF(I36="","",IF(Taxas+LucroDesejado&gt;=1,"",IF(I36/(1-Taxas-LucroDesejado)&lt;3,CEILING(I36/(1-Taxas-LucroDesejado),0.1),CEILING(I36/(1-Taxas-LucroDesejado),0.5))))</f>
        <v/>
      </c>
      <c r="L36" s="43"/>
      <c r="M36" s="27" t="str">
        <f aca="false">IF(OR(I36="",N(L36)=0),"",L36-I36-L36*Taxas)</f>
        <v/>
      </c>
      <c r="N36" s="35" t="str">
        <f aca="false">IF(M36="","",M36/L36)</f>
        <v/>
      </c>
      <c r="O36" s="39" t="str">
        <f aca="false">IF(B36="","",IF(AND(N(E36)=0,N(F36)=0),"Falta a receita ou o custo",IF(G36="","Falta o rendimento",IF(N(L36)=0,"Falta o seu preço",IF(L36&lt;G36/(1-Taxas),"Prejuízo",IF(L36&lt;J36-0.005,"Não paga o seu tempo",IF(L36&lt;K36-0.005,"Abaixo do sugerido","Preço bom")))))))</f>
        <v/>
      </c>
      <c r="P36" s="0" t="str">
        <f aca="false">IF(OR(G36="",N(L36)=0),"",(L36-G36)/L36-Taxas)</f>
        <v/>
      </c>
    </row>
    <row r="37" customFormat="false" ht="21" hidden="false" customHeight="true" outlineLevel="0" collapsed="false">
      <c r="B37" s="9"/>
      <c r="C37" s="42"/>
      <c r="D37" s="42"/>
      <c r="E37" s="43"/>
      <c r="F37" s="27" t="str">
        <f aca="false">IF(B37="","",SUMIFS(Receitas!$F$5:$F$504,Receitas!$B$5:$B$504,B37))</f>
        <v/>
      </c>
      <c r="G37" s="27" t="str">
        <f aca="false">IF(B37="","",IF(N(E37)&gt;0,E37*(1+Perdas),IF(AND(N(C37)&gt;0,N(F37)&gt;0),F37*(1+Perdas)/C37,"")))</f>
        <v/>
      </c>
      <c r="H37" s="27" t="str">
        <f aca="false">IF(G37="","",IF(N(E37)&gt;0,0,N(D37)*ValorHora/C37))</f>
        <v/>
      </c>
      <c r="I37" s="36" t="str">
        <f aca="false">IF(G37="","",G37+H37)</f>
        <v/>
      </c>
      <c r="J37" s="27" t="str">
        <f aca="false">IF(I37="","",I37/(1-Taxas))</f>
        <v/>
      </c>
      <c r="K37" s="36" t="str">
        <f aca="false">IF(I37="","",IF(Taxas+LucroDesejado&gt;=1,"",IF(I37/(1-Taxas-LucroDesejado)&lt;3,CEILING(I37/(1-Taxas-LucroDesejado),0.1),CEILING(I37/(1-Taxas-LucroDesejado),0.5))))</f>
        <v/>
      </c>
      <c r="L37" s="43"/>
      <c r="M37" s="27" t="str">
        <f aca="false">IF(OR(I37="",N(L37)=0),"",L37-I37-L37*Taxas)</f>
        <v/>
      </c>
      <c r="N37" s="35" t="str">
        <f aca="false">IF(M37="","",M37/L37)</f>
        <v/>
      </c>
      <c r="O37" s="39" t="str">
        <f aca="false">IF(B37="","",IF(AND(N(E37)=0,N(F37)=0),"Falta a receita ou o custo",IF(G37="","Falta o rendimento",IF(N(L37)=0,"Falta o seu preço",IF(L37&lt;G37/(1-Taxas),"Prejuízo",IF(L37&lt;J37-0.005,"Não paga o seu tempo",IF(L37&lt;K37-0.005,"Abaixo do sugerido","Preço bom")))))))</f>
        <v/>
      </c>
      <c r="P37" s="0" t="str">
        <f aca="false">IF(OR(G37="",N(L37)=0),"",(L37-G37)/L37-Taxas)</f>
        <v/>
      </c>
    </row>
    <row r="38" customFormat="false" ht="21" hidden="false" customHeight="true" outlineLevel="0" collapsed="false">
      <c r="B38" s="9"/>
      <c r="C38" s="42"/>
      <c r="D38" s="42"/>
      <c r="E38" s="43"/>
      <c r="F38" s="27" t="str">
        <f aca="false">IF(B38="","",SUMIFS(Receitas!$F$5:$F$504,Receitas!$B$5:$B$504,B38))</f>
        <v/>
      </c>
      <c r="G38" s="27" t="str">
        <f aca="false">IF(B38="","",IF(N(E38)&gt;0,E38*(1+Perdas),IF(AND(N(C38)&gt;0,N(F38)&gt;0),F38*(1+Perdas)/C38,"")))</f>
        <v/>
      </c>
      <c r="H38" s="27" t="str">
        <f aca="false">IF(G38="","",IF(N(E38)&gt;0,0,N(D38)*ValorHora/C38))</f>
        <v/>
      </c>
      <c r="I38" s="36" t="str">
        <f aca="false">IF(G38="","",G38+H38)</f>
        <v/>
      </c>
      <c r="J38" s="27" t="str">
        <f aca="false">IF(I38="","",I38/(1-Taxas))</f>
        <v/>
      </c>
      <c r="K38" s="36" t="str">
        <f aca="false">IF(I38="","",IF(Taxas+LucroDesejado&gt;=1,"",IF(I38/(1-Taxas-LucroDesejado)&lt;3,CEILING(I38/(1-Taxas-LucroDesejado),0.1),CEILING(I38/(1-Taxas-LucroDesejado),0.5))))</f>
        <v/>
      </c>
      <c r="L38" s="43"/>
      <c r="M38" s="27" t="str">
        <f aca="false">IF(OR(I38="",N(L38)=0),"",L38-I38-L38*Taxas)</f>
        <v/>
      </c>
      <c r="N38" s="35" t="str">
        <f aca="false">IF(M38="","",M38/L38)</f>
        <v/>
      </c>
      <c r="O38" s="39" t="str">
        <f aca="false">IF(B38="","",IF(AND(N(E38)=0,N(F38)=0),"Falta a receita ou o custo",IF(G38="","Falta o rendimento",IF(N(L38)=0,"Falta o seu preço",IF(L38&lt;G38/(1-Taxas),"Prejuízo",IF(L38&lt;J38-0.005,"Não paga o seu tempo",IF(L38&lt;K38-0.005,"Abaixo do sugerido","Preço bom")))))))</f>
        <v/>
      </c>
      <c r="P38" s="0" t="str">
        <f aca="false">IF(OR(G38="",N(L38)=0),"",(L38-G38)/L38-Taxas)</f>
        <v/>
      </c>
    </row>
    <row r="39" customFormat="false" ht="21" hidden="false" customHeight="true" outlineLevel="0" collapsed="false">
      <c r="B39" s="9"/>
      <c r="C39" s="42"/>
      <c r="D39" s="42"/>
      <c r="E39" s="43"/>
      <c r="F39" s="27" t="str">
        <f aca="false">IF(B39="","",SUMIFS(Receitas!$F$5:$F$504,Receitas!$B$5:$B$504,B39))</f>
        <v/>
      </c>
      <c r="G39" s="27" t="str">
        <f aca="false">IF(B39="","",IF(N(E39)&gt;0,E39*(1+Perdas),IF(AND(N(C39)&gt;0,N(F39)&gt;0),F39*(1+Perdas)/C39,"")))</f>
        <v/>
      </c>
      <c r="H39" s="27" t="str">
        <f aca="false">IF(G39="","",IF(N(E39)&gt;0,0,N(D39)*ValorHora/C39))</f>
        <v/>
      </c>
      <c r="I39" s="36" t="str">
        <f aca="false">IF(G39="","",G39+H39)</f>
        <v/>
      </c>
      <c r="J39" s="27" t="str">
        <f aca="false">IF(I39="","",I39/(1-Taxas))</f>
        <v/>
      </c>
      <c r="K39" s="36" t="str">
        <f aca="false">IF(I39="","",IF(Taxas+LucroDesejado&gt;=1,"",IF(I39/(1-Taxas-LucroDesejado)&lt;3,CEILING(I39/(1-Taxas-LucroDesejado),0.1),CEILING(I39/(1-Taxas-LucroDesejado),0.5))))</f>
        <v/>
      </c>
      <c r="L39" s="43"/>
      <c r="M39" s="27" t="str">
        <f aca="false">IF(OR(I39="",N(L39)=0),"",L39-I39-L39*Taxas)</f>
        <v/>
      </c>
      <c r="N39" s="35" t="str">
        <f aca="false">IF(M39="","",M39/L39)</f>
        <v/>
      </c>
      <c r="O39" s="39" t="str">
        <f aca="false">IF(B39="","",IF(AND(N(E39)=0,N(F39)=0),"Falta a receita ou o custo",IF(G39="","Falta o rendimento",IF(N(L39)=0,"Falta o seu preço",IF(L39&lt;G39/(1-Taxas),"Prejuízo",IF(L39&lt;J39-0.005,"Não paga o seu tempo",IF(L39&lt;K39-0.005,"Abaixo do sugerido","Preço bom")))))))</f>
        <v/>
      </c>
      <c r="P39" s="0" t="str">
        <f aca="false">IF(OR(G39="",N(L39)=0),"",(L39-G39)/L39-Taxas)</f>
        <v/>
      </c>
    </row>
    <row r="40" customFormat="false" ht="21" hidden="false" customHeight="true" outlineLevel="0" collapsed="false">
      <c r="B40" s="9"/>
      <c r="C40" s="42"/>
      <c r="D40" s="42"/>
      <c r="E40" s="43"/>
      <c r="F40" s="27" t="str">
        <f aca="false">IF(B40="","",SUMIFS(Receitas!$F$5:$F$504,Receitas!$B$5:$B$504,B40))</f>
        <v/>
      </c>
      <c r="G40" s="27" t="str">
        <f aca="false">IF(B40="","",IF(N(E40)&gt;0,E40*(1+Perdas),IF(AND(N(C40)&gt;0,N(F40)&gt;0),F40*(1+Perdas)/C40,"")))</f>
        <v/>
      </c>
      <c r="H40" s="27" t="str">
        <f aca="false">IF(G40="","",IF(N(E40)&gt;0,0,N(D40)*ValorHora/C40))</f>
        <v/>
      </c>
      <c r="I40" s="36" t="str">
        <f aca="false">IF(G40="","",G40+H40)</f>
        <v/>
      </c>
      <c r="J40" s="27" t="str">
        <f aca="false">IF(I40="","",I40/(1-Taxas))</f>
        <v/>
      </c>
      <c r="K40" s="36" t="str">
        <f aca="false">IF(I40="","",IF(Taxas+LucroDesejado&gt;=1,"",IF(I40/(1-Taxas-LucroDesejado)&lt;3,CEILING(I40/(1-Taxas-LucroDesejado),0.1),CEILING(I40/(1-Taxas-LucroDesejado),0.5))))</f>
        <v/>
      </c>
      <c r="L40" s="43"/>
      <c r="M40" s="27" t="str">
        <f aca="false">IF(OR(I40="",N(L40)=0),"",L40-I40-L40*Taxas)</f>
        <v/>
      </c>
      <c r="N40" s="35" t="str">
        <f aca="false">IF(M40="","",M40/L40)</f>
        <v/>
      </c>
      <c r="O40" s="39" t="str">
        <f aca="false">IF(B40="","",IF(AND(N(E40)=0,N(F40)=0),"Falta a receita ou o custo",IF(G40="","Falta o rendimento",IF(N(L40)=0,"Falta o seu preço",IF(L40&lt;G40/(1-Taxas),"Prejuízo",IF(L40&lt;J40-0.005,"Não paga o seu tempo",IF(L40&lt;K40-0.005,"Abaixo do sugerido","Preço bom")))))))</f>
        <v/>
      </c>
      <c r="P40" s="0" t="str">
        <f aca="false">IF(OR(G40="",N(L40)=0),"",(L40-G40)/L40-Taxas)</f>
        <v/>
      </c>
    </row>
    <row r="41" customFormat="false" ht="21" hidden="false" customHeight="true" outlineLevel="0" collapsed="false">
      <c r="B41" s="9"/>
      <c r="C41" s="42"/>
      <c r="D41" s="42"/>
      <c r="E41" s="43"/>
      <c r="F41" s="27" t="str">
        <f aca="false">IF(B41="","",SUMIFS(Receitas!$F$5:$F$504,Receitas!$B$5:$B$504,B41))</f>
        <v/>
      </c>
      <c r="G41" s="27" t="str">
        <f aca="false">IF(B41="","",IF(N(E41)&gt;0,E41*(1+Perdas),IF(AND(N(C41)&gt;0,N(F41)&gt;0),F41*(1+Perdas)/C41,"")))</f>
        <v/>
      </c>
      <c r="H41" s="27" t="str">
        <f aca="false">IF(G41="","",IF(N(E41)&gt;0,0,N(D41)*ValorHora/C41))</f>
        <v/>
      </c>
      <c r="I41" s="36" t="str">
        <f aca="false">IF(G41="","",G41+H41)</f>
        <v/>
      </c>
      <c r="J41" s="27" t="str">
        <f aca="false">IF(I41="","",I41/(1-Taxas))</f>
        <v/>
      </c>
      <c r="K41" s="36" t="str">
        <f aca="false">IF(I41="","",IF(Taxas+LucroDesejado&gt;=1,"",IF(I41/(1-Taxas-LucroDesejado)&lt;3,CEILING(I41/(1-Taxas-LucroDesejado),0.1),CEILING(I41/(1-Taxas-LucroDesejado),0.5))))</f>
        <v/>
      </c>
      <c r="L41" s="43"/>
      <c r="M41" s="27" t="str">
        <f aca="false">IF(OR(I41="",N(L41)=0),"",L41-I41-L41*Taxas)</f>
        <v/>
      </c>
      <c r="N41" s="35" t="str">
        <f aca="false">IF(M41="","",M41/L41)</f>
        <v/>
      </c>
      <c r="O41" s="39" t="str">
        <f aca="false">IF(B41="","",IF(AND(N(E41)=0,N(F41)=0),"Falta a receita ou o custo",IF(G41="","Falta o rendimento",IF(N(L41)=0,"Falta o seu preço",IF(L41&lt;G41/(1-Taxas),"Prejuízo",IF(L41&lt;J41-0.005,"Não paga o seu tempo",IF(L41&lt;K41-0.005,"Abaixo do sugerido","Preço bom")))))))</f>
        <v/>
      </c>
      <c r="P41" s="0" t="str">
        <f aca="false">IF(OR(G41="",N(L41)=0),"",(L41-G41)/L41-Taxas)</f>
        <v/>
      </c>
    </row>
    <row r="42" customFormat="false" ht="21" hidden="false" customHeight="true" outlineLevel="0" collapsed="false">
      <c r="B42" s="9"/>
      <c r="C42" s="42"/>
      <c r="D42" s="42"/>
      <c r="E42" s="43"/>
      <c r="F42" s="27" t="str">
        <f aca="false">IF(B42="","",SUMIFS(Receitas!$F$5:$F$504,Receitas!$B$5:$B$504,B42))</f>
        <v/>
      </c>
      <c r="G42" s="27" t="str">
        <f aca="false">IF(B42="","",IF(N(E42)&gt;0,E42*(1+Perdas),IF(AND(N(C42)&gt;0,N(F42)&gt;0),F42*(1+Perdas)/C42,"")))</f>
        <v/>
      </c>
      <c r="H42" s="27" t="str">
        <f aca="false">IF(G42="","",IF(N(E42)&gt;0,0,N(D42)*ValorHora/C42))</f>
        <v/>
      </c>
      <c r="I42" s="36" t="str">
        <f aca="false">IF(G42="","",G42+H42)</f>
        <v/>
      </c>
      <c r="J42" s="27" t="str">
        <f aca="false">IF(I42="","",I42/(1-Taxas))</f>
        <v/>
      </c>
      <c r="K42" s="36" t="str">
        <f aca="false">IF(I42="","",IF(Taxas+LucroDesejado&gt;=1,"",IF(I42/(1-Taxas-LucroDesejado)&lt;3,CEILING(I42/(1-Taxas-LucroDesejado),0.1),CEILING(I42/(1-Taxas-LucroDesejado),0.5))))</f>
        <v/>
      </c>
      <c r="L42" s="43"/>
      <c r="M42" s="27" t="str">
        <f aca="false">IF(OR(I42="",N(L42)=0),"",L42-I42-L42*Taxas)</f>
        <v/>
      </c>
      <c r="N42" s="35" t="str">
        <f aca="false">IF(M42="","",M42/L42)</f>
        <v/>
      </c>
      <c r="O42" s="39" t="str">
        <f aca="false">IF(B42="","",IF(AND(N(E42)=0,N(F42)=0),"Falta a receita ou o custo",IF(G42="","Falta o rendimento",IF(N(L42)=0,"Falta o seu preço",IF(L42&lt;G42/(1-Taxas),"Prejuízo",IF(L42&lt;J42-0.005,"Não paga o seu tempo",IF(L42&lt;K42-0.005,"Abaixo do sugerido","Preço bom")))))))</f>
        <v/>
      </c>
      <c r="P42" s="0" t="str">
        <f aca="false">IF(OR(G42="",N(L42)=0),"",(L42-G42)/L42-Taxas)</f>
        <v/>
      </c>
    </row>
    <row r="43" customFormat="false" ht="21" hidden="false" customHeight="true" outlineLevel="0" collapsed="false">
      <c r="B43" s="9"/>
      <c r="C43" s="42"/>
      <c r="D43" s="42"/>
      <c r="E43" s="43"/>
      <c r="F43" s="27" t="str">
        <f aca="false">IF(B43="","",SUMIFS(Receitas!$F$5:$F$504,Receitas!$B$5:$B$504,B43))</f>
        <v/>
      </c>
      <c r="G43" s="27" t="str">
        <f aca="false">IF(B43="","",IF(N(E43)&gt;0,E43*(1+Perdas),IF(AND(N(C43)&gt;0,N(F43)&gt;0),F43*(1+Perdas)/C43,"")))</f>
        <v/>
      </c>
      <c r="H43" s="27" t="str">
        <f aca="false">IF(G43="","",IF(N(E43)&gt;0,0,N(D43)*ValorHora/C43))</f>
        <v/>
      </c>
      <c r="I43" s="36" t="str">
        <f aca="false">IF(G43="","",G43+H43)</f>
        <v/>
      </c>
      <c r="J43" s="27" t="str">
        <f aca="false">IF(I43="","",I43/(1-Taxas))</f>
        <v/>
      </c>
      <c r="K43" s="36" t="str">
        <f aca="false">IF(I43="","",IF(Taxas+LucroDesejado&gt;=1,"",IF(I43/(1-Taxas-LucroDesejado)&lt;3,CEILING(I43/(1-Taxas-LucroDesejado),0.1),CEILING(I43/(1-Taxas-LucroDesejado),0.5))))</f>
        <v/>
      </c>
      <c r="L43" s="43"/>
      <c r="M43" s="27" t="str">
        <f aca="false">IF(OR(I43="",N(L43)=0),"",L43-I43-L43*Taxas)</f>
        <v/>
      </c>
      <c r="N43" s="35" t="str">
        <f aca="false">IF(M43="","",M43/L43)</f>
        <v/>
      </c>
      <c r="O43" s="39" t="str">
        <f aca="false">IF(B43="","",IF(AND(N(E43)=0,N(F43)=0),"Falta a receita ou o custo",IF(G43="","Falta o rendimento",IF(N(L43)=0,"Falta o seu preço",IF(L43&lt;G43/(1-Taxas),"Prejuízo",IF(L43&lt;J43-0.005,"Não paga o seu tempo",IF(L43&lt;K43-0.005,"Abaixo do sugerido","Preço bom")))))))</f>
        <v/>
      </c>
      <c r="P43" s="0" t="str">
        <f aca="false">IF(OR(G43="",N(L43)=0),"",(L43-G43)/L43-Taxas)</f>
        <v/>
      </c>
    </row>
    <row r="44" customFormat="false" ht="21" hidden="false" customHeight="true" outlineLevel="0" collapsed="false">
      <c r="B44" s="9"/>
      <c r="C44" s="42"/>
      <c r="D44" s="42"/>
      <c r="E44" s="43"/>
      <c r="F44" s="27" t="str">
        <f aca="false">IF(B44="","",SUMIFS(Receitas!$F$5:$F$504,Receitas!$B$5:$B$504,B44))</f>
        <v/>
      </c>
      <c r="G44" s="27" t="str">
        <f aca="false">IF(B44="","",IF(N(E44)&gt;0,E44*(1+Perdas),IF(AND(N(C44)&gt;0,N(F44)&gt;0),F44*(1+Perdas)/C44,"")))</f>
        <v/>
      </c>
      <c r="H44" s="27" t="str">
        <f aca="false">IF(G44="","",IF(N(E44)&gt;0,0,N(D44)*ValorHora/C44))</f>
        <v/>
      </c>
      <c r="I44" s="36" t="str">
        <f aca="false">IF(G44="","",G44+H44)</f>
        <v/>
      </c>
      <c r="J44" s="27" t="str">
        <f aca="false">IF(I44="","",I44/(1-Taxas))</f>
        <v/>
      </c>
      <c r="K44" s="36" t="str">
        <f aca="false">IF(I44="","",IF(Taxas+LucroDesejado&gt;=1,"",IF(I44/(1-Taxas-LucroDesejado)&lt;3,CEILING(I44/(1-Taxas-LucroDesejado),0.1),CEILING(I44/(1-Taxas-LucroDesejado),0.5))))</f>
        <v/>
      </c>
      <c r="L44" s="43"/>
      <c r="M44" s="27" t="str">
        <f aca="false">IF(OR(I44="",N(L44)=0),"",L44-I44-L44*Taxas)</f>
        <v/>
      </c>
      <c r="N44" s="35" t="str">
        <f aca="false">IF(M44="","",M44/L44)</f>
        <v/>
      </c>
      <c r="O44" s="39" t="str">
        <f aca="false">IF(B44="","",IF(AND(N(E44)=0,N(F44)=0),"Falta a receita ou o custo",IF(G44="","Falta o rendimento",IF(N(L44)=0,"Falta o seu preço",IF(L44&lt;G44/(1-Taxas),"Prejuízo",IF(L44&lt;J44-0.005,"Não paga o seu tempo",IF(L44&lt;K44-0.005,"Abaixo do sugerido","Preço bom")))))))</f>
        <v/>
      </c>
      <c r="P44" s="0" t="str">
        <f aca="false">IF(OR(G44="",N(L44)=0),"",(L44-G44)/L44-Taxas)</f>
        <v/>
      </c>
    </row>
    <row r="45" customFormat="false" ht="21" hidden="false" customHeight="true" outlineLevel="0" collapsed="false">
      <c r="B45" s="9"/>
      <c r="C45" s="42"/>
      <c r="D45" s="42"/>
      <c r="E45" s="43"/>
      <c r="F45" s="27" t="str">
        <f aca="false">IF(B45="","",SUMIFS(Receitas!$F$5:$F$504,Receitas!$B$5:$B$504,B45))</f>
        <v/>
      </c>
      <c r="G45" s="27" t="str">
        <f aca="false">IF(B45="","",IF(N(E45)&gt;0,E45*(1+Perdas),IF(AND(N(C45)&gt;0,N(F45)&gt;0),F45*(1+Perdas)/C45,"")))</f>
        <v/>
      </c>
      <c r="H45" s="27" t="str">
        <f aca="false">IF(G45="","",IF(N(E45)&gt;0,0,N(D45)*ValorHora/C45))</f>
        <v/>
      </c>
      <c r="I45" s="36" t="str">
        <f aca="false">IF(G45="","",G45+H45)</f>
        <v/>
      </c>
      <c r="J45" s="27" t="str">
        <f aca="false">IF(I45="","",I45/(1-Taxas))</f>
        <v/>
      </c>
      <c r="K45" s="36" t="str">
        <f aca="false">IF(I45="","",IF(Taxas+LucroDesejado&gt;=1,"",IF(I45/(1-Taxas-LucroDesejado)&lt;3,CEILING(I45/(1-Taxas-LucroDesejado),0.1),CEILING(I45/(1-Taxas-LucroDesejado),0.5))))</f>
        <v/>
      </c>
      <c r="L45" s="43"/>
      <c r="M45" s="27" t="str">
        <f aca="false">IF(OR(I45="",N(L45)=0),"",L45-I45-L45*Taxas)</f>
        <v/>
      </c>
      <c r="N45" s="35" t="str">
        <f aca="false">IF(M45="","",M45/L45)</f>
        <v/>
      </c>
      <c r="O45" s="39" t="str">
        <f aca="false">IF(B45="","",IF(AND(N(E45)=0,N(F45)=0),"Falta a receita ou o custo",IF(G45="","Falta o rendimento",IF(N(L45)=0,"Falta o seu preço",IF(L45&lt;G45/(1-Taxas),"Prejuízo",IF(L45&lt;J45-0.005,"Não paga o seu tempo",IF(L45&lt;K45-0.005,"Abaixo do sugerido","Preço bom")))))))</f>
        <v/>
      </c>
      <c r="P45" s="0" t="str">
        <f aca="false">IF(OR(G45="",N(L45)=0),"",(L45-G45)/L45-Taxas)</f>
        <v/>
      </c>
    </row>
    <row r="46" customFormat="false" ht="21" hidden="false" customHeight="true" outlineLevel="0" collapsed="false">
      <c r="B46" s="9"/>
      <c r="C46" s="42"/>
      <c r="D46" s="42"/>
      <c r="E46" s="43"/>
      <c r="F46" s="27" t="str">
        <f aca="false">IF(B46="","",SUMIFS(Receitas!$F$5:$F$504,Receitas!$B$5:$B$504,B46))</f>
        <v/>
      </c>
      <c r="G46" s="27" t="str">
        <f aca="false">IF(B46="","",IF(N(E46)&gt;0,E46*(1+Perdas),IF(AND(N(C46)&gt;0,N(F46)&gt;0),F46*(1+Perdas)/C46,"")))</f>
        <v/>
      </c>
      <c r="H46" s="27" t="str">
        <f aca="false">IF(G46="","",IF(N(E46)&gt;0,0,N(D46)*ValorHora/C46))</f>
        <v/>
      </c>
      <c r="I46" s="36" t="str">
        <f aca="false">IF(G46="","",G46+H46)</f>
        <v/>
      </c>
      <c r="J46" s="27" t="str">
        <f aca="false">IF(I46="","",I46/(1-Taxas))</f>
        <v/>
      </c>
      <c r="K46" s="36" t="str">
        <f aca="false">IF(I46="","",IF(Taxas+LucroDesejado&gt;=1,"",IF(I46/(1-Taxas-LucroDesejado)&lt;3,CEILING(I46/(1-Taxas-LucroDesejado),0.1),CEILING(I46/(1-Taxas-LucroDesejado),0.5))))</f>
        <v/>
      </c>
      <c r="L46" s="43"/>
      <c r="M46" s="27" t="str">
        <f aca="false">IF(OR(I46="",N(L46)=0),"",L46-I46-L46*Taxas)</f>
        <v/>
      </c>
      <c r="N46" s="35" t="str">
        <f aca="false">IF(M46="","",M46/L46)</f>
        <v/>
      </c>
      <c r="O46" s="39" t="str">
        <f aca="false">IF(B46="","",IF(AND(N(E46)=0,N(F46)=0),"Falta a receita ou o custo",IF(G46="","Falta o rendimento",IF(N(L46)=0,"Falta o seu preço",IF(L46&lt;G46/(1-Taxas),"Prejuízo",IF(L46&lt;J46-0.005,"Não paga o seu tempo",IF(L46&lt;K46-0.005,"Abaixo do sugerido","Preço bom")))))))</f>
        <v/>
      </c>
      <c r="P46" s="0" t="str">
        <f aca="false">IF(OR(G46="",N(L46)=0),"",(L46-G46)/L46-Taxas)</f>
        <v/>
      </c>
    </row>
    <row r="47" customFormat="false" ht="21" hidden="false" customHeight="true" outlineLevel="0" collapsed="false">
      <c r="B47" s="9"/>
      <c r="C47" s="42"/>
      <c r="D47" s="42"/>
      <c r="E47" s="43"/>
      <c r="F47" s="27" t="str">
        <f aca="false">IF(B47="","",SUMIFS(Receitas!$F$5:$F$504,Receitas!$B$5:$B$504,B47))</f>
        <v/>
      </c>
      <c r="G47" s="27" t="str">
        <f aca="false">IF(B47="","",IF(N(E47)&gt;0,E47*(1+Perdas),IF(AND(N(C47)&gt;0,N(F47)&gt;0),F47*(1+Perdas)/C47,"")))</f>
        <v/>
      </c>
      <c r="H47" s="27" t="str">
        <f aca="false">IF(G47="","",IF(N(E47)&gt;0,0,N(D47)*ValorHora/C47))</f>
        <v/>
      </c>
      <c r="I47" s="36" t="str">
        <f aca="false">IF(G47="","",G47+H47)</f>
        <v/>
      </c>
      <c r="J47" s="27" t="str">
        <f aca="false">IF(I47="","",I47/(1-Taxas))</f>
        <v/>
      </c>
      <c r="K47" s="36" t="str">
        <f aca="false">IF(I47="","",IF(Taxas+LucroDesejado&gt;=1,"",IF(I47/(1-Taxas-LucroDesejado)&lt;3,CEILING(I47/(1-Taxas-LucroDesejado),0.1),CEILING(I47/(1-Taxas-LucroDesejado),0.5))))</f>
        <v/>
      </c>
      <c r="L47" s="43"/>
      <c r="M47" s="27" t="str">
        <f aca="false">IF(OR(I47="",N(L47)=0),"",L47-I47-L47*Taxas)</f>
        <v/>
      </c>
      <c r="N47" s="35" t="str">
        <f aca="false">IF(M47="","",M47/L47)</f>
        <v/>
      </c>
      <c r="O47" s="39" t="str">
        <f aca="false">IF(B47="","",IF(AND(N(E47)=0,N(F47)=0),"Falta a receita ou o custo",IF(G47="","Falta o rendimento",IF(N(L47)=0,"Falta o seu preço",IF(L47&lt;G47/(1-Taxas),"Prejuízo",IF(L47&lt;J47-0.005,"Não paga o seu tempo",IF(L47&lt;K47-0.005,"Abaixo do sugerido","Preço bom")))))))</f>
        <v/>
      </c>
      <c r="P47" s="0" t="str">
        <f aca="false">IF(OR(G47="",N(L47)=0),"",(L47-G47)/L47-Taxas)</f>
        <v/>
      </c>
    </row>
    <row r="48" customFormat="false" ht="21" hidden="false" customHeight="true" outlineLevel="0" collapsed="false">
      <c r="B48" s="9"/>
      <c r="C48" s="42"/>
      <c r="D48" s="42"/>
      <c r="E48" s="43"/>
      <c r="F48" s="27" t="str">
        <f aca="false">IF(B48="","",SUMIFS(Receitas!$F$5:$F$504,Receitas!$B$5:$B$504,B48))</f>
        <v/>
      </c>
      <c r="G48" s="27" t="str">
        <f aca="false">IF(B48="","",IF(N(E48)&gt;0,E48*(1+Perdas),IF(AND(N(C48)&gt;0,N(F48)&gt;0),F48*(1+Perdas)/C48,"")))</f>
        <v/>
      </c>
      <c r="H48" s="27" t="str">
        <f aca="false">IF(G48="","",IF(N(E48)&gt;0,0,N(D48)*ValorHora/C48))</f>
        <v/>
      </c>
      <c r="I48" s="36" t="str">
        <f aca="false">IF(G48="","",G48+H48)</f>
        <v/>
      </c>
      <c r="J48" s="27" t="str">
        <f aca="false">IF(I48="","",I48/(1-Taxas))</f>
        <v/>
      </c>
      <c r="K48" s="36" t="str">
        <f aca="false">IF(I48="","",IF(Taxas+LucroDesejado&gt;=1,"",IF(I48/(1-Taxas-LucroDesejado)&lt;3,CEILING(I48/(1-Taxas-LucroDesejado),0.1),CEILING(I48/(1-Taxas-LucroDesejado),0.5))))</f>
        <v/>
      </c>
      <c r="L48" s="43"/>
      <c r="M48" s="27" t="str">
        <f aca="false">IF(OR(I48="",N(L48)=0),"",L48-I48-L48*Taxas)</f>
        <v/>
      </c>
      <c r="N48" s="35" t="str">
        <f aca="false">IF(M48="","",M48/L48)</f>
        <v/>
      </c>
      <c r="O48" s="39" t="str">
        <f aca="false">IF(B48="","",IF(AND(N(E48)=0,N(F48)=0),"Falta a receita ou o custo",IF(G48="","Falta o rendimento",IF(N(L48)=0,"Falta o seu preço",IF(L48&lt;G48/(1-Taxas),"Prejuízo",IF(L48&lt;J48-0.005,"Não paga o seu tempo",IF(L48&lt;K48-0.005,"Abaixo do sugerido","Preço bom")))))))</f>
        <v/>
      </c>
      <c r="P48" s="0" t="str">
        <f aca="false">IF(OR(G48="",N(L48)=0),"",(L48-G48)/L48-Taxas)</f>
        <v/>
      </c>
    </row>
    <row r="49" customFormat="false" ht="21" hidden="false" customHeight="true" outlineLevel="0" collapsed="false">
      <c r="B49" s="9"/>
      <c r="C49" s="42"/>
      <c r="D49" s="42"/>
      <c r="E49" s="43"/>
      <c r="F49" s="27" t="str">
        <f aca="false">IF(B49="","",SUMIFS(Receitas!$F$5:$F$504,Receitas!$B$5:$B$504,B49))</f>
        <v/>
      </c>
      <c r="G49" s="27" t="str">
        <f aca="false">IF(B49="","",IF(N(E49)&gt;0,E49*(1+Perdas),IF(AND(N(C49)&gt;0,N(F49)&gt;0),F49*(1+Perdas)/C49,"")))</f>
        <v/>
      </c>
      <c r="H49" s="27" t="str">
        <f aca="false">IF(G49="","",IF(N(E49)&gt;0,0,N(D49)*ValorHora/C49))</f>
        <v/>
      </c>
      <c r="I49" s="36" t="str">
        <f aca="false">IF(G49="","",G49+H49)</f>
        <v/>
      </c>
      <c r="J49" s="27" t="str">
        <f aca="false">IF(I49="","",I49/(1-Taxas))</f>
        <v/>
      </c>
      <c r="K49" s="36" t="str">
        <f aca="false">IF(I49="","",IF(Taxas+LucroDesejado&gt;=1,"",IF(I49/(1-Taxas-LucroDesejado)&lt;3,CEILING(I49/(1-Taxas-LucroDesejado),0.1),CEILING(I49/(1-Taxas-LucroDesejado),0.5))))</f>
        <v/>
      </c>
      <c r="L49" s="43"/>
      <c r="M49" s="27" t="str">
        <f aca="false">IF(OR(I49="",N(L49)=0),"",L49-I49-L49*Taxas)</f>
        <v/>
      </c>
      <c r="N49" s="35" t="str">
        <f aca="false">IF(M49="","",M49/L49)</f>
        <v/>
      </c>
      <c r="O49" s="39" t="str">
        <f aca="false">IF(B49="","",IF(AND(N(E49)=0,N(F49)=0),"Falta a receita ou o custo",IF(G49="","Falta o rendimento",IF(N(L49)=0,"Falta o seu preço",IF(L49&lt;G49/(1-Taxas),"Prejuízo",IF(L49&lt;J49-0.005,"Não paga o seu tempo",IF(L49&lt;K49-0.005,"Abaixo do sugerido","Preço bom")))))))</f>
        <v/>
      </c>
      <c r="P49" s="0" t="str">
        <f aca="false">IF(OR(G49="",N(L49)=0),"",(L49-G49)/L49-Taxas)</f>
        <v/>
      </c>
    </row>
    <row r="50" customFormat="false" ht="21" hidden="false" customHeight="true" outlineLevel="0" collapsed="false">
      <c r="B50" s="9"/>
      <c r="C50" s="42"/>
      <c r="D50" s="42"/>
      <c r="E50" s="43"/>
      <c r="F50" s="27" t="str">
        <f aca="false">IF(B50="","",SUMIFS(Receitas!$F$5:$F$504,Receitas!$B$5:$B$504,B50))</f>
        <v/>
      </c>
      <c r="G50" s="27" t="str">
        <f aca="false">IF(B50="","",IF(N(E50)&gt;0,E50*(1+Perdas),IF(AND(N(C50)&gt;0,N(F50)&gt;0),F50*(1+Perdas)/C50,"")))</f>
        <v/>
      </c>
      <c r="H50" s="27" t="str">
        <f aca="false">IF(G50="","",IF(N(E50)&gt;0,0,N(D50)*ValorHora/C50))</f>
        <v/>
      </c>
      <c r="I50" s="36" t="str">
        <f aca="false">IF(G50="","",G50+H50)</f>
        <v/>
      </c>
      <c r="J50" s="27" t="str">
        <f aca="false">IF(I50="","",I50/(1-Taxas))</f>
        <v/>
      </c>
      <c r="K50" s="36" t="str">
        <f aca="false">IF(I50="","",IF(Taxas+LucroDesejado&gt;=1,"",IF(I50/(1-Taxas-LucroDesejado)&lt;3,CEILING(I50/(1-Taxas-LucroDesejado),0.1),CEILING(I50/(1-Taxas-LucroDesejado),0.5))))</f>
        <v/>
      </c>
      <c r="L50" s="43"/>
      <c r="M50" s="27" t="str">
        <f aca="false">IF(OR(I50="",N(L50)=0),"",L50-I50-L50*Taxas)</f>
        <v/>
      </c>
      <c r="N50" s="35" t="str">
        <f aca="false">IF(M50="","",M50/L50)</f>
        <v/>
      </c>
      <c r="O50" s="39" t="str">
        <f aca="false">IF(B50="","",IF(AND(N(E50)=0,N(F50)=0),"Falta a receita ou o custo",IF(G50="","Falta o rendimento",IF(N(L50)=0,"Falta o seu preço",IF(L50&lt;G50/(1-Taxas),"Prejuízo",IF(L50&lt;J50-0.005,"Não paga o seu tempo",IF(L50&lt;K50-0.005,"Abaixo do sugerido","Preço bom")))))))</f>
        <v/>
      </c>
      <c r="P50" s="0" t="str">
        <f aca="false">IF(OR(G50="",N(L50)=0),"",(L50-G50)/L50-Taxas)</f>
        <v/>
      </c>
    </row>
    <row r="51" customFormat="false" ht="21" hidden="false" customHeight="true" outlineLevel="0" collapsed="false">
      <c r="B51" s="9"/>
      <c r="C51" s="42"/>
      <c r="D51" s="42"/>
      <c r="E51" s="43"/>
      <c r="F51" s="27" t="str">
        <f aca="false">IF(B51="","",SUMIFS(Receitas!$F$5:$F$504,Receitas!$B$5:$B$504,B51))</f>
        <v/>
      </c>
      <c r="G51" s="27" t="str">
        <f aca="false">IF(B51="","",IF(N(E51)&gt;0,E51*(1+Perdas),IF(AND(N(C51)&gt;0,N(F51)&gt;0),F51*(1+Perdas)/C51,"")))</f>
        <v/>
      </c>
      <c r="H51" s="27" t="str">
        <f aca="false">IF(G51="","",IF(N(E51)&gt;0,0,N(D51)*ValorHora/C51))</f>
        <v/>
      </c>
      <c r="I51" s="36" t="str">
        <f aca="false">IF(G51="","",G51+H51)</f>
        <v/>
      </c>
      <c r="J51" s="27" t="str">
        <f aca="false">IF(I51="","",I51/(1-Taxas))</f>
        <v/>
      </c>
      <c r="K51" s="36" t="str">
        <f aca="false">IF(I51="","",IF(Taxas+LucroDesejado&gt;=1,"",IF(I51/(1-Taxas-LucroDesejado)&lt;3,CEILING(I51/(1-Taxas-LucroDesejado),0.1),CEILING(I51/(1-Taxas-LucroDesejado),0.5))))</f>
        <v/>
      </c>
      <c r="L51" s="43"/>
      <c r="M51" s="27" t="str">
        <f aca="false">IF(OR(I51="",N(L51)=0),"",L51-I51-L51*Taxas)</f>
        <v/>
      </c>
      <c r="N51" s="35" t="str">
        <f aca="false">IF(M51="","",M51/L51)</f>
        <v/>
      </c>
      <c r="O51" s="39" t="str">
        <f aca="false">IF(B51="","",IF(AND(N(E51)=0,N(F51)=0),"Falta a receita ou o custo",IF(G51="","Falta o rendimento",IF(N(L51)=0,"Falta o seu preço",IF(L51&lt;G51/(1-Taxas),"Prejuízo",IF(L51&lt;J51-0.005,"Não paga o seu tempo",IF(L51&lt;K51-0.005,"Abaixo do sugerido","Preço bom")))))))</f>
        <v/>
      </c>
      <c r="P51" s="0" t="str">
        <f aca="false">IF(OR(G51="",N(L51)=0),"",(L51-G51)/L51-Taxas)</f>
        <v/>
      </c>
    </row>
    <row r="52" customFormat="false" ht="21" hidden="false" customHeight="true" outlineLevel="0" collapsed="false">
      <c r="B52" s="9"/>
      <c r="C52" s="42"/>
      <c r="D52" s="42"/>
      <c r="E52" s="43"/>
      <c r="F52" s="27" t="str">
        <f aca="false">IF(B52="","",SUMIFS(Receitas!$F$5:$F$504,Receitas!$B$5:$B$504,B52))</f>
        <v/>
      </c>
      <c r="G52" s="27" t="str">
        <f aca="false">IF(B52="","",IF(N(E52)&gt;0,E52*(1+Perdas),IF(AND(N(C52)&gt;0,N(F52)&gt;0),F52*(1+Perdas)/C52,"")))</f>
        <v/>
      </c>
      <c r="H52" s="27" t="str">
        <f aca="false">IF(G52="","",IF(N(E52)&gt;0,0,N(D52)*ValorHora/C52))</f>
        <v/>
      </c>
      <c r="I52" s="36" t="str">
        <f aca="false">IF(G52="","",G52+H52)</f>
        <v/>
      </c>
      <c r="J52" s="27" t="str">
        <f aca="false">IF(I52="","",I52/(1-Taxas))</f>
        <v/>
      </c>
      <c r="K52" s="36" t="str">
        <f aca="false">IF(I52="","",IF(Taxas+LucroDesejado&gt;=1,"",IF(I52/(1-Taxas-LucroDesejado)&lt;3,CEILING(I52/(1-Taxas-LucroDesejado),0.1),CEILING(I52/(1-Taxas-LucroDesejado),0.5))))</f>
        <v/>
      </c>
      <c r="L52" s="43"/>
      <c r="M52" s="27" t="str">
        <f aca="false">IF(OR(I52="",N(L52)=0),"",L52-I52-L52*Taxas)</f>
        <v/>
      </c>
      <c r="N52" s="35" t="str">
        <f aca="false">IF(M52="","",M52/L52)</f>
        <v/>
      </c>
      <c r="O52" s="39" t="str">
        <f aca="false">IF(B52="","",IF(AND(N(E52)=0,N(F52)=0),"Falta a receita ou o custo",IF(G52="","Falta o rendimento",IF(N(L52)=0,"Falta o seu preço",IF(L52&lt;G52/(1-Taxas),"Prejuízo",IF(L52&lt;J52-0.005,"Não paga o seu tempo",IF(L52&lt;K52-0.005,"Abaixo do sugerido","Preço bom")))))))</f>
        <v/>
      </c>
      <c r="P52" s="0" t="str">
        <f aca="false">IF(OR(G52="",N(L52)=0),"",(L52-G52)/L52-Taxas)</f>
        <v/>
      </c>
    </row>
    <row r="53" customFormat="false" ht="21" hidden="false" customHeight="true" outlineLevel="0" collapsed="false">
      <c r="B53" s="9"/>
      <c r="C53" s="42"/>
      <c r="D53" s="42"/>
      <c r="E53" s="43"/>
      <c r="F53" s="27" t="str">
        <f aca="false">IF(B53="","",SUMIFS(Receitas!$F$5:$F$504,Receitas!$B$5:$B$504,B53))</f>
        <v/>
      </c>
      <c r="G53" s="27" t="str">
        <f aca="false">IF(B53="","",IF(N(E53)&gt;0,E53*(1+Perdas),IF(AND(N(C53)&gt;0,N(F53)&gt;0),F53*(1+Perdas)/C53,"")))</f>
        <v/>
      </c>
      <c r="H53" s="27" t="str">
        <f aca="false">IF(G53="","",IF(N(E53)&gt;0,0,N(D53)*ValorHora/C53))</f>
        <v/>
      </c>
      <c r="I53" s="36" t="str">
        <f aca="false">IF(G53="","",G53+H53)</f>
        <v/>
      </c>
      <c r="J53" s="27" t="str">
        <f aca="false">IF(I53="","",I53/(1-Taxas))</f>
        <v/>
      </c>
      <c r="K53" s="36" t="str">
        <f aca="false">IF(I53="","",IF(Taxas+LucroDesejado&gt;=1,"",IF(I53/(1-Taxas-LucroDesejado)&lt;3,CEILING(I53/(1-Taxas-LucroDesejado),0.1),CEILING(I53/(1-Taxas-LucroDesejado),0.5))))</f>
        <v/>
      </c>
      <c r="L53" s="43"/>
      <c r="M53" s="27" t="str">
        <f aca="false">IF(OR(I53="",N(L53)=0),"",L53-I53-L53*Taxas)</f>
        <v/>
      </c>
      <c r="N53" s="35" t="str">
        <f aca="false">IF(M53="","",M53/L53)</f>
        <v/>
      </c>
      <c r="O53" s="39" t="str">
        <f aca="false">IF(B53="","",IF(AND(N(E53)=0,N(F53)=0),"Falta a receita ou o custo",IF(G53="","Falta o rendimento",IF(N(L53)=0,"Falta o seu preço",IF(L53&lt;G53/(1-Taxas),"Prejuízo",IF(L53&lt;J53-0.005,"Não paga o seu tempo",IF(L53&lt;K53-0.005,"Abaixo do sugerido","Preço bom")))))))</f>
        <v/>
      </c>
      <c r="P53" s="0" t="str">
        <f aca="false">IF(OR(G53="",N(L53)=0),"",(L53-G53)/L53-Taxas)</f>
        <v/>
      </c>
    </row>
    <row r="54" customFormat="false" ht="21" hidden="false" customHeight="true" outlineLevel="0" collapsed="false">
      <c r="B54" s="9"/>
      <c r="C54" s="42"/>
      <c r="D54" s="42"/>
      <c r="E54" s="43"/>
      <c r="F54" s="27" t="str">
        <f aca="false">IF(B54="","",SUMIFS(Receitas!$F$5:$F$504,Receitas!$B$5:$B$504,B54))</f>
        <v/>
      </c>
      <c r="G54" s="27" t="str">
        <f aca="false">IF(B54="","",IF(N(E54)&gt;0,E54*(1+Perdas),IF(AND(N(C54)&gt;0,N(F54)&gt;0),F54*(1+Perdas)/C54,"")))</f>
        <v/>
      </c>
      <c r="H54" s="27" t="str">
        <f aca="false">IF(G54="","",IF(N(E54)&gt;0,0,N(D54)*ValorHora/C54))</f>
        <v/>
      </c>
      <c r="I54" s="36" t="str">
        <f aca="false">IF(G54="","",G54+H54)</f>
        <v/>
      </c>
      <c r="J54" s="27" t="str">
        <f aca="false">IF(I54="","",I54/(1-Taxas))</f>
        <v/>
      </c>
      <c r="K54" s="36" t="str">
        <f aca="false">IF(I54="","",IF(Taxas+LucroDesejado&gt;=1,"",IF(I54/(1-Taxas-LucroDesejado)&lt;3,CEILING(I54/(1-Taxas-LucroDesejado),0.1),CEILING(I54/(1-Taxas-LucroDesejado),0.5))))</f>
        <v/>
      </c>
      <c r="L54" s="43"/>
      <c r="M54" s="27" t="str">
        <f aca="false">IF(OR(I54="",N(L54)=0),"",L54-I54-L54*Taxas)</f>
        <v/>
      </c>
      <c r="N54" s="35" t="str">
        <f aca="false">IF(M54="","",M54/L54)</f>
        <v/>
      </c>
      <c r="O54" s="39" t="str">
        <f aca="false">IF(B54="","",IF(AND(N(E54)=0,N(F54)=0),"Falta a receita ou o custo",IF(G54="","Falta o rendimento",IF(N(L54)=0,"Falta o seu preço",IF(L54&lt;G54/(1-Taxas),"Prejuízo",IF(L54&lt;J54-0.005,"Não paga o seu tempo",IF(L54&lt;K54-0.005,"Abaixo do sugerido","Preço bom")))))))</f>
        <v/>
      </c>
      <c r="P54" s="0" t="str">
        <f aca="false">IF(OR(G54="",N(L54)=0),"",(L54-G54)/L54-Taxas)</f>
        <v/>
      </c>
    </row>
    <row r="55" customFormat="false" ht="21" hidden="false" customHeight="true" outlineLevel="0" collapsed="false">
      <c r="B55" s="9"/>
      <c r="C55" s="42"/>
      <c r="D55" s="42"/>
      <c r="E55" s="43"/>
      <c r="F55" s="27" t="str">
        <f aca="false">IF(B55="","",SUMIFS(Receitas!$F$5:$F$504,Receitas!$B$5:$B$504,B55))</f>
        <v/>
      </c>
      <c r="G55" s="27" t="str">
        <f aca="false">IF(B55="","",IF(N(E55)&gt;0,E55*(1+Perdas),IF(AND(N(C55)&gt;0,N(F55)&gt;0),F55*(1+Perdas)/C55,"")))</f>
        <v/>
      </c>
      <c r="H55" s="27" t="str">
        <f aca="false">IF(G55="","",IF(N(E55)&gt;0,0,N(D55)*ValorHora/C55))</f>
        <v/>
      </c>
      <c r="I55" s="36" t="str">
        <f aca="false">IF(G55="","",G55+H55)</f>
        <v/>
      </c>
      <c r="J55" s="27" t="str">
        <f aca="false">IF(I55="","",I55/(1-Taxas))</f>
        <v/>
      </c>
      <c r="K55" s="36" t="str">
        <f aca="false">IF(I55="","",IF(Taxas+LucroDesejado&gt;=1,"",IF(I55/(1-Taxas-LucroDesejado)&lt;3,CEILING(I55/(1-Taxas-LucroDesejado),0.1),CEILING(I55/(1-Taxas-LucroDesejado),0.5))))</f>
        <v/>
      </c>
      <c r="L55" s="43"/>
      <c r="M55" s="27" t="str">
        <f aca="false">IF(OR(I55="",N(L55)=0),"",L55-I55-L55*Taxas)</f>
        <v/>
      </c>
      <c r="N55" s="35" t="str">
        <f aca="false">IF(M55="","",M55/L55)</f>
        <v/>
      </c>
      <c r="O55" s="39" t="str">
        <f aca="false">IF(B55="","",IF(AND(N(E55)=0,N(F55)=0),"Falta a receita ou o custo",IF(G55="","Falta o rendimento",IF(N(L55)=0,"Falta o seu preço",IF(L55&lt;G55/(1-Taxas),"Prejuízo",IF(L55&lt;J55-0.005,"Não paga o seu tempo",IF(L55&lt;K55-0.005,"Abaixo do sugerido","Preço bom")))))))</f>
        <v/>
      </c>
      <c r="P55" s="0" t="str">
        <f aca="false">IF(OR(G55="",N(L55)=0),"",(L55-G55)/L55-Taxas)</f>
        <v/>
      </c>
    </row>
    <row r="56" customFormat="false" ht="21" hidden="false" customHeight="true" outlineLevel="0" collapsed="false">
      <c r="B56" s="9"/>
      <c r="C56" s="42"/>
      <c r="D56" s="42"/>
      <c r="E56" s="43"/>
      <c r="F56" s="27" t="str">
        <f aca="false">IF(B56="","",SUMIFS(Receitas!$F$5:$F$504,Receitas!$B$5:$B$504,B56))</f>
        <v/>
      </c>
      <c r="G56" s="27" t="str">
        <f aca="false">IF(B56="","",IF(N(E56)&gt;0,E56*(1+Perdas),IF(AND(N(C56)&gt;0,N(F56)&gt;0),F56*(1+Perdas)/C56,"")))</f>
        <v/>
      </c>
      <c r="H56" s="27" t="str">
        <f aca="false">IF(G56="","",IF(N(E56)&gt;0,0,N(D56)*ValorHora/C56))</f>
        <v/>
      </c>
      <c r="I56" s="36" t="str">
        <f aca="false">IF(G56="","",G56+H56)</f>
        <v/>
      </c>
      <c r="J56" s="27" t="str">
        <f aca="false">IF(I56="","",I56/(1-Taxas))</f>
        <v/>
      </c>
      <c r="K56" s="36" t="str">
        <f aca="false">IF(I56="","",IF(Taxas+LucroDesejado&gt;=1,"",IF(I56/(1-Taxas-LucroDesejado)&lt;3,CEILING(I56/(1-Taxas-LucroDesejado),0.1),CEILING(I56/(1-Taxas-LucroDesejado),0.5))))</f>
        <v/>
      </c>
      <c r="L56" s="43"/>
      <c r="M56" s="27" t="str">
        <f aca="false">IF(OR(I56="",N(L56)=0),"",L56-I56-L56*Taxas)</f>
        <v/>
      </c>
      <c r="N56" s="35" t="str">
        <f aca="false">IF(M56="","",M56/L56)</f>
        <v/>
      </c>
      <c r="O56" s="39" t="str">
        <f aca="false">IF(B56="","",IF(AND(N(E56)=0,N(F56)=0),"Falta a receita ou o custo",IF(G56="","Falta o rendimento",IF(N(L56)=0,"Falta o seu preço",IF(L56&lt;G56/(1-Taxas),"Prejuízo",IF(L56&lt;J56-0.005,"Não paga o seu tempo",IF(L56&lt;K56-0.005,"Abaixo do sugerido","Preço bom")))))))</f>
        <v/>
      </c>
      <c r="P56" s="0" t="str">
        <f aca="false">IF(OR(G56="",N(L56)=0),"",(L56-G56)/L56-Taxas)</f>
        <v/>
      </c>
    </row>
    <row r="57" customFormat="false" ht="21" hidden="false" customHeight="true" outlineLevel="0" collapsed="false">
      <c r="B57" s="9"/>
      <c r="C57" s="42"/>
      <c r="D57" s="42"/>
      <c r="E57" s="43"/>
      <c r="F57" s="27" t="str">
        <f aca="false">IF(B57="","",SUMIFS(Receitas!$F$5:$F$504,Receitas!$B$5:$B$504,B57))</f>
        <v/>
      </c>
      <c r="G57" s="27" t="str">
        <f aca="false">IF(B57="","",IF(N(E57)&gt;0,E57*(1+Perdas),IF(AND(N(C57)&gt;0,N(F57)&gt;0),F57*(1+Perdas)/C57,"")))</f>
        <v/>
      </c>
      <c r="H57" s="27" t="str">
        <f aca="false">IF(G57="","",IF(N(E57)&gt;0,0,N(D57)*ValorHora/C57))</f>
        <v/>
      </c>
      <c r="I57" s="36" t="str">
        <f aca="false">IF(G57="","",G57+H57)</f>
        <v/>
      </c>
      <c r="J57" s="27" t="str">
        <f aca="false">IF(I57="","",I57/(1-Taxas))</f>
        <v/>
      </c>
      <c r="K57" s="36" t="str">
        <f aca="false">IF(I57="","",IF(Taxas+LucroDesejado&gt;=1,"",IF(I57/(1-Taxas-LucroDesejado)&lt;3,CEILING(I57/(1-Taxas-LucroDesejado),0.1),CEILING(I57/(1-Taxas-LucroDesejado),0.5))))</f>
        <v/>
      </c>
      <c r="L57" s="43"/>
      <c r="M57" s="27" t="str">
        <f aca="false">IF(OR(I57="",N(L57)=0),"",L57-I57-L57*Taxas)</f>
        <v/>
      </c>
      <c r="N57" s="35" t="str">
        <f aca="false">IF(M57="","",M57/L57)</f>
        <v/>
      </c>
      <c r="O57" s="39" t="str">
        <f aca="false">IF(B57="","",IF(AND(N(E57)=0,N(F57)=0),"Falta a receita ou o custo",IF(G57="","Falta o rendimento",IF(N(L57)=0,"Falta o seu preço",IF(L57&lt;G57/(1-Taxas),"Prejuízo",IF(L57&lt;J57-0.005,"Não paga o seu tempo",IF(L57&lt;K57-0.005,"Abaixo do sugerido","Preço bom")))))))</f>
        <v/>
      </c>
      <c r="P57" s="0" t="str">
        <f aca="false">IF(OR(G57="",N(L57)=0),"",(L57-G57)/L57-Taxas)</f>
        <v/>
      </c>
    </row>
    <row r="58" customFormat="false" ht="21" hidden="false" customHeight="true" outlineLevel="0" collapsed="false">
      <c r="B58" s="9"/>
      <c r="C58" s="42"/>
      <c r="D58" s="42"/>
      <c r="E58" s="43"/>
      <c r="F58" s="27" t="str">
        <f aca="false">IF(B58="","",SUMIFS(Receitas!$F$5:$F$504,Receitas!$B$5:$B$504,B58))</f>
        <v/>
      </c>
      <c r="G58" s="27" t="str">
        <f aca="false">IF(B58="","",IF(N(E58)&gt;0,E58*(1+Perdas),IF(AND(N(C58)&gt;0,N(F58)&gt;0),F58*(1+Perdas)/C58,"")))</f>
        <v/>
      </c>
      <c r="H58" s="27" t="str">
        <f aca="false">IF(G58="","",IF(N(E58)&gt;0,0,N(D58)*ValorHora/C58))</f>
        <v/>
      </c>
      <c r="I58" s="36" t="str">
        <f aca="false">IF(G58="","",G58+H58)</f>
        <v/>
      </c>
      <c r="J58" s="27" t="str">
        <f aca="false">IF(I58="","",I58/(1-Taxas))</f>
        <v/>
      </c>
      <c r="K58" s="36" t="str">
        <f aca="false">IF(I58="","",IF(Taxas+LucroDesejado&gt;=1,"",IF(I58/(1-Taxas-LucroDesejado)&lt;3,CEILING(I58/(1-Taxas-LucroDesejado),0.1),CEILING(I58/(1-Taxas-LucroDesejado),0.5))))</f>
        <v/>
      </c>
      <c r="L58" s="43"/>
      <c r="M58" s="27" t="str">
        <f aca="false">IF(OR(I58="",N(L58)=0),"",L58-I58-L58*Taxas)</f>
        <v/>
      </c>
      <c r="N58" s="35" t="str">
        <f aca="false">IF(M58="","",M58/L58)</f>
        <v/>
      </c>
      <c r="O58" s="39" t="str">
        <f aca="false">IF(B58="","",IF(AND(N(E58)=0,N(F58)=0),"Falta a receita ou o custo",IF(G58="","Falta o rendimento",IF(N(L58)=0,"Falta o seu preço",IF(L58&lt;G58/(1-Taxas),"Prejuízo",IF(L58&lt;J58-0.005,"Não paga o seu tempo",IF(L58&lt;K58-0.005,"Abaixo do sugerido","Preço bom")))))))</f>
        <v/>
      </c>
      <c r="P58" s="0" t="str">
        <f aca="false">IF(OR(G58="",N(L58)=0),"",(L58-G58)/L58-Taxas)</f>
        <v/>
      </c>
    </row>
    <row r="59" customFormat="false" ht="21" hidden="false" customHeight="true" outlineLevel="0" collapsed="false">
      <c r="B59" s="9"/>
      <c r="C59" s="42"/>
      <c r="D59" s="42"/>
      <c r="E59" s="43"/>
      <c r="F59" s="27" t="str">
        <f aca="false">IF(B59="","",SUMIFS(Receitas!$F$5:$F$504,Receitas!$B$5:$B$504,B59))</f>
        <v/>
      </c>
      <c r="G59" s="27" t="str">
        <f aca="false">IF(B59="","",IF(N(E59)&gt;0,E59*(1+Perdas),IF(AND(N(C59)&gt;0,N(F59)&gt;0),F59*(1+Perdas)/C59,"")))</f>
        <v/>
      </c>
      <c r="H59" s="27" t="str">
        <f aca="false">IF(G59="","",IF(N(E59)&gt;0,0,N(D59)*ValorHora/C59))</f>
        <v/>
      </c>
      <c r="I59" s="36" t="str">
        <f aca="false">IF(G59="","",G59+H59)</f>
        <v/>
      </c>
      <c r="J59" s="27" t="str">
        <f aca="false">IF(I59="","",I59/(1-Taxas))</f>
        <v/>
      </c>
      <c r="K59" s="36" t="str">
        <f aca="false">IF(I59="","",IF(Taxas+LucroDesejado&gt;=1,"",IF(I59/(1-Taxas-LucroDesejado)&lt;3,CEILING(I59/(1-Taxas-LucroDesejado),0.1),CEILING(I59/(1-Taxas-LucroDesejado),0.5))))</f>
        <v/>
      </c>
      <c r="L59" s="43"/>
      <c r="M59" s="27" t="str">
        <f aca="false">IF(OR(I59="",N(L59)=0),"",L59-I59-L59*Taxas)</f>
        <v/>
      </c>
      <c r="N59" s="35" t="str">
        <f aca="false">IF(M59="","",M59/L59)</f>
        <v/>
      </c>
      <c r="O59" s="39" t="str">
        <f aca="false">IF(B59="","",IF(AND(N(E59)=0,N(F59)=0),"Falta a receita ou o custo",IF(G59="","Falta o rendimento",IF(N(L59)=0,"Falta o seu preço",IF(L59&lt;G59/(1-Taxas),"Prejuízo",IF(L59&lt;J59-0.005,"Não paga o seu tempo",IF(L59&lt;K59-0.005,"Abaixo do sugerido","Preço bom")))))))</f>
        <v/>
      </c>
      <c r="P59" s="0" t="str">
        <f aca="false">IF(OR(G59="",N(L59)=0),"",(L59-G59)/L59-Taxas)</f>
        <v/>
      </c>
    </row>
    <row r="60" customFormat="false" ht="21" hidden="false" customHeight="true" outlineLevel="0" collapsed="false">
      <c r="B60" s="9"/>
      <c r="C60" s="42"/>
      <c r="D60" s="42"/>
      <c r="E60" s="43"/>
      <c r="F60" s="27" t="str">
        <f aca="false">IF(B60="","",SUMIFS(Receitas!$F$5:$F$504,Receitas!$B$5:$B$504,B60))</f>
        <v/>
      </c>
      <c r="G60" s="27" t="str">
        <f aca="false">IF(B60="","",IF(N(E60)&gt;0,E60*(1+Perdas),IF(AND(N(C60)&gt;0,N(F60)&gt;0),F60*(1+Perdas)/C60,"")))</f>
        <v/>
      </c>
      <c r="H60" s="27" t="str">
        <f aca="false">IF(G60="","",IF(N(E60)&gt;0,0,N(D60)*ValorHora/C60))</f>
        <v/>
      </c>
      <c r="I60" s="36" t="str">
        <f aca="false">IF(G60="","",G60+H60)</f>
        <v/>
      </c>
      <c r="J60" s="27" t="str">
        <f aca="false">IF(I60="","",I60/(1-Taxas))</f>
        <v/>
      </c>
      <c r="K60" s="36" t="str">
        <f aca="false">IF(I60="","",IF(Taxas+LucroDesejado&gt;=1,"",IF(I60/(1-Taxas-LucroDesejado)&lt;3,CEILING(I60/(1-Taxas-LucroDesejado),0.1),CEILING(I60/(1-Taxas-LucroDesejado),0.5))))</f>
        <v/>
      </c>
      <c r="L60" s="43"/>
      <c r="M60" s="27" t="str">
        <f aca="false">IF(OR(I60="",N(L60)=0),"",L60-I60-L60*Taxas)</f>
        <v/>
      </c>
      <c r="N60" s="35" t="str">
        <f aca="false">IF(M60="","",M60/L60)</f>
        <v/>
      </c>
      <c r="O60" s="39" t="str">
        <f aca="false">IF(B60="","",IF(AND(N(E60)=0,N(F60)=0),"Falta a receita ou o custo",IF(G60="","Falta o rendimento",IF(N(L60)=0,"Falta o seu preço",IF(L60&lt;G60/(1-Taxas),"Prejuízo",IF(L60&lt;J60-0.005,"Não paga o seu tempo",IF(L60&lt;K60-0.005,"Abaixo do sugerido","Preço bom")))))))</f>
        <v/>
      </c>
      <c r="P60" s="0" t="str">
        <f aca="false">IF(OR(G60="",N(L60)=0),"",(L60-G60)/L60-Taxas)</f>
        <v/>
      </c>
    </row>
    <row r="61" customFormat="false" ht="21" hidden="false" customHeight="true" outlineLevel="0" collapsed="false">
      <c r="B61" s="9"/>
      <c r="C61" s="42"/>
      <c r="D61" s="42"/>
      <c r="E61" s="43"/>
      <c r="F61" s="27" t="str">
        <f aca="false">IF(B61="","",SUMIFS(Receitas!$F$5:$F$504,Receitas!$B$5:$B$504,B61))</f>
        <v/>
      </c>
      <c r="G61" s="27" t="str">
        <f aca="false">IF(B61="","",IF(N(E61)&gt;0,E61*(1+Perdas),IF(AND(N(C61)&gt;0,N(F61)&gt;0),F61*(1+Perdas)/C61,"")))</f>
        <v/>
      </c>
      <c r="H61" s="27" t="str">
        <f aca="false">IF(G61="","",IF(N(E61)&gt;0,0,N(D61)*ValorHora/C61))</f>
        <v/>
      </c>
      <c r="I61" s="36" t="str">
        <f aca="false">IF(G61="","",G61+H61)</f>
        <v/>
      </c>
      <c r="J61" s="27" t="str">
        <f aca="false">IF(I61="","",I61/(1-Taxas))</f>
        <v/>
      </c>
      <c r="K61" s="36" t="str">
        <f aca="false">IF(I61="","",IF(Taxas+LucroDesejado&gt;=1,"",IF(I61/(1-Taxas-LucroDesejado)&lt;3,CEILING(I61/(1-Taxas-LucroDesejado),0.1),CEILING(I61/(1-Taxas-LucroDesejado),0.5))))</f>
        <v/>
      </c>
      <c r="L61" s="43"/>
      <c r="M61" s="27" t="str">
        <f aca="false">IF(OR(I61="",N(L61)=0),"",L61-I61-L61*Taxas)</f>
        <v/>
      </c>
      <c r="N61" s="35" t="str">
        <f aca="false">IF(M61="","",M61/L61)</f>
        <v/>
      </c>
      <c r="O61" s="39" t="str">
        <f aca="false">IF(B61="","",IF(AND(N(E61)=0,N(F61)=0),"Falta a receita ou o custo",IF(G61="","Falta o rendimento",IF(N(L61)=0,"Falta o seu preço",IF(L61&lt;G61/(1-Taxas),"Prejuízo",IF(L61&lt;J61-0.005,"Não paga o seu tempo",IF(L61&lt;K61-0.005,"Abaixo do sugerido","Preço bom")))))))</f>
        <v/>
      </c>
      <c r="P61" s="0" t="str">
        <f aca="false">IF(OR(G61="",N(L61)=0),"",(L61-G61)/L61-Taxas)</f>
        <v/>
      </c>
    </row>
    <row r="62" customFormat="false" ht="21" hidden="false" customHeight="true" outlineLevel="0" collapsed="false">
      <c r="B62" s="9"/>
      <c r="C62" s="42"/>
      <c r="D62" s="42"/>
      <c r="E62" s="43"/>
      <c r="F62" s="27" t="str">
        <f aca="false">IF(B62="","",SUMIFS(Receitas!$F$5:$F$504,Receitas!$B$5:$B$504,B62))</f>
        <v/>
      </c>
      <c r="G62" s="27" t="str">
        <f aca="false">IF(B62="","",IF(N(E62)&gt;0,E62*(1+Perdas),IF(AND(N(C62)&gt;0,N(F62)&gt;0),F62*(1+Perdas)/C62,"")))</f>
        <v/>
      </c>
      <c r="H62" s="27" t="str">
        <f aca="false">IF(G62="","",IF(N(E62)&gt;0,0,N(D62)*ValorHora/C62))</f>
        <v/>
      </c>
      <c r="I62" s="36" t="str">
        <f aca="false">IF(G62="","",G62+H62)</f>
        <v/>
      </c>
      <c r="J62" s="27" t="str">
        <f aca="false">IF(I62="","",I62/(1-Taxas))</f>
        <v/>
      </c>
      <c r="K62" s="36" t="str">
        <f aca="false">IF(I62="","",IF(Taxas+LucroDesejado&gt;=1,"",IF(I62/(1-Taxas-LucroDesejado)&lt;3,CEILING(I62/(1-Taxas-LucroDesejado),0.1),CEILING(I62/(1-Taxas-LucroDesejado),0.5))))</f>
        <v/>
      </c>
      <c r="L62" s="43"/>
      <c r="M62" s="27" t="str">
        <f aca="false">IF(OR(I62="",N(L62)=0),"",L62-I62-L62*Taxas)</f>
        <v/>
      </c>
      <c r="N62" s="35" t="str">
        <f aca="false">IF(M62="","",M62/L62)</f>
        <v/>
      </c>
      <c r="O62" s="39" t="str">
        <f aca="false">IF(B62="","",IF(AND(N(E62)=0,N(F62)=0),"Falta a receita ou o custo",IF(G62="","Falta o rendimento",IF(N(L62)=0,"Falta o seu preço",IF(L62&lt;G62/(1-Taxas),"Prejuízo",IF(L62&lt;J62-0.005,"Não paga o seu tempo",IF(L62&lt;K62-0.005,"Abaixo do sugerido","Preço bom")))))))</f>
        <v/>
      </c>
      <c r="P62" s="0" t="str">
        <f aca="false">IF(OR(G62="",N(L62)=0),"",(L62-G62)/L62-Taxas)</f>
        <v/>
      </c>
    </row>
    <row r="63" customFormat="false" ht="21" hidden="false" customHeight="true" outlineLevel="0" collapsed="false">
      <c r="B63" s="9"/>
      <c r="C63" s="42"/>
      <c r="D63" s="42"/>
      <c r="E63" s="43"/>
      <c r="F63" s="27" t="str">
        <f aca="false">IF(B63="","",SUMIFS(Receitas!$F$5:$F$504,Receitas!$B$5:$B$504,B63))</f>
        <v/>
      </c>
      <c r="G63" s="27" t="str">
        <f aca="false">IF(B63="","",IF(N(E63)&gt;0,E63*(1+Perdas),IF(AND(N(C63)&gt;0,N(F63)&gt;0),F63*(1+Perdas)/C63,"")))</f>
        <v/>
      </c>
      <c r="H63" s="27" t="str">
        <f aca="false">IF(G63="","",IF(N(E63)&gt;0,0,N(D63)*ValorHora/C63))</f>
        <v/>
      </c>
      <c r="I63" s="36" t="str">
        <f aca="false">IF(G63="","",G63+H63)</f>
        <v/>
      </c>
      <c r="J63" s="27" t="str">
        <f aca="false">IF(I63="","",I63/(1-Taxas))</f>
        <v/>
      </c>
      <c r="K63" s="36" t="str">
        <f aca="false">IF(I63="","",IF(Taxas+LucroDesejado&gt;=1,"",IF(I63/(1-Taxas-LucroDesejado)&lt;3,CEILING(I63/(1-Taxas-LucroDesejado),0.1),CEILING(I63/(1-Taxas-LucroDesejado),0.5))))</f>
        <v/>
      </c>
      <c r="L63" s="43"/>
      <c r="M63" s="27" t="str">
        <f aca="false">IF(OR(I63="",N(L63)=0),"",L63-I63-L63*Taxas)</f>
        <v/>
      </c>
      <c r="N63" s="35" t="str">
        <f aca="false">IF(M63="","",M63/L63)</f>
        <v/>
      </c>
      <c r="O63" s="39" t="str">
        <f aca="false">IF(B63="","",IF(AND(N(E63)=0,N(F63)=0),"Falta a receita ou o custo",IF(G63="","Falta o rendimento",IF(N(L63)=0,"Falta o seu preço",IF(L63&lt;G63/(1-Taxas),"Prejuízo",IF(L63&lt;J63-0.005,"Não paga o seu tempo",IF(L63&lt;K63-0.005,"Abaixo do sugerido","Preço bom")))))))</f>
        <v/>
      </c>
      <c r="P63" s="0" t="str">
        <f aca="false">IF(OR(G63="",N(L63)=0),"",(L63-G63)/L63-Taxas)</f>
        <v/>
      </c>
    </row>
    <row r="64" customFormat="false" ht="21" hidden="false" customHeight="true" outlineLevel="0" collapsed="false">
      <c r="B64" s="9"/>
      <c r="C64" s="42"/>
      <c r="D64" s="42"/>
      <c r="E64" s="43"/>
      <c r="F64" s="27" t="str">
        <f aca="false">IF(B64="","",SUMIFS(Receitas!$F$5:$F$504,Receitas!$B$5:$B$504,B64))</f>
        <v/>
      </c>
      <c r="G64" s="27" t="str">
        <f aca="false">IF(B64="","",IF(N(E64)&gt;0,E64*(1+Perdas),IF(AND(N(C64)&gt;0,N(F64)&gt;0),F64*(1+Perdas)/C64,"")))</f>
        <v/>
      </c>
      <c r="H64" s="27" t="str">
        <f aca="false">IF(G64="","",IF(N(E64)&gt;0,0,N(D64)*ValorHora/C64))</f>
        <v/>
      </c>
      <c r="I64" s="36" t="str">
        <f aca="false">IF(G64="","",G64+H64)</f>
        <v/>
      </c>
      <c r="J64" s="27" t="str">
        <f aca="false">IF(I64="","",I64/(1-Taxas))</f>
        <v/>
      </c>
      <c r="K64" s="36" t="str">
        <f aca="false">IF(I64="","",IF(Taxas+LucroDesejado&gt;=1,"",IF(I64/(1-Taxas-LucroDesejado)&lt;3,CEILING(I64/(1-Taxas-LucroDesejado),0.1),CEILING(I64/(1-Taxas-LucroDesejado),0.5))))</f>
        <v/>
      </c>
      <c r="L64" s="43"/>
      <c r="M64" s="27" t="str">
        <f aca="false">IF(OR(I64="",N(L64)=0),"",L64-I64-L64*Taxas)</f>
        <v/>
      </c>
      <c r="N64" s="35" t="str">
        <f aca="false">IF(M64="","",M64/L64)</f>
        <v/>
      </c>
      <c r="O64" s="39" t="str">
        <f aca="false">IF(B64="","",IF(AND(N(E64)=0,N(F64)=0),"Falta a receita ou o custo",IF(G64="","Falta o rendimento",IF(N(L64)=0,"Falta o seu preço",IF(L64&lt;G64/(1-Taxas),"Prejuízo",IF(L64&lt;J64-0.005,"Não paga o seu tempo",IF(L64&lt;K64-0.005,"Abaixo do sugerido","Preço bom")))))))</f>
        <v/>
      </c>
      <c r="P64" s="0" t="str">
        <f aca="false">IF(OR(G64="",N(L64)=0),"",(L64-G64)/L64-Taxas)</f>
        <v/>
      </c>
    </row>
    <row r="65" customFormat="false" ht="21" hidden="false" customHeight="true" outlineLevel="0" collapsed="false">
      <c r="B65" s="9"/>
      <c r="C65" s="42"/>
      <c r="D65" s="42"/>
      <c r="E65" s="43"/>
      <c r="F65" s="27" t="str">
        <f aca="false">IF(B65="","",SUMIFS(Receitas!$F$5:$F$504,Receitas!$B$5:$B$504,B65))</f>
        <v/>
      </c>
      <c r="G65" s="27" t="str">
        <f aca="false">IF(B65="","",IF(N(E65)&gt;0,E65*(1+Perdas),IF(AND(N(C65)&gt;0,N(F65)&gt;0),F65*(1+Perdas)/C65,"")))</f>
        <v/>
      </c>
      <c r="H65" s="27" t="str">
        <f aca="false">IF(G65="","",IF(N(E65)&gt;0,0,N(D65)*ValorHora/C65))</f>
        <v/>
      </c>
      <c r="I65" s="36" t="str">
        <f aca="false">IF(G65="","",G65+H65)</f>
        <v/>
      </c>
      <c r="J65" s="27" t="str">
        <f aca="false">IF(I65="","",I65/(1-Taxas))</f>
        <v/>
      </c>
      <c r="K65" s="36" t="str">
        <f aca="false">IF(I65="","",IF(Taxas+LucroDesejado&gt;=1,"",IF(I65/(1-Taxas-LucroDesejado)&lt;3,CEILING(I65/(1-Taxas-LucroDesejado),0.1),CEILING(I65/(1-Taxas-LucroDesejado),0.5))))</f>
        <v/>
      </c>
      <c r="L65" s="43"/>
      <c r="M65" s="27" t="str">
        <f aca="false">IF(OR(I65="",N(L65)=0),"",L65-I65-L65*Taxas)</f>
        <v/>
      </c>
      <c r="N65" s="35" t="str">
        <f aca="false">IF(M65="","",M65/L65)</f>
        <v/>
      </c>
      <c r="O65" s="39" t="str">
        <f aca="false">IF(B65="","",IF(AND(N(E65)=0,N(F65)=0),"Falta a receita ou o custo",IF(G65="","Falta o rendimento",IF(N(L65)=0,"Falta o seu preço",IF(L65&lt;G65/(1-Taxas),"Prejuízo",IF(L65&lt;J65-0.005,"Não paga o seu tempo",IF(L65&lt;K65-0.005,"Abaixo do sugerido","Preço bom")))))))</f>
        <v/>
      </c>
      <c r="P65" s="0" t="str">
        <f aca="false">IF(OR(G65="",N(L65)=0),"",(L65-G65)/L65-Taxas)</f>
        <v/>
      </c>
    </row>
    <row r="66" customFormat="false" ht="21" hidden="false" customHeight="true" outlineLevel="0" collapsed="false">
      <c r="B66" s="9"/>
      <c r="C66" s="42"/>
      <c r="D66" s="42"/>
      <c r="E66" s="43"/>
      <c r="F66" s="27" t="str">
        <f aca="false">IF(B66="","",SUMIFS(Receitas!$F$5:$F$504,Receitas!$B$5:$B$504,B66))</f>
        <v/>
      </c>
      <c r="G66" s="27" t="str">
        <f aca="false">IF(B66="","",IF(N(E66)&gt;0,E66*(1+Perdas),IF(AND(N(C66)&gt;0,N(F66)&gt;0),F66*(1+Perdas)/C66,"")))</f>
        <v/>
      </c>
      <c r="H66" s="27" t="str">
        <f aca="false">IF(G66="","",IF(N(E66)&gt;0,0,N(D66)*ValorHora/C66))</f>
        <v/>
      </c>
      <c r="I66" s="36" t="str">
        <f aca="false">IF(G66="","",G66+H66)</f>
        <v/>
      </c>
      <c r="J66" s="27" t="str">
        <f aca="false">IF(I66="","",I66/(1-Taxas))</f>
        <v/>
      </c>
      <c r="K66" s="36" t="str">
        <f aca="false">IF(I66="","",IF(Taxas+LucroDesejado&gt;=1,"",IF(I66/(1-Taxas-LucroDesejado)&lt;3,CEILING(I66/(1-Taxas-LucroDesejado),0.1),CEILING(I66/(1-Taxas-LucroDesejado),0.5))))</f>
        <v/>
      </c>
      <c r="L66" s="43"/>
      <c r="M66" s="27" t="str">
        <f aca="false">IF(OR(I66="",N(L66)=0),"",L66-I66-L66*Taxas)</f>
        <v/>
      </c>
      <c r="N66" s="35" t="str">
        <f aca="false">IF(M66="","",M66/L66)</f>
        <v/>
      </c>
      <c r="O66" s="39" t="str">
        <f aca="false">IF(B66="","",IF(AND(N(E66)=0,N(F66)=0),"Falta a receita ou o custo",IF(G66="","Falta o rendimento",IF(N(L66)=0,"Falta o seu preço",IF(L66&lt;G66/(1-Taxas),"Prejuízo",IF(L66&lt;J66-0.005,"Não paga o seu tempo",IF(L66&lt;K66-0.005,"Abaixo do sugerido","Preço bom")))))))</f>
        <v/>
      </c>
      <c r="P66" s="0" t="str">
        <f aca="false">IF(OR(G66="",N(L66)=0),"",(L66-G66)/L66-Taxas)</f>
        <v/>
      </c>
    </row>
    <row r="67" customFormat="false" ht="21" hidden="false" customHeight="true" outlineLevel="0" collapsed="false">
      <c r="B67" s="9"/>
      <c r="C67" s="42"/>
      <c r="D67" s="42"/>
      <c r="E67" s="43"/>
      <c r="F67" s="27" t="str">
        <f aca="false">IF(B67="","",SUMIFS(Receitas!$F$5:$F$504,Receitas!$B$5:$B$504,B67))</f>
        <v/>
      </c>
      <c r="G67" s="27" t="str">
        <f aca="false">IF(B67="","",IF(N(E67)&gt;0,E67*(1+Perdas),IF(AND(N(C67)&gt;0,N(F67)&gt;0),F67*(1+Perdas)/C67,"")))</f>
        <v/>
      </c>
      <c r="H67" s="27" t="str">
        <f aca="false">IF(G67="","",IF(N(E67)&gt;0,0,N(D67)*ValorHora/C67))</f>
        <v/>
      </c>
      <c r="I67" s="36" t="str">
        <f aca="false">IF(G67="","",G67+H67)</f>
        <v/>
      </c>
      <c r="J67" s="27" t="str">
        <f aca="false">IF(I67="","",I67/(1-Taxas))</f>
        <v/>
      </c>
      <c r="K67" s="36" t="str">
        <f aca="false">IF(I67="","",IF(Taxas+LucroDesejado&gt;=1,"",IF(I67/(1-Taxas-LucroDesejado)&lt;3,CEILING(I67/(1-Taxas-LucroDesejado),0.1),CEILING(I67/(1-Taxas-LucroDesejado),0.5))))</f>
        <v/>
      </c>
      <c r="L67" s="43"/>
      <c r="M67" s="27" t="str">
        <f aca="false">IF(OR(I67="",N(L67)=0),"",L67-I67-L67*Taxas)</f>
        <v/>
      </c>
      <c r="N67" s="35" t="str">
        <f aca="false">IF(M67="","",M67/L67)</f>
        <v/>
      </c>
      <c r="O67" s="39" t="str">
        <f aca="false">IF(B67="","",IF(AND(N(E67)=0,N(F67)=0),"Falta a receita ou o custo",IF(G67="","Falta o rendimento",IF(N(L67)=0,"Falta o seu preço",IF(L67&lt;G67/(1-Taxas),"Prejuízo",IF(L67&lt;J67-0.005,"Não paga o seu tempo",IF(L67&lt;K67-0.005,"Abaixo do sugerido","Preço bom")))))))</f>
        <v/>
      </c>
      <c r="P67" s="0" t="str">
        <f aca="false">IF(OR(G67="",N(L67)=0),"",(L67-G67)/L67-Taxas)</f>
        <v/>
      </c>
    </row>
    <row r="68" customFormat="false" ht="21" hidden="false" customHeight="true" outlineLevel="0" collapsed="false">
      <c r="B68" s="9"/>
      <c r="C68" s="42"/>
      <c r="D68" s="42"/>
      <c r="E68" s="43"/>
      <c r="F68" s="27" t="str">
        <f aca="false">IF(B68="","",SUMIFS(Receitas!$F$5:$F$504,Receitas!$B$5:$B$504,B68))</f>
        <v/>
      </c>
      <c r="G68" s="27" t="str">
        <f aca="false">IF(B68="","",IF(N(E68)&gt;0,E68*(1+Perdas),IF(AND(N(C68)&gt;0,N(F68)&gt;0),F68*(1+Perdas)/C68,"")))</f>
        <v/>
      </c>
      <c r="H68" s="27" t="str">
        <f aca="false">IF(G68="","",IF(N(E68)&gt;0,0,N(D68)*ValorHora/C68))</f>
        <v/>
      </c>
      <c r="I68" s="36" t="str">
        <f aca="false">IF(G68="","",G68+H68)</f>
        <v/>
      </c>
      <c r="J68" s="27" t="str">
        <f aca="false">IF(I68="","",I68/(1-Taxas))</f>
        <v/>
      </c>
      <c r="K68" s="36" t="str">
        <f aca="false">IF(I68="","",IF(Taxas+LucroDesejado&gt;=1,"",IF(I68/(1-Taxas-LucroDesejado)&lt;3,CEILING(I68/(1-Taxas-LucroDesejado),0.1),CEILING(I68/(1-Taxas-LucroDesejado),0.5))))</f>
        <v/>
      </c>
      <c r="L68" s="43"/>
      <c r="M68" s="27" t="str">
        <f aca="false">IF(OR(I68="",N(L68)=0),"",L68-I68-L68*Taxas)</f>
        <v/>
      </c>
      <c r="N68" s="35" t="str">
        <f aca="false">IF(M68="","",M68/L68)</f>
        <v/>
      </c>
      <c r="O68" s="39" t="str">
        <f aca="false">IF(B68="","",IF(AND(N(E68)=0,N(F68)=0),"Falta a receita ou o custo",IF(G68="","Falta o rendimento",IF(N(L68)=0,"Falta o seu preço",IF(L68&lt;G68/(1-Taxas),"Prejuízo",IF(L68&lt;J68-0.005,"Não paga o seu tempo",IF(L68&lt;K68-0.005,"Abaixo do sugerido","Preço bom")))))))</f>
        <v/>
      </c>
      <c r="P68" s="0" t="str">
        <f aca="false">IF(OR(G68="",N(L68)=0),"",(L68-G68)/L68-Taxas)</f>
        <v/>
      </c>
    </row>
    <row r="69" customFormat="false" ht="21" hidden="false" customHeight="true" outlineLevel="0" collapsed="false">
      <c r="B69" s="9"/>
      <c r="C69" s="42"/>
      <c r="D69" s="42"/>
      <c r="E69" s="43"/>
      <c r="F69" s="27" t="str">
        <f aca="false">IF(B69="","",SUMIFS(Receitas!$F$5:$F$504,Receitas!$B$5:$B$504,B69))</f>
        <v/>
      </c>
      <c r="G69" s="27" t="str">
        <f aca="false">IF(B69="","",IF(N(E69)&gt;0,E69*(1+Perdas),IF(AND(N(C69)&gt;0,N(F69)&gt;0),F69*(1+Perdas)/C69,"")))</f>
        <v/>
      </c>
      <c r="H69" s="27" t="str">
        <f aca="false">IF(G69="","",IF(N(E69)&gt;0,0,N(D69)*ValorHora/C69))</f>
        <v/>
      </c>
      <c r="I69" s="36" t="str">
        <f aca="false">IF(G69="","",G69+H69)</f>
        <v/>
      </c>
      <c r="J69" s="27" t="str">
        <f aca="false">IF(I69="","",I69/(1-Taxas))</f>
        <v/>
      </c>
      <c r="K69" s="36" t="str">
        <f aca="false">IF(I69="","",IF(Taxas+LucroDesejado&gt;=1,"",IF(I69/(1-Taxas-LucroDesejado)&lt;3,CEILING(I69/(1-Taxas-LucroDesejado),0.1),CEILING(I69/(1-Taxas-LucroDesejado),0.5))))</f>
        <v/>
      </c>
      <c r="L69" s="43"/>
      <c r="M69" s="27" t="str">
        <f aca="false">IF(OR(I69="",N(L69)=0),"",L69-I69-L69*Taxas)</f>
        <v/>
      </c>
      <c r="N69" s="35" t="str">
        <f aca="false">IF(M69="","",M69/L69)</f>
        <v/>
      </c>
      <c r="O69" s="39" t="str">
        <f aca="false">IF(B69="","",IF(AND(N(E69)=0,N(F69)=0),"Falta a receita ou o custo",IF(G69="","Falta o rendimento",IF(N(L69)=0,"Falta o seu preço",IF(L69&lt;G69/(1-Taxas),"Prejuízo",IF(L69&lt;J69-0.005,"Não paga o seu tempo",IF(L69&lt;K69-0.005,"Abaixo do sugerido","Preço bom")))))))</f>
        <v/>
      </c>
      <c r="P69" s="0" t="str">
        <f aca="false">IF(OR(G69="",N(L69)=0),"",(L69-G69)/L69-Taxas)</f>
        <v/>
      </c>
    </row>
    <row r="70" customFormat="false" ht="21" hidden="false" customHeight="true" outlineLevel="0" collapsed="false">
      <c r="B70" s="9"/>
      <c r="C70" s="42"/>
      <c r="D70" s="42"/>
      <c r="E70" s="43"/>
      <c r="F70" s="27" t="str">
        <f aca="false">IF(B70="","",SUMIFS(Receitas!$F$5:$F$504,Receitas!$B$5:$B$504,B70))</f>
        <v/>
      </c>
      <c r="G70" s="27" t="str">
        <f aca="false">IF(B70="","",IF(N(E70)&gt;0,E70*(1+Perdas),IF(AND(N(C70)&gt;0,N(F70)&gt;0),F70*(1+Perdas)/C70,"")))</f>
        <v/>
      </c>
      <c r="H70" s="27" t="str">
        <f aca="false">IF(G70="","",IF(N(E70)&gt;0,0,N(D70)*ValorHora/C70))</f>
        <v/>
      </c>
      <c r="I70" s="36" t="str">
        <f aca="false">IF(G70="","",G70+H70)</f>
        <v/>
      </c>
      <c r="J70" s="27" t="str">
        <f aca="false">IF(I70="","",I70/(1-Taxas))</f>
        <v/>
      </c>
      <c r="K70" s="36" t="str">
        <f aca="false">IF(I70="","",IF(Taxas+LucroDesejado&gt;=1,"",IF(I70/(1-Taxas-LucroDesejado)&lt;3,CEILING(I70/(1-Taxas-LucroDesejado),0.1),CEILING(I70/(1-Taxas-LucroDesejado),0.5))))</f>
        <v/>
      </c>
      <c r="L70" s="43"/>
      <c r="M70" s="27" t="str">
        <f aca="false">IF(OR(I70="",N(L70)=0),"",L70-I70-L70*Taxas)</f>
        <v/>
      </c>
      <c r="N70" s="35" t="str">
        <f aca="false">IF(M70="","",M70/L70)</f>
        <v/>
      </c>
      <c r="O70" s="39" t="str">
        <f aca="false">IF(B70="","",IF(AND(N(E70)=0,N(F70)=0),"Falta a receita ou o custo",IF(G70="","Falta o rendimento",IF(N(L70)=0,"Falta o seu preço",IF(L70&lt;G70/(1-Taxas),"Prejuízo",IF(L70&lt;J70-0.005,"Não paga o seu tempo",IF(L70&lt;K70-0.005,"Abaixo do sugerido","Preço bom")))))))</f>
        <v/>
      </c>
      <c r="P70" s="0" t="str">
        <f aca="false">IF(OR(G70="",N(L70)=0),"",(L70-G70)/L70-Taxas)</f>
        <v/>
      </c>
    </row>
    <row r="71" customFormat="false" ht="21" hidden="false" customHeight="true" outlineLevel="0" collapsed="false">
      <c r="B71" s="9"/>
      <c r="C71" s="42"/>
      <c r="D71" s="42"/>
      <c r="E71" s="43"/>
      <c r="F71" s="27" t="str">
        <f aca="false">IF(B71="","",SUMIFS(Receitas!$F$5:$F$504,Receitas!$B$5:$B$504,B71))</f>
        <v/>
      </c>
      <c r="G71" s="27" t="str">
        <f aca="false">IF(B71="","",IF(N(E71)&gt;0,E71*(1+Perdas),IF(AND(N(C71)&gt;0,N(F71)&gt;0),F71*(1+Perdas)/C71,"")))</f>
        <v/>
      </c>
      <c r="H71" s="27" t="str">
        <f aca="false">IF(G71="","",IF(N(E71)&gt;0,0,N(D71)*ValorHora/C71))</f>
        <v/>
      </c>
      <c r="I71" s="36" t="str">
        <f aca="false">IF(G71="","",G71+H71)</f>
        <v/>
      </c>
      <c r="J71" s="27" t="str">
        <f aca="false">IF(I71="","",I71/(1-Taxas))</f>
        <v/>
      </c>
      <c r="K71" s="36" t="str">
        <f aca="false">IF(I71="","",IF(Taxas+LucroDesejado&gt;=1,"",IF(I71/(1-Taxas-LucroDesejado)&lt;3,CEILING(I71/(1-Taxas-LucroDesejado),0.1),CEILING(I71/(1-Taxas-LucroDesejado),0.5))))</f>
        <v/>
      </c>
      <c r="L71" s="43"/>
      <c r="M71" s="27" t="str">
        <f aca="false">IF(OR(I71="",N(L71)=0),"",L71-I71-L71*Taxas)</f>
        <v/>
      </c>
      <c r="N71" s="35" t="str">
        <f aca="false">IF(M71="","",M71/L71)</f>
        <v/>
      </c>
      <c r="O71" s="39" t="str">
        <f aca="false">IF(B71="","",IF(AND(N(E71)=0,N(F71)=0),"Falta a receita ou o custo",IF(G71="","Falta o rendimento",IF(N(L71)=0,"Falta o seu preço",IF(L71&lt;G71/(1-Taxas),"Prejuízo",IF(L71&lt;J71-0.005,"Não paga o seu tempo",IF(L71&lt;K71-0.005,"Abaixo do sugerido","Preço bom")))))))</f>
        <v/>
      </c>
      <c r="P71" s="0" t="str">
        <f aca="false">IF(OR(G71="",N(L71)=0),"",(L71-G71)/L71-Taxas)</f>
        <v/>
      </c>
    </row>
    <row r="72" customFormat="false" ht="21" hidden="false" customHeight="true" outlineLevel="0" collapsed="false">
      <c r="B72" s="9"/>
      <c r="C72" s="42"/>
      <c r="D72" s="42"/>
      <c r="E72" s="43"/>
      <c r="F72" s="27" t="str">
        <f aca="false">IF(B72="","",SUMIFS(Receitas!$F$5:$F$504,Receitas!$B$5:$B$504,B72))</f>
        <v/>
      </c>
      <c r="G72" s="27" t="str">
        <f aca="false">IF(B72="","",IF(N(E72)&gt;0,E72*(1+Perdas),IF(AND(N(C72)&gt;0,N(F72)&gt;0),F72*(1+Perdas)/C72,"")))</f>
        <v/>
      </c>
      <c r="H72" s="27" t="str">
        <f aca="false">IF(G72="","",IF(N(E72)&gt;0,0,N(D72)*ValorHora/C72))</f>
        <v/>
      </c>
      <c r="I72" s="36" t="str">
        <f aca="false">IF(G72="","",G72+H72)</f>
        <v/>
      </c>
      <c r="J72" s="27" t="str">
        <f aca="false">IF(I72="","",I72/(1-Taxas))</f>
        <v/>
      </c>
      <c r="K72" s="36" t="str">
        <f aca="false">IF(I72="","",IF(Taxas+LucroDesejado&gt;=1,"",IF(I72/(1-Taxas-LucroDesejado)&lt;3,CEILING(I72/(1-Taxas-LucroDesejado),0.1),CEILING(I72/(1-Taxas-LucroDesejado),0.5))))</f>
        <v/>
      </c>
      <c r="L72" s="43"/>
      <c r="M72" s="27" t="str">
        <f aca="false">IF(OR(I72="",N(L72)=0),"",L72-I72-L72*Taxas)</f>
        <v/>
      </c>
      <c r="N72" s="35" t="str">
        <f aca="false">IF(M72="","",M72/L72)</f>
        <v/>
      </c>
      <c r="O72" s="39" t="str">
        <f aca="false">IF(B72="","",IF(AND(N(E72)=0,N(F72)=0),"Falta a receita ou o custo",IF(G72="","Falta o rendimento",IF(N(L72)=0,"Falta o seu preço",IF(L72&lt;G72/(1-Taxas),"Prejuízo",IF(L72&lt;J72-0.005,"Não paga o seu tempo",IF(L72&lt;K72-0.005,"Abaixo do sugerido","Preço bom")))))))</f>
        <v/>
      </c>
      <c r="P72" s="0" t="str">
        <f aca="false">IF(OR(G72="",N(L72)=0),"",(L72-G72)/L72-Taxas)</f>
        <v/>
      </c>
    </row>
    <row r="73" customFormat="false" ht="21" hidden="false" customHeight="true" outlineLevel="0" collapsed="false">
      <c r="B73" s="9"/>
      <c r="C73" s="42"/>
      <c r="D73" s="42"/>
      <c r="E73" s="43"/>
      <c r="F73" s="27" t="str">
        <f aca="false">IF(B73="","",SUMIFS(Receitas!$F$5:$F$504,Receitas!$B$5:$B$504,B73))</f>
        <v/>
      </c>
      <c r="G73" s="27" t="str">
        <f aca="false">IF(B73="","",IF(N(E73)&gt;0,E73*(1+Perdas),IF(AND(N(C73)&gt;0,N(F73)&gt;0),F73*(1+Perdas)/C73,"")))</f>
        <v/>
      </c>
      <c r="H73" s="27" t="str">
        <f aca="false">IF(G73="","",IF(N(E73)&gt;0,0,N(D73)*ValorHora/C73))</f>
        <v/>
      </c>
      <c r="I73" s="36" t="str">
        <f aca="false">IF(G73="","",G73+H73)</f>
        <v/>
      </c>
      <c r="J73" s="27" t="str">
        <f aca="false">IF(I73="","",I73/(1-Taxas))</f>
        <v/>
      </c>
      <c r="K73" s="36" t="str">
        <f aca="false">IF(I73="","",IF(Taxas+LucroDesejado&gt;=1,"",IF(I73/(1-Taxas-LucroDesejado)&lt;3,CEILING(I73/(1-Taxas-LucroDesejado),0.1),CEILING(I73/(1-Taxas-LucroDesejado),0.5))))</f>
        <v/>
      </c>
      <c r="L73" s="43"/>
      <c r="M73" s="27" t="str">
        <f aca="false">IF(OR(I73="",N(L73)=0),"",L73-I73-L73*Taxas)</f>
        <v/>
      </c>
      <c r="N73" s="35" t="str">
        <f aca="false">IF(M73="","",M73/L73)</f>
        <v/>
      </c>
      <c r="O73" s="39" t="str">
        <f aca="false">IF(B73="","",IF(AND(N(E73)=0,N(F73)=0),"Falta a receita ou o custo",IF(G73="","Falta o rendimento",IF(N(L73)=0,"Falta o seu preço",IF(L73&lt;G73/(1-Taxas),"Prejuízo",IF(L73&lt;J73-0.005,"Não paga o seu tempo",IF(L73&lt;K73-0.005,"Abaixo do sugerido","Preço bom")))))))</f>
        <v/>
      </c>
      <c r="P73" s="0" t="str">
        <f aca="false">IF(OR(G73="",N(L73)=0),"",(L73-G73)/L73-Taxas)</f>
        <v/>
      </c>
    </row>
    <row r="74" customFormat="false" ht="21" hidden="false" customHeight="true" outlineLevel="0" collapsed="false">
      <c r="B74" s="9"/>
      <c r="C74" s="42"/>
      <c r="D74" s="42"/>
      <c r="E74" s="43"/>
      <c r="F74" s="27" t="str">
        <f aca="false">IF(B74="","",SUMIFS(Receitas!$F$5:$F$504,Receitas!$B$5:$B$504,B74))</f>
        <v/>
      </c>
      <c r="G74" s="27" t="str">
        <f aca="false">IF(B74="","",IF(N(E74)&gt;0,E74*(1+Perdas),IF(AND(N(C74)&gt;0,N(F74)&gt;0),F74*(1+Perdas)/C74,"")))</f>
        <v/>
      </c>
      <c r="H74" s="27" t="str">
        <f aca="false">IF(G74="","",IF(N(E74)&gt;0,0,N(D74)*ValorHora/C74))</f>
        <v/>
      </c>
      <c r="I74" s="36" t="str">
        <f aca="false">IF(G74="","",G74+H74)</f>
        <v/>
      </c>
      <c r="J74" s="27" t="str">
        <f aca="false">IF(I74="","",I74/(1-Taxas))</f>
        <v/>
      </c>
      <c r="K74" s="36" t="str">
        <f aca="false">IF(I74="","",IF(Taxas+LucroDesejado&gt;=1,"",IF(I74/(1-Taxas-LucroDesejado)&lt;3,CEILING(I74/(1-Taxas-LucroDesejado),0.1),CEILING(I74/(1-Taxas-LucroDesejado),0.5))))</f>
        <v/>
      </c>
      <c r="L74" s="43"/>
      <c r="M74" s="27" t="str">
        <f aca="false">IF(OR(I74="",N(L74)=0),"",L74-I74-L74*Taxas)</f>
        <v/>
      </c>
      <c r="N74" s="35" t="str">
        <f aca="false">IF(M74="","",M74/L74)</f>
        <v/>
      </c>
      <c r="O74" s="39" t="str">
        <f aca="false">IF(B74="","",IF(AND(N(E74)=0,N(F74)=0),"Falta a receita ou o custo",IF(G74="","Falta o rendimento",IF(N(L74)=0,"Falta o seu preço",IF(L74&lt;G74/(1-Taxas),"Prejuízo",IF(L74&lt;J74-0.005,"Não paga o seu tempo",IF(L74&lt;K74-0.005,"Abaixo do sugerido","Preço bom")))))))</f>
        <v/>
      </c>
      <c r="P74" s="0" t="str">
        <f aca="false">IF(OR(G74="",N(L74)=0),"",(L74-G74)/L74-Taxas)</f>
        <v/>
      </c>
    </row>
    <row r="75" customFormat="false" ht="21" hidden="false" customHeight="true" outlineLevel="0" collapsed="false">
      <c r="B75" s="9"/>
      <c r="C75" s="42"/>
      <c r="D75" s="42"/>
      <c r="E75" s="43"/>
      <c r="F75" s="27" t="str">
        <f aca="false">IF(B75="","",SUMIFS(Receitas!$F$5:$F$504,Receitas!$B$5:$B$504,B75))</f>
        <v/>
      </c>
      <c r="G75" s="27" t="str">
        <f aca="false">IF(B75="","",IF(N(E75)&gt;0,E75*(1+Perdas),IF(AND(N(C75)&gt;0,N(F75)&gt;0),F75*(1+Perdas)/C75,"")))</f>
        <v/>
      </c>
      <c r="H75" s="27" t="str">
        <f aca="false">IF(G75="","",IF(N(E75)&gt;0,0,N(D75)*ValorHora/C75))</f>
        <v/>
      </c>
      <c r="I75" s="36" t="str">
        <f aca="false">IF(G75="","",G75+H75)</f>
        <v/>
      </c>
      <c r="J75" s="27" t="str">
        <f aca="false">IF(I75="","",I75/(1-Taxas))</f>
        <v/>
      </c>
      <c r="K75" s="36" t="str">
        <f aca="false">IF(I75="","",IF(Taxas+LucroDesejado&gt;=1,"",IF(I75/(1-Taxas-LucroDesejado)&lt;3,CEILING(I75/(1-Taxas-LucroDesejado),0.1),CEILING(I75/(1-Taxas-LucroDesejado),0.5))))</f>
        <v/>
      </c>
      <c r="L75" s="43"/>
      <c r="M75" s="27" t="str">
        <f aca="false">IF(OR(I75="",N(L75)=0),"",L75-I75-L75*Taxas)</f>
        <v/>
      </c>
      <c r="N75" s="35" t="str">
        <f aca="false">IF(M75="","",M75/L75)</f>
        <v/>
      </c>
      <c r="O75" s="39" t="str">
        <f aca="false">IF(B75="","",IF(AND(N(E75)=0,N(F75)=0),"Falta a receita ou o custo",IF(G75="","Falta o rendimento",IF(N(L75)=0,"Falta o seu preço",IF(L75&lt;G75/(1-Taxas),"Prejuízo",IF(L75&lt;J75-0.005,"Não paga o seu tempo",IF(L75&lt;K75-0.005,"Abaixo do sugerido","Preço bom")))))))</f>
        <v/>
      </c>
      <c r="P75" s="0" t="str">
        <f aca="false">IF(OR(G75="",N(L75)=0),"",(L75-G75)/L75-Taxas)</f>
        <v/>
      </c>
    </row>
    <row r="76" customFormat="false" ht="21" hidden="false" customHeight="true" outlineLevel="0" collapsed="false">
      <c r="B76" s="9"/>
      <c r="C76" s="42"/>
      <c r="D76" s="42"/>
      <c r="E76" s="43"/>
      <c r="F76" s="27" t="str">
        <f aca="false">IF(B76="","",SUMIFS(Receitas!$F$5:$F$504,Receitas!$B$5:$B$504,B76))</f>
        <v/>
      </c>
      <c r="G76" s="27" t="str">
        <f aca="false">IF(B76="","",IF(N(E76)&gt;0,E76*(1+Perdas),IF(AND(N(C76)&gt;0,N(F76)&gt;0),F76*(1+Perdas)/C76,"")))</f>
        <v/>
      </c>
      <c r="H76" s="27" t="str">
        <f aca="false">IF(G76="","",IF(N(E76)&gt;0,0,N(D76)*ValorHora/C76))</f>
        <v/>
      </c>
      <c r="I76" s="36" t="str">
        <f aca="false">IF(G76="","",G76+H76)</f>
        <v/>
      </c>
      <c r="J76" s="27" t="str">
        <f aca="false">IF(I76="","",I76/(1-Taxas))</f>
        <v/>
      </c>
      <c r="K76" s="36" t="str">
        <f aca="false">IF(I76="","",IF(Taxas+LucroDesejado&gt;=1,"",IF(I76/(1-Taxas-LucroDesejado)&lt;3,CEILING(I76/(1-Taxas-LucroDesejado),0.1),CEILING(I76/(1-Taxas-LucroDesejado),0.5))))</f>
        <v/>
      </c>
      <c r="L76" s="43"/>
      <c r="M76" s="27" t="str">
        <f aca="false">IF(OR(I76="",N(L76)=0),"",L76-I76-L76*Taxas)</f>
        <v/>
      </c>
      <c r="N76" s="35" t="str">
        <f aca="false">IF(M76="","",M76/L76)</f>
        <v/>
      </c>
      <c r="O76" s="39" t="str">
        <f aca="false">IF(B76="","",IF(AND(N(E76)=0,N(F76)=0),"Falta a receita ou o custo",IF(G76="","Falta o rendimento",IF(N(L76)=0,"Falta o seu preço",IF(L76&lt;G76/(1-Taxas),"Prejuízo",IF(L76&lt;J76-0.005,"Não paga o seu tempo",IF(L76&lt;K76-0.005,"Abaixo do sugerido","Preço bom")))))))</f>
        <v/>
      </c>
      <c r="P76" s="0" t="str">
        <f aca="false">IF(OR(G76="",N(L76)=0),"",(L76-G76)/L76-Taxas)</f>
        <v/>
      </c>
    </row>
    <row r="77" customFormat="false" ht="21" hidden="false" customHeight="true" outlineLevel="0" collapsed="false">
      <c r="B77" s="9"/>
      <c r="C77" s="42"/>
      <c r="D77" s="42"/>
      <c r="E77" s="43"/>
      <c r="F77" s="27" t="str">
        <f aca="false">IF(B77="","",SUMIFS(Receitas!$F$5:$F$504,Receitas!$B$5:$B$504,B77))</f>
        <v/>
      </c>
      <c r="G77" s="27" t="str">
        <f aca="false">IF(B77="","",IF(N(E77)&gt;0,E77*(1+Perdas),IF(AND(N(C77)&gt;0,N(F77)&gt;0),F77*(1+Perdas)/C77,"")))</f>
        <v/>
      </c>
      <c r="H77" s="27" t="str">
        <f aca="false">IF(G77="","",IF(N(E77)&gt;0,0,N(D77)*ValorHora/C77))</f>
        <v/>
      </c>
      <c r="I77" s="36" t="str">
        <f aca="false">IF(G77="","",G77+H77)</f>
        <v/>
      </c>
      <c r="J77" s="27" t="str">
        <f aca="false">IF(I77="","",I77/(1-Taxas))</f>
        <v/>
      </c>
      <c r="K77" s="36" t="str">
        <f aca="false">IF(I77="","",IF(Taxas+LucroDesejado&gt;=1,"",IF(I77/(1-Taxas-LucroDesejado)&lt;3,CEILING(I77/(1-Taxas-LucroDesejado),0.1),CEILING(I77/(1-Taxas-LucroDesejado),0.5))))</f>
        <v/>
      </c>
      <c r="L77" s="43"/>
      <c r="M77" s="27" t="str">
        <f aca="false">IF(OR(I77="",N(L77)=0),"",L77-I77-L77*Taxas)</f>
        <v/>
      </c>
      <c r="N77" s="35" t="str">
        <f aca="false">IF(M77="","",M77/L77)</f>
        <v/>
      </c>
      <c r="O77" s="39" t="str">
        <f aca="false">IF(B77="","",IF(AND(N(E77)=0,N(F77)=0),"Falta a receita ou o custo",IF(G77="","Falta o rendimento",IF(N(L77)=0,"Falta o seu preço",IF(L77&lt;G77/(1-Taxas),"Prejuízo",IF(L77&lt;J77-0.005,"Não paga o seu tempo",IF(L77&lt;K77-0.005,"Abaixo do sugerido","Preço bom")))))))</f>
        <v/>
      </c>
      <c r="P77" s="0" t="str">
        <f aca="false">IF(OR(G77="",N(L77)=0),"",(L77-G77)/L77-Taxas)</f>
        <v/>
      </c>
    </row>
    <row r="78" customFormat="false" ht="21" hidden="false" customHeight="true" outlineLevel="0" collapsed="false">
      <c r="B78" s="9"/>
      <c r="C78" s="42"/>
      <c r="D78" s="42"/>
      <c r="E78" s="43"/>
      <c r="F78" s="27" t="str">
        <f aca="false">IF(B78="","",SUMIFS(Receitas!$F$5:$F$504,Receitas!$B$5:$B$504,B78))</f>
        <v/>
      </c>
      <c r="G78" s="27" t="str">
        <f aca="false">IF(B78="","",IF(N(E78)&gt;0,E78*(1+Perdas),IF(AND(N(C78)&gt;0,N(F78)&gt;0),F78*(1+Perdas)/C78,"")))</f>
        <v/>
      </c>
      <c r="H78" s="27" t="str">
        <f aca="false">IF(G78="","",IF(N(E78)&gt;0,0,N(D78)*ValorHora/C78))</f>
        <v/>
      </c>
      <c r="I78" s="36" t="str">
        <f aca="false">IF(G78="","",G78+H78)</f>
        <v/>
      </c>
      <c r="J78" s="27" t="str">
        <f aca="false">IF(I78="","",I78/(1-Taxas))</f>
        <v/>
      </c>
      <c r="K78" s="36" t="str">
        <f aca="false">IF(I78="","",IF(Taxas+LucroDesejado&gt;=1,"",IF(I78/(1-Taxas-LucroDesejado)&lt;3,CEILING(I78/(1-Taxas-LucroDesejado),0.1),CEILING(I78/(1-Taxas-LucroDesejado),0.5))))</f>
        <v/>
      </c>
      <c r="L78" s="43"/>
      <c r="M78" s="27" t="str">
        <f aca="false">IF(OR(I78="",N(L78)=0),"",L78-I78-L78*Taxas)</f>
        <v/>
      </c>
      <c r="N78" s="35" t="str">
        <f aca="false">IF(M78="","",M78/L78)</f>
        <v/>
      </c>
      <c r="O78" s="39" t="str">
        <f aca="false">IF(B78="","",IF(AND(N(E78)=0,N(F78)=0),"Falta a receita ou o custo",IF(G78="","Falta o rendimento",IF(N(L78)=0,"Falta o seu preço",IF(L78&lt;G78/(1-Taxas),"Prejuízo",IF(L78&lt;J78-0.005,"Não paga o seu tempo",IF(L78&lt;K78-0.005,"Abaixo do sugerido","Preço bom")))))))</f>
        <v/>
      </c>
      <c r="P78" s="0" t="str">
        <f aca="false">IF(OR(G78="",N(L78)=0),"",(L78-G78)/L78-Taxas)</f>
        <v/>
      </c>
    </row>
    <row r="79" customFormat="false" ht="21" hidden="false" customHeight="true" outlineLevel="0" collapsed="false">
      <c r="B79" s="9"/>
      <c r="C79" s="42"/>
      <c r="D79" s="42"/>
      <c r="E79" s="43"/>
      <c r="F79" s="27" t="str">
        <f aca="false">IF(B79="","",SUMIFS(Receitas!$F$5:$F$504,Receitas!$B$5:$B$504,B79))</f>
        <v/>
      </c>
      <c r="G79" s="27" t="str">
        <f aca="false">IF(B79="","",IF(N(E79)&gt;0,E79*(1+Perdas),IF(AND(N(C79)&gt;0,N(F79)&gt;0),F79*(1+Perdas)/C79,"")))</f>
        <v/>
      </c>
      <c r="H79" s="27" t="str">
        <f aca="false">IF(G79="","",IF(N(E79)&gt;0,0,N(D79)*ValorHora/C79))</f>
        <v/>
      </c>
      <c r="I79" s="36" t="str">
        <f aca="false">IF(G79="","",G79+H79)</f>
        <v/>
      </c>
      <c r="J79" s="27" t="str">
        <f aca="false">IF(I79="","",I79/(1-Taxas))</f>
        <v/>
      </c>
      <c r="K79" s="36" t="str">
        <f aca="false">IF(I79="","",IF(Taxas+LucroDesejado&gt;=1,"",IF(I79/(1-Taxas-LucroDesejado)&lt;3,CEILING(I79/(1-Taxas-LucroDesejado),0.1),CEILING(I79/(1-Taxas-LucroDesejado),0.5))))</f>
        <v/>
      </c>
      <c r="L79" s="43"/>
      <c r="M79" s="27" t="str">
        <f aca="false">IF(OR(I79="",N(L79)=0),"",L79-I79-L79*Taxas)</f>
        <v/>
      </c>
      <c r="N79" s="35" t="str">
        <f aca="false">IF(M79="","",M79/L79)</f>
        <v/>
      </c>
      <c r="O79" s="39" t="str">
        <f aca="false">IF(B79="","",IF(AND(N(E79)=0,N(F79)=0),"Falta a receita ou o custo",IF(G79="","Falta o rendimento",IF(N(L79)=0,"Falta o seu preço",IF(L79&lt;G79/(1-Taxas),"Prejuízo",IF(L79&lt;J79-0.005,"Não paga o seu tempo",IF(L79&lt;K79-0.005,"Abaixo do sugerido","Preço bom")))))))</f>
        <v/>
      </c>
      <c r="P79" s="0" t="str">
        <f aca="false">IF(OR(G79="",N(L79)=0),"",(L79-G79)/L79-Taxas)</f>
        <v/>
      </c>
    </row>
    <row r="80" customFormat="false" ht="21" hidden="false" customHeight="true" outlineLevel="0" collapsed="false">
      <c r="B80" s="9"/>
      <c r="C80" s="42"/>
      <c r="D80" s="42"/>
      <c r="E80" s="43"/>
      <c r="F80" s="27" t="str">
        <f aca="false">IF(B80="","",SUMIFS(Receitas!$F$5:$F$504,Receitas!$B$5:$B$504,B80))</f>
        <v/>
      </c>
      <c r="G80" s="27" t="str">
        <f aca="false">IF(B80="","",IF(N(E80)&gt;0,E80*(1+Perdas),IF(AND(N(C80)&gt;0,N(F80)&gt;0),F80*(1+Perdas)/C80,"")))</f>
        <v/>
      </c>
      <c r="H80" s="27" t="str">
        <f aca="false">IF(G80="","",IF(N(E80)&gt;0,0,N(D80)*ValorHora/C80))</f>
        <v/>
      </c>
      <c r="I80" s="36" t="str">
        <f aca="false">IF(G80="","",G80+H80)</f>
        <v/>
      </c>
      <c r="J80" s="27" t="str">
        <f aca="false">IF(I80="","",I80/(1-Taxas))</f>
        <v/>
      </c>
      <c r="K80" s="36" t="str">
        <f aca="false">IF(I80="","",IF(Taxas+LucroDesejado&gt;=1,"",IF(I80/(1-Taxas-LucroDesejado)&lt;3,CEILING(I80/(1-Taxas-LucroDesejado),0.1),CEILING(I80/(1-Taxas-LucroDesejado),0.5))))</f>
        <v/>
      </c>
      <c r="L80" s="43"/>
      <c r="M80" s="27" t="str">
        <f aca="false">IF(OR(I80="",N(L80)=0),"",L80-I80-L80*Taxas)</f>
        <v/>
      </c>
      <c r="N80" s="35" t="str">
        <f aca="false">IF(M80="","",M80/L80)</f>
        <v/>
      </c>
      <c r="O80" s="39" t="str">
        <f aca="false">IF(B80="","",IF(AND(N(E80)=0,N(F80)=0),"Falta a receita ou o custo",IF(G80="","Falta o rendimento",IF(N(L80)=0,"Falta o seu preço",IF(L80&lt;G80/(1-Taxas),"Prejuízo",IF(L80&lt;J80-0.005,"Não paga o seu tempo",IF(L80&lt;K80-0.005,"Abaixo do sugerido","Preço bom")))))))</f>
        <v/>
      </c>
      <c r="P80" s="0" t="str">
        <f aca="false">IF(OR(G80="",N(L80)=0),"",(L80-G80)/L80-Taxas)</f>
        <v/>
      </c>
    </row>
    <row r="81" customFormat="false" ht="21" hidden="false" customHeight="true" outlineLevel="0" collapsed="false">
      <c r="B81" s="9"/>
      <c r="C81" s="42"/>
      <c r="D81" s="42"/>
      <c r="E81" s="43"/>
      <c r="F81" s="27" t="str">
        <f aca="false">IF(B81="","",SUMIFS(Receitas!$F$5:$F$504,Receitas!$B$5:$B$504,B81))</f>
        <v/>
      </c>
      <c r="G81" s="27" t="str">
        <f aca="false">IF(B81="","",IF(N(E81)&gt;0,E81*(1+Perdas),IF(AND(N(C81)&gt;0,N(F81)&gt;0),F81*(1+Perdas)/C81,"")))</f>
        <v/>
      </c>
      <c r="H81" s="27" t="str">
        <f aca="false">IF(G81="","",IF(N(E81)&gt;0,0,N(D81)*ValorHora/C81))</f>
        <v/>
      </c>
      <c r="I81" s="36" t="str">
        <f aca="false">IF(G81="","",G81+H81)</f>
        <v/>
      </c>
      <c r="J81" s="27" t="str">
        <f aca="false">IF(I81="","",I81/(1-Taxas))</f>
        <v/>
      </c>
      <c r="K81" s="36" t="str">
        <f aca="false">IF(I81="","",IF(Taxas+LucroDesejado&gt;=1,"",IF(I81/(1-Taxas-LucroDesejado)&lt;3,CEILING(I81/(1-Taxas-LucroDesejado),0.1),CEILING(I81/(1-Taxas-LucroDesejado),0.5))))</f>
        <v/>
      </c>
      <c r="L81" s="43"/>
      <c r="M81" s="27" t="str">
        <f aca="false">IF(OR(I81="",N(L81)=0),"",L81-I81-L81*Taxas)</f>
        <v/>
      </c>
      <c r="N81" s="35" t="str">
        <f aca="false">IF(M81="","",M81/L81)</f>
        <v/>
      </c>
      <c r="O81" s="39" t="str">
        <f aca="false">IF(B81="","",IF(AND(N(E81)=0,N(F81)=0),"Falta a receita ou o custo",IF(G81="","Falta o rendimento",IF(N(L81)=0,"Falta o seu preço",IF(L81&lt;G81/(1-Taxas),"Prejuízo",IF(L81&lt;J81-0.005,"Não paga o seu tempo",IF(L81&lt;K81-0.005,"Abaixo do sugerido","Preço bom")))))))</f>
        <v/>
      </c>
      <c r="P81" s="0" t="str">
        <f aca="false">IF(OR(G81="",N(L81)=0),"",(L81-G81)/L81-Taxas)</f>
        <v/>
      </c>
    </row>
    <row r="82" customFormat="false" ht="21" hidden="false" customHeight="true" outlineLevel="0" collapsed="false">
      <c r="B82" s="9"/>
      <c r="C82" s="42"/>
      <c r="D82" s="42"/>
      <c r="E82" s="43"/>
      <c r="F82" s="27" t="str">
        <f aca="false">IF(B82="","",SUMIFS(Receitas!$F$5:$F$504,Receitas!$B$5:$B$504,B82))</f>
        <v/>
      </c>
      <c r="G82" s="27" t="str">
        <f aca="false">IF(B82="","",IF(N(E82)&gt;0,E82*(1+Perdas),IF(AND(N(C82)&gt;0,N(F82)&gt;0),F82*(1+Perdas)/C82,"")))</f>
        <v/>
      </c>
      <c r="H82" s="27" t="str">
        <f aca="false">IF(G82="","",IF(N(E82)&gt;0,0,N(D82)*ValorHora/C82))</f>
        <v/>
      </c>
      <c r="I82" s="36" t="str">
        <f aca="false">IF(G82="","",G82+H82)</f>
        <v/>
      </c>
      <c r="J82" s="27" t="str">
        <f aca="false">IF(I82="","",I82/(1-Taxas))</f>
        <v/>
      </c>
      <c r="K82" s="36" t="str">
        <f aca="false">IF(I82="","",IF(Taxas+LucroDesejado&gt;=1,"",IF(I82/(1-Taxas-LucroDesejado)&lt;3,CEILING(I82/(1-Taxas-LucroDesejado),0.1),CEILING(I82/(1-Taxas-LucroDesejado),0.5))))</f>
        <v/>
      </c>
      <c r="L82" s="43"/>
      <c r="M82" s="27" t="str">
        <f aca="false">IF(OR(I82="",N(L82)=0),"",L82-I82-L82*Taxas)</f>
        <v/>
      </c>
      <c r="N82" s="35" t="str">
        <f aca="false">IF(M82="","",M82/L82)</f>
        <v/>
      </c>
      <c r="O82" s="39" t="str">
        <f aca="false">IF(B82="","",IF(AND(N(E82)=0,N(F82)=0),"Falta a receita ou o custo",IF(G82="","Falta o rendimento",IF(N(L82)=0,"Falta o seu preço",IF(L82&lt;G82/(1-Taxas),"Prejuízo",IF(L82&lt;J82-0.005,"Não paga o seu tempo",IF(L82&lt;K82-0.005,"Abaixo do sugerido","Preço bom")))))))</f>
        <v/>
      </c>
      <c r="P82" s="0" t="str">
        <f aca="false">IF(OR(G82="",N(L82)=0),"",(L82-G82)/L82-Taxas)</f>
        <v/>
      </c>
    </row>
    <row r="83" customFormat="false" ht="21" hidden="false" customHeight="true" outlineLevel="0" collapsed="false">
      <c r="B83" s="9"/>
      <c r="C83" s="42"/>
      <c r="D83" s="42"/>
      <c r="E83" s="43"/>
      <c r="F83" s="27" t="str">
        <f aca="false">IF(B83="","",SUMIFS(Receitas!$F$5:$F$504,Receitas!$B$5:$B$504,B83))</f>
        <v/>
      </c>
      <c r="G83" s="27" t="str">
        <f aca="false">IF(B83="","",IF(N(E83)&gt;0,E83*(1+Perdas),IF(AND(N(C83)&gt;0,N(F83)&gt;0),F83*(1+Perdas)/C83,"")))</f>
        <v/>
      </c>
      <c r="H83" s="27" t="str">
        <f aca="false">IF(G83="","",IF(N(E83)&gt;0,0,N(D83)*ValorHora/C83))</f>
        <v/>
      </c>
      <c r="I83" s="36" t="str">
        <f aca="false">IF(G83="","",G83+H83)</f>
        <v/>
      </c>
      <c r="J83" s="27" t="str">
        <f aca="false">IF(I83="","",I83/(1-Taxas))</f>
        <v/>
      </c>
      <c r="K83" s="36" t="str">
        <f aca="false">IF(I83="","",IF(Taxas+LucroDesejado&gt;=1,"",IF(I83/(1-Taxas-LucroDesejado)&lt;3,CEILING(I83/(1-Taxas-LucroDesejado),0.1),CEILING(I83/(1-Taxas-LucroDesejado),0.5))))</f>
        <v/>
      </c>
      <c r="L83" s="43"/>
      <c r="M83" s="27" t="str">
        <f aca="false">IF(OR(I83="",N(L83)=0),"",L83-I83-L83*Taxas)</f>
        <v/>
      </c>
      <c r="N83" s="35" t="str">
        <f aca="false">IF(M83="","",M83/L83)</f>
        <v/>
      </c>
      <c r="O83" s="39" t="str">
        <f aca="false">IF(B83="","",IF(AND(N(E83)=0,N(F83)=0),"Falta a receita ou o custo",IF(G83="","Falta o rendimento",IF(N(L83)=0,"Falta o seu preço",IF(L83&lt;G83/(1-Taxas),"Prejuízo",IF(L83&lt;J83-0.005,"Não paga o seu tempo",IF(L83&lt;K83-0.005,"Abaixo do sugerido","Preço bom")))))))</f>
        <v/>
      </c>
      <c r="P83" s="0" t="str">
        <f aca="false">IF(OR(G83="",N(L83)=0),"",(L83-G83)/L83-Taxas)</f>
        <v/>
      </c>
    </row>
    <row r="84" customFormat="false" ht="21" hidden="false" customHeight="true" outlineLevel="0" collapsed="false">
      <c r="B84" s="9"/>
      <c r="C84" s="42"/>
      <c r="D84" s="42"/>
      <c r="E84" s="43"/>
      <c r="F84" s="27" t="str">
        <f aca="false">IF(B84="","",SUMIFS(Receitas!$F$5:$F$504,Receitas!$B$5:$B$504,B84))</f>
        <v/>
      </c>
      <c r="G84" s="27" t="str">
        <f aca="false">IF(B84="","",IF(N(E84)&gt;0,E84*(1+Perdas),IF(AND(N(C84)&gt;0,N(F84)&gt;0),F84*(1+Perdas)/C84,"")))</f>
        <v/>
      </c>
      <c r="H84" s="27" t="str">
        <f aca="false">IF(G84="","",IF(N(E84)&gt;0,0,N(D84)*ValorHora/C84))</f>
        <v/>
      </c>
      <c r="I84" s="36" t="str">
        <f aca="false">IF(G84="","",G84+H84)</f>
        <v/>
      </c>
      <c r="J84" s="27" t="str">
        <f aca="false">IF(I84="","",I84/(1-Taxas))</f>
        <v/>
      </c>
      <c r="K84" s="36" t="str">
        <f aca="false">IF(I84="","",IF(Taxas+LucroDesejado&gt;=1,"",IF(I84/(1-Taxas-LucroDesejado)&lt;3,CEILING(I84/(1-Taxas-LucroDesejado),0.1),CEILING(I84/(1-Taxas-LucroDesejado),0.5))))</f>
        <v/>
      </c>
      <c r="L84" s="43"/>
      <c r="M84" s="27" t="str">
        <f aca="false">IF(OR(I84="",N(L84)=0),"",L84-I84-L84*Taxas)</f>
        <v/>
      </c>
      <c r="N84" s="35" t="str">
        <f aca="false">IF(M84="","",M84/L84)</f>
        <v/>
      </c>
      <c r="O84" s="39" t="str">
        <f aca="false">IF(B84="","",IF(AND(N(E84)=0,N(F84)=0),"Falta a receita ou o custo",IF(G84="","Falta o rendimento",IF(N(L84)=0,"Falta o seu preço",IF(L84&lt;G84/(1-Taxas),"Prejuízo",IF(L84&lt;J84-0.005,"Não paga o seu tempo",IF(L84&lt;K84-0.005,"Abaixo do sugerido","Preço bom")))))))</f>
        <v/>
      </c>
      <c r="P84" s="0" t="str">
        <f aca="false">IF(OR(G84="",N(L84)=0),"",(L84-G84)/L84-Taxas)</f>
        <v/>
      </c>
    </row>
    <row r="85" customFormat="false" ht="21" hidden="false" customHeight="true" outlineLevel="0" collapsed="false">
      <c r="B85" s="9"/>
      <c r="C85" s="42"/>
      <c r="D85" s="42"/>
      <c r="E85" s="43"/>
      <c r="F85" s="27" t="str">
        <f aca="false">IF(B85="","",SUMIFS(Receitas!$F$5:$F$504,Receitas!$B$5:$B$504,B85))</f>
        <v/>
      </c>
      <c r="G85" s="27" t="str">
        <f aca="false">IF(B85="","",IF(N(E85)&gt;0,E85*(1+Perdas),IF(AND(N(C85)&gt;0,N(F85)&gt;0),F85*(1+Perdas)/C85,"")))</f>
        <v/>
      </c>
      <c r="H85" s="27" t="str">
        <f aca="false">IF(G85="","",IF(N(E85)&gt;0,0,N(D85)*ValorHora/C85))</f>
        <v/>
      </c>
      <c r="I85" s="36" t="str">
        <f aca="false">IF(G85="","",G85+H85)</f>
        <v/>
      </c>
      <c r="J85" s="27" t="str">
        <f aca="false">IF(I85="","",I85/(1-Taxas))</f>
        <v/>
      </c>
      <c r="K85" s="36" t="str">
        <f aca="false">IF(I85="","",IF(Taxas+LucroDesejado&gt;=1,"",IF(I85/(1-Taxas-LucroDesejado)&lt;3,CEILING(I85/(1-Taxas-LucroDesejado),0.1),CEILING(I85/(1-Taxas-LucroDesejado),0.5))))</f>
        <v/>
      </c>
      <c r="L85" s="43"/>
      <c r="M85" s="27" t="str">
        <f aca="false">IF(OR(I85="",N(L85)=0),"",L85-I85-L85*Taxas)</f>
        <v/>
      </c>
      <c r="N85" s="35" t="str">
        <f aca="false">IF(M85="","",M85/L85)</f>
        <v/>
      </c>
      <c r="O85" s="39" t="str">
        <f aca="false">IF(B85="","",IF(AND(N(E85)=0,N(F85)=0),"Falta a receita ou o custo",IF(G85="","Falta o rendimento",IF(N(L85)=0,"Falta o seu preço",IF(L85&lt;G85/(1-Taxas),"Prejuízo",IF(L85&lt;J85-0.005,"Não paga o seu tempo",IF(L85&lt;K85-0.005,"Abaixo do sugerido","Preço bom")))))))</f>
        <v/>
      </c>
      <c r="P85" s="0" t="str">
        <f aca="false">IF(OR(G85="",N(L85)=0),"",(L85-G85)/L85-Taxas)</f>
        <v/>
      </c>
    </row>
    <row r="86" customFormat="false" ht="21" hidden="false" customHeight="true" outlineLevel="0" collapsed="false">
      <c r="B86" s="9"/>
      <c r="C86" s="42"/>
      <c r="D86" s="42"/>
      <c r="E86" s="43"/>
      <c r="F86" s="27" t="str">
        <f aca="false">IF(B86="","",SUMIFS(Receitas!$F$5:$F$504,Receitas!$B$5:$B$504,B86))</f>
        <v/>
      </c>
      <c r="G86" s="27" t="str">
        <f aca="false">IF(B86="","",IF(N(E86)&gt;0,E86*(1+Perdas),IF(AND(N(C86)&gt;0,N(F86)&gt;0),F86*(1+Perdas)/C86,"")))</f>
        <v/>
      </c>
      <c r="H86" s="27" t="str">
        <f aca="false">IF(G86="","",IF(N(E86)&gt;0,0,N(D86)*ValorHora/C86))</f>
        <v/>
      </c>
      <c r="I86" s="36" t="str">
        <f aca="false">IF(G86="","",G86+H86)</f>
        <v/>
      </c>
      <c r="J86" s="27" t="str">
        <f aca="false">IF(I86="","",I86/(1-Taxas))</f>
        <v/>
      </c>
      <c r="K86" s="36" t="str">
        <f aca="false">IF(I86="","",IF(Taxas+LucroDesejado&gt;=1,"",IF(I86/(1-Taxas-LucroDesejado)&lt;3,CEILING(I86/(1-Taxas-LucroDesejado),0.1),CEILING(I86/(1-Taxas-LucroDesejado),0.5))))</f>
        <v/>
      </c>
      <c r="L86" s="43"/>
      <c r="M86" s="27" t="str">
        <f aca="false">IF(OR(I86="",N(L86)=0),"",L86-I86-L86*Taxas)</f>
        <v/>
      </c>
      <c r="N86" s="35" t="str">
        <f aca="false">IF(M86="","",M86/L86)</f>
        <v/>
      </c>
      <c r="O86" s="39" t="str">
        <f aca="false">IF(B86="","",IF(AND(N(E86)=0,N(F86)=0),"Falta a receita ou o custo",IF(G86="","Falta o rendimento",IF(N(L86)=0,"Falta o seu preço",IF(L86&lt;G86/(1-Taxas),"Prejuízo",IF(L86&lt;J86-0.005,"Não paga o seu tempo",IF(L86&lt;K86-0.005,"Abaixo do sugerido","Preço bom")))))))</f>
        <v/>
      </c>
      <c r="P86" s="0" t="str">
        <f aca="false">IF(OR(G86="",N(L86)=0),"",(L86-G86)/L86-Taxas)</f>
        <v/>
      </c>
    </row>
    <row r="87" customFormat="false" ht="21" hidden="false" customHeight="true" outlineLevel="0" collapsed="false">
      <c r="B87" s="9"/>
      <c r="C87" s="42"/>
      <c r="D87" s="42"/>
      <c r="E87" s="43"/>
      <c r="F87" s="27" t="str">
        <f aca="false">IF(B87="","",SUMIFS(Receitas!$F$5:$F$504,Receitas!$B$5:$B$504,B87))</f>
        <v/>
      </c>
      <c r="G87" s="27" t="str">
        <f aca="false">IF(B87="","",IF(N(E87)&gt;0,E87*(1+Perdas),IF(AND(N(C87)&gt;0,N(F87)&gt;0),F87*(1+Perdas)/C87,"")))</f>
        <v/>
      </c>
      <c r="H87" s="27" t="str">
        <f aca="false">IF(G87="","",IF(N(E87)&gt;0,0,N(D87)*ValorHora/C87))</f>
        <v/>
      </c>
      <c r="I87" s="36" t="str">
        <f aca="false">IF(G87="","",G87+H87)</f>
        <v/>
      </c>
      <c r="J87" s="27" t="str">
        <f aca="false">IF(I87="","",I87/(1-Taxas))</f>
        <v/>
      </c>
      <c r="K87" s="36" t="str">
        <f aca="false">IF(I87="","",IF(Taxas+LucroDesejado&gt;=1,"",IF(I87/(1-Taxas-LucroDesejado)&lt;3,CEILING(I87/(1-Taxas-LucroDesejado),0.1),CEILING(I87/(1-Taxas-LucroDesejado),0.5))))</f>
        <v/>
      </c>
      <c r="L87" s="43"/>
      <c r="M87" s="27" t="str">
        <f aca="false">IF(OR(I87="",N(L87)=0),"",L87-I87-L87*Taxas)</f>
        <v/>
      </c>
      <c r="N87" s="35" t="str">
        <f aca="false">IF(M87="","",M87/L87)</f>
        <v/>
      </c>
      <c r="O87" s="39" t="str">
        <f aca="false">IF(B87="","",IF(AND(N(E87)=0,N(F87)=0),"Falta a receita ou o custo",IF(G87="","Falta o rendimento",IF(N(L87)=0,"Falta o seu preço",IF(L87&lt;G87/(1-Taxas),"Prejuízo",IF(L87&lt;J87-0.005,"Não paga o seu tempo",IF(L87&lt;K87-0.005,"Abaixo do sugerido","Preço bom")))))))</f>
        <v/>
      </c>
      <c r="P87" s="0" t="str">
        <f aca="false">IF(OR(G87="",N(L87)=0),"",(L87-G87)/L87-Taxas)</f>
        <v/>
      </c>
    </row>
    <row r="88" customFormat="false" ht="21" hidden="false" customHeight="true" outlineLevel="0" collapsed="false">
      <c r="B88" s="9"/>
      <c r="C88" s="42"/>
      <c r="D88" s="42"/>
      <c r="E88" s="43"/>
      <c r="F88" s="27" t="str">
        <f aca="false">IF(B88="","",SUMIFS(Receitas!$F$5:$F$504,Receitas!$B$5:$B$504,B88))</f>
        <v/>
      </c>
      <c r="G88" s="27" t="str">
        <f aca="false">IF(B88="","",IF(N(E88)&gt;0,E88*(1+Perdas),IF(AND(N(C88)&gt;0,N(F88)&gt;0),F88*(1+Perdas)/C88,"")))</f>
        <v/>
      </c>
      <c r="H88" s="27" t="str">
        <f aca="false">IF(G88="","",IF(N(E88)&gt;0,0,N(D88)*ValorHora/C88))</f>
        <v/>
      </c>
      <c r="I88" s="36" t="str">
        <f aca="false">IF(G88="","",G88+H88)</f>
        <v/>
      </c>
      <c r="J88" s="27" t="str">
        <f aca="false">IF(I88="","",I88/(1-Taxas))</f>
        <v/>
      </c>
      <c r="K88" s="36" t="str">
        <f aca="false">IF(I88="","",IF(Taxas+LucroDesejado&gt;=1,"",IF(I88/(1-Taxas-LucroDesejado)&lt;3,CEILING(I88/(1-Taxas-LucroDesejado),0.1),CEILING(I88/(1-Taxas-LucroDesejado),0.5))))</f>
        <v/>
      </c>
      <c r="L88" s="43"/>
      <c r="M88" s="27" t="str">
        <f aca="false">IF(OR(I88="",N(L88)=0),"",L88-I88-L88*Taxas)</f>
        <v/>
      </c>
      <c r="N88" s="35" t="str">
        <f aca="false">IF(M88="","",M88/L88)</f>
        <v/>
      </c>
      <c r="O88" s="39" t="str">
        <f aca="false">IF(B88="","",IF(AND(N(E88)=0,N(F88)=0),"Falta a receita ou o custo",IF(G88="","Falta o rendimento",IF(N(L88)=0,"Falta o seu preço",IF(L88&lt;G88/(1-Taxas),"Prejuízo",IF(L88&lt;J88-0.005,"Não paga o seu tempo",IF(L88&lt;K88-0.005,"Abaixo do sugerido","Preço bom")))))))</f>
        <v/>
      </c>
      <c r="P88" s="0" t="str">
        <f aca="false">IF(OR(G88="",N(L88)=0),"",(L88-G88)/L88-Taxas)</f>
        <v/>
      </c>
    </row>
    <row r="89" customFormat="false" ht="21" hidden="false" customHeight="true" outlineLevel="0" collapsed="false">
      <c r="B89" s="9"/>
      <c r="C89" s="42"/>
      <c r="D89" s="42"/>
      <c r="E89" s="43"/>
      <c r="F89" s="27" t="str">
        <f aca="false">IF(B89="","",SUMIFS(Receitas!$F$5:$F$504,Receitas!$B$5:$B$504,B89))</f>
        <v/>
      </c>
      <c r="G89" s="27" t="str">
        <f aca="false">IF(B89="","",IF(N(E89)&gt;0,E89*(1+Perdas),IF(AND(N(C89)&gt;0,N(F89)&gt;0),F89*(1+Perdas)/C89,"")))</f>
        <v/>
      </c>
      <c r="H89" s="27" t="str">
        <f aca="false">IF(G89="","",IF(N(E89)&gt;0,0,N(D89)*ValorHora/C89))</f>
        <v/>
      </c>
      <c r="I89" s="36" t="str">
        <f aca="false">IF(G89="","",G89+H89)</f>
        <v/>
      </c>
      <c r="J89" s="27" t="str">
        <f aca="false">IF(I89="","",I89/(1-Taxas))</f>
        <v/>
      </c>
      <c r="K89" s="36" t="str">
        <f aca="false">IF(I89="","",IF(Taxas+LucroDesejado&gt;=1,"",IF(I89/(1-Taxas-LucroDesejado)&lt;3,CEILING(I89/(1-Taxas-LucroDesejado),0.1),CEILING(I89/(1-Taxas-LucroDesejado),0.5))))</f>
        <v/>
      </c>
      <c r="L89" s="43"/>
      <c r="M89" s="27" t="str">
        <f aca="false">IF(OR(I89="",N(L89)=0),"",L89-I89-L89*Taxas)</f>
        <v/>
      </c>
      <c r="N89" s="35" t="str">
        <f aca="false">IF(M89="","",M89/L89)</f>
        <v/>
      </c>
      <c r="O89" s="39" t="str">
        <f aca="false">IF(B89="","",IF(AND(N(E89)=0,N(F89)=0),"Falta a receita ou o custo",IF(G89="","Falta o rendimento",IF(N(L89)=0,"Falta o seu preço",IF(L89&lt;G89/(1-Taxas),"Prejuízo",IF(L89&lt;J89-0.005,"Não paga o seu tempo",IF(L89&lt;K89-0.005,"Abaixo do sugerido","Preço bom")))))))</f>
        <v/>
      </c>
      <c r="P89" s="0" t="str">
        <f aca="false">IF(OR(G89="",N(L89)=0),"",(L89-G89)/L89-Taxas)</f>
        <v/>
      </c>
    </row>
    <row r="90" customFormat="false" ht="21" hidden="false" customHeight="true" outlineLevel="0" collapsed="false">
      <c r="B90" s="9"/>
      <c r="C90" s="42"/>
      <c r="D90" s="42"/>
      <c r="E90" s="43"/>
      <c r="F90" s="27" t="str">
        <f aca="false">IF(B90="","",SUMIFS(Receitas!$F$5:$F$504,Receitas!$B$5:$B$504,B90))</f>
        <v/>
      </c>
      <c r="G90" s="27" t="str">
        <f aca="false">IF(B90="","",IF(N(E90)&gt;0,E90*(1+Perdas),IF(AND(N(C90)&gt;0,N(F90)&gt;0),F90*(1+Perdas)/C90,"")))</f>
        <v/>
      </c>
      <c r="H90" s="27" t="str">
        <f aca="false">IF(G90="","",IF(N(E90)&gt;0,0,N(D90)*ValorHora/C90))</f>
        <v/>
      </c>
      <c r="I90" s="36" t="str">
        <f aca="false">IF(G90="","",G90+H90)</f>
        <v/>
      </c>
      <c r="J90" s="27" t="str">
        <f aca="false">IF(I90="","",I90/(1-Taxas))</f>
        <v/>
      </c>
      <c r="K90" s="36" t="str">
        <f aca="false">IF(I90="","",IF(Taxas+LucroDesejado&gt;=1,"",IF(I90/(1-Taxas-LucroDesejado)&lt;3,CEILING(I90/(1-Taxas-LucroDesejado),0.1),CEILING(I90/(1-Taxas-LucroDesejado),0.5))))</f>
        <v/>
      </c>
      <c r="L90" s="43"/>
      <c r="M90" s="27" t="str">
        <f aca="false">IF(OR(I90="",N(L90)=0),"",L90-I90-L90*Taxas)</f>
        <v/>
      </c>
      <c r="N90" s="35" t="str">
        <f aca="false">IF(M90="","",M90/L90)</f>
        <v/>
      </c>
      <c r="O90" s="39" t="str">
        <f aca="false">IF(B90="","",IF(AND(N(E90)=0,N(F90)=0),"Falta a receita ou o custo",IF(G90="","Falta o rendimento",IF(N(L90)=0,"Falta o seu preço",IF(L90&lt;G90/(1-Taxas),"Prejuízo",IF(L90&lt;J90-0.005,"Não paga o seu tempo",IF(L90&lt;K90-0.005,"Abaixo do sugerido","Preço bom")))))))</f>
        <v/>
      </c>
      <c r="P90" s="0" t="str">
        <f aca="false">IF(OR(G90="",N(L90)=0),"",(L90-G90)/L90-Taxas)</f>
        <v/>
      </c>
    </row>
    <row r="91" customFormat="false" ht="21" hidden="false" customHeight="true" outlineLevel="0" collapsed="false">
      <c r="B91" s="9"/>
      <c r="C91" s="42"/>
      <c r="D91" s="42"/>
      <c r="E91" s="43"/>
      <c r="F91" s="27" t="str">
        <f aca="false">IF(B91="","",SUMIFS(Receitas!$F$5:$F$504,Receitas!$B$5:$B$504,B91))</f>
        <v/>
      </c>
      <c r="G91" s="27" t="str">
        <f aca="false">IF(B91="","",IF(N(E91)&gt;0,E91*(1+Perdas),IF(AND(N(C91)&gt;0,N(F91)&gt;0),F91*(1+Perdas)/C91,"")))</f>
        <v/>
      </c>
      <c r="H91" s="27" t="str">
        <f aca="false">IF(G91="","",IF(N(E91)&gt;0,0,N(D91)*ValorHora/C91))</f>
        <v/>
      </c>
      <c r="I91" s="36" t="str">
        <f aca="false">IF(G91="","",G91+H91)</f>
        <v/>
      </c>
      <c r="J91" s="27" t="str">
        <f aca="false">IF(I91="","",I91/(1-Taxas))</f>
        <v/>
      </c>
      <c r="K91" s="36" t="str">
        <f aca="false">IF(I91="","",IF(Taxas+LucroDesejado&gt;=1,"",IF(I91/(1-Taxas-LucroDesejado)&lt;3,CEILING(I91/(1-Taxas-LucroDesejado),0.1),CEILING(I91/(1-Taxas-LucroDesejado),0.5))))</f>
        <v/>
      </c>
      <c r="L91" s="43"/>
      <c r="M91" s="27" t="str">
        <f aca="false">IF(OR(I91="",N(L91)=0),"",L91-I91-L91*Taxas)</f>
        <v/>
      </c>
      <c r="N91" s="35" t="str">
        <f aca="false">IF(M91="","",M91/L91)</f>
        <v/>
      </c>
      <c r="O91" s="39" t="str">
        <f aca="false">IF(B91="","",IF(AND(N(E91)=0,N(F91)=0),"Falta a receita ou o custo",IF(G91="","Falta o rendimento",IF(N(L91)=0,"Falta o seu preço",IF(L91&lt;G91/(1-Taxas),"Prejuízo",IF(L91&lt;J91-0.005,"Não paga o seu tempo",IF(L91&lt;K91-0.005,"Abaixo do sugerido","Preço bom")))))))</f>
        <v/>
      </c>
      <c r="P91" s="0" t="str">
        <f aca="false">IF(OR(G91="",N(L91)=0),"",(L91-G91)/L91-Taxas)</f>
        <v/>
      </c>
    </row>
    <row r="92" customFormat="false" ht="21" hidden="false" customHeight="true" outlineLevel="0" collapsed="false">
      <c r="B92" s="9"/>
      <c r="C92" s="42"/>
      <c r="D92" s="42"/>
      <c r="E92" s="43"/>
      <c r="F92" s="27" t="str">
        <f aca="false">IF(B92="","",SUMIFS(Receitas!$F$5:$F$504,Receitas!$B$5:$B$504,B92))</f>
        <v/>
      </c>
      <c r="G92" s="27" t="str">
        <f aca="false">IF(B92="","",IF(N(E92)&gt;0,E92*(1+Perdas),IF(AND(N(C92)&gt;0,N(F92)&gt;0),F92*(1+Perdas)/C92,"")))</f>
        <v/>
      </c>
      <c r="H92" s="27" t="str">
        <f aca="false">IF(G92="","",IF(N(E92)&gt;0,0,N(D92)*ValorHora/C92))</f>
        <v/>
      </c>
      <c r="I92" s="36" t="str">
        <f aca="false">IF(G92="","",G92+H92)</f>
        <v/>
      </c>
      <c r="J92" s="27" t="str">
        <f aca="false">IF(I92="","",I92/(1-Taxas))</f>
        <v/>
      </c>
      <c r="K92" s="36" t="str">
        <f aca="false">IF(I92="","",IF(Taxas+LucroDesejado&gt;=1,"",IF(I92/(1-Taxas-LucroDesejado)&lt;3,CEILING(I92/(1-Taxas-LucroDesejado),0.1),CEILING(I92/(1-Taxas-LucroDesejado),0.5))))</f>
        <v/>
      </c>
      <c r="L92" s="43"/>
      <c r="M92" s="27" t="str">
        <f aca="false">IF(OR(I92="",N(L92)=0),"",L92-I92-L92*Taxas)</f>
        <v/>
      </c>
      <c r="N92" s="35" t="str">
        <f aca="false">IF(M92="","",M92/L92)</f>
        <v/>
      </c>
      <c r="O92" s="39" t="str">
        <f aca="false">IF(B92="","",IF(AND(N(E92)=0,N(F92)=0),"Falta a receita ou o custo",IF(G92="","Falta o rendimento",IF(N(L92)=0,"Falta o seu preço",IF(L92&lt;G92/(1-Taxas),"Prejuízo",IF(L92&lt;J92-0.005,"Não paga o seu tempo",IF(L92&lt;K92-0.005,"Abaixo do sugerido","Preço bom")))))))</f>
        <v/>
      </c>
      <c r="P92" s="0" t="str">
        <f aca="false">IF(OR(G92="",N(L92)=0),"",(L92-G92)/L92-Taxas)</f>
        <v/>
      </c>
    </row>
    <row r="93" customFormat="false" ht="21" hidden="false" customHeight="true" outlineLevel="0" collapsed="false">
      <c r="B93" s="9"/>
      <c r="C93" s="42"/>
      <c r="D93" s="42"/>
      <c r="E93" s="43"/>
      <c r="F93" s="27" t="str">
        <f aca="false">IF(B93="","",SUMIFS(Receitas!$F$5:$F$504,Receitas!$B$5:$B$504,B93))</f>
        <v/>
      </c>
      <c r="G93" s="27" t="str">
        <f aca="false">IF(B93="","",IF(N(E93)&gt;0,E93*(1+Perdas),IF(AND(N(C93)&gt;0,N(F93)&gt;0),F93*(1+Perdas)/C93,"")))</f>
        <v/>
      </c>
      <c r="H93" s="27" t="str">
        <f aca="false">IF(G93="","",IF(N(E93)&gt;0,0,N(D93)*ValorHora/C93))</f>
        <v/>
      </c>
      <c r="I93" s="36" t="str">
        <f aca="false">IF(G93="","",G93+H93)</f>
        <v/>
      </c>
      <c r="J93" s="27" t="str">
        <f aca="false">IF(I93="","",I93/(1-Taxas))</f>
        <v/>
      </c>
      <c r="K93" s="36" t="str">
        <f aca="false">IF(I93="","",IF(Taxas+LucroDesejado&gt;=1,"",IF(I93/(1-Taxas-LucroDesejado)&lt;3,CEILING(I93/(1-Taxas-LucroDesejado),0.1),CEILING(I93/(1-Taxas-LucroDesejado),0.5))))</f>
        <v/>
      </c>
      <c r="L93" s="43"/>
      <c r="M93" s="27" t="str">
        <f aca="false">IF(OR(I93="",N(L93)=0),"",L93-I93-L93*Taxas)</f>
        <v/>
      </c>
      <c r="N93" s="35" t="str">
        <f aca="false">IF(M93="","",M93/L93)</f>
        <v/>
      </c>
      <c r="O93" s="39" t="str">
        <f aca="false">IF(B93="","",IF(AND(N(E93)=0,N(F93)=0),"Falta a receita ou o custo",IF(G93="","Falta o rendimento",IF(N(L93)=0,"Falta o seu preço",IF(L93&lt;G93/(1-Taxas),"Prejuízo",IF(L93&lt;J93-0.005,"Não paga o seu tempo",IF(L93&lt;K93-0.005,"Abaixo do sugerido","Preço bom")))))))</f>
        <v/>
      </c>
      <c r="P93" s="0" t="str">
        <f aca="false">IF(OR(G93="",N(L93)=0),"",(L93-G93)/L93-Taxas)</f>
        <v/>
      </c>
    </row>
    <row r="94" customFormat="false" ht="21" hidden="false" customHeight="true" outlineLevel="0" collapsed="false">
      <c r="B94" s="9"/>
      <c r="C94" s="42"/>
      <c r="D94" s="42"/>
      <c r="E94" s="43"/>
      <c r="F94" s="27" t="str">
        <f aca="false">IF(B94="","",SUMIFS(Receitas!$F$5:$F$504,Receitas!$B$5:$B$504,B94))</f>
        <v/>
      </c>
      <c r="G94" s="27" t="str">
        <f aca="false">IF(B94="","",IF(N(E94)&gt;0,E94*(1+Perdas),IF(AND(N(C94)&gt;0,N(F94)&gt;0),F94*(1+Perdas)/C94,"")))</f>
        <v/>
      </c>
      <c r="H94" s="27" t="str">
        <f aca="false">IF(G94="","",IF(N(E94)&gt;0,0,N(D94)*ValorHora/C94))</f>
        <v/>
      </c>
      <c r="I94" s="36" t="str">
        <f aca="false">IF(G94="","",G94+H94)</f>
        <v/>
      </c>
      <c r="J94" s="27" t="str">
        <f aca="false">IF(I94="","",I94/(1-Taxas))</f>
        <v/>
      </c>
      <c r="K94" s="36" t="str">
        <f aca="false">IF(I94="","",IF(Taxas+LucroDesejado&gt;=1,"",IF(I94/(1-Taxas-LucroDesejado)&lt;3,CEILING(I94/(1-Taxas-LucroDesejado),0.1),CEILING(I94/(1-Taxas-LucroDesejado),0.5))))</f>
        <v/>
      </c>
      <c r="L94" s="43"/>
      <c r="M94" s="27" t="str">
        <f aca="false">IF(OR(I94="",N(L94)=0),"",L94-I94-L94*Taxas)</f>
        <v/>
      </c>
      <c r="N94" s="35" t="str">
        <f aca="false">IF(M94="","",M94/L94)</f>
        <v/>
      </c>
      <c r="O94" s="39" t="str">
        <f aca="false">IF(B94="","",IF(AND(N(E94)=0,N(F94)=0),"Falta a receita ou o custo",IF(G94="","Falta o rendimento",IF(N(L94)=0,"Falta o seu preço",IF(L94&lt;G94/(1-Taxas),"Prejuízo",IF(L94&lt;J94-0.005,"Não paga o seu tempo",IF(L94&lt;K94-0.005,"Abaixo do sugerido","Preço bom")))))))</f>
        <v/>
      </c>
      <c r="P94" s="0" t="str">
        <f aca="false">IF(OR(G94="",N(L94)=0),"",(L94-G94)/L94-Taxas)</f>
        <v/>
      </c>
    </row>
    <row r="95" customFormat="false" ht="21" hidden="false" customHeight="true" outlineLevel="0" collapsed="false">
      <c r="B95" s="9"/>
      <c r="C95" s="42"/>
      <c r="D95" s="42"/>
      <c r="E95" s="43"/>
      <c r="F95" s="27" t="str">
        <f aca="false">IF(B95="","",SUMIFS(Receitas!$F$5:$F$504,Receitas!$B$5:$B$504,B95))</f>
        <v/>
      </c>
      <c r="G95" s="27" t="str">
        <f aca="false">IF(B95="","",IF(N(E95)&gt;0,E95*(1+Perdas),IF(AND(N(C95)&gt;0,N(F95)&gt;0),F95*(1+Perdas)/C95,"")))</f>
        <v/>
      </c>
      <c r="H95" s="27" t="str">
        <f aca="false">IF(G95="","",IF(N(E95)&gt;0,0,N(D95)*ValorHora/C95))</f>
        <v/>
      </c>
      <c r="I95" s="36" t="str">
        <f aca="false">IF(G95="","",G95+H95)</f>
        <v/>
      </c>
      <c r="J95" s="27" t="str">
        <f aca="false">IF(I95="","",I95/(1-Taxas))</f>
        <v/>
      </c>
      <c r="K95" s="36" t="str">
        <f aca="false">IF(I95="","",IF(Taxas+LucroDesejado&gt;=1,"",IF(I95/(1-Taxas-LucroDesejado)&lt;3,CEILING(I95/(1-Taxas-LucroDesejado),0.1),CEILING(I95/(1-Taxas-LucroDesejado),0.5))))</f>
        <v/>
      </c>
      <c r="L95" s="43"/>
      <c r="M95" s="27" t="str">
        <f aca="false">IF(OR(I95="",N(L95)=0),"",L95-I95-L95*Taxas)</f>
        <v/>
      </c>
      <c r="N95" s="35" t="str">
        <f aca="false">IF(M95="","",M95/L95)</f>
        <v/>
      </c>
      <c r="O95" s="39" t="str">
        <f aca="false">IF(B95="","",IF(AND(N(E95)=0,N(F95)=0),"Falta a receita ou o custo",IF(G95="","Falta o rendimento",IF(N(L95)=0,"Falta o seu preço",IF(L95&lt;G95/(1-Taxas),"Prejuízo",IF(L95&lt;J95-0.005,"Não paga o seu tempo",IF(L95&lt;K95-0.005,"Abaixo do sugerido","Preço bom")))))))</f>
        <v/>
      </c>
      <c r="P95" s="0" t="str">
        <f aca="false">IF(OR(G95="",N(L95)=0),"",(L95-G95)/L95-Taxas)</f>
        <v/>
      </c>
    </row>
    <row r="96" customFormat="false" ht="21" hidden="false" customHeight="true" outlineLevel="0" collapsed="false">
      <c r="B96" s="9"/>
      <c r="C96" s="42"/>
      <c r="D96" s="42"/>
      <c r="E96" s="43"/>
      <c r="F96" s="27" t="str">
        <f aca="false">IF(B96="","",SUMIFS(Receitas!$F$5:$F$504,Receitas!$B$5:$B$504,B96))</f>
        <v/>
      </c>
      <c r="G96" s="27" t="str">
        <f aca="false">IF(B96="","",IF(N(E96)&gt;0,E96*(1+Perdas),IF(AND(N(C96)&gt;0,N(F96)&gt;0),F96*(1+Perdas)/C96,"")))</f>
        <v/>
      </c>
      <c r="H96" s="27" t="str">
        <f aca="false">IF(G96="","",IF(N(E96)&gt;0,0,N(D96)*ValorHora/C96))</f>
        <v/>
      </c>
      <c r="I96" s="36" t="str">
        <f aca="false">IF(G96="","",G96+H96)</f>
        <v/>
      </c>
      <c r="J96" s="27" t="str">
        <f aca="false">IF(I96="","",I96/(1-Taxas))</f>
        <v/>
      </c>
      <c r="K96" s="36" t="str">
        <f aca="false">IF(I96="","",IF(Taxas+LucroDesejado&gt;=1,"",IF(I96/(1-Taxas-LucroDesejado)&lt;3,CEILING(I96/(1-Taxas-LucroDesejado),0.1),CEILING(I96/(1-Taxas-LucroDesejado),0.5))))</f>
        <v/>
      </c>
      <c r="L96" s="43"/>
      <c r="M96" s="27" t="str">
        <f aca="false">IF(OR(I96="",N(L96)=0),"",L96-I96-L96*Taxas)</f>
        <v/>
      </c>
      <c r="N96" s="35" t="str">
        <f aca="false">IF(M96="","",M96/L96)</f>
        <v/>
      </c>
      <c r="O96" s="39" t="str">
        <f aca="false">IF(B96="","",IF(AND(N(E96)=0,N(F96)=0),"Falta a receita ou o custo",IF(G96="","Falta o rendimento",IF(N(L96)=0,"Falta o seu preço",IF(L96&lt;G96/(1-Taxas),"Prejuízo",IF(L96&lt;J96-0.005,"Não paga o seu tempo",IF(L96&lt;K96-0.005,"Abaixo do sugerido","Preço bom")))))))</f>
        <v/>
      </c>
      <c r="P96" s="0" t="str">
        <f aca="false">IF(OR(G96="",N(L96)=0),"",(L96-G96)/L96-Taxas)</f>
        <v/>
      </c>
    </row>
    <row r="97" customFormat="false" ht="21" hidden="false" customHeight="true" outlineLevel="0" collapsed="false">
      <c r="B97" s="9"/>
      <c r="C97" s="42"/>
      <c r="D97" s="42"/>
      <c r="E97" s="43"/>
      <c r="F97" s="27" t="str">
        <f aca="false">IF(B97="","",SUMIFS(Receitas!$F$5:$F$504,Receitas!$B$5:$B$504,B97))</f>
        <v/>
      </c>
      <c r="G97" s="27" t="str">
        <f aca="false">IF(B97="","",IF(N(E97)&gt;0,E97*(1+Perdas),IF(AND(N(C97)&gt;0,N(F97)&gt;0),F97*(1+Perdas)/C97,"")))</f>
        <v/>
      </c>
      <c r="H97" s="27" t="str">
        <f aca="false">IF(G97="","",IF(N(E97)&gt;0,0,N(D97)*ValorHora/C97))</f>
        <v/>
      </c>
      <c r="I97" s="36" t="str">
        <f aca="false">IF(G97="","",G97+H97)</f>
        <v/>
      </c>
      <c r="J97" s="27" t="str">
        <f aca="false">IF(I97="","",I97/(1-Taxas))</f>
        <v/>
      </c>
      <c r="K97" s="36" t="str">
        <f aca="false">IF(I97="","",IF(Taxas+LucroDesejado&gt;=1,"",IF(I97/(1-Taxas-LucroDesejado)&lt;3,CEILING(I97/(1-Taxas-LucroDesejado),0.1),CEILING(I97/(1-Taxas-LucroDesejado),0.5))))</f>
        <v/>
      </c>
      <c r="L97" s="43"/>
      <c r="M97" s="27" t="str">
        <f aca="false">IF(OR(I97="",N(L97)=0),"",L97-I97-L97*Taxas)</f>
        <v/>
      </c>
      <c r="N97" s="35" t="str">
        <f aca="false">IF(M97="","",M97/L97)</f>
        <v/>
      </c>
      <c r="O97" s="39" t="str">
        <f aca="false">IF(B97="","",IF(AND(N(E97)=0,N(F97)=0),"Falta a receita ou o custo",IF(G97="","Falta o rendimento",IF(N(L97)=0,"Falta o seu preço",IF(L97&lt;G97/(1-Taxas),"Prejuízo",IF(L97&lt;J97-0.005,"Não paga o seu tempo",IF(L97&lt;K97-0.005,"Abaixo do sugerido","Preço bom")))))))</f>
        <v/>
      </c>
      <c r="P97" s="0" t="str">
        <f aca="false">IF(OR(G97="",N(L97)=0),"",(L97-G97)/L97-Taxas)</f>
        <v/>
      </c>
    </row>
    <row r="98" customFormat="false" ht="21" hidden="false" customHeight="true" outlineLevel="0" collapsed="false">
      <c r="B98" s="9"/>
      <c r="C98" s="42"/>
      <c r="D98" s="42"/>
      <c r="E98" s="43"/>
      <c r="F98" s="27" t="str">
        <f aca="false">IF(B98="","",SUMIFS(Receitas!$F$5:$F$504,Receitas!$B$5:$B$504,B98))</f>
        <v/>
      </c>
      <c r="G98" s="27" t="str">
        <f aca="false">IF(B98="","",IF(N(E98)&gt;0,E98*(1+Perdas),IF(AND(N(C98)&gt;0,N(F98)&gt;0),F98*(1+Perdas)/C98,"")))</f>
        <v/>
      </c>
      <c r="H98" s="27" t="str">
        <f aca="false">IF(G98="","",IF(N(E98)&gt;0,0,N(D98)*ValorHora/C98))</f>
        <v/>
      </c>
      <c r="I98" s="36" t="str">
        <f aca="false">IF(G98="","",G98+H98)</f>
        <v/>
      </c>
      <c r="J98" s="27" t="str">
        <f aca="false">IF(I98="","",I98/(1-Taxas))</f>
        <v/>
      </c>
      <c r="K98" s="36" t="str">
        <f aca="false">IF(I98="","",IF(Taxas+LucroDesejado&gt;=1,"",IF(I98/(1-Taxas-LucroDesejado)&lt;3,CEILING(I98/(1-Taxas-LucroDesejado),0.1),CEILING(I98/(1-Taxas-LucroDesejado),0.5))))</f>
        <v/>
      </c>
      <c r="L98" s="43"/>
      <c r="M98" s="27" t="str">
        <f aca="false">IF(OR(I98="",N(L98)=0),"",L98-I98-L98*Taxas)</f>
        <v/>
      </c>
      <c r="N98" s="35" t="str">
        <f aca="false">IF(M98="","",M98/L98)</f>
        <v/>
      </c>
      <c r="O98" s="39" t="str">
        <f aca="false">IF(B98="","",IF(AND(N(E98)=0,N(F98)=0),"Falta a receita ou o custo",IF(G98="","Falta o rendimento",IF(N(L98)=0,"Falta o seu preço",IF(L98&lt;G98/(1-Taxas),"Prejuízo",IF(L98&lt;J98-0.005,"Não paga o seu tempo",IF(L98&lt;K98-0.005,"Abaixo do sugerido","Preço bom")))))))</f>
        <v/>
      </c>
      <c r="P98" s="0" t="str">
        <f aca="false">IF(OR(G98="",N(L98)=0),"",(L98-G98)/L98-Taxas)</f>
        <v/>
      </c>
    </row>
    <row r="99" customFormat="false" ht="21" hidden="false" customHeight="true" outlineLevel="0" collapsed="false">
      <c r="B99" s="9"/>
      <c r="C99" s="42"/>
      <c r="D99" s="42"/>
      <c r="E99" s="43"/>
      <c r="F99" s="27" t="str">
        <f aca="false">IF(B99="","",SUMIFS(Receitas!$F$5:$F$504,Receitas!$B$5:$B$504,B99))</f>
        <v/>
      </c>
      <c r="G99" s="27" t="str">
        <f aca="false">IF(B99="","",IF(N(E99)&gt;0,E99*(1+Perdas),IF(AND(N(C99)&gt;0,N(F99)&gt;0),F99*(1+Perdas)/C99,"")))</f>
        <v/>
      </c>
      <c r="H99" s="27" t="str">
        <f aca="false">IF(G99="","",IF(N(E99)&gt;0,0,N(D99)*ValorHora/C99))</f>
        <v/>
      </c>
      <c r="I99" s="36" t="str">
        <f aca="false">IF(G99="","",G99+H99)</f>
        <v/>
      </c>
      <c r="J99" s="27" t="str">
        <f aca="false">IF(I99="","",I99/(1-Taxas))</f>
        <v/>
      </c>
      <c r="K99" s="36" t="str">
        <f aca="false">IF(I99="","",IF(Taxas+LucroDesejado&gt;=1,"",IF(I99/(1-Taxas-LucroDesejado)&lt;3,CEILING(I99/(1-Taxas-LucroDesejado),0.1),CEILING(I99/(1-Taxas-LucroDesejado),0.5))))</f>
        <v/>
      </c>
      <c r="L99" s="43"/>
      <c r="M99" s="27" t="str">
        <f aca="false">IF(OR(I99="",N(L99)=0),"",L99-I99-L99*Taxas)</f>
        <v/>
      </c>
      <c r="N99" s="35" t="str">
        <f aca="false">IF(M99="","",M99/L99)</f>
        <v/>
      </c>
      <c r="O99" s="39" t="str">
        <f aca="false">IF(B99="","",IF(AND(N(E99)=0,N(F99)=0),"Falta a receita ou o custo",IF(G99="","Falta o rendimento",IF(N(L99)=0,"Falta o seu preço",IF(L99&lt;G99/(1-Taxas),"Prejuízo",IF(L99&lt;J99-0.005,"Não paga o seu tempo",IF(L99&lt;K99-0.005,"Abaixo do sugerido","Preço bom")))))))</f>
        <v/>
      </c>
      <c r="P99" s="0" t="str">
        <f aca="false">IF(OR(G99="",N(L99)=0),"",(L99-G99)/L99-Taxas)</f>
        <v/>
      </c>
    </row>
    <row r="100" customFormat="false" ht="21" hidden="false" customHeight="true" outlineLevel="0" collapsed="false">
      <c r="B100" s="9"/>
      <c r="C100" s="42"/>
      <c r="D100" s="42"/>
      <c r="E100" s="43"/>
      <c r="F100" s="27" t="str">
        <f aca="false">IF(B100="","",SUMIFS(Receitas!$F$5:$F$504,Receitas!$B$5:$B$504,B100))</f>
        <v/>
      </c>
      <c r="G100" s="27" t="str">
        <f aca="false">IF(B100="","",IF(N(E100)&gt;0,E100*(1+Perdas),IF(AND(N(C100)&gt;0,N(F100)&gt;0),F100*(1+Perdas)/C100,"")))</f>
        <v/>
      </c>
      <c r="H100" s="27" t="str">
        <f aca="false">IF(G100="","",IF(N(E100)&gt;0,0,N(D100)*ValorHora/C100))</f>
        <v/>
      </c>
      <c r="I100" s="36" t="str">
        <f aca="false">IF(G100="","",G100+H100)</f>
        <v/>
      </c>
      <c r="J100" s="27" t="str">
        <f aca="false">IF(I100="","",I100/(1-Taxas))</f>
        <v/>
      </c>
      <c r="K100" s="36" t="str">
        <f aca="false">IF(I100="","",IF(Taxas+LucroDesejado&gt;=1,"",IF(I100/(1-Taxas-LucroDesejado)&lt;3,CEILING(I100/(1-Taxas-LucroDesejado),0.1),CEILING(I100/(1-Taxas-LucroDesejado),0.5))))</f>
        <v/>
      </c>
      <c r="L100" s="43"/>
      <c r="M100" s="27" t="str">
        <f aca="false">IF(OR(I100="",N(L100)=0),"",L100-I100-L100*Taxas)</f>
        <v/>
      </c>
      <c r="N100" s="35" t="str">
        <f aca="false">IF(M100="","",M100/L100)</f>
        <v/>
      </c>
      <c r="O100" s="39" t="str">
        <f aca="false">IF(B100="","",IF(AND(N(E100)=0,N(F100)=0),"Falta a receita ou o custo",IF(G100="","Falta o rendimento",IF(N(L100)=0,"Falta o seu preço",IF(L100&lt;G100/(1-Taxas),"Prejuízo",IF(L100&lt;J100-0.005,"Não paga o seu tempo",IF(L100&lt;K100-0.005,"Abaixo do sugerido","Preço bom")))))))</f>
        <v/>
      </c>
      <c r="P100" s="0" t="str">
        <f aca="false">IF(OR(G100="",N(L100)=0),"",(L100-G100)/L100-Taxas)</f>
        <v/>
      </c>
    </row>
    <row r="101" customFormat="false" ht="21" hidden="false" customHeight="true" outlineLevel="0" collapsed="false">
      <c r="B101" s="9"/>
      <c r="C101" s="42"/>
      <c r="D101" s="42"/>
      <c r="E101" s="43"/>
      <c r="F101" s="27" t="str">
        <f aca="false">IF(B101="","",SUMIFS(Receitas!$F$5:$F$504,Receitas!$B$5:$B$504,B101))</f>
        <v/>
      </c>
      <c r="G101" s="27" t="str">
        <f aca="false">IF(B101="","",IF(N(E101)&gt;0,E101*(1+Perdas),IF(AND(N(C101)&gt;0,N(F101)&gt;0),F101*(1+Perdas)/C101,"")))</f>
        <v/>
      </c>
      <c r="H101" s="27" t="str">
        <f aca="false">IF(G101="","",IF(N(E101)&gt;0,0,N(D101)*ValorHora/C101))</f>
        <v/>
      </c>
      <c r="I101" s="36" t="str">
        <f aca="false">IF(G101="","",G101+H101)</f>
        <v/>
      </c>
      <c r="J101" s="27" t="str">
        <f aca="false">IF(I101="","",I101/(1-Taxas))</f>
        <v/>
      </c>
      <c r="K101" s="36" t="str">
        <f aca="false">IF(I101="","",IF(Taxas+LucroDesejado&gt;=1,"",IF(I101/(1-Taxas-LucroDesejado)&lt;3,CEILING(I101/(1-Taxas-LucroDesejado),0.1),CEILING(I101/(1-Taxas-LucroDesejado),0.5))))</f>
        <v/>
      </c>
      <c r="L101" s="43"/>
      <c r="M101" s="27" t="str">
        <f aca="false">IF(OR(I101="",N(L101)=0),"",L101-I101-L101*Taxas)</f>
        <v/>
      </c>
      <c r="N101" s="35" t="str">
        <f aca="false">IF(M101="","",M101/L101)</f>
        <v/>
      </c>
      <c r="O101" s="39" t="str">
        <f aca="false">IF(B101="","",IF(AND(N(E101)=0,N(F101)=0),"Falta a receita ou o custo",IF(G101="","Falta o rendimento",IF(N(L101)=0,"Falta o seu preço",IF(L101&lt;G101/(1-Taxas),"Prejuízo",IF(L101&lt;J101-0.005,"Não paga o seu tempo",IF(L101&lt;K101-0.005,"Abaixo do sugerido","Preço bom")))))))</f>
        <v/>
      </c>
      <c r="P101" s="0" t="str">
        <f aca="false">IF(OR(G101="",N(L101)=0),"",(L101-G101)/L101-Taxas)</f>
        <v/>
      </c>
    </row>
    <row r="102" customFormat="false" ht="21" hidden="false" customHeight="true" outlineLevel="0" collapsed="false">
      <c r="B102" s="9"/>
      <c r="C102" s="42"/>
      <c r="D102" s="42"/>
      <c r="E102" s="43"/>
      <c r="F102" s="27" t="str">
        <f aca="false">IF(B102="","",SUMIFS(Receitas!$F$5:$F$504,Receitas!$B$5:$B$504,B102))</f>
        <v/>
      </c>
      <c r="G102" s="27" t="str">
        <f aca="false">IF(B102="","",IF(N(E102)&gt;0,E102*(1+Perdas),IF(AND(N(C102)&gt;0,N(F102)&gt;0),F102*(1+Perdas)/C102,"")))</f>
        <v/>
      </c>
      <c r="H102" s="27" t="str">
        <f aca="false">IF(G102="","",IF(N(E102)&gt;0,0,N(D102)*ValorHora/C102))</f>
        <v/>
      </c>
      <c r="I102" s="36" t="str">
        <f aca="false">IF(G102="","",G102+H102)</f>
        <v/>
      </c>
      <c r="J102" s="27" t="str">
        <f aca="false">IF(I102="","",I102/(1-Taxas))</f>
        <v/>
      </c>
      <c r="K102" s="36" t="str">
        <f aca="false">IF(I102="","",IF(Taxas+LucroDesejado&gt;=1,"",IF(I102/(1-Taxas-LucroDesejado)&lt;3,CEILING(I102/(1-Taxas-LucroDesejado),0.1),CEILING(I102/(1-Taxas-LucroDesejado),0.5))))</f>
        <v/>
      </c>
      <c r="L102" s="43"/>
      <c r="M102" s="27" t="str">
        <f aca="false">IF(OR(I102="",N(L102)=0),"",L102-I102-L102*Taxas)</f>
        <v/>
      </c>
      <c r="N102" s="35" t="str">
        <f aca="false">IF(M102="","",M102/L102)</f>
        <v/>
      </c>
      <c r="O102" s="39" t="str">
        <f aca="false">IF(B102="","",IF(AND(N(E102)=0,N(F102)=0),"Falta a receita ou o custo",IF(G102="","Falta o rendimento",IF(N(L102)=0,"Falta o seu preço",IF(L102&lt;G102/(1-Taxas),"Prejuízo",IF(L102&lt;J102-0.005,"Não paga o seu tempo",IF(L102&lt;K102-0.005,"Abaixo do sugerido","Preço bom")))))))</f>
        <v/>
      </c>
      <c r="P102" s="0" t="str">
        <f aca="false">IF(OR(G102="",N(L102)=0),"",(L102-G102)/L102-Taxas)</f>
        <v/>
      </c>
    </row>
    <row r="103" customFormat="false" ht="21" hidden="false" customHeight="true" outlineLevel="0" collapsed="false">
      <c r="B103" s="9"/>
      <c r="C103" s="42"/>
      <c r="D103" s="42"/>
      <c r="E103" s="43"/>
      <c r="F103" s="27" t="str">
        <f aca="false">IF(B103="","",SUMIFS(Receitas!$F$5:$F$504,Receitas!$B$5:$B$504,B103))</f>
        <v/>
      </c>
      <c r="G103" s="27" t="str">
        <f aca="false">IF(B103="","",IF(N(E103)&gt;0,E103*(1+Perdas),IF(AND(N(C103)&gt;0,N(F103)&gt;0),F103*(1+Perdas)/C103,"")))</f>
        <v/>
      </c>
      <c r="H103" s="27" t="str">
        <f aca="false">IF(G103="","",IF(N(E103)&gt;0,0,N(D103)*ValorHora/C103))</f>
        <v/>
      </c>
      <c r="I103" s="36" t="str">
        <f aca="false">IF(G103="","",G103+H103)</f>
        <v/>
      </c>
      <c r="J103" s="27" t="str">
        <f aca="false">IF(I103="","",I103/(1-Taxas))</f>
        <v/>
      </c>
      <c r="K103" s="36" t="str">
        <f aca="false">IF(I103="","",IF(Taxas+LucroDesejado&gt;=1,"",IF(I103/(1-Taxas-LucroDesejado)&lt;3,CEILING(I103/(1-Taxas-LucroDesejado),0.1),CEILING(I103/(1-Taxas-LucroDesejado),0.5))))</f>
        <v/>
      </c>
      <c r="L103" s="43"/>
      <c r="M103" s="27" t="str">
        <f aca="false">IF(OR(I103="",N(L103)=0),"",L103-I103-L103*Taxas)</f>
        <v/>
      </c>
      <c r="N103" s="35" t="str">
        <f aca="false">IF(M103="","",M103/L103)</f>
        <v/>
      </c>
      <c r="O103" s="39" t="str">
        <f aca="false">IF(B103="","",IF(AND(N(E103)=0,N(F103)=0),"Falta a receita ou o custo",IF(G103="","Falta o rendimento",IF(N(L103)=0,"Falta o seu preço",IF(L103&lt;G103/(1-Taxas),"Prejuízo",IF(L103&lt;J103-0.005,"Não paga o seu tempo",IF(L103&lt;K103-0.005,"Abaixo do sugerido","Preço bom")))))))</f>
        <v/>
      </c>
      <c r="P103" s="0" t="str">
        <f aca="false">IF(OR(G103="",N(L103)=0),"",(L103-G103)/L103-Taxas)</f>
        <v/>
      </c>
    </row>
    <row r="104" customFormat="false" ht="21" hidden="false" customHeight="true" outlineLevel="0" collapsed="false">
      <c r="B104" s="9"/>
      <c r="C104" s="42"/>
      <c r="D104" s="42"/>
      <c r="E104" s="43"/>
      <c r="F104" s="27" t="str">
        <f aca="false">IF(B104="","",SUMIFS(Receitas!$F$5:$F$504,Receitas!$B$5:$B$504,B104))</f>
        <v/>
      </c>
      <c r="G104" s="27" t="str">
        <f aca="false">IF(B104="","",IF(N(E104)&gt;0,E104*(1+Perdas),IF(AND(N(C104)&gt;0,N(F104)&gt;0),F104*(1+Perdas)/C104,"")))</f>
        <v/>
      </c>
      <c r="H104" s="27" t="str">
        <f aca="false">IF(G104="","",IF(N(E104)&gt;0,0,N(D104)*ValorHora/C104))</f>
        <v/>
      </c>
      <c r="I104" s="36" t="str">
        <f aca="false">IF(G104="","",G104+H104)</f>
        <v/>
      </c>
      <c r="J104" s="27" t="str">
        <f aca="false">IF(I104="","",I104/(1-Taxas))</f>
        <v/>
      </c>
      <c r="K104" s="36" t="str">
        <f aca="false">IF(I104="","",IF(Taxas+LucroDesejado&gt;=1,"",IF(I104/(1-Taxas-LucroDesejado)&lt;3,CEILING(I104/(1-Taxas-LucroDesejado),0.1),CEILING(I104/(1-Taxas-LucroDesejado),0.5))))</f>
        <v/>
      </c>
      <c r="L104" s="43"/>
      <c r="M104" s="27" t="str">
        <f aca="false">IF(OR(I104="",N(L104)=0),"",L104-I104-L104*Taxas)</f>
        <v/>
      </c>
      <c r="N104" s="35" t="str">
        <f aca="false">IF(M104="","",M104/L104)</f>
        <v/>
      </c>
      <c r="O104" s="39" t="str">
        <f aca="false">IF(B104="","",IF(AND(N(E104)=0,N(F104)=0),"Falta a receita ou o custo",IF(G104="","Falta o rendimento",IF(N(L104)=0,"Falta o seu preço",IF(L104&lt;G104/(1-Taxas),"Prejuízo",IF(L104&lt;J104-0.005,"Não paga o seu tempo",IF(L104&lt;K104-0.005,"Abaixo do sugerido","Preço bom")))))))</f>
        <v/>
      </c>
      <c r="P104" s="0" t="str">
        <f aca="false">IF(OR(G104="",N(L104)=0),"",(L104-G104)/L104-Taxas)</f>
        <v/>
      </c>
    </row>
  </sheetData>
  <mergeCells count="2">
    <mergeCell ref="B1:O1"/>
    <mergeCell ref="B2:O2"/>
  </mergeCells>
  <conditionalFormatting sqref="O5:O104">
    <cfRule type="expression" priority="2" aboveAverage="0" equalAverage="0" bottom="0" percent="0" rank="0" text="" dxfId="3">
      <formula>O5="Preço bom"</formula>
    </cfRule>
    <cfRule type="expression" priority="3" aboveAverage="0" equalAverage="0" bottom="0" percent="0" rank="0" text="" dxfId="1">
      <formula>O5="Prejuízo"</formula>
    </cfRule>
    <cfRule type="expression" priority="4" aboveAverage="0" equalAverage="0" bottom="0" percent="0" rank="0" text="" dxfId="4">
      <formula>O5="Não paga o seu tempo"</formula>
    </cfRule>
    <cfRule type="expression" priority="5" aboveAverage="0" equalAverage="0" bottom="0" percent="0" rank="0" text="" dxfId="4">
      <formula>O5="Abaixo do sugerido"</formula>
    </cfRule>
  </conditionalFormatting>
  <conditionalFormatting sqref="M5:N104">
    <cfRule type="cellIs" priority="6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573"/>
    <pageSetUpPr fitToPage="true"/>
  </sheetPr>
  <dimension ref="B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3" min="2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9.75" hidden="false" customHeight="true" outlineLevel="0" collapsed="false">
      <c r="B1" s="1" t="s">
        <v>10</v>
      </c>
      <c r="C1" s="1"/>
      <c r="D1" s="1"/>
      <c r="E1" s="1"/>
      <c r="F1" s="1"/>
      <c r="G1" s="1"/>
    </row>
    <row r="2" customFormat="false" ht="36" hidden="false" customHeight="true" outlineLevel="0" collapsed="false">
      <c r="B2" s="2" t="s">
        <v>155</v>
      </c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86</v>
      </c>
      <c r="C4" s="40" t="s">
        <v>156</v>
      </c>
      <c r="D4" s="40" t="s">
        <v>157</v>
      </c>
      <c r="E4" s="18" t="s">
        <v>158</v>
      </c>
      <c r="F4" s="18" t="s">
        <v>96</v>
      </c>
      <c r="G4" s="40" t="s">
        <v>112</v>
      </c>
    </row>
    <row r="5" customFormat="false" ht="21" hidden="false" customHeight="true" outlineLevel="0" collapsed="false">
      <c r="B5" s="9" t="s">
        <v>99</v>
      </c>
      <c r="C5" s="9" t="s">
        <v>159</v>
      </c>
      <c r="D5" s="42" t="n">
        <v>240</v>
      </c>
      <c r="E5" s="39" t="str">
        <f aca="false">IF(C5="","",IFERROR(INDEX(Materiais!$D$5:$D$204,MATCH(C5,Materiais!$B$5:$B$204,0)),"?"))</f>
        <v>g</v>
      </c>
      <c r="F5" s="27" t="n">
        <f aca="false">IF(OR(C5="",D5=""),"",IFERROR(D5*INDEX(Materiais!$F$5:$F$204,MATCH(C5,Materiais!$B$5:$B$204,0))/INDEX(Materiais!$E$5:$E$204,MATCH(C5,Materiais!$B$5:$B$204,0)),"Cadastre em Materiais"))</f>
        <v>1.3176</v>
      </c>
      <c r="G5" s="9" t="s">
        <v>160</v>
      </c>
    </row>
    <row r="6" customFormat="false" ht="21" hidden="false" customHeight="true" outlineLevel="0" collapsed="false">
      <c r="B6" s="9" t="s">
        <v>99</v>
      </c>
      <c r="C6" s="9" t="s">
        <v>161</v>
      </c>
      <c r="D6" s="42" t="n">
        <v>300</v>
      </c>
      <c r="E6" s="39" t="str">
        <f aca="false">IF(C6="","",IFERROR(INDEX(Materiais!$D$5:$D$204,MATCH(C6,Materiais!$B$5:$B$204,0)),"?"))</f>
        <v>g</v>
      </c>
      <c r="F6" s="27" t="n">
        <f aca="false">IF(OR(C6="",D6=""),"",IFERROR(D6*INDEX(Materiais!$F$5:$F$204,MATCH(C6,Materiais!$B$5:$B$204,0))/INDEX(Materiais!$E$5:$E$204,MATCH(C6,Materiais!$B$5:$B$204,0)),"Cadastre em Materiais"))</f>
        <v>1.437</v>
      </c>
      <c r="G6" s="9" t="s">
        <v>160</v>
      </c>
    </row>
    <row r="7" customFormat="false" ht="21" hidden="false" customHeight="true" outlineLevel="0" collapsed="false">
      <c r="B7" s="9" t="s">
        <v>99</v>
      </c>
      <c r="C7" s="9" t="s">
        <v>162</v>
      </c>
      <c r="D7" s="42" t="n">
        <v>100</v>
      </c>
      <c r="E7" s="39" t="str">
        <f aca="false">IF(C7="","",IFERROR(INDEX(Materiais!$D$5:$D$204,MATCH(C7,Materiais!$B$5:$B$204,0)),"?"))</f>
        <v>g</v>
      </c>
      <c r="F7" s="27" t="n">
        <f aca="false">IF(OR(C7="",D7=""),"",IFERROR(D7*INDEX(Materiais!$F$5:$F$204,MATCH(C7,Materiais!$B$5:$B$204,0))/INDEX(Materiais!$E$5:$E$204,MATCH(C7,Materiais!$B$5:$B$204,0)),"Cadastre em Materiais"))</f>
        <v>4.95</v>
      </c>
      <c r="G7" s="9" t="s">
        <v>163</v>
      </c>
    </row>
    <row r="8" customFormat="false" ht="21" hidden="false" customHeight="true" outlineLevel="0" collapsed="false">
      <c r="B8" s="9" t="s">
        <v>99</v>
      </c>
      <c r="C8" s="9" t="s">
        <v>164</v>
      </c>
      <c r="D8" s="42" t="n">
        <v>4</v>
      </c>
      <c r="E8" s="39" t="str">
        <f aca="false">IF(C8="","",IFERROR(INDEX(Materiais!$D$5:$D$204,MATCH(C8,Materiais!$B$5:$B$204,0)),"?"))</f>
        <v>un</v>
      </c>
      <c r="F8" s="27" t="n">
        <f aca="false">IF(OR(C8="",D8=""),"",IFERROR(D8*INDEX(Materiais!$F$5:$F$204,MATCH(C8,Materiais!$B$5:$B$204,0))/INDEX(Materiais!$E$5:$E$204,MATCH(C8,Materiais!$B$5:$B$204,0)),"Cadastre em Materiais"))</f>
        <v>2.65333333333333</v>
      </c>
      <c r="G8" s="9" t="s">
        <v>160</v>
      </c>
    </row>
    <row r="9" customFormat="false" ht="21" hidden="false" customHeight="true" outlineLevel="0" collapsed="false">
      <c r="B9" s="9" t="s">
        <v>99</v>
      </c>
      <c r="C9" s="9" t="s">
        <v>165</v>
      </c>
      <c r="D9" s="42" t="n">
        <v>240</v>
      </c>
      <c r="E9" s="39" t="str">
        <f aca="false">IF(C9="","",IFERROR(INDEX(Materiais!$D$5:$D$204,MATCH(C9,Materiais!$B$5:$B$204,0)),"?"))</f>
        <v>ml</v>
      </c>
      <c r="F9" s="27" t="n">
        <f aca="false">IF(OR(C9="",D9=""),"",IFERROR(D9*INDEX(Materiais!$F$5:$F$204,MATCH(C9,Materiais!$B$5:$B$204,0))/INDEX(Materiais!$E$5:$E$204,MATCH(C9,Materiais!$B$5:$B$204,0)),"Cadastre em Materiais"))</f>
        <v>1.2696</v>
      </c>
      <c r="G9" s="9" t="s">
        <v>160</v>
      </c>
    </row>
    <row r="10" customFormat="false" ht="21" hidden="false" customHeight="true" outlineLevel="0" collapsed="false">
      <c r="B10" s="9" t="s">
        <v>99</v>
      </c>
      <c r="C10" s="9" t="s">
        <v>166</v>
      </c>
      <c r="D10" s="42" t="n">
        <v>120</v>
      </c>
      <c r="E10" s="39" t="str">
        <f aca="false">IF(C10="","",IFERROR(INDEX(Materiais!$D$5:$D$204,MATCH(C10,Materiais!$B$5:$B$204,0)),"?"))</f>
        <v>ml</v>
      </c>
      <c r="F10" s="27" t="n">
        <f aca="false">IF(OR(C10="",D10=""),"",IFERROR(D10*INDEX(Materiais!$F$5:$F$204,MATCH(C10,Materiais!$B$5:$B$204,0))/INDEX(Materiais!$E$5:$E$204,MATCH(C10,Materiais!$B$5:$B$204,0)),"Cadastre em Materiais"))</f>
        <v>1.06533333333333</v>
      </c>
      <c r="G10" s="9" t="s">
        <v>160</v>
      </c>
    </row>
    <row r="11" customFormat="false" ht="21" hidden="false" customHeight="true" outlineLevel="0" collapsed="false">
      <c r="B11" s="9" t="s">
        <v>99</v>
      </c>
      <c r="C11" s="9" t="s">
        <v>167</v>
      </c>
      <c r="D11" s="42" t="n">
        <v>15</v>
      </c>
      <c r="E11" s="39" t="str">
        <f aca="false">IF(C11="","",IFERROR(INDEX(Materiais!$D$5:$D$204,MATCH(C11,Materiais!$B$5:$B$204,0)),"?"))</f>
        <v>g</v>
      </c>
      <c r="F11" s="27" t="n">
        <f aca="false">IF(OR(C11="",D11=""),"",IFERROR(D11*INDEX(Materiais!$F$5:$F$204,MATCH(C11,Materiais!$B$5:$B$204,0))/INDEX(Materiais!$E$5:$E$204,MATCH(C11,Materiais!$B$5:$B$204,0)),"Cadastre em Materiais"))</f>
        <v>0.5985</v>
      </c>
      <c r="G11" s="9" t="s">
        <v>160</v>
      </c>
    </row>
    <row r="12" customFormat="false" ht="21" hidden="false" customHeight="true" outlineLevel="0" collapsed="false">
      <c r="B12" s="9" t="s">
        <v>99</v>
      </c>
      <c r="C12" s="9" t="s">
        <v>168</v>
      </c>
      <c r="D12" s="42" t="n">
        <v>790</v>
      </c>
      <c r="E12" s="39" t="str">
        <f aca="false">IF(C12="","",IFERROR(INDEX(Materiais!$D$5:$D$204,MATCH(C12,Materiais!$B$5:$B$204,0)),"?"))</f>
        <v>g</v>
      </c>
      <c r="F12" s="27" t="n">
        <f aca="false">IF(OR(C12="",D12=""),"",IFERROR(D12*INDEX(Materiais!$F$5:$F$204,MATCH(C12,Materiais!$B$5:$B$204,0))/INDEX(Materiais!$E$5:$E$204,MATCH(C12,Materiais!$B$5:$B$204,0)),"Cadastre em Materiais"))</f>
        <v>12.98</v>
      </c>
      <c r="G12" s="9" t="s">
        <v>169</v>
      </c>
    </row>
    <row r="13" customFormat="false" ht="21" hidden="false" customHeight="true" outlineLevel="0" collapsed="false">
      <c r="B13" s="9" t="s">
        <v>99</v>
      </c>
      <c r="C13" s="9" t="s">
        <v>170</v>
      </c>
      <c r="D13" s="42" t="n">
        <v>200</v>
      </c>
      <c r="E13" s="39" t="str">
        <f aca="false">IF(C13="","",IFERROR(INDEX(Materiais!$D$5:$D$204,MATCH(C13,Materiais!$B$5:$B$204,0)),"?"))</f>
        <v>g</v>
      </c>
      <c r="F13" s="27" t="n">
        <f aca="false">IF(OR(C13="",D13=""),"",IFERROR(D13*INDEX(Materiais!$F$5:$F$204,MATCH(C13,Materiais!$B$5:$B$204,0))/INDEX(Materiais!$E$5:$E$204,MATCH(C13,Materiais!$B$5:$B$204,0)),"Cadastre em Materiais"))</f>
        <v>3.29</v>
      </c>
      <c r="G13" s="9" t="s">
        <v>171</v>
      </c>
    </row>
    <row r="14" customFormat="false" ht="21" hidden="false" customHeight="true" outlineLevel="0" collapsed="false">
      <c r="B14" s="9" t="s">
        <v>99</v>
      </c>
      <c r="C14" s="9" t="s">
        <v>172</v>
      </c>
      <c r="D14" s="42" t="n">
        <v>30</v>
      </c>
      <c r="E14" s="39" t="str">
        <f aca="false">IF(C14="","",IFERROR(INDEX(Materiais!$D$5:$D$204,MATCH(C14,Materiais!$B$5:$B$204,0)),"?"))</f>
        <v>g</v>
      </c>
      <c r="F14" s="27" t="n">
        <f aca="false">IF(OR(C14="",D14=""),"",IFERROR(D14*INDEX(Materiais!$F$5:$F$204,MATCH(C14,Materiais!$B$5:$B$204,0))/INDEX(Materiais!$E$5:$E$204,MATCH(C14,Materiais!$B$5:$B$204,0)),"Cadastre em Materiais"))</f>
        <v>1.485</v>
      </c>
      <c r="G14" s="9" t="s">
        <v>171</v>
      </c>
    </row>
    <row r="15" customFormat="false" ht="21" hidden="false" customHeight="true" outlineLevel="0" collapsed="false">
      <c r="B15" s="9" t="s">
        <v>99</v>
      </c>
      <c r="C15" s="9" t="s">
        <v>173</v>
      </c>
      <c r="D15" s="42" t="n">
        <v>50</v>
      </c>
      <c r="E15" s="39" t="str">
        <f aca="false">IF(C15="","",IFERROR(INDEX(Materiais!$D$5:$D$204,MATCH(C15,Materiais!$B$5:$B$204,0)),"?"))</f>
        <v>g</v>
      </c>
      <c r="F15" s="27" t="n">
        <f aca="false">IF(OR(C15="",D15=""),"",IFERROR(D15*INDEX(Materiais!$F$5:$F$204,MATCH(C15,Materiais!$B$5:$B$204,0))/INDEX(Materiais!$E$5:$E$204,MATCH(C15,Materiais!$B$5:$B$204,0)),"Cadastre em Materiais"))</f>
        <v>1.49</v>
      </c>
      <c r="G15" s="9" t="s">
        <v>174</v>
      </c>
    </row>
    <row r="16" customFormat="false" ht="21" hidden="false" customHeight="true" outlineLevel="0" collapsed="false">
      <c r="B16" s="9" t="s">
        <v>99</v>
      </c>
      <c r="C16" s="9" t="s">
        <v>175</v>
      </c>
      <c r="D16" s="42" t="n">
        <v>12</v>
      </c>
      <c r="E16" s="39" t="str">
        <f aca="false">IF(C16="","",IFERROR(INDEX(Materiais!$D$5:$D$204,MATCH(C16,Materiais!$B$5:$B$204,0)),"?"))</f>
        <v>un</v>
      </c>
      <c r="F16" s="27" t="n">
        <f aca="false">IF(OR(C16="",D16=""),"",IFERROR(D16*INDEX(Materiais!$F$5:$F$204,MATCH(C16,Materiais!$B$5:$B$204,0))/INDEX(Materiais!$E$5:$E$204,MATCH(C16,Materiais!$B$5:$B$204,0)),"Cadastre em Materiais"))</f>
        <v>9.576</v>
      </c>
      <c r="G16" s="9"/>
    </row>
    <row r="17" customFormat="false" ht="21" hidden="false" customHeight="true" outlineLevel="0" collapsed="false">
      <c r="B17" s="9" t="s">
        <v>99</v>
      </c>
      <c r="C17" s="9" t="s">
        <v>176</v>
      </c>
      <c r="D17" s="42" t="n">
        <v>12</v>
      </c>
      <c r="E17" s="39" t="str">
        <f aca="false">IF(C17="","",IFERROR(INDEX(Materiais!$D$5:$D$204,MATCH(C17,Materiais!$B$5:$B$204,0)),"?"))</f>
        <v>un</v>
      </c>
      <c r="F17" s="27" t="n">
        <f aca="false">IF(OR(C17="",D17=""),"",IFERROR(D17*INDEX(Materiais!$F$5:$F$204,MATCH(C17,Materiais!$B$5:$B$204,0))/INDEX(Materiais!$E$5:$E$204,MATCH(C17,Materiais!$B$5:$B$204,0)),"Cadastre em Materiais"))</f>
        <v>1.896</v>
      </c>
      <c r="G17" s="9"/>
    </row>
    <row r="18" customFormat="false" ht="21" hidden="false" customHeight="true" outlineLevel="0" collapsed="false">
      <c r="B18" s="9" t="s">
        <v>99</v>
      </c>
      <c r="C18" s="9" t="s">
        <v>177</v>
      </c>
      <c r="D18" s="42" t="n">
        <v>12</v>
      </c>
      <c r="E18" s="39" t="str">
        <f aca="false">IF(C18="","",IFERROR(INDEX(Materiais!$D$5:$D$204,MATCH(C18,Materiais!$B$5:$B$204,0)),"?"))</f>
        <v>un</v>
      </c>
      <c r="F18" s="27" t="n">
        <f aca="false">IF(OR(C18="",D18=""),"",IFERROR(D18*INDEX(Materiais!$F$5:$F$204,MATCH(C18,Materiais!$B$5:$B$204,0))/INDEX(Materiais!$E$5:$E$204,MATCH(C18,Materiais!$B$5:$B$204,0)),"Cadastre em Materiais"))</f>
        <v>1.8</v>
      </c>
      <c r="G18" s="9"/>
    </row>
    <row r="19" customFormat="false" ht="21" hidden="false" customHeight="true" outlineLevel="0" collapsed="false">
      <c r="B19" s="9" t="s">
        <v>105</v>
      </c>
      <c r="C19" s="9" t="s">
        <v>178</v>
      </c>
      <c r="D19" s="42" t="n">
        <v>800</v>
      </c>
      <c r="E19" s="39" t="str">
        <f aca="false">IF(C19="","",IFERROR(INDEX(Materiais!$D$5:$D$204,MATCH(C19,Materiais!$B$5:$B$204,0)),"?"))</f>
        <v>g</v>
      </c>
      <c r="F19" s="27" t="n">
        <f aca="false">IF(OR(C19="",D19=""),"",IFERROR(D19*INDEX(Materiais!$F$5:$F$204,MATCH(C19,Materiais!$B$5:$B$204,0))/INDEX(Materiais!$E$5:$E$204,MATCH(C19,Materiais!$B$5:$B$204,0)),"Cadastre em Materiais"))</f>
        <v>17.52</v>
      </c>
      <c r="G19" s="9" t="s">
        <v>171</v>
      </c>
    </row>
    <row r="20" customFormat="false" ht="21" hidden="false" customHeight="true" outlineLevel="0" collapsed="false">
      <c r="B20" s="9" t="s">
        <v>105</v>
      </c>
      <c r="C20" s="9" t="s">
        <v>179</v>
      </c>
      <c r="D20" s="42" t="n">
        <v>200</v>
      </c>
      <c r="E20" s="39" t="str">
        <f aca="false">IF(C20="","",IFERROR(INDEX(Materiais!$D$5:$D$204,MATCH(C20,Materiais!$B$5:$B$204,0)),"?"))</f>
        <v>g</v>
      </c>
      <c r="F20" s="27" t="n">
        <f aca="false">IF(OR(C20="",D20=""),"",IFERROR(D20*INDEX(Materiais!$F$5:$F$204,MATCH(C20,Materiais!$B$5:$B$204,0))/INDEX(Materiais!$E$5:$E$204,MATCH(C20,Materiais!$B$5:$B$204,0)),"Cadastre em Materiais"))</f>
        <v>5.45</v>
      </c>
      <c r="G20" s="9" t="s">
        <v>171</v>
      </c>
    </row>
    <row r="21" customFormat="false" ht="21" hidden="false" customHeight="true" outlineLevel="0" collapsed="false">
      <c r="B21" s="9" t="s">
        <v>105</v>
      </c>
      <c r="C21" s="9" t="s">
        <v>180</v>
      </c>
      <c r="D21" s="42" t="n">
        <v>100</v>
      </c>
      <c r="E21" s="39" t="str">
        <f aca="false">IF(C21="","",IFERROR(INDEX(Materiais!$D$5:$D$204,MATCH(C21,Materiais!$B$5:$B$204,0)),"?"))</f>
        <v>g</v>
      </c>
      <c r="F21" s="27" t="n">
        <f aca="false">IF(OR(C21="",D21=""),"",IFERROR(D21*INDEX(Materiais!$F$5:$F$204,MATCH(C21,Materiais!$B$5:$B$204,0))/INDEX(Materiais!$E$5:$E$204,MATCH(C21,Materiais!$B$5:$B$204,0)),"Cadastre em Materiais"))</f>
        <v>0.599</v>
      </c>
      <c r="G21" s="9" t="s">
        <v>171</v>
      </c>
    </row>
    <row r="22" customFormat="false" ht="21" hidden="false" customHeight="true" outlineLevel="0" collapsed="false">
      <c r="B22" s="9" t="s">
        <v>105</v>
      </c>
      <c r="C22" s="9" t="s">
        <v>159</v>
      </c>
      <c r="D22" s="42" t="n">
        <v>500</v>
      </c>
      <c r="E22" s="39" t="str">
        <f aca="false">IF(C22="","",IFERROR(INDEX(Materiais!$D$5:$D$204,MATCH(C22,Materiais!$B$5:$B$204,0)),"?"))</f>
        <v>g</v>
      </c>
      <c r="F22" s="27" t="n">
        <f aca="false">IF(OR(C22="",D22=""),"",IFERROR(D22*INDEX(Materiais!$F$5:$F$204,MATCH(C22,Materiais!$B$5:$B$204,0))/INDEX(Materiais!$E$5:$E$204,MATCH(C22,Materiais!$B$5:$B$204,0)),"Cadastre em Materiais"))</f>
        <v>2.745</v>
      </c>
      <c r="G22" s="9" t="s">
        <v>160</v>
      </c>
    </row>
    <row r="23" customFormat="false" ht="21" hidden="false" customHeight="true" outlineLevel="0" collapsed="false">
      <c r="B23" s="9" t="s">
        <v>105</v>
      </c>
      <c r="C23" s="9" t="s">
        <v>165</v>
      </c>
      <c r="D23" s="42" t="n">
        <v>500</v>
      </c>
      <c r="E23" s="39" t="str">
        <f aca="false">IF(C23="","",IFERROR(INDEX(Materiais!$D$5:$D$204,MATCH(C23,Materiais!$B$5:$B$204,0)),"?"))</f>
        <v>ml</v>
      </c>
      <c r="F23" s="27" t="n">
        <f aca="false">IF(OR(C23="",D23=""),"",IFERROR(D23*INDEX(Materiais!$F$5:$F$204,MATCH(C23,Materiais!$B$5:$B$204,0))/INDEX(Materiais!$E$5:$E$204,MATCH(C23,Materiais!$B$5:$B$204,0)),"Cadastre em Materiais"))</f>
        <v>2.645</v>
      </c>
      <c r="G23" s="9" t="s">
        <v>160</v>
      </c>
    </row>
    <row r="24" customFormat="false" ht="21" hidden="false" customHeight="true" outlineLevel="0" collapsed="false">
      <c r="B24" s="9" t="s">
        <v>105</v>
      </c>
      <c r="C24" s="9" t="s">
        <v>172</v>
      </c>
      <c r="D24" s="42" t="n">
        <v>30</v>
      </c>
      <c r="E24" s="39" t="str">
        <f aca="false">IF(C24="","",IFERROR(INDEX(Materiais!$D$5:$D$204,MATCH(C24,Materiais!$B$5:$B$204,0)),"?"))</f>
        <v>g</v>
      </c>
      <c r="F24" s="27" t="n">
        <f aca="false">IF(OR(C24="",D24=""),"",IFERROR(D24*INDEX(Materiais!$F$5:$F$204,MATCH(C24,Materiais!$B$5:$B$204,0))/INDEX(Materiais!$E$5:$E$204,MATCH(C24,Materiais!$B$5:$B$204,0)),"Cadastre em Materiais"))</f>
        <v>1.485</v>
      </c>
      <c r="G24" s="9" t="s">
        <v>160</v>
      </c>
    </row>
    <row r="25" customFormat="false" ht="21" hidden="false" customHeight="true" outlineLevel="0" collapsed="false">
      <c r="B25" s="9" t="s">
        <v>105</v>
      </c>
      <c r="C25" s="9" t="s">
        <v>181</v>
      </c>
      <c r="D25" s="42" t="n">
        <v>15</v>
      </c>
      <c r="E25" s="39" t="str">
        <f aca="false">IF(C25="","",IFERROR(INDEX(Materiais!$D$5:$D$204,MATCH(C25,Materiais!$B$5:$B$204,0)),"?"))</f>
        <v>g</v>
      </c>
      <c r="F25" s="27" t="n">
        <f aca="false">IF(OR(C25="",D25=""),"",IFERROR(D25*INDEX(Materiais!$F$5:$F$204,MATCH(C25,Materiais!$B$5:$B$204,0))/INDEX(Materiais!$E$5:$E$204,MATCH(C25,Materiais!$B$5:$B$204,0)),"Cadastre em Materiais"))</f>
        <v>0.04485</v>
      </c>
      <c r="G25" s="9"/>
    </row>
    <row r="26" customFormat="false" ht="21" hidden="false" customHeight="true" outlineLevel="0" collapsed="false">
      <c r="B26" s="9" t="s">
        <v>105</v>
      </c>
      <c r="C26" s="9" t="s">
        <v>164</v>
      </c>
      <c r="D26" s="42" t="n">
        <v>2</v>
      </c>
      <c r="E26" s="39" t="str">
        <f aca="false">IF(C26="","",IFERROR(INDEX(Materiais!$D$5:$D$204,MATCH(C26,Materiais!$B$5:$B$204,0)),"?"))</f>
        <v>un</v>
      </c>
      <c r="F26" s="27" t="n">
        <f aca="false">IF(OR(C26="",D26=""),"",IFERROR(D26*INDEX(Materiais!$F$5:$F$204,MATCH(C26,Materiais!$B$5:$B$204,0))/INDEX(Materiais!$E$5:$E$204,MATCH(C26,Materiais!$B$5:$B$204,0)),"Cadastre em Materiais"))</f>
        <v>1.32666666666667</v>
      </c>
      <c r="G26" s="9" t="s">
        <v>182</v>
      </c>
    </row>
    <row r="27" customFormat="false" ht="21" hidden="false" customHeight="true" outlineLevel="0" collapsed="false">
      <c r="B27" s="9" t="s">
        <v>105</v>
      </c>
      <c r="C27" s="9" t="s">
        <v>183</v>
      </c>
      <c r="D27" s="42" t="n">
        <v>300</v>
      </c>
      <c r="E27" s="39" t="str">
        <f aca="false">IF(C27="","",IFERROR(INDEX(Materiais!$D$5:$D$204,MATCH(C27,Materiais!$B$5:$B$204,0)),"?"))</f>
        <v>g</v>
      </c>
      <c r="F27" s="27" t="n">
        <f aca="false">IF(OR(C27="",D27=""),"",IFERROR(D27*INDEX(Materiais!$F$5:$F$204,MATCH(C27,Materiais!$B$5:$B$204,0))/INDEX(Materiais!$E$5:$E$204,MATCH(C27,Materiais!$B$5:$B$204,0)),"Cadastre em Materiais"))</f>
        <v>4.14</v>
      </c>
      <c r="G27" s="9" t="s">
        <v>182</v>
      </c>
    </row>
    <row r="28" customFormat="false" ht="21" hidden="false" customHeight="true" outlineLevel="0" collapsed="false">
      <c r="B28" s="9" t="s">
        <v>105</v>
      </c>
      <c r="C28" s="9" t="s">
        <v>166</v>
      </c>
      <c r="D28" s="42" t="n">
        <v>450</v>
      </c>
      <c r="E28" s="39" t="str">
        <f aca="false">IF(C28="","",IFERROR(INDEX(Materiais!$D$5:$D$204,MATCH(C28,Materiais!$B$5:$B$204,0)),"?"))</f>
        <v>ml</v>
      </c>
      <c r="F28" s="27" t="n">
        <f aca="false">IF(OR(C28="",D28=""),"",IFERROR(D28*INDEX(Materiais!$F$5:$F$204,MATCH(C28,Materiais!$B$5:$B$204,0))/INDEX(Materiais!$E$5:$E$204,MATCH(C28,Materiais!$B$5:$B$204,0)),"Cadastre em Materiais"))</f>
        <v>3.995</v>
      </c>
      <c r="G28" s="9" t="s">
        <v>184</v>
      </c>
    </row>
    <row r="29" customFormat="false" ht="21" hidden="false" customHeight="true" outlineLevel="0" collapsed="false">
      <c r="B29" s="9" t="s">
        <v>105</v>
      </c>
      <c r="C29" s="9" t="s">
        <v>185</v>
      </c>
      <c r="D29" s="42" t="n">
        <v>2</v>
      </c>
      <c r="E29" s="39" t="str">
        <f aca="false">IF(C29="","",IFERROR(INDEX(Materiais!$D$5:$D$204,MATCH(C29,Materiais!$B$5:$B$204,0)),"?"))</f>
        <v>un</v>
      </c>
      <c r="F29" s="27" t="n">
        <f aca="false">IF(OR(C29="",D29=""),"",IFERROR(D29*INDEX(Materiais!$F$5:$F$204,MATCH(C29,Materiais!$B$5:$B$204,0))/INDEX(Materiais!$E$5:$E$204,MATCH(C29,Materiais!$B$5:$B$204,0)),"Cadastre em Materiais"))</f>
        <v>2.58</v>
      </c>
      <c r="G29" s="9"/>
    </row>
    <row r="30" customFormat="false" ht="21" hidden="false" customHeight="true" outlineLevel="0" collapsed="false">
      <c r="B30" s="9" t="s">
        <v>101</v>
      </c>
      <c r="C30" s="9" t="s">
        <v>168</v>
      </c>
      <c r="D30" s="42" t="n">
        <v>395</v>
      </c>
      <c r="E30" s="39" t="str">
        <f aca="false">IF(C30="","",IFERROR(INDEX(Materiais!$D$5:$D$204,MATCH(C30,Materiais!$B$5:$B$204,0)),"?"))</f>
        <v>g</v>
      </c>
      <c r="F30" s="27" t="n">
        <f aca="false">IF(OR(C30="",D30=""),"",IFERROR(D30*INDEX(Materiais!$F$5:$F$204,MATCH(C30,Materiais!$B$5:$B$204,0))/INDEX(Materiais!$E$5:$E$204,MATCH(C30,Materiais!$B$5:$B$204,0)),"Cadastre em Materiais"))</f>
        <v>6.49</v>
      </c>
      <c r="G30" s="9"/>
    </row>
    <row r="31" customFormat="false" ht="21" hidden="false" customHeight="true" outlineLevel="0" collapsed="false">
      <c r="B31" s="9" t="s">
        <v>101</v>
      </c>
      <c r="C31" s="9" t="s">
        <v>162</v>
      </c>
      <c r="D31" s="42" t="n">
        <v>40</v>
      </c>
      <c r="E31" s="39" t="str">
        <f aca="false">IF(C31="","",IFERROR(INDEX(Materiais!$D$5:$D$204,MATCH(C31,Materiais!$B$5:$B$204,0)),"?"))</f>
        <v>g</v>
      </c>
      <c r="F31" s="27" t="n">
        <f aca="false">IF(OR(C31="",D31=""),"",IFERROR(D31*INDEX(Materiais!$F$5:$F$204,MATCH(C31,Materiais!$B$5:$B$204,0))/INDEX(Materiais!$E$5:$E$204,MATCH(C31,Materiais!$B$5:$B$204,0)),"Cadastre em Materiais"))</f>
        <v>1.98</v>
      </c>
      <c r="G31" s="9"/>
    </row>
    <row r="32" customFormat="false" ht="21" hidden="false" customHeight="true" outlineLevel="0" collapsed="false">
      <c r="B32" s="9" t="s">
        <v>101</v>
      </c>
      <c r="C32" s="9" t="s">
        <v>172</v>
      </c>
      <c r="D32" s="42" t="n">
        <v>20</v>
      </c>
      <c r="E32" s="39" t="str">
        <f aca="false">IF(C32="","",IFERROR(INDEX(Materiais!$D$5:$D$204,MATCH(C32,Materiais!$B$5:$B$204,0)),"?"))</f>
        <v>g</v>
      </c>
      <c r="F32" s="27" t="n">
        <f aca="false">IF(OR(C32="",D32=""),"",IFERROR(D32*INDEX(Materiais!$F$5:$F$204,MATCH(C32,Materiais!$B$5:$B$204,0))/INDEX(Materiais!$E$5:$E$204,MATCH(C32,Materiais!$B$5:$B$204,0)),"Cadastre em Materiais"))</f>
        <v>0.99</v>
      </c>
      <c r="G32" s="9"/>
    </row>
    <row r="33" customFormat="false" ht="21" hidden="false" customHeight="true" outlineLevel="0" collapsed="false">
      <c r="B33" s="9" t="s">
        <v>101</v>
      </c>
      <c r="C33" s="9" t="s">
        <v>173</v>
      </c>
      <c r="D33" s="42" t="n">
        <v>80</v>
      </c>
      <c r="E33" s="39" t="str">
        <f aca="false">IF(C33="","",IFERROR(INDEX(Materiais!$D$5:$D$204,MATCH(C33,Materiais!$B$5:$B$204,0)),"?"))</f>
        <v>g</v>
      </c>
      <c r="F33" s="27" t="n">
        <f aca="false">IF(OR(C33="",D33=""),"",IFERROR(D33*INDEX(Materiais!$F$5:$F$204,MATCH(C33,Materiais!$B$5:$B$204,0))/INDEX(Materiais!$E$5:$E$204,MATCH(C33,Materiais!$B$5:$B$204,0)),"Cadastre em Materiais"))</f>
        <v>2.384</v>
      </c>
      <c r="G33" s="9"/>
    </row>
    <row r="34" customFormat="false" ht="21" hidden="false" customHeight="true" outlineLevel="0" collapsed="false">
      <c r="B34" s="9" t="s">
        <v>101</v>
      </c>
      <c r="C34" s="9" t="s">
        <v>186</v>
      </c>
      <c r="D34" s="42" t="n">
        <v>30</v>
      </c>
      <c r="E34" s="39" t="str">
        <f aca="false">IF(C34="","",IFERROR(INDEX(Materiais!$D$5:$D$204,MATCH(C34,Materiais!$B$5:$B$204,0)),"?"))</f>
        <v>un</v>
      </c>
      <c r="F34" s="27" t="n">
        <f aca="false">IF(OR(C34="",D34=""),"",IFERROR(D34*INDEX(Materiais!$F$5:$F$204,MATCH(C34,Materiais!$B$5:$B$204,0))/INDEX(Materiais!$E$5:$E$204,MATCH(C34,Materiais!$B$5:$B$204,0)),"Cadastre em Materiais"))</f>
        <v>1.77</v>
      </c>
      <c r="G34" s="9"/>
    </row>
    <row r="35" customFormat="false" ht="21" hidden="false" customHeight="true" outlineLevel="0" collapsed="false">
      <c r="B35" s="9"/>
      <c r="C35" s="9"/>
      <c r="D35" s="42"/>
      <c r="E35" s="39" t="str">
        <f aca="false">IF(C35="","",IFERROR(INDEX(Materiais!$D$5:$D$204,MATCH(C35,Materiais!$B$5:$B$204,0)),"?"))</f>
        <v/>
      </c>
      <c r="F35" s="27" t="str">
        <f aca="false">IF(OR(C35="",D35=""),"",IFERROR(D35*INDEX(Materiais!$F$5:$F$204,MATCH(C35,Materiais!$B$5:$B$204,0))/INDEX(Materiais!$E$5:$E$204,MATCH(C35,Materiais!$B$5:$B$204,0)),"Cadastre em Materiais"))</f>
        <v/>
      </c>
      <c r="G35" s="9"/>
    </row>
    <row r="36" customFormat="false" ht="21" hidden="false" customHeight="true" outlineLevel="0" collapsed="false">
      <c r="B36" s="9"/>
      <c r="C36" s="9"/>
      <c r="D36" s="42"/>
      <c r="E36" s="39" t="str">
        <f aca="false">IF(C36="","",IFERROR(INDEX(Materiais!$D$5:$D$204,MATCH(C36,Materiais!$B$5:$B$204,0)),"?"))</f>
        <v/>
      </c>
      <c r="F36" s="27" t="str">
        <f aca="false">IF(OR(C36="",D36=""),"",IFERROR(D36*INDEX(Materiais!$F$5:$F$204,MATCH(C36,Materiais!$B$5:$B$204,0))/INDEX(Materiais!$E$5:$E$204,MATCH(C36,Materiais!$B$5:$B$204,0)),"Cadastre em Materiais"))</f>
        <v/>
      </c>
      <c r="G36" s="9"/>
    </row>
    <row r="37" customFormat="false" ht="21" hidden="false" customHeight="true" outlineLevel="0" collapsed="false">
      <c r="B37" s="9"/>
      <c r="C37" s="9"/>
      <c r="D37" s="42"/>
      <c r="E37" s="39" t="str">
        <f aca="false">IF(C37="","",IFERROR(INDEX(Materiais!$D$5:$D$204,MATCH(C37,Materiais!$B$5:$B$204,0)),"?"))</f>
        <v/>
      </c>
      <c r="F37" s="27" t="str">
        <f aca="false">IF(OR(C37="",D37=""),"",IFERROR(D37*INDEX(Materiais!$F$5:$F$204,MATCH(C37,Materiais!$B$5:$B$204,0))/INDEX(Materiais!$E$5:$E$204,MATCH(C37,Materiais!$B$5:$B$204,0)),"Cadastre em Materiais"))</f>
        <v/>
      </c>
      <c r="G37" s="9"/>
    </row>
    <row r="38" customFormat="false" ht="21" hidden="false" customHeight="true" outlineLevel="0" collapsed="false">
      <c r="B38" s="9"/>
      <c r="C38" s="9"/>
      <c r="D38" s="42"/>
      <c r="E38" s="39" t="str">
        <f aca="false">IF(C38="","",IFERROR(INDEX(Materiais!$D$5:$D$204,MATCH(C38,Materiais!$B$5:$B$204,0)),"?"))</f>
        <v/>
      </c>
      <c r="F38" s="27" t="str">
        <f aca="false">IF(OR(C38="",D38=""),"",IFERROR(D38*INDEX(Materiais!$F$5:$F$204,MATCH(C38,Materiais!$B$5:$B$204,0))/INDEX(Materiais!$E$5:$E$204,MATCH(C38,Materiais!$B$5:$B$204,0)),"Cadastre em Materiais"))</f>
        <v/>
      </c>
      <c r="G38" s="9"/>
    </row>
    <row r="39" customFormat="false" ht="21" hidden="false" customHeight="true" outlineLevel="0" collapsed="false">
      <c r="B39" s="9"/>
      <c r="C39" s="9"/>
      <c r="D39" s="42"/>
      <c r="E39" s="39" t="str">
        <f aca="false">IF(C39="","",IFERROR(INDEX(Materiais!$D$5:$D$204,MATCH(C39,Materiais!$B$5:$B$204,0)),"?"))</f>
        <v/>
      </c>
      <c r="F39" s="27" t="str">
        <f aca="false">IF(OR(C39="",D39=""),"",IFERROR(D39*INDEX(Materiais!$F$5:$F$204,MATCH(C39,Materiais!$B$5:$B$204,0))/INDEX(Materiais!$E$5:$E$204,MATCH(C39,Materiais!$B$5:$B$204,0)),"Cadastre em Materiais"))</f>
        <v/>
      </c>
      <c r="G39" s="9"/>
    </row>
    <row r="40" customFormat="false" ht="21" hidden="false" customHeight="true" outlineLevel="0" collapsed="false">
      <c r="B40" s="9"/>
      <c r="C40" s="9"/>
      <c r="D40" s="42"/>
      <c r="E40" s="39" t="str">
        <f aca="false">IF(C40="","",IFERROR(INDEX(Materiais!$D$5:$D$204,MATCH(C40,Materiais!$B$5:$B$204,0)),"?"))</f>
        <v/>
      </c>
      <c r="F40" s="27" t="str">
        <f aca="false">IF(OR(C40="",D40=""),"",IFERROR(D40*INDEX(Materiais!$F$5:$F$204,MATCH(C40,Materiais!$B$5:$B$204,0))/INDEX(Materiais!$E$5:$E$204,MATCH(C40,Materiais!$B$5:$B$204,0)),"Cadastre em Materiais"))</f>
        <v/>
      </c>
      <c r="G40" s="9"/>
    </row>
    <row r="41" customFormat="false" ht="21" hidden="false" customHeight="true" outlineLevel="0" collapsed="false">
      <c r="B41" s="9"/>
      <c r="C41" s="9"/>
      <c r="D41" s="42"/>
      <c r="E41" s="39" t="str">
        <f aca="false">IF(C41="","",IFERROR(INDEX(Materiais!$D$5:$D$204,MATCH(C41,Materiais!$B$5:$B$204,0)),"?"))</f>
        <v/>
      </c>
      <c r="F41" s="27" t="str">
        <f aca="false">IF(OR(C41="",D41=""),"",IFERROR(D41*INDEX(Materiais!$F$5:$F$204,MATCH(C41,Materiais!$B$5:$B$204,0))/INDEX(Materiais!$E$5:$E$204,MATCH(C41,Materiais!$B$5:$B$204,0)),"Cadastre em Materiais"))</f>
        <v/>
      </c>
      <c r="G41" s="9"/>
    </row>
    <row r="42" customFormat="false" ht="21" hidden="false" customHeight="true" outlineLevel="0" collapsed="false">
      <c r="B42" s="9"/>
      <c r="C42" s="9"/>
      <c r="D42" s="42"/>
      <c r="E42" s="39" t="str">
        <f aca="false">IF(C42="","",IFERROR(INDEX(Materiais!$D$5:$D$204,MATCH(C42,Materiais!$B$5:$B$204,0)),"?"))</f>
        <v/>
      </c>
      <c r="F42" s="27" t="str">
        <f aca="false">IF(OR(C42="",D42=""),"",IFERROR(D42*INDEX(Materiais!$F$5:$F$204,MATCH(C42,Materiais!$B$5:$B$204,0))/INDEX(Materiais!$E$5:$E$204,MATCH(C42,Materiais!$B$5:$B$204,0)),"Cadastre em Materiais"))</f>
        <v/>
      </c>
      <c r="G42" s="9"/>
    </row>
    <row r="43" customFormat="false" ht="21" hidden="false" customHeight="true" outlineLevel="0" collapsed="false">
      <c r="B43" s="9"/>
      <c r="C43" s="9"/>
      <c r="D43" s="42"/>
      <c r="E43" s="39" t="str">
        <f aca="false">IF(C43="","",IFERROR(INDEX(Materiais!$D$5:$D$204,MATCH(C43,Materiais!$B$5:$B$204,0)),"?"))</f>
        <v/>
      </c>
      <c r="F43" s="27" t="str">
        <f aca="false">IF(OR(C43="",D43=""),"",IFERROR(D43*INDEX(Materiais!$F$5:$F$204,MATCH(C43,Materiais!$B$5:$B$204,0))/INDEX(Materiais!$E$5:$E$204,MATCH(C43,Materiais!$B$5:$B$204,0)),"Cadastre em Materiais"))</f>
        <v/>
      </c>
      <c r="G43" s="9"/>
    </row>
    <row r="44" customFormat="false" ht="21" hidden="false" customHeight="true" outlineLevel="0" collapsed="false">
      <c r="B44" s="9"/>
      <c r="C44" s="9"/>
      <c r="D44" s="42"/>
      <c r="E44" s="39" t="str">
        <f aca="false">IF(C44="","",IFERROR(INDEX(Materiais!$D$5:$D$204,MATCH(C44,Materiais!$B$5:$B$204,0)),"?"))</f>
        <v/>
      </c>
      <c r="F44" s="27" t="str">
        <f aca="false">IF(OR(C44="",D44=""),"",IFERROR(D44*INDEX(Materiais!$F$5:$F$204,MATCH(C44,Materiais!$B$5:$B$204,0))/INDEX(Materiais!$E$5:$E$204,MATCH(C44,Materiais!$B$5:$B$204,0)),"Cadastre em Materiais"))</f>
        <v/>
      </c>
      <c r="G44" s="9"/>
    </row>
    <row r="45" customFormat="false" ht="21" hidden="false" customHeight="true" outlineLevel="0" collapsed="false">
      <c r="B45" s="9"/>
      <c r="C45" s="9"/>
      <c r="D45" s="42"/>
      <c r="E45" s="39" t="str">
        <f aca="false">IF(C45="","",IFERROR(INDEX(Materiais!$D$5:$D$204,MATCH(C45,Materiais!$B$5:$B$204,0)),"?"))</f>
        <v/>
      </c>
      <c r="F45" s="27" t="str">
        <f aca="false">IF(OR(C45="",D45=""),"",IFERROR(D45*INDEX(Materiais!$F$5:$F$204,MATCH(C45,Materiais!$B$5:$B$204,0))/INDEX(Materiais!$E$5:$E$204,MATCH(C45,Materiais!$B$5:$B$204,0)),"Cadastre em Materiais"))</f>
        <v/>
      </c>
      <c r="G45" s="9"/>
    </row>
    <row r="46" customFormat="false" ht="21" hidden="false" customHeight="true" outlineLevel="0" collapsed="false">
      <c r="B46" s="9"/>
      <c r="C46" s="9"/>
      <c r="D46" s="42"/>
      <c r="E46" s="39" t="str">
        <f aca="false">IF(C46="","",IFERROR(INDEX(Materiais!$D$5:$D$204,MATCH(C46,Materiais!$B$5:$B$204,0)),"?"))</f>
        <v/>
      </c>
      <c r="F46" s="27" t="str">
        <f aca="false">IF(OR(C46="",D46=""),"",IFERROR(D46*INDEX(Materiais!$F$5:$F$204,MATCH(C46,Materiais!$B$5:$B$204,0))/INDEX(Materiais!$E$5:$E$204,MATCH(C46,Materiais!$B$5:$B$204,0)),"Cadastre em Materiais"))</f>
        <v/>
      </c>
      <c r="G46" s="9"/>
    </row>
    <row r="47" customFormat="false" ht="21" hidden="false" customHeight="true" outlineLevel="0" collapsed="false">
      <c r="B47" s="9"/>
      <c r="C47" s="9"/>
      <c r="D47" s="42"/>
      <c r="E47" s="39" t="str">
        <f aca="false">IF(C47="","",IFERROR(INDEX(Materiais!$D$5:$D$204,MATCH(C47,Materiais!$B$5:$B$204,0)),"?"))</f>
        <v/>
      </c>
      <c r="F47" s="27" t="str">
        <f aca="false">IF(OR(C47="",D47=""),"",IFERROR(D47*INDEX(Materiais!$F$5:$F$204,MATCH(C47,Materiais!$B$5:$B$204,0))/INDEX(Materiais!$E$5:$E$204,MATCH(C47,Materiais!$B$5:$B$204,0)),"Cadastre em Materiais"))</f>
        <v/>
      </c>
      <c r="G47" s="9"/>
    </row>
    <row r="48" customFormat="false" ht="21" hidden="false" customHeight="true" outlineLevel="0" collapsed="false">
      <c r="B48" s="9"/>
      <c r="C48" s="9"/>
      <c r="D48" s="42"/>
      <c r="E48" s="39" t="str">
        <f aca="false">IF(C48="","",IFERROR(INDEX(Materiais!$D$5:$D$204,MATCH(C48,Materiais!$B$5:$B$204,0)),"?"))</f>
        <v/>
      </c>
      <c r="F48" s="27" t="str">
        <f aca="false">IF(OR(C48="",D48=""),"",IFERROR(D48*INDEX(Materiais!$F$5:$F$204,MATCH(C48,Materiais!$B$5:$B$204,0))/INDEX(Materiais!$E$5:$E$204,MATCH(C48,Materiais!$B$5:$B$204,0)),"Cadastre em Materiais"))</f>
        <v/>
      </c>
      <c r="G48" s="9"/>
    </row>
    <row r="49" customFormat="false" ht="21" hidden="false" customHeight="true" outlineLevel="0" collapsed="false">
      <c r="B49" s="9"/>
      <c r="C49" s="9"/>
      <c r="D49" s="42"/>
      <c r="E49" s="39" t="str">
        <f aca="false">IF(C49="","",IFERROR(INDEX(Materiais!$D$5:$D$204,MATCH(C49,Materiais!$B$5:$B$204,0)),"?"))</f>
        <v/>
      </c>
      <c r="F49" s="27" t="str">
        <f aca="false">IF(OR(C49="",D49=""),"",IFERROR(D49*INDEX(Materiais!$F$5:$F$204,MATCH(C49,Materiais!$B$5:$B$204,0))/INDEX(Materiais!$E$5:$E$204,MATCH(C49,Materiais!$B$5:$B$204,0)),"Cadastre em Materiais"))</f>
        <v/>
      </c>
      <c r="G49" s="9"/>
    </row>
    <row r="50" customFormat="false" ht="21" hidden="false" customHeight="true" outlineLevel="0" collapsed="false">
      <c r="B50" s="9"/>
      <c r="C50" s="9"/>
      <c r="D50" s="42"/>
      <c r="E50" s="39" t="str">
        <f aca="false">IF(C50="","",IFERROR(INDEX(Materiais!$D$5:$D$204,MATCH(C50,Materiais!$B$5:$B$204,0)),"?"))</f>
        <v/>
      </c>
      <c r="F50" s="27" t="str">
        <f aca="false">IF(OR(C50="",D50=""),"",IFERROR(D50*INDEX(Materiais!$F$5:$F$204,MATCH(C50,Materiais!$B$5:$B$204,0))/INDEX(Materiais!$E$5:$E$204,MATCH(C50,Materiais!$B$5:$B$204,0)),"Cadastre em Materiais"))</f>
        <v/>
      </c>
      <c r="G50" s="9"/>
    </row>
    <row r="51" customFormat="false" ht="21" hidden="false" customHeight="true" outlineLevel="0" collapsed="false">
      <c r="B51" s="9"/>
      <c r="C51" s="9"/>
      <c r="D51" s="42"/>
      <c r="E51" s="39" t="str">
        <f aca="false">IF(C51="","",IFERROR(INDEX(Materiais!$D$5:$D$204,MATCH(C51,Materiais!$B$5:$B$204,0)),"?"))</f>
        <v/>
      </c>
      <c r="F51" s="27" t="str">
        <f aca="false">IF(OR(C51="",D51=""),"",IFERROR(D51*INDEX(Materiais!$F$5:$F$204,MATCH(C51,Materiais!$B$5:$B$204,0))/INDEX(Materiais!$E$5:$E$204,MATCH(C51,Materiais!$B$5:$B$204,0)),"Cadastre em Materiais"))</f>
        <v/>
      </c>
      <c r="G51" s="9"/>
    </row>
    <row r="52" customFormat="false" ht="21" hidden="false" customHeight="true" outlineLevel="0" collapsed="false">
      <c r="B52" s="9"/>
      <c r="C52" s="9"/>
      <c r="D52" s="42"/>
      <c r="E52" s="39" t="str">
        <f aca="false">IF(C52="","",IFERROR(INDEX(Materiais!$D$5:$D$204,MATCH(C52,Materiais!$B$5:$B$204,0)),"?"))</f>
        <v/>
      </c>
      <c r="F52" s="27" t="str">
        <f aca="false">IF(OR(C52="",D52=""),"",IFERROR(D52*INDEX(Materiais!$F$5:$F$204,MATCH(C52,Materiais!$B$5:$B$204,0))/INDEX(Materiais!$E$5:$E$204,MATCH(C52,Materiais!$B$5:$B$204,0)),"Cadastre em Materiais"))</f>
        <v/>
      </c>
      <c r="G52" s="9"/>
    </row>
    <row r="53" customFormat="false" ht="21" hidden="false" customHeight="true" outlineLevel="0" collapsed="false">
      <c r="B53" s="9"/>
      <c r="C53" s="9"/>
      <c r="D53" s="42"/>
      <c r="E53" s="39" t="str">
        <f aca="false">IF(C53="","",IFERROR(INDEX(Materiais!$D$5:$D$204,MATCH(C53,Materiais!$B$5:$B$204,0)),"?"))</f>
        <v/>
      </c>
      <c r="F53" s="27" t="str">
        <f aca="false">IF(OR(C53="",D53=""),"",IFERROR(D53*INDEX(Materiais!$F$5:$F$204,MATCH(C53,Materiais!$B$5:$B$204,0))/INDEX(Materiais!$E$5:$E$204,MATCH(C53,Materiais!$B$5:$B$204,0)),"Cadastre em Materiais"))</f>
        <v/>
      </c>
      <c r="G53" s="9"/>
    </row>
    <row r="54" customFormat="false" ht="21" hidden="false" customHeight="true" outlineLevel="0" collapsed="false">
      <c r="B54" s="9"/>
      <c r="C54" s="9"/>
      <c r="D54" s="42"/>
      <c r="E54" s="39" t="str">
        <f aca="false">IF(C54="","",IFERROR(INDEX(Materiais!$D$5:$D$204,MATCH(C54,Materiais!$B$5:$B$204,0)),"?"))</f>
        <v/>
      </c>
      <c r="F54" s="27" t="str">
        <f aca="false">IF(OR(C54="",D54=""),"",IFERROR(D54*INDEX(Materiais!$F$5:$F$204,MATCH(C54,Materiais!$B$5:$B$204,0))/INDEX(Materiais!$E$5:$E$204,MATCH(C54,Materiais!$B$5:$B$204,0)),"Cadastre em Materiais"))</f>
        <v/>
      </c>
      <c r="G54" s="9"/>
    </row>
    <row r="55" customFormat="false" ht="21" hidden="false" customHeight="true" outlineLevel="0" collapsed="false">
      <c r="B55" s="9"/>
      <c r="C55" s="9"/>
      <c r="D55" s="42"/>
      <c r="E55" s="39" t="str">
        <f aca="false">IF(C55="","",IFERROR(INDEX(Materiais!$D$5:$D$204,MATCH(C55,Materiais!$B$5:$B$204,0)),"?"))</f>
        <v/>
      </c>
      <c r="F55" s="27" t="str">
        <f aca="false">IF(OR(C55="",D55=""),"",IFERROR(D55*INDEX(Materiais!$F$5:$F$204,MATCH(C55,Materiais!$B$5:$B$204,0))/INDEX(Materiais!$E$5:$E$204,MATCH(C55,Materiais!$B$5:$B$204,0)),"Cadastre em Materiais"))</f>
        <v/>
      </c>
      <c r="G55" s="9"/>
    </row>
    <row r="56" customFormat="false" ht="21" hidden="false" customHeight="true" outlineLevel="0" collapsed="false">
      <c r="B56" s="9"/>
      <c r="C56" s="9"/>
      <c r="D56" s="42"/>
      <c r="E56" s="39" t="str">
        <f aca="false">IF(C56="","",IFERROR(INDEX(Materiais!$D$5:$D$204,MATCH(C56,Materiais!$B$5:$B$204,0)),"?"))</f>
        <v/>
      </c>
      <c r="F56" s="27" t="str">
        <f aca="false">IF(OR(C56="",D56=""),"",IFERROR(D56*INDEX(Materiais!$F$5:$F$204,MATCH(C56,Materiais!$B$5:$B$204,0))/INDEX(Materiais!$E$5:$E$204,MATCH(C56,Materiais!$B$5:$B$204,0)),"Cadastre em Materiais"))</f>
        <v/>
      </c>
      <c r="G56" s="9"/>
    </row>
    <row r="57" customFormat="false" ht="21" hidden="false" customHeight="true" outlineLevel="0" collapsed="false">
      <c r="B57" s="9"/>
      <c r="C57" s="9"/>
      <c r="D57" s="42"/>
      <c r="E57" s="39" t="str">
        <f aca="false">IF(C57="","",IFERROR(INDEX(Materiais!$D$5:$D$204,MATCH(C57,Materiais!$B$5:$B$204,0)),"?"))</f>
        <v/>
      </c>
      <c r="F57" s="27" t="str">
        <f aca="false">IF(OR(C57="",D57=""),"",IFERROR(D57*INDEX(Materiais!$F$5:$F$204,MATCH(C57,Materiais!$B$5:$B$204,0))/INDEX(Materiais!$E$5:$E$204,MATCH(C57,Materiais!$B$5:$B$204,0)),"Cadastre em Materiais"))</f>
        <v/>
      </c>
      <c r="G57" s="9"/>
    </row>
    <row r="58" customFormat="false" ht="21" hidden="false" customHeight="true" outlineLevel="0" collapsed="false">
      <c r="B58" s="9"/>
      <c r="C58" s="9"/>
      <c r="D58" s="42"/>
      <c r="E58" s="39" t="str">
        <f aca="false">IF(C58="","",IFERROR(INDEX(Materiais!$D$5:$D$204,MATCH(C58,Materiais!$B$5:$B$204,0)),"?"))</f>
        <v/>
      </c>
      <c r="F58" s="27" t="str">
        <f aca="false">IF(OR(C58="",D58=""),"",IFERROR(D58*INDEX(Materiais!$F$5:$F$204,MATCH(C58,Materiais!$B$5:$B$204,0))/INDEX(Materiais!$E$5:$E$204,MATCH(C58,Materiais!$B$5:$B$204,0)),"Cadastre em Materiais"))</f>
        <v/>
      </c>
      <c r="G58" s="9"/>
    </row>
    <row r="59" customFormat="false" ht="21" hidden="false" customHeight="true" outlineLevel="0" collapsed="false">
      <c r="B59" s="9"/>
      <c r="C59" s="9"/>
      <c r="D59" s="42"/>
      <c r="E59" s="39" t="str">
        <f aca="false">IF(C59="","",IFERROR(INDEX(Materiais!$D$5:$D$204,MATCH(C59,Materiais!$B$5:$B$204,0)),"?"))</f>
        <v/>
      </c>
      <c r="F59" s="27" t="str">
        <f aca="false">IF(OR(C59="",D59=""),"",IFERROR(D59*INDEX(Materiais!$F$5:$F$204,MATCH(C59,Materiais!$B$5:$B$204,0))/INDEX(Materiais!$E$5:$E$204,MATCH(C59,Materiais!$B$5:$B$204,0)),"Cadastre em Materiais"))</f>
        <v/>
      </c>
      <c r="G59" s="9"/>
    </row>
    <row r="60" customFormat="false" ht="21" hidden="false" customHeight="true" outlineLevel="0" collapsed="false">
      <c r="B60" s="9"/>
      <c r="C60" s="9"/>
      <c r="D60" s="42"/>
      <c r="E60" s="39" t="str">
        <f aca="false">IF(C60="","",IFERROR(INDEX(Materiais!$D$5:$D$204,MATCH(C60,Materiais!$B$5:$B$204,0)),"?"))</f>
        <v/>
      </c>
      <c r="F60" s="27" t="str">
        <f aca="false">IF(OR(C60="",D60=""),"",IFERROR(D60*INDEX(Materiais!$F$5:$F$204,MATCH(C60,Materiais!$B$5:$B$204,0))/INDEX(Materiais!$E$5:$E$204,MATCH(C60,Materiais!$B$5:$B$204,0)),"Cadastre em Materiais"))</f>
        <v/>
      </c>
      <c r="G60" s="9"/>
    </row>
    <row r="61" customFormat="false" ht="21" hidden="false" customHeight="true" outlineLevel="0" collapsed="false">
      <c r="B61" s="9"/>
      <c r="C61" s="9"/>
      <c r="D61" s="42"/>
      <c r="E61" s="39" t="str">
        <f aca="false">IF(C61="","",IFERROR(INDEX(Materiais!$D$5:$D$204,MATCH(C61,Materiais!$B$5:$B$204,0)),"?"))</f>
        <v/>
      </c>
      <c r="F61" s="27" t="str">
        <f aca="false">IF(OR(C61="",D61=""),"",IFERROR(D61*INDEX(Materiais!$F$5:$F$204,MATCH(C61,Materiais!$B$5:$B$204,0))/INDEX(Materiais!$E$5:$E$204,MATCH(C61,Materiais!$B$5:$B$204,0)),"Cadastre em Materiais"))</f>
        <v/>
      </c>
      <c r="G61" s="9"/>
    </row>
    <row r="62" customFormat="false" ht="21" hidden="false" customHeight="true" outlineLevel="0" collapsed="false">
      <c r="B62" s="9"/>
      <c r="C62" s="9"/>
      <c r="D62" s="42"/>
      <c r="E62" s="39" t="str">
        <f aca="false">IF(C62="","",IFERROR(INDEX(Materiais!$D$5:$D$204,MATCH(C62,Materiais!$B$5:$B$204,0)),"?"))</f>
        <v/>
      </c>
      <c r="F62" s="27" t="str">
        <f aca="false">IF(OR(C62="",D62=""),"",IFERROR(D62*INDEX(Materiais!$F$5:$F$204,MATCH(C62,Materiais!$B$5:$B$204,0))/INDEX(Materiais!$E$5:$E$204,MATCH(C62,Materiais!$B$5:$B$204,0)),"Cadastre em Materiais"))</f>
        <v/>
      </c>
      <c r="G62" s="9"/>
    </row>
    <row r="63" customFormat="false" ht="21" hidden="false" customHeight="true" outlineLevel="0" collapsed="false">
      <c r="B63" s="9"/>
      <c r="C63" s="9"/>
      <c r="D63" s="42"/>
      <c r="E63" s="39" t="str">
        <f aca="false">IF(C63="","",IFERROR(INDEX(Materiais!$D$5:$D$204,MATCH(C63,Materiais!$B$5:$B$204,0)),"?"))</f>
        <v/>
      </c>
      <c r="F63" s="27" t="str">
        <f aca="false">IF(OR(C63="",D63=""),"",IFERROR(D63*INDEX(Materiais!$F$5:$F$204,MATCH(C63,Materiais!$B$5:$B$204,0))/INDEX(Materiais!$E$5:$E$204,MATCH(C63,Materiais!$B$5:$B$204,0)),"Cadastre em Materiais"))</f>
        <v/>
      </c>
      <c r="G63" s="9"/>
    </row>
    <row r="64" customFormat="false" ht="21" hidden="false" customHeight="true" outlineLevel="0" collapsed="false">
      <c r="B64" s="9"/>
      <c r="C64" s="9"/>
      <c r="D64" s="42"/>
      <c r="E64" s="39" t="str">
        <f aca="false">IF(C64="","",IFERROR(INDEX(Materiais!$D$5:$D$204,MATCH(C64,Materiais!$B$5:$B$204,0)),"?"))</f>
        <v/>
      </c>
      <c r="F64" s="27" t="str">
        <f aca="false">IF(OR(C64="",D64=""),"",IFERROR(D64*INDEX(Materiais!$F$5:$F$204,MATCH(C64,Materiais!$B$5:$B$204,0))/INDEX(Materiais!$E$5:$E$204,MATCH(C64,Materiais!$B$5:$B$204,0)),"Cadastre em Materiais"))</f>
        <v/>
      </c>
      <c r="G64" s="9"/>
    </row>
    <row r="65" customFormat="false" ht="21" hidden="false" customHeight="true" outlineLevel="0" collapsed="false">
      <c r="B65" s="9"/>
      <c r="C65" s="9"/>
      <c r="D65" s="42"/>
      <c r="E65" s="39" t="str">
        <f aca="false">IF(C65="","",IFERROR(INDEX(Materiais!$D$5:$D$204,MATCH(C65,Materiais!$B$5:$B$204,0)),"?"))</f>
        <v/>
      </c>
      <c r="F65" s="27" t="str">
        <f aca="false">IF(OR(C65="",D65=""),"",IFERROR(D65*INDEX(Materiais!$F$5:$F$204,MATCH(C65,Materiais!$B$5:$B$204,0))/INDEX(Materiais!$E$5:$E$204,MATCH(C65,Materiais!$B$5:$B$204,0)),"Cadastre em Materiais"))</f>
        <v/>
      </c>
      <c r="G65" s="9"/>
    </row>
    <row r="66" customFormat="false" ht="21" hidden="false" customHeight="true" outlineLevel="0" collapsed="false">
      <c r="B66" s="9"/>
      <c r="C66" s="9"/>
      <c r="D66" s="42"/>
      <c r="E66" s="39" t="str">
        <f aca="false">IF(C66="","",IFERROR(INDEX(Materiais!$D$5:$D$204,MATCH(C66,Materiais!$B$5:$B$204,0)),"?"))</f>
        <v/>
      </c>
      <c r="F66" s="27" t="str">
        <f aca="false">IF(OR(C66="",D66=""),"",IFERROR(D66*INDEX(Materiais!$F$5:$F$204,MATCH(C66,Materiais!$B$5:$B$204,0))/INDEX(Materiais!$E$5:$E$204,MATCH(C66,Materiais!$B$5:$B$204,0)),"Cadastre em Materiais"))</f>
        <v/>
      </c>
      <c r="G66" s="9"/>
    </row>
    <row r="67" customFormat="false" ht="21" hidden="false" customHeight="true" outlineLevel="0" collapsed="false">
      <c r="B67" s="9"/>
      <c r="C67" s="9"/>
      <c r="D67" s="42"/>
      <c r="E67" s="39" t="str">
        <f aca="false">IF(C67="","",IFERROR(INDEX(Materiais!$D$5:$D$204,MATCH(C67,Materiais!$B$5:$B$204,0)),"?"))</f>
        <v/>
      </c>
      <c r="F67" s="27" t="str">
        <f aca="false">IF(OR(C67="",D67=""),"",IFERROR(D67*INDEX(Materiais!$F$5:$F$204,MATCH(C67,Materiais!$B$5:$B$204,0))/INDEX(Materiais!$E$5:$E$204,MATCH(C67,Materiais!$B$5:$B$204,0)),"Cadastre em Materiais"))</f>
        <v/>
      </c>
      <c r="G67" s="9"/>
    </row>
    <row r="68" customFormat="false" ht="21" hidden="false" customHeight="true" outlineLevel="0" collapsed="false">
      <c r="B68" s="9"/>
      <c r="C68" s="9"/>
      <c r="D68" s="42"/>
      <c r="E68" s="39" t="str">
        <f aca="false">IF(C68="","",IFERROR(INDEX(Materiais!$D$5:$D$204,MATCH(C68,Materiais!$B$5:$B$204,0)),"?"))</f>
        <v/>
      </c>
      <c r="F68" s="27" t="str">
        <f aca="false">IF(OR(C68="",D68=""),"",IFERROR(D68*INDEX(Materiais!$F$5:$F$204,MATCH(C68,Materiais!$B$5:$B$204,0))/INDEX(Materiais!$E$5:$E$204,MATCH(C68,Materiais!$B$5:$B$204,0)),"Cadastre em Materiais"))</f>
        <v/>
      </c>
      <c r="G68" s="9"/>
    </row>
    <row r="69" customFormat="false" ht="21" hidden="false" customHeight="true" outlineLevel="0" collapsed="false">
      <c r="B69" s="9"/>
      <c r="C69" s="9"/>
      <c r="D69" s="42"/>
      <c r="E69" s="39" t="str">
        <f aca="false">IF(C69="","",IFERROR(INDEX(Materiais!$D$5:$D$204,MATCH(C69,Materiais!$B$5:$B$204,0)),"?"))</f>
        <v/>
      </c>
      <c r="F69" s="27" t="str">
        <f aca="false">IF(OR(C69="",D69=""),"",IFERROR(D69*INDEX(Materiais!$F$5:$F$204,MATCH(C69,Materiais!$B$5:$B$204,0))/INDEX(Materiais!$E$5:$E$204,MATCH(C69,Materiais!$B$5:$B$204,0)),"Cadastre em Materiais"))</f>
        <v/>
      </c>
      <c r="G69" s="9"/>
    </row>
    <row r="70" customFormat="false" ht="21" hidden="false" customHeight="true" outlineLevel="0" collapsed="false">
      <c r="B70" s="9"/>
      <c r="C70" s="9"/>
      <c r="D70" s="42"/>
      <c r="E70" s="39" t="str">
        <f aca="false">IF(C70="","",IFERROR(INDEX(Materiais!$D$5:$D$204,MATCH(C70,Materiais!$B$5:$B$204,0)),"?"))</f>
        <v/>
      </c>
      <c r="F70" s="27" t="str">
        <f aca="false">IF(OR(C70="",D70=""),"",IFERROR(D70*INDEX(Materiais!$F$5:$F$204,MATCH(C70,Materiais!$B$5:$B$204,0))/INDEX(Materiais!$E$5:$E$204,MATCH(C70,Materiais!$B$5:$B$204,0)),"Cadastre em Materiais"))</f>
        <v/>
      </c>
      <c r="G70" s="9"/>
    </row>
    <row r="71" customFormat="false" ht="21" hidden="false" customHeight="true" outlineLevel="0" collapsed="false">
      <c r="B71" s="9"/>
      <c r="C71" s="9"/>
      <c r="D71" s="42"/>
      <c r="E71" s="39" t="str">
        <f aca="false">IF(C71="","",IFERROR(INDEX(Materiais!$D$5:$D$204,MATCH(C71,Materiais!$B$5:$B$204,0)),"?"))</f>
        <v/>
      </c>
      <c r="F71" s="27" t="str">
        <f aca="false">IF(OR(C71="",D71=""),"",IFERROR(D71*INDEX(Materiais!$F$5:$F$204,MATCH(C71,Materiais!$B$5:$B$204,0))/INDEX(Materiais!$E$5:$E$204,MATCH(C71,Materiais!$B$5:$B$204,0)),"Cadastre em Materiais"))</f>
        <v/>
      </c>
      <c r="G71" s="9"/>
    </row>
    <row r="72" customFormat="false" ht="21" hidden="false" customHeight="true" outlineLevel="0" collapsed="false">
      <c r="B72" s="9"/>
      <c r="C72" s="9"/>
      <c r="D72" s="42"/>
      <c r="E72" s="39" t="str">
        <f aca="false">IF(C72="","",IFERROR(INDEX(Materiais!$D$5:$D$204,MATCH(C72,Materiais!$B$5:$B$204,0)),"?"))</f>
        <v/>
      </c>
      <c r="F72" s="27" t="str">
        <f aca="false">IF(OR(C72="",D72=""),"",IFERROR(D72*INDEX(Materiais!$F$5:$F$204,MATCH(C72,Materiais!$B$5:$B$204,0))/INDEX(Materiais!$E$5:$E$204,MATCH(C72,Materiais!$B$5:$B$204,0)),"Cadastre em Materiais"))</f>
        <v/>
      </c>
      <c r="G72" s="9"/>
    </row>
    <row r="73" customFormat="false" ht="21" hidden="false" customHeight="true" outlineLevel="0" collapsed="false">
      <c r="B73" s="9"/>
      <c r="C73" s="9"/>
      <c r="D73" s="42"/>
      <c r="E73" s="39" t="str">
        <f aca="false">IF(C73="","",IFERROR(INDEX(Materiais!$D$5:$D$204,MATCH(C73,Materiais!$B$5:$B$204,0)),"?"))</f>
        <v/>
      </c>
      <c r="F73" s="27" t="str">
        <f aca="false">IF(OR(C73="",D73=""),"",IFERROR(D73*INDEX(Materiais!$F$5:$F$204,MATCH(C73,Materiais!$B$5:$B$204,0))/INDEX(Materiais!$E$5:$E$204,MATCH(C73,Materiais!$B$5:$B$204,0)),"Cadastre em Materiais"))</f>
        <v/>
      </c>
      <c r="G73" s="9"/>
    </row>
    <row r="74" customFormat="false" ht="21" hidden="false" customHeight="true" outlineLevel="0" collapsed="false">
      <c r="B74" s="9"/>
      <c r="C74" s="9"/>
      <c r="D74" s="42"/>
      <c r="E74" s="39" t="str">
        <f aca="false">IF(C74="","",IFERROR(INDEX(Materiais!$D$5:$D$204,MATCH(C74,Materiais!$B$5:$B$204,0)),"?"))</f>
        <v/>
      </c>
      <c r="F74" s="27" t="str">
        <f aca="false">IF(OR(C74="",D74=""),"",IFERROR(D74*INDEX(Materiais!$F$5:$F$204,MATCH(C74,Materiais!$B$5:$B$204,0))/INDEX(Materiais!$E$5:$E$204,MATCH(C74,Materiais!$B$5:$B$204,0)),"Cadastre em Materiais"))</f>
        <v/>
      </c>
      <c r="G74" s="9"/>
    </row>
    <row r="75" customFormat="false" ht="21" hidden="false" customHeight="true" outlineLevel="0" collapsed="false">
      <c r="B75" s="9"/>
      <c r="C75" s="9"/>
      <c r="D75" s="42"/>
      <c r="E75" s="39" t="str">
        <f aca="false">IF(C75="","",IFERROR(INDEX(Materiais!$D$5:$D$204,MATCH(C75,Materiais!$B$5:$B$204,0)),"?"))</f>
        <v/>
      </c>
      <c r="F75" s="27" t="str">
        <f aca="false">IF(OR(C75="",D75=""),"",IFERROR(D75*INDEX(Materiais!$F$5:$F$204,MATCH(C75,Materiais!$B$5:$B$204,0))/INDEX(Materiais!$E$5:$E$204,MATCH(C75,Materiais!$B$5:$B$204,0)),"Cadastre em Materiais"))</f>
        <v/>
      </c>
      <c r="G75" s="9"/>
    </row>
    <row r="76" customFormat="false" ht="21" hidden="false" customHeight="true" outlineLevel="0" collapsed="false">
      <c r="B76" s="9"/>
      <c r="C76" s="9"/>
      <c r="D76" s="42"/>
      <c r="E76" s="39" t="str">
        <f aca="false">IF(C76="","",IFERROR(INDEX(Materiais!$D$5:$D$204,MATCH(C76,Materiais!$B$5:$B$204,0)),"?"))</f>
        <v/>
      </c>
      <c r="F76" s="27" t="str">
        <f aca="false">IF(OR(C76="",D76=""),"",IFERROR(D76*INDEX(Materiais!$F$5:$F$204,MATCH(C76,Materiais!$B$5:$B$204,0))/INDEX(Materiais!$E$5:$E$204,MATCH(C76,Materiais!$B$5:$B$204,0)),"Cadastre em Materiais"))</f>
        <v/>
      </c>
      <c r="G76" s="9"/>
    </row>
    <row r="77" customFormat="false" ht="21" hidden="false" customHeight="true" outlineLevel="0" collapsed="false">
      <c r="B77" s="9"/>
      <c r="C77" s="9"/>
      <c r="D77" s="42"/>
      <c r="E77" s="39" t="str">
        <f aca="false">IF(C77="","",IFERROR(INDEX(Materiais!$D$5:$D$204,MATCH(C77,Materiais!$B$5:$B$204,0)),"?"))</f>
        <v/>
      </c>
      <c r="F77" s="27" t="str">
        <f aca="false">IF(OR(C77="",D77=""),"",IFERROR(D77*INDEX(Materiais!$F$5:$F$204,MATCH(C77,Materiais!$B$5:$B$204,0))/INDEX(Materiais!$E$5:$E$204,MATCH(C77,Materiais!$B$5:$B$204,0)),"Cadastre em Materiais"))</f>
        <v/>
      </c>
      <c r="G77" s="9"/>
    </row>
    <row r="78" customFormat="false" ht="21" hidden="false" customHeight="true" outlineLevel="0" collapsed="false">
      <c r="B78" s="9"/>
      <c r="C78" s="9"/>
      <c r="D78" s="42"/>
      <c r="E78" s="39" t="str">
        <f aca="false">IF(C78="","",IFERROR(INDEX(Materiais!$D$5:$D$204,MATCH(C78,Materiais!$B$5:$B$204,0)),"?"))</f>
        <v/>
      </c>
      <c r="F78" s="27" t="str">
        <f aca="false">IF(OR(C78="",D78=""),"",IFERROR(D78*INDEX(Materiais!$F$5:$F$204,MATCH(C78,Materiais!$B$5:$B$204,0))/INDEX(Materiais!$E$5:$E$204,MATCH(C78,Materiais!$B$5:$B$204,0)),"Cadastre em Materiais"))</f>
        <v/>
      </c>
      <c r="G78" s="9"/>
    </row>
    <row r="79" customFormat="false" ht="21" hidden="false" customHeight="true" outlineLevel="0" collapsed="false">
      <c r="B79" s="9"/>
      <c r="C79" s="9"/>
      <c r="D79" s="42"/>
      <c r="E79" s="39" t="str">
        <f aca="false">IF(C79="","",IFERROR(INDEX(Materiais!$D$5:$D$204,MATCH(C79,Materiais!$B$5:$B$204,0)),"?"))</f>
        <v/>
      </c>
      <c r="F79" s="27" t="str">
        <f aca="false">IF(OR(C79="",D79=""),"",IFERROR(D79*INDEX(Materiais!$F$5:$F$204,MATCH(C79,Materiais!$B$5:$B$204,0))/INDEX(Materiais!$E$5:$E$204,MATCH(C79,Materiais!$B$5:$B$204,0)),"Cadastre em Materiais"))</f>
        <v/>
      </c>
      <c r="G79" s="9"/>
    </row>
    <row r="80" customFormat="false" ht="21" hidden="false" customHeight="true" outlineLevel="0" collapsed="false">
      <c r="B80" s="9"/>
      <c r="C80" s="9"/>
      <c r="D80" s="42"/>
      <c r="E80" s="39" t="str">
        <f aca="false">IF(C80="","",IFERROR(INDEX(Materiais!$D$5:$D$204,MATCH(C80,Materiais!$B$5:$B$204,0)),"?"))</f>
        <v/>
      </c>
      <c r="F80" s="27" t="str">
        <f aca="false">IF(OR(C80="",D80=""),"",IFERROR(D80*INDEX(Materiais!$F$5:$F$204,MATCH(C80,Materiais!$B$5:$B$204,0))/INDEX(Materiais!$E$5:$E$204,MATCH(C80,Materiais!$B$5:$B$204,0)),"Cadastre em Materiais"))</f>
        <v/>
      </c>
      <c r="G80" s="9"/>
    </row>
    <row r="81" customFormat="false" ht="21" hidden="false" customHeight="true" outlineLevel="0" collapsed="false">
      <c r="B81" s="9"/>
      <c r="C81" s="9"/>
      <c r="D81" s="42"/>
      <c r="E81" s="39" t="str">
        <f aca="false">IF(C81="","",IFERROR(INDEX(Materiais!$D$5:$D$204,MATCH(C81,Materiais!$B$5:$B$204,0)),"?"))</f>
        <v/>
      </c>
      <c r="F81" s="27" t="str">
        <f aca="false">IF(OR(C81="",D81=""),"",IFERROR(D81*INDEX(Materiais!$F$5:$F$204,MATCH(C81,Materiais!$B$5:$B$204,0))/INDEX(Materiais!$E$5:$E$204,MATCH(C81,Materiais!$B$5:$B$204,0)),"Cadastre em Materiais"))</f>
        <v/>
      </c>
      <c r="G81" s="9"/>
    </row>
    <row r="82" customFormat="false" ht="21" hidden="false" customHeight="true" outlineLevel="0" collapsed="false">
      <c r="B82" s="9"/>
      <c r="C82" s="9"/>
      <c r="D82" s="42"/>
      <c r="E82" s="39" t="str">
        <f aca="false">IF(C82="","",IFERROR(INDEX(Materiais!$D$5:$D$204,MATCH(C82,Materiais!$B$5:$B$204,0)),"?"))</f>
        <v/>
      </c>
      <c r="F82" s="27" t="str">
        <f aca="false">IF(OR(C82="",D82=""),"",IFERROR(D82*INDEX(Materiais!$F$5:$F$204,MATCH(C82,Materiais!$B$5:$B$204,0))/INDEX(Materiais!$E$5:$E$204,MATCH(C82,Materiais!$B$5:$B$204,0)),"Cadastre em Materiais"))</f>
        <v/>
      </c>
      <c r="G82" s="9"/>
    </row>
    <row r="83" customFormat="false" ht="21" hidden="false" customHeight="true" outlineLevel="0" collapsed="false">
      <c r="B83" s="9"/>
      <c r="C83" s="9"/>
      <c r="D83" s="42"/>
      <c r="E83" s="39" t="str">
        <f aca="false">IF(C83="","",IFERROR(INDEX(Materiais!$D$5:$D$204,MATCH(C83,Materiais!$B$5:$B$204,0)),"?"))</f>
        <v/>
      </c>
      <c r="F83" s="27" t="str">
        <f aca="false">IF(OR(C83="",D83=""),"",IFERROR(D83*INDEX(Materiais!$F$5:$F$204,MATCH(C83,Materiais!$B$5:$B$204,0))/INDEX(Materiais!$E$5:$E$204,MATCH(C83,Materiais!$B$5:$B$204,0)),"Cadastre em Materiais"))</f>
        <v/>
      </c>
      <c r="G83" s="9"/>
    </row>
    <row r="84" customFormat="false" ht="21" hidden="false" customHeight="true" outlineLevel="0" collapsed="false">
      <c r="B84" s="9"/>
      <c r="C84" s="9"/>
      <c r="D84" s="42"/>
      <c r="E84" s="39" t="str">
        <f aca="false">IF(C84="","",IFERROR(INDEX(Materiais!$D$5:$D$204,MATCH(C84,Materiais!$B$5:$B$204,0)),"?"))</f>
        <v/>
      </c>
      <c r="F84" s="27" t="str">
        <f aca="false">IF(OR(C84="",D84=""),"",IFERROR(D84*INDEX(Materiais!$F$5:$F$204,MATCH(C84,Materiais!$B$5:$B$204,0))/INDEX(Materiais!$E$5:$E$204,MATCH(C84,Materiais!$B$5:$B$204,0)),"Cadastre em Materiais"))</f>
        <v/>
      </c>
      <c r="G84" s="9"/>
    </row>
    <row r="85" customFormat="false" ht="21" hidden="false" customHeight="true" outlineLevel="0" collapsed="false">
      <c r="B85" s="9"/>
      <c r="C85" s="9"/>
      <c r="D85" s="42"/>
      <c r="E85" s="39" t="str">
        <f aca="false">IF(C85="","",IFERROR(INDEX(Materiais!$D$5:$D$204,MATCH(C85,Materiais!$B$5:$B$204,0)),"?"))</f>
        <v/>
      </c>
      <c r="F85" s="27" t="str">
        <f aca="false">IF(OR(C85="",D85=""),"",IFERROR(D85*INDEX(Materiais!$F$5:$F$204,MATCH(C85,Materiais!$B$5:$B$204,0))/INDEX(Materiais!$E$5:$E$204,MATCH(C85,Materiais!$B$5:$B$204,0)),"Cadastre em Materiais"))</f>
        <v/>
      </c>
      <c r="G85" s="9"/>
    </row>
    <row r="86" customFormat="false" ht="21" hidden="false" customHeight="true" outlineLevel="0" collapsed="false">
      <c r="B86" s="9"/>
      <c r="C86" s="9"/>
      <c r="D86" s="42"/>
      <c r="E86" s="39" t="str">
        <f aca="false">IF(C86="","",IFERROR(INDEX(Materiais!$D$5:$D$204,MATCH(C86,Materiais!$B$5:$B$204,0)),"?"))</f>
        <v/>
      </c>
      <c r="F86" s="27" t="str">
        <f aca="false">IF(OR(C86="",D86=""),"",IFERROR(D86*INDEX(Materiais!$F$5:$F$204,MATCH(C86,Materiais!$B$5:$B$204,0))/INDEX(Materiais!$E$5:$E$204,MATCH(C86,Materiais!$B$5:$B$204,0)),"Cadastre em Materiais"))</f>
        <v/>
      </c>
      <c r="G86" s="9"/>
    </row>
    <row r="87" customFormat="false" ht="21" hidden="false" customHeight="true" outlineLevel="0" collapsed="false">
      <c r="B87" s="9"/>
      <c r="C87" s="9"/>
      <c r="D87" s="42"/>
      <c r="E87" s="39" t="str">
        <f aca="false">IF(C87="","",IFERROR(INDEX(Materiais!$D$5:$D$204,MATCH(C87,Materiais!$B$5:$B$204,0)),"?"))</f>
        <v/>
      </c>
      <c r="F87" s="27" t="str">
        <f aca="false">IF(OR(C87="",D87=""),"",IFERROR(D87*INDEX(Materiais!$F$5:$F$204,MATCH(C87,Materiais!$B$5:$B$204,0))/INDEX(Materiais!$E$5:$E$204,MATCH(C87,Materiais!$B$5:$B$204,0)),"Cadastre em Materiais"))</f>
        <v/>
      </c>
      <c r="G87" s="9"/>
    </row>
    <row r="88" customFormat="false" ht="21" hidden="false" customHeight="true" outlineLevel="0" collapsed="false">
      <c r="B88" s="9"/>
      <c r="C88" s="9"/>
      <c r="D88" s="42"/>
      <c r="E88" s="39" t="str">
        <f aca="false">IF(C88="","",IFERROR(INDEX(Materiais!$D$5:$D$204,MATCH(C88,Materiais!$B$5:$B$204,0)),"?"))</f>
        <v/>
      </c>
      <c r="F88" s="27" t="str">
        <f aca="false">IF(OR(C88="",D88=""),"",IFERROR(D88*INDEX(Materiais!$F$5:$F$204,MATCH(C88,Materiais!$B$5:$B$204,0))/INDEX(Materiais!$E$5:$E$204,MATCH(C88,Materiais!$B$5:$B$204,0)),"Cadastre em Materiais"))</f>
        <v/>
      </c>
      <c r="G88" s="9"/>
    </row>
    <row r="89" customFormat="false" ht="21" hidden="false" customHeight="true" outlineLevel="0" collapsed="false">
      <c r="B89" s="9"/>
      <c r="C89" s="9"/>
      <c r="D89" s="42"/>
      <c r="E89" s="39" t="str">
        <f aca="false">IF(C89="","",IFERROR(INDEX(Materiais!$D$5:$D$204,MATCH(C89,Materiais!$B$5:$B$204,0)),"?"))</f>
        <v/>
      </c>
      <c r="F89" s="27" t="str">
        <f aca="false">IF(OR(C89="",D89=""),"",IFERROR(D89*INDEX(Materiais!$F$5:$F$204,MATCH(C89,Materiais!$B$5:$B$204,0))/INDEX(Materiais!$E$5:$E$204,MATCH(C89,Materiais!$B$5:$B$204,0)),"Cadastre em Materiais"))</f>
        <v/>
      </c>
      <c r="G89" s="9"/>
    </row>
    <row r="90" customFormat="false" ht="21" hidden="false" customHeight="true" outlineLevel="0" collapsed="false">
      <c r="B90" s="9"/>
      <c r="C90" s="9"/>
      <c r="D90" s="42"/>
      <c r="E90" s="39" t="str">
        <f aca="false">IF(C90="","",IFERROR(INDEX(Materiais!$D$5:$D$204,MATCH(C90,Materiais!$B$5:$B$204,0)),"?"))</f>
        <v/>
      </c>
      <c r="F90" s="27" t="str">
        <f aca="false">IF(OR(C90="",D90=""),"",IFERROR(D90*INDEX(Materiais!$F$5:$F$204,MATCH(C90,Materiais!$B$5:$B$204,0))/INDEX(Materiais!$E$5:$E$204,MATCH(C90,Materiais!$B$5:$B$204,0)),"Cadastre em Materiais"))</f>
        <v/>
      </c>
      <c r="G90" s="9"/>
    </row>
    <row r="91" customFormat="false" ht="21" hidden="false" customHeight="true" outlineLevel="0" collapsed="false">
      <c r="B91" s="9"/>
      <c r="C91" s="9"/>
      <c r="D91" s="42"/>
      <c r="E91" s="39" t="str">
        <f aca="false">IF(C91="","",IFERROR(INDEX(Materiais!$D$5:$D$204,MATCH(C91,Materiais!$B$5:$B$204,0)),"?"))</f>
        <v/>
      </c>
      <c r="F91" s="27" t="str">
        <f aca="false">IF(OR(C91="",D91=""),"",IFERROR(D91*INDEX(Materiais!$F$5:$F$204,MATCH(C91,Materiais!$B$5:$B$204,0))/INDEX(Materiais!$E$5:$E$204,MATCH(C91,Materiais!$B$5:$B$204,0)),"Cadastre em Materiais"))</f>
        <v/>
      </c>
      <c r="G91" s="9"/>
    </row>
    <row r="92" customFormat="false" ht="21" hidden="false" customHeight="true" outlineLevel="0" collapsed="false">
      <c r="B92" s="9"/>
      <c r="C92" s="9"/>
      <c r="D92" s="42"/>
      <c r="E92" s="39" t="str">
        <f aca="false">IF(C92="","",IFERROR(INDEX(Materiais!$D$5:$D$204,MATCH(C92,Materiais!$B$5:$B$204,0)),"?"))</f>
        <v/>
      </c>
      <c r="F92" s="27" t="str">
        <f aca="false">IF(OR(C92="",D92=""),"",IFERROR(D92*INDEX(Materiais!$F$5:$F$204,MATCH(C92,Materiais!$B$5:$B$204,0))/INDEX(Materiais!$E$5:$E$204,MATCH(C92,Materiais!$B$5:$B$204,0)),"Cadastre em Materiais"))</f>
        <v/>
      </c>
      <c r="G92" s="9"/>
    </row>
    <row r="93" customFormat="false" ht="21" hidden="false" customHeight="true" outlineLevel="0" collapsed="false">
      <c r="B93" s="9"/>
      <c r="C93" s="9"/>
      <c r="D93" s="42"/>
      <c r="E93" s="39" t="str">
        <f aca="false">IF(C93="","",IFERROR(INDEX(Materiais!$D$5:$D$204,MATCH(C93,Materiais!$B$5:$B$204,0)),"?"))</f>
        <v/>
      </c>
      <c r="F93" s="27" t="str">
        <f aca="false">IF(OR(C93="",D93=""),"",IFERROR(D93*INDEX(Materiais!$F$5:$F$204,MATCH(C93,Materiais!$B$5:$B$204,0))/INDEX(Materiais!$E$5:$E$204,MATCH(C93,Materiais!$B$5:$B$204,0)),"Cadastre em Materiais"))</f>
        <v/>
      </c>
      <c r="G93" s="9"/>
    </row>
    <row r="94" customFormat="false" ht="21" hidden="false" customHeight="true" outlineLevel="0" collapsed="false">
      <c r="B94" s="9"/>
      <c r="C94" s="9"/>
      <c r="D94" s="42"/>
      <c r="E94" s="39" t="str">
        <f aca="false">IF(C94="","",IFERROR(INDEX(Materiais!$D$5:$D$204,MATCH(C94,Materiais!$B$5:$B$204,0)),"?"))</f>
        <v/>
      </c>
      <c r="F94" s="27" t="str">
        <f aca="false">IF(OR(C94="",D94=""),"",IFERROR(D94*INDEX(Materiais!$F$5:$F$204,MATCH(C94,Materiais!$B$5:$B$204,0))/INDEX(Materiais!$E$5:$E$204,MATCH(C94,Materiais!$B$5:$B$204,0)),"Cadastre em Materiais"))</f>
        <v/>
      </c>
      <c r="G94" s="9"/>
    </row>
    <row r="95" customFormat="false" ht="21" hidden="false" customHeight="true" outlineLevel="0" collapsed="false">
      <c r="B95" s="9"/>
      <c r="C95" s="9"/>
      <c r="D95" s="42"/>
      <c r="E95" s="39" t="str">
        <f aca="false">IF(C95="","",IFERROR(INDEX(Materiais!$D$5:$D$204,MATCH(C95,Materiais!$B$5:$B$204,0)),"?"))</f>
        <v/>
      </c>
      <c r="F95" s="27" t="str">
        <f aca="false">IF(OR(C95="",D95=""),"",IFERROR(D95*INDEX(Materiais!$F$5:$F$204,MATCH(C95,Materiais!$B$5:$B$204,0))/INDEX(Materiais!$E$5:$E$204,MATCH(C95,Materiais!$B$5:$B$204,0)),"Cadastre em Materiais"))</f>
        <v/>
      </c>
      <c r="G95" s="9"/>
    </row>
    <row r="96" customFormat="false" ht="21" hidden="false" customHeight="true" outlineLevel="0" collapsed="false">
      <c r="B96" s="9"/>
      <c r="C96" s="9"/>
      <c r="D96" s="42"/>
      <c r="E96" s="39" t="str">
        <f aca="false">IF(C96="","",IFERROR(INDEX(Materiais!$D$5:$D$204,MATCH(C96,Materiais!$B$5:$B$204,0)),"?"))</f>
        <v/>
      </c>
      <c r="F96" s="27" t="str">
        <f aca="false">IF(OR(C96="",D96=""),"",IFERROR(D96*INDEX(Materiais!$F$5:$F$204,MATCH(C96,Materiais!$B$5:$B$204,0))/INDEX(Materiais!$E$5:$E$204,MATCH(C96,Materiais!$B$5:$B$204,0)),"Cadastre em Materiais"))</f>
        <v/>
      </c>
      <c r="G96" s="9"/>
    </row>
    <row r="97" customFormat="false" ht="21" hidden="false" customHeight="true" outlineLevel="0" collapsed="false">
      <c r="B97" s="9"/>
      <c r="C97" s="9"/>
      <c r="D97" s="42"/>
      <c r="E97" s="39" t="str">
        <f aca="false">IF(C97="","",IFERROR(INDEX(Materiais!$D$5:$D$204,MATCH(C97,Materiais!$B$5:$B$204,0)),"?"))</f>
        <v/>
      </c>
      <c r="F97" s="27" t="str">
        <f aca="false">IF(OR(C97="",D97=""),"",IFERROR(D97*INDEX(Materiais!$F$5:$F$204,MATCH(C97,Materiais!$B$5:$B$204,0))/INDEX(Materiais!$E$5:$E$204,MATCH(C97,Materiais!$B$5:$B$204,0)),"Cadastre em Materiais"))</f>
        <v/>
      </c>
      <c r="G97" s="9"/>
    </row>
    <row r="98" customFormat="false" ht="21" hidden="false" customHeight="true" outlineLevel="0" collapsed="false">
      <c r="B98" s="9"/>
      <c r="C98" s="9"/>
      <c r="D98" s="42"/>
      <c r="E98" s="39" t="str">
        <f aca="false">IF(C98="","",IFERROR(INDEX(Materiais!$D$5:$D$204,MATCH(C98,Materiais!$B$5:$B$204,0)),"?"))</f>
        <v/>
      </c>
      <c r="F98" s="27" t="str">
        <f aca="false">IF(OR(C98="",D98=""),"",IFERROR(D98*INDEX(Materiais!$F$5:$F$204,MATCH(C98,Materiais!$B$5:$B$204,0))/INDEX(Materiais!$E$5:$E$204,MATCH(C98,Materiais!$B$5:$B$204,0)),"Cadastre em Materiais"))</f>
        <v/>
      </c>
      <c r="G98" s="9"/>
    </row>
    <row r="99" customFormat="false" ht="21" hidden="false" customHeight="true" outlineLevel="0" collapsed="false">
      <c r="B99" s="9"/>
      <c r="C99" s="9"/>
      <c r="D99" s="42"/>
      <c r="E99" s="39" t="str">
        <f aca="false">IF(C99="","",IFERROR(INDEX(Materiais!$D$5:$D$204,MATCH(C99,Materiais!$B$5:$B$204,0)),"?"))</f>
        <v/>
      </c>
      <c r="F99" s="27" t="str">
        <f aca="false">IF(OR(C99="",D99=""),"",IFERROR(D99*INDEX(Materiais!$F$5:$F$204,MATCH(C99,Materiais!$B$5:$B$204,0))/INDEX(Materiais!$E$5:$E$204,MATCH(C99,Materiais!$B$5:$B$204,0)),"Cadastre em Materiais"))</f>
        <v/>
      </c>
      <c r="G99" s="9"/>
    </row>
    <row r="100" customFormat="false" ht="21" hidden="false" customHeight="true" outlineLevel="0" collapsed="false">
      <c r="B100" s="9"/>
      <c r="C100" s="9"/>
      <c r="D100" s="42"/>
      <c r="E100" s="39" t="str">
        <f aca="false">IF(C100="","",IFERROR(INDEX(Materiais!$D$5:$D$204,MATCH(C100,Materiais!$B$5:$B$204,0)),"?"))</f>
        <v/>
      </c>
      <c r="F100" s="27" t="str">
        <f aca="false">IF(OR(C100="",D100=""),"",IFERROR(D100*INDEX(Materiais!$F$5:$F$204,MATCH(C100,Materiais!$B$5:$B$204,0))/INDEX(Materiais!$E$5:$E$204,MATCH(C100,Materiais!$B$5:$B$204,0)),"Cadastre em Materiais"))</f>
        <v/>
      </c>
      <c r="G100" s="9"/>
    </row>
    <row r="101" customFormat="false" ht="21" hidden="false" customHeight="true" outlineLevel="0" collapsed="false">
      <c r="B101" s="9"/>
      <c r="C101" s="9"/>
      <c r="D101" s="42"/>
      <c r="E101" s="39" t="str">
        <f aca="false">IF(C101="","",IFERROR(INDEX(Materiais!$D$5:$D$204,MATCH(C101,Materiais!$B$5:$B$204,0)),"?"))</f>
        <v/>
      </c>
      <c r="F101" s="27" t="str">
        <f aca="false">IF(OR(C101="",D101=""),"",IFERROR(D101*INDEX(Materiais!$F$5:$F$204,MATCH(C101,Materiais!$B$5:$B$204,0))/INDEX(Materiais!$E$5:$E$204,MATCH(C101,Materiais!$B$5:$B$204,0)),"Cadastre em Materiais"))</f>
        <v/>
      </c>
      <c r="G101" s="9"/>
    </row>
    <row r="102" customFormat="false" ht="21" hidden="false" customHeight="true" outlineLevel="0" collapsed="false">
      <c r="B102" s="9"/>
      <c r="C102" s="9"/>
      <c r="D102" s="42"/>
      <c r="E102" s="39" t="str">
        <f aca="false">IF(C102="","",IFERROR(INDEX(Materiais!$D$5:$D$204,MATCH(C102,Materiais!$B$5:$B$204,0)),"?"))</f>
        <v/>
      </c>
      <c r="F102" s="27" t="str">
        <f aca="false">IF(OR(C102="",D102=""),"",IFERROR(D102*INDEX(Materiais!$F$5:$F$204,MATCH(C102,Materiais!$B$5:$B$204,0))/INDEX(Materiais!$E$5:$E$204,MATCH(C102,Materiais!$B$5:$B$204,0)),"Cadastre em Materiais"))</f>
        <v/>
      </c>
      <c r="G102" s="9"/>
    </row>
    <row r="103" customFormat="false" ht="21" hidden="false" customHeight="true" outlineLevel="0" collapsed="false">
      <c r="B103" s="9"/>
      <c r="C103" s="9"/>
      <c r="D103" s="42"/>
      <c r="E103" s="39" t="str">
        <f aca="false">IF(C103="","",IFERROR(INDEX(Materiais!$D$5:$D$204,MATCH(C103,Materiais!$B$5:$B$204,0)),"?"))</f>
        <v/>
      </c>
      <c r="F103" s="27" t="str">
        <f aca="false">IF(OR(C103="",D103=""),"",IFERROR(D103*INDEX(Materiais!$F$5:$F$204,MATCH(C103,Materiais!$B$5:$B$204,0))/INDEX(Materiais!$E$5:$E$204,MATCH(C103,Materiais!$B$5:$B$204,0)),"Cadastre em Materiais"))</f>
        <v/>
      </c>
      <c r="G103" s="9"/>
    </row>
    <row r="104" customFormat="false" ht="21" hidden="false" customHeight="true" outlineLevel="0" collapsed="false">
      <c r="B104" s="9"/>
      <c r="C104" s="9"/>
      <c r="D104" s="42"/>
      <c r="E104" s="39" t="str">
        <f aca="false">IF(C104="","",IFERROR(INDEX(Materiais!$D$5:$D$204,MATCH(C104,Materiais!$B$5:$B$204,0)),"?"))</f>
        <v/>
      </c>
      <c r="F104" s="27" t="str">
        <f aca="false">IF(OR(C104="",D104=""),"",IFERROR(D104*INDEX(Materiais!$F$5:$F$204,MATCH(C104,Materiais!$B$5:$B$204,0))/INDEX(Materiais!$E$5:$E$204,MATCH(C104,Materiais!$B$5:$B$204,0)),"Cadastre em Materiais"))</f>
        <v/>
      </c>
      <c r="G104" s="9"/>
    </row>
    <row r="105" customFormat="false" ht="21" hidden="false" customHeight="true" outlineLevel="0" collapsed="false">
      <c r="B105" s="9"/>
      <c r="C105" s="9"/>
      <c r="D105" s="42"/>
      <c r="E105" s="39" t="str">
        <f aca="false">IF(C105="","",IFERROR(INDEX(Materiais!$D$5:$D$204,MATCH(C105,Materiais!$B$5:$B$204,0)),"?"))</f>
        <v/>
      </c>
      <c r="F105" s="27" t="str">
        <f aca="false">IF(OR(C105="",D105=""),"",IFERROR(D105*INDEX(Materiais!$F$5:$F$204,MATCH(C105,Materiais!$B$5:$B$204,0))/INDEX(Materiais!$E$5:$E$204,MATCH(C105,Materiais!$B$5:$B$204,0)),"Cadastre em Materiais"))</f>
        <v/>
      </c>
      <c r="G105" s="9"/>
    </row>
    <row r="106" customFormat="false" ht="21" hidden="false" customHeight="true" outlineLevel="0" collapsed="false">
      <c r="B106" s="9"/>
      <c r="C106" s="9"/>
      <c r="D106" s="42"/>
      <c r="E106" s="39" t="str">
        <f aca="false">IF(C106="","",IFERROR(INDEX(Materiais!$D$5:$D$204,MATCH(C106,Materiais!$B$5:$B$204,0)),"?"))</f>
        <v/>
      </c>
      <c r="F106" s="27" t="str">
        <f aca="false">IF(OR(C106="",D106=""),"",IFERROR(D106*INDEX(Materiais!$F$5:$F$204,MATCH(C106,Materiais!$B$5:$B$204,0))/INDEX(Materiais!$E$5:$E$204,MATCH(C106,Materiais!$B$5:$B$204,0)),"Cadastre em Materiais"))</f>
        <v/>
      </c>
      <c r="G106" s="9"/>
    </row>
    <row r="107" customFormat="false" ht="21" hidden="false" customHeight="true" outlineLevel="0" collapsed="false">
      <c r="B107" s="9"/>
      <c r="C107" s="9"/>
      <c r="D107" s="42"/>
      <c r="E107" s="39" t="str">
        <f aca="false">IF(C107="","",IFERROR(INDEX(Materiais!$D$5:$D$204,MATCH(C107,Materiais!$B$5:$B$204,0)),"?"))</f>
        <v/>
      </c>
      <c r="F107" s="27" t="str">
        <f aca="false">IF(OR(C107="",D107=""),"",IFERROR(D107*INDEX(Materiais!$F$5:$F$204,MATCH(C107,Materiais!$B$5:$B$204,0))/INDEX(Materiais!$E$5:$E$204,MATCH(C107,Materiais!$B$5:$B$204,0)),"Cadastre em Materiais"))</f>
        <v/>
      </c>
      <c r="G107" s="9"/>
    </row>
    <row r="108" customFormat="false" ht="21" hidden="false" customHeight="true" outlineLevel="0" collapsed="false">
      <c r="B108" s="9"/>
      <c r="C108" s="9"/>
      <c r="D108" s="42"/>
      <c r="E108" s="39" t="str">
        <f aca="false">IF(C108="","",IFERROR(INDEX(Materiais!$D$5:$D$204,MATCH(C108,Materiais!$B$5:$B$204,0)),"?"))</f>
        <v/>
      </c>
      <c r="F108" s="27" t="str">
        <f aca="false">IF(OR(C108="",D108=""),"",IFERROR(D108*INDEX(Materiais!$F$5:$F$204,MATCH(C108,Materiais!$B$5:$B$204,0))/INDEX(Materiais!$E$5:$E$204,MATCH(C108,Materiais!$B$5:$B$204,0)),"Cadastre em Materiais"))</f>
        <v/>
      </c>
      <c r="G108" s="9"/>
    </row>
    <row r="109" customFormat="false" ht="21" hidden="false" customHeight="true" outlineLevel="0" collapsed="false">
      <c r="B109" s="9"/>
      <c r="C109" s="9"/>
      <c r="D109" s="42"/>
      <c r="E109" s="39" t="str">
        <f aca="false">IF(C109="","",IFERROR(INDEX(Materiais!$D$5:$D$204,MATCH(C109,Materiais!$B$5:$B$204,0)),"?"))</f>
        <v/>
      </c>
      <c r="F109" s="27" t="str">
        <f aca="false">IF(OR(C109="",D109=""),"",IFERROR(D109*INDEX(Materiais!$F$5:$F$204,MATCH(C109,Materiais!$B$5:$B$204,0))/INDEX(Materiais!$E$5:$E$204,MATCH(C109,Materiais!$B$5:$B$204,0)),"Cadastre em Materiais"))</f>
        <v/>
      </c>
      <c r="G109" s="9"/>
    </row>
    <row r="110" customFormat="false" ht="21" hidden="false" customHeight="true" outlineLevel="0" collapsed="false">
      <c r="B110" s="9"/>
      <c r="C110" s="9"/>
      <c r="D110" s="42"/>
      <c r="E110" s="39" t="str">
        <f aca="false">IF(C110="","",IFERROR(INDEX(Materiais!$D$5:$D$204,MATCH(C110,Materiais!$B$5:$B$204,0)),"?"))</f>
        <v/>
      </c>
      <c r="F110" s="27" t="str">
        <f aca="false">IF(OR(C110="",D110=""),"",IFERROR(D110*INDEX(Materiais!$F$5:$F$204,MATCH(C110,Materiais!$B$5:$B$204,0))/INDEX(Materiais!$E$5:$E$204,MATCH(C110,Materiais!$B$5:$B$204,0)),"Cadastre em Materiais"))</f>
        <v/>
      </c>
      <c r="G110" s="9"/>
    </row>
    <row r="111" customFormat="false" ht="21" hidden="false" customHeight="true" outlineLevel="0" collapsed="false">
      <c r="B111" s="9"/>
      <c r="C111" s="9"/>
      <c r="D111" s="42"/>
      <c r="E111" s="39" t="str">
        <f aca="false">IF(C111="","",IFERROR(INDEX(Materiais!$D$5:$D$204,MATCH(C111,Materiais!$B$5:$B$204,0)),"?"))</f>
        <v/>
      </c>
      <c r="F111" s="27" t="str">
        <f aca="false">IF(OR(C111="",D111=""),"",IFERROR(D111*INDEX(Materiais!$F$5:$F$204,MATCH(C111,Materiais!$B$5:$B$204,0))/INDEX(Materiais!$E$5:$E$204,MATCH(C111,Materiais!$B$5:$B$204,0)),"Cadastre em Materiais"))</f>
        <v/>
      </c>
      <c r="G111" s="9"/>
    </row>
    <row r="112" customFormat="false" ht="21" hidden="false" customHeight="true" outlineLevel="0" collapsed="false">
      <c r="B112" s="9"/>
      <c r="C112" s="9"/>
      <c r="D112" s="42"/>
      <c r="E112" s="39" t="str">
        <f aca="false">IF(C112="","",IFERROR(INDEX(Materiais!$D$5:$D$204,MATCH(C112,Materiais!$B$5:$B$204,0)),"?"))</f>
        <v/>
      </c>
      <c r="F112" s="27" t="str">
        <f aca="false">IF(OR(C112="",D112=""),"",IFERROR(D112*INDEX(Materiais!$F$5:$F$204,MATCH(C112,Materiais!$B$5:$B$204,0))/INDEX(Materiais!$E$5:$E$204,MATCH(C112,Materiais!$B$5:$B$204,0)),"Cadastre em Materiais"))</f>
        <v/>
      </c>
      <c r="G112" s="9"/>
    </row>
    <row r="113" customFormat="false" ht="21" hidden="false" customHeight="true" outlineLevel="0" collapsed="false">
      <c r="B113" s="9"/>
      <c r="C113" s="9"/>
      <c r="D113" s="42"/>
      <c r="E113" s="39" t="str">
        <f aca="false">IF(C113="","",IFERROR(INDEX(Materiais!$D$5:$D$204,MATCH(C113,Materiais!$B$5:$B$204,0)),"?"))</f>
        <v/>
      </c>
      <c r="F113" s="27" t="str">
        <f aca="false">IF(OR(C113="",D113=""),"",IFERROR(D113*INDEX(Materiais!$F$5:$F$204,MATCH(C113,Materiais!$B$5:$B$204,0))/INDEX(Materiais!$E$5:$E$204,MATCH(C113,Materiais!$B$5:$B$204,0)),"Cadastre em Materiais"))</f>
        <v/>
      </c>
      <c r="G113" s="9"/>
    </row>
    <row r="114" customFormat="false" ht="21" hidden="false" customHeight="true" outlineLevel="0" collapsed="false">
      <c r="B114" s="9"/>
      <c r="C114" s="9"/>
      <c r="D114" s="42"/>
      <c r="E114" s="39" t="str">
        <f aca="false">IF(C114="","",IFERROR(INDEX(Materiais!$D$5:$D$204,MATCH(C114,Materiais!$B$5:$B$204,0)),"?"))</f>
        <v/>
      </c>
      <c r="F114" s="27" t="str">
        <f aca="false">IF(OR(C114="",D114=""),"",IFERROR(D114*INDEX(Materiais!$F$5:$F$204,MATCH(C114,Materiais!$B$5:$B$204,0))/INDEX(Materiais!$E$5:$E$204,MATCH(C114,Materiais!$B$5:$B$204,0)),"Cadastre em Materiais"))</f>
        <v/>
      </c>
      <c r="G114" s="9"/>
    </row>
    <row r="115" customFormat="false" ht="21" hidden="false" customHeight="true" outlineLevel="0" collapsed="false">
      <c r="B115" s="9"/>
      <c r="C115" s="9"/>
      <c r="D115" s="42"/>
      <c r="E115" s="39" t="str">
        <f aca="false">IF(C115="","",IFERROR(INDEX(Materiais!$D$5:$D$204,MATCH(C115,Materiais!$B$5:$B$204,0)),"?"))</f>
        <v/>
      </c>
      <c r="F115" s="27" t="str">
        <f aca="false">IF(OR(C115="",D115=""),"",IFERROR(D115*INDEX(Materiais!$F$5:$F$204,MATCH(C115,Materiais!$B$5:$B$204,0))/INDEX(Materiais!$E$5:$E$204,MATCH(C115,Materiais!$B$5:$B$204,0)),"Cadastre em Materiais"))</f>
        <v/>
      </c>
      <c r="G115" s="9"/>
    </row>
    <row r="116" customFormat="false" ht="21" hidden="false" customHeight="true" outlineLevel="0" collapsed="false">
      <c r="B116" s="9"/>
      <c r="C116" s="9"/>
      <c r="D116" s="42"/>
      <c r="E116" s="39" t="str">
        <f aca="false">IF(C116="","",IFERROR(INDEX(Materiais!$D$5:$D$204,MATCH(C116,Materiais!$B$5:$B$204,0)),"?"))</f>
        <v/>
      </c>
      <c r="F116" s="27" t="str">
        <f aca="false">IF(OR(C116="",D116=""),"",IFERROR(D116*INDEX(Materiais!$F$5:$F$204,MATCH(C116,Materiais!$B$5:$B$204,0))/INDEX(Materiais!$E$5:$E$204,MATCH(C116,Materiais!$B$5:$B$204,0)),"Cadastre em Materiais"))</f>
        <v/>
      </c>
      <c r="G116" s="9"/>
    </row>
    <row r="117" customFormat="false" ht="21" hidden="false" customHeight="true" outlineLevel="0" collapsed="false">
      <c r="B117" s="9"/>
      <c r="C117" s="9"/>
      <c r="D117" s="42"/>
      <c r="E117" s="39" t="str">
        <f aca="false">IF(C117="","",IFERROR(INDEX(Materiais!$D$5:$D$204,MATCH(C117,Materiais!$B$5:$B$204,0)),"?"))</f>
        <v/>
      </c>
      <c r="F117" s="27" t="str">
        <f aca="false">IF(OR(C117="",D117=""),"",IFERROR(D117*INDEX(Materiais!$F$5:$F$204,MATCH(C117,Materiais!$B$5:$B$204,0))/INDEX(Materiais!$E$5:$E$204,MATCH(C117,Materiais!$B$5:$B$204,0)),"Cadastre em Materiais"))</f>
        <v/>
      </c>
      <c r="G117" s="9"/>
    </row>
    <row r="118" customFormat="false" ht="21" hidden="false" customHeight="true" outlineLevel="0" collapsed="false">
      <c r="B118" s="9"/>
      <c r="C118" s="9"/>
      <c r="D118" s="42"/>
      <c r="E118" s="39" t="str">
        <f aca="false">IF(C118="","",IFERROR(INDEX(Materiais!$D$5:$D$204,MATCH(C118,Materiais!$B$5:$B$204,0)),"?"))</f>
        <v/>
      </c>
      <c r="F118" s="27" t="str">
        <f aca="false">IF(OR(C118="",D118=""),"",IFERROR(D118*INDEX(Materiais!$F$5:$F$204,MATCH(C118,Materiais!$B$5:$B$204,0))/INDEX(Materiais!$E$5:$E$204,MATCH(C118,Materiais!$B$5:$B$204,0)),"Cadastre em Materiais"))</f>
        <v/>
      </c>
      <c r="G118" s="9"/>
    </row>
    <row r="119" customFormat="false" ht="21" hidden="false" customHeight="true" outlineLevel="0" collapsed="false">
      <c r="B119" s="9"/>
      <c r="C119" s="9"/>
      <c r="D119" s="42"/>
      <c r="E119" s="39" t="str">
        <f aca="false">IF(C119="","",IFERROR(INDEX(Materiais!$D$5:$D$204,MATCH(C119,Materiais!$B$5:$B$204,0)),"?"))</f>
        <v/>
      </c>
      <c r="F119" s="27" t="str">
        <f aca="false">IF(OR(C119="",D119=""),"",IFERROR(D119*INDEX(Materiais!$F$5:$F$204,MATCH(C119,Materiais!$B$5:$B$204,0))/INDEX(Materiais!$E$5:$E$204,MATCH(C119,Materiais!$B$5:$B$204,0)),"Cadastre em Materiais"))</f>
        <v/>
      </c>
      <c r="G119" s="9"/>
    </row>
    <row r="120" customFormat="false" ht="21" hidden="false" customHeight="true" outlineLevel="0" collapsed="false">
      <c r="B120" s="9"/>
      <c r="C120" s="9"/>
      <c r="D120" s="42"/>
      <c r="E120" s="39" t="str">
        <f aca="false">IF(C120="","",IFERROR(INDEX(Materiais!$D$5:$D$204,MATCH(C120,Materiais!$B$5:$B$204,0)),"?"))</f>
        <v/>
      </c>
      <c r="F120" s="27" t="str">
        <f aca="false">IF(OR(C120="",D120=""),"",IFERROR(D120*INDEX(Materiais!$F$5:$F$204,MATCH(C120,Materiais!$B$5:$B$204,0))/INDEX(Materiais!$E$5:$E$204,MATCH(C120,Materiais!$B$5:$B$204,0)),"Cadastre em Materiais"))</f>
        <v/>
      </c>
      <c r="G120" s="9"/>
    </row>
    <row r="121" customFormat="false" ht="21" hidden="false" customHeight="true" outlineLevel="0" collapsed="false">
      <c r="B121" s="9"/>
      <c r="C121" s="9"/>
      <c r="D121" s="42"/>
      <c r="E121" s="39" t="str">
        <f aca="false">IF(C121="","",IFERROR(INDEX(Materiais!$D$5:$D$204,MATCH(C121,Materiais!$B$5:$B$204,0)),"?"))</f>
        <v/>
      </c>
      <c r="F121" s="27" t="str">
        <f aca="false">IF(OR(C121="",D121=""),"",IFERROR(D121*INDEX(Materiais!$F$5:$F$204,MATCH(C121,Materiais!$B$5:$B$204,0))/INDEX(Materiais!$E$5:$E$204,MATCH(C121,Materiais!$B$5:$B$204,0)),"Cadastre em Materiais"))</f>
        <v/>
      </c>
      <c r="G121" s="9"/>
    </row>
    <row r="122" customFormat="false" ht="21" hidden="false" customHeight="true" outlineLevel="0" collapsed="false">
      <c r="B122" s="9"/>
      <c r="C122" s="9"/>
      <c r="D122" s="42"/>
      <c r="E122" s="39" t="str">
        <f aca="false">IF(C122="","",IFERROR(INDEX(Materiais!$D$5:$D$204,MATCH(C122,Materiais!$B$5:$B$204,0)),"?"))</f>
        <v/>
      </c>
      <c r="F122" s="27" t="str">
        <f aca="false">IF(OR(C122="",D122=""),"",IFERROR(D122*INDEX(Materiais!$F$5:$F$204,MATCH(C122,Materiais!$B$5:$B$204,0))/INDEX(Materiais!$E$5:$E$204,MATCH(C122,Materiais!$B$5:$B$204,0)),"Cadastre em Materiais"))</f>
        <v/>
      </c>
      <c r="G122" s="9"/>
    </row>
    <row r="123" customFormat="false" ht="21" hidden="false" customHeight="true" outlineLevel="0" collapsed="false">
      <c r="B123" s="9"/>
      <c r="C123" s="9"/>
      <c r="D123" s="42"/>
      <c r="E123" s="39" t="str">
        <f aca="false">IF(C123="","",IFERROR(INDEX(Materiais!$D$5:$D$204,MATCH(C123,Materiais!$B$5:$B$204,0)),"?"))</f>
        <v/>
      </c>
      <c r="F123" s="27" t="str">
        <f aca="false">IF(OR(C123="",D123=""),"",IFERROR(D123*INDEX(Materiais!$F$5:$F$204,MATCH(C123,Materiais!$B$5:$B$204,0))/INDEX(Materiais!$E$5:$E$204,MATCH(C123,Materiais!$B$5:$B$204,0)),"Cadastre em Materiais"))</f>
        <v/>
      </c>
      <c r="G123" s="9"/>
    </row>
    <row r="124" customFormat="false" ht="21" hidden="false" customHeight="true" outlineLevel="0" collapsed="false">
      <c r="B124" s="9"/>
      <c r="C124" s="9"/>
      <c r="D124" s="42"/>
      <c r="E124" s="39" t="str">
        <f aca="false">IF(C124="","",IFERROR(INDEX(Materiais!$D$5:$D$204,MATCH(C124,Materiais!$B$5:$B$204,0)),"?"))</f>
        <v/>
      </c>
      <c r="F124" s="27" t="str">
        <f aca="false">IF(OR(C124="",D124=""),"",IFERROR(D124*INDEX(Materiais!$F$5:$F$204,MATCH(C124,Materiais!$B$5:$B$204,0))/INDEX(Materiais!$E$5:$E$204,MATCH(C124,Materiais!$B$5:$B$204,0)),"Cadastre em Materiais"))</f>
        <v/>
      </c>
      <c r="G124" s="9"/>
    </row>
    <row r="125" customFormat="false" ht="21" hidden="false" customHeight="true" outlineLevel="0" collapsed="false">
      <c r="B125" s="9"/>
      <c r="C125" s="9"/>
      <c r="D125" s="42"/>
      <c r="E125" s="39" t="str">
        <f aca="false">IF(C125="","",IFERROR(INDEX(Materiais!$D$5:$D$204,MATCH(C125,Materiais!$B$5:$B$204,0)),"?"))</f>
        <v/>
      </c>
      <c r="F125" s="27" t="str">
        <f aca="false">IF(OR(C125="",D125=""),"",IFERROR(D125*INDEX(Materiais!$F$5:$F$204,MATCH(C125,Materiais!$B$5:$B$204,0))/INDEX(Materiais!$E$5:$E$204,MATCH(C125,Materiais!$B$5:$B$204,0)),"Cadastre em Materiais"))</f>
        <v/>
      </c>
      <c r="G125" s="9"/>
    </row>
    <row r="126" customFormat="false" ht="21" hidden="false" customHeight="true" outlineLevel="0" collapsed="false">
      <c r="B126" s="9"/>
      <c r="C126" s="9"/>
      <c r="D126" s="42"/>
      <c r="E126" s="39" t="str">
        <f aca="false">IF(C126="","",IFERROR(INDEX(Materiais!$D$5:$D$204,MATCH(C126,Materiais!$B$5:$B$204,0)),"?"))</f>
        <v/>
      </c>
      <c r="F126" s="27" t="str">
        <f aca="false">IF(OR(C126="",D126=""),"",IFERROR(D126*INDEX(Materiais!$F$5:$F$204,MATCH(C126,Materiais!$B$5:$B$204,0))/INDEX(Materiais!$E$5:$E$204,MATCH(C126,Materiais!$B$5:$B$204,0)),"Cadastre em Materiais"))</f>
        <v/>
      </c>
      <c r="G126" s="9"/>
    </row>
    <row r="127" customFormat="false" ht="21" hidden="false" customHeight="true" outlineLevel="0" collapsed="false">
      <c r="B127" s="9"/>
      <c r="C127" s="9"/>
      <c r="D127" s="42"/>
      <c r="E127" s="39" t="str">
        <f aca="false">IF(C127="","",IFERROR(INDEX(Materiais!$D$5:$D$204,MATCH(C127,Materiais!$B$5:$B$204,0)),"?"))</f>
        <v/>
      </c>
      <c r="F127" s="27" t="str">
        <f aca="false">IF(OR(C127="",D127=""),"",IFERROR(D127*INDEX(Materiais!$F$5:$F$204,MATCH(C127,Materiais!$B$5:$B$204,0))/INDEX(Materiais!$E$5:$E$204,MATCH(C127,Materiais!$B$5:$B$204,0)),"Cadastre em Materiais"))</f>
        <v/>
      </c>
      <c r="G127" s="9"/>
    </row>
    <row r="128" customFormat="false" ht="21" hidden="false" customHeight="true" outlineLevel="0" collapsed="false">
      <c r="B128" s="9"/>
      <c r="C128" s="9"/>
      <c r="D128" s="42"/>
      <c r="E128" s="39" t="str">
        <f aca="false">IF(C128="","",IFERROR(INDEX(Materiais!$D$5:$D$204,MATCH(C128,Materiais!$B$5:$B$204,0)),"?"))</f>
        <v/>
      </c>
      <c r="F128" s="27" t="str">
        <f aca="false">IF(OR(C128="",D128=""),"",IFERROR(D128*INDEX(Materiais!$F$5:$F$204,MATCH(C128,Materiais!$B$5:$B$204,0))/INDEX(Materiais!$E$5:$E$204,MATCH(C128,Materiais!$B$5:$B$204,0)),"Cadastre em Materiais"))</f>
        <v/>
      </c>
      <c r="G128" s="9"/>
    </row>
    <row r="129" customFormat="false" ht="21" hidden="false" customHeight="true" outlineLevel="0" collapsed="false">
      <c r="B129" s="9"/>
      <c r="C129" s="9"/>
      <c r="D129" s="42"/>
      <c r="E129" s="39" t="str">
        <f aca="false">IF(C129="","",IFERROR(INDEX(Materiais!$D$5:$D$204,MATCH(C129,Materiais!$B$5:$B$204,0)),"?"))</f>
        <v/>
      </c>
      <c r="F129" s="27" t="str">
        <f aca="false">IF(OR(C129="",D129=""),"",IFERROR(D129*INDEX(Materiais!$F$5:$F$204,MATCH(C129,Materiais!$B$5:$B$204,0))/INDEX(Materiais!$E$5:$E$204,MATCH(C129,Materiais!$B$5:$B$204,0)),"Cadastre em Materiais"))</f>
        <v/>
      </c>
      <c r="G129" s="9"/>
    </row>
    <row r="130" customFormat="false" ht="21" hidden="false" customHeight="true" outlineLevel="0" collapsed="false">
      <c r="B130" s="9"/>
      <c r="C130" s="9"/>
      <c r="D130" s="42"/>
      <c r="E130" s="39" t="str">
        <f aca="false">IF(C130="","",IFERROR(INDEX(Materiais!$D$5:$D$204,MATCH(C130,Materiais!$B$5:$B$204,0)),"?"))</f>
        <v/>
      </c>
      <c r="F130" s="27" t="str">
        <f aca="false">IF(OR(C130="",D130=""),"",IFERROR(D130*INDEX(Materiais!$F$5:$F$204,MATCH(C130,Materiais!$B$5:$B$204,0))/INDEX(Materiais!$E$5:$E$204,MATCH(C130,Materiais!$B$5:$B$204,0)),"Cadastre em Materiais"))</f>
        <v/>
      </c>
      <c r="G130" s="9"/>
    </row>
    <row r="131" customFormat="false" ht="21" hidden="false" customHeight="true" outlineLevel="0" collapsed="false">
      <c r="B131" s="9"/>
      <c r="C131" s="9"/>
      <c r="D131" s="42"/>
      <c r="E131" s="39" t="str">
        <f aca="false">IF(C131="","",IFERROR(INDEX(Materiais!$D$5:$D$204,MATCH(C131,Materiais!$B$5:$B$204,0)),"?"))</f>
        <v/>
      </c>
      <c r="F131" s="27" t="str">
        <f aca="false">IF(OR(C131="",D131=""),"",IFERROR(D131*INDEX(Materiais!$F$5:$F$204,MATCH(C131,Materiais!$B$5:$B$204,0))/INDEX(Materiais!$E$5:$E$204,MATCH(C131,Materiais!$B$5:$B$204,0)),"Cadastre em Materiais"))</f>
        <v/>
      </c>
      <c r="G131" s="9"/>
    </row>
    <row r="132" customFormat="false" ht="21" hidden="false" customHeight="true" outlineLevel="0" collapsed="false">
      <c r="B132" s="9"/>
      <c r="C132" s="9"/>
      <c r="D132" s="42"/>
      <c r="E132" s="39" t="str">
        <f aca="false">IF(C132="","",IFERROR(INDEX(Materiais!$D$5:$D$204,MATCH(C132,Materiais!$B$5:$B$204,0)),"?"))</f>
        <v/>
      </c>
      <c r="F132" s="27" t="str">
        <f aca="false">IF(OR(C132="",D132=""),"",IFERROR(D132*INDEX(Materiais!$F$5:$F$204,MATCH(C132,Materiais!$B$5:$B$204,0))/INDEX(Materiais!$E$5:$E$204,MATCH(C132,Materiais!$B$5:$B$204,0)),"Cadastre em Materiais"))</f>
        <v/>
      </c>
      <c r="G132" s="9"/>
    </row>
    <row r="133" customFormat="false" ht="21" hidden="false" customHeight="true" outlineLevel="0" collapsed="false">
      <c r="B133" s="9"/>
      <c r="C133" s="9"/>
      <c r="D133" s="42"/>
      <c r="E133" s="39" t="str">
        <f aca="false">IF(C133="","",IFERROR(INDEX(Materiais!$D$5:$D$204,MATCH(C133,Materiais!$B$5:$B$204,0)),"?"))</f>
        <v/>
      </c>
      <c r="F133" s="27" t="str">
        <f aca="false">IF(OR(C133="",D133=""),"",IFERROR(D133*INDEX(Materiais!$F$5:$F$204,MATCH(C133,Materiais!$B$5:$B$204,0))/INDEX(Materiais!$E$5:$E$204,MATCH(C133,Materiais!$B$5:$B$204,0)),"Cadastre em Materiais"))</f>
        <v/>
      </c>
      <c r="G133" s="9"/>
    </row>
    <row r="134" customFormat="false" ht="21" hidden="false" customHeight="true" outlineLevel="0" collapsed="false">
      <c r="B134" s="9"/>
      <c r="C134" s="9"/>
      <c r="D134" s="42"/>
      <c r="E134" s="39" t="str">
        <f aca="false">IF(C134="","",IFERROR(INDEX(Materiais!$D$5:$D$204,MATCH(C134,Materiais!$B$5:$B$204,0)),"?"))</f>
        <v/>
      </c>
      <c r="F134" s="27" t="str">
        <f aca="false">IF(OR(C134="",D134=""),"",IFERROR(D134*INDEX(Materiais!$F$5:$F$204,MATCH(C134,Materiais!$B$5:$B$204,0))/INDEX(Materiais!$E$5:$E$204,MATCH(C134,Materiais!$B$5:$B$204,0)),"Cadastre em Materiais"))</f>
        <v/>
      </c>
      <c r="G134" s="9"/>
    </row>
    <row r="135" customFormat="false" ht="21" hidden="false" customHeight="true" outlineLevel="0" collapsed="false">
      <c r="B135" s="9"/>
      <c r="C135" s="9"/>
      <c r="D135" s="42"/>
      <c r="E135" s="39" t="str">
        <f aca="false">IF(C135="","",IFERROR(INDEX(Materiais!$D$5:$D$204,MATCH(C135,Materiais!$B$5:$B$204,0)),"?"))</f>
        <v/>
      </c>
      <c r="F135" s="27" t="str">
        <f aca="false">IF(OR(C135="",D135=""),"",IFERROR(D135*INDEX(Materiais!$F$5:$F$204,MATCH(C135,Materiais!$B$5:$B$204,0))/INDEX(Materiais!$E$5:$E$204,MATCH(C135,Materiais!$B$5:$B$204,0)),"Cadastre em Materiais"))</f>
        <v/>
      </c>
      <c r="G135" s="9"/>
    </row>
    <row r="136" customFormat="false" ht="21" hidden="false" customHeight="true" outlineLevel="0" collapsed="false">
      <c r="B136" s="9"/>
      <c r="C136" s="9"/>
      <c r="D136" s="42"/>
      <c r="E136" s="39" t="str">
        <f aca="false">IF(C136="","",IFERROR(INDEX(Materiais!$D$5:$D$204,MATCH(C136,Materiais!$B$5:$B$204,0)),"?"))</f>
        <v/>
      </c>
      <c r="F136" s="27" t="str">
        <f aca="false">IF(OR(C136="",D136=""),"",IFERROR(D136*INDEX(Materiais!$F$5:$F$204,MATCH(C136,Materiais!$B$5:$B$204,0))/INDEX(Materiais!$E$5:$E$204,MATCH(C136,Materiais!$B$5:$B$204,0)),"Cadastre em Materiais"))</f>
        <v/>
      </c>
      <c r="G136" s="9"/>
    </row>
    <row r="137" customFormat="false" ht="21" hidden="false" customHeight="true" outlineLevel="0" collapsed="false">
      <c r="B137" s="9"/>
      <c r="C137" s="9"/>
      <c r="D137" s="42"/>
      <c r="E137" s="39" t="str">
        <f aca="false">IF(C137="","",IFERROR(INDEX(Materiais!$D$5:$D$204,MATCH(C137,Materiais!$B$5:$B$204,0)),"?"))</f>
        <v/>
      </c>
      <c r="F137" s="27" t="str">
        <f aca="false">IF(OR(C137="",D137=""),"",IFERROR(D137*INDEX(Materiais!$F$5:$F$204,MATCH(C137,Materiais!$B$5:$B$204,0))/INDEX(Materiais!$E$5:$E$204,MATCH(C137,Materiais!$B$5:$B$204,0)),"Cadastre em Materiais"))</f>
        <v/>
      </c>
      <c r="G137" s="9"/>
    </row>
    <row r="138" customFormat="false" ht="21" hidden="false" customHeight="true" outlineLevel="0" collapsed="false">
      <c r="B138" s="9"/>
      <c r="C138" s="9"/>
      <c r="D138" s="42"/>
      <c r="E138" s="39" t="str">
        <f aca="false">IF(C138="","",IFERROR(INDEX(Materiais!$D$5:$D$204,MATCH(C138,Materiais!$B$5:$B$204,0)),"?"))</f>
        <v/>
      </c>
      <c r="F138" s="27" t="str">
        <f aca="false">IF(OR(C138="",D138=""),"",IFERROR(D138*INDEX(Materiais!$F$5:$F$204,MATCH(C138,Materiais!$B$5:$B$204,0))/INDEX(Materiais!$E$5:$E$204,MATCH(C138,Materiais!$B$5:$B$204,0)),"Cadastre em Materiais"))</f>
        <v/>
      </c>
      <c r="G138" s="9"/>
    </row>
    <row r="139" customFormat="false" ht="21" hidden="false" customHeight="true" outlineLevel="0" collapsed="false">
      <c r="B139" s="9"/>
      <c r="C139" s="9"/>
      <c r="D139" s="42"/>
      <c r="E139" s="39" t="str">
        <f aca="false">IF(C139="","",IFERROR(INDEX(Materiais!$D$5:$D$204,MATCH(C139,Materiais!$B$5:$B$204,0)),"?"))</f>
        <v/>
      </c>
      <c r="F139" s="27" t="str">
        <f aca="false">IF(OR(C139="",D139=""),"",IFERROR(D139*INDEX(Materiais!$F$5:$F$204,MATCH(C139,Materiais!$B$5:$B$204,0))/INDEX(Materiais!$E$5:$E$204,MATCH(C139,Materiais!$B$5:$B$204,0)),"Cadastre em Materiais"))</f>
        <v/>
      </c>
      <c r="G139" s="9"/>
    </row>
    <row r="140" customFormat="false" ht="21" hidden="false" customHeight="true" outlineLevel="0" collapsed="false">
      <c r="B140" s="9"/>
      <c r="C140" s="9"/>
      <c r="D140" s="42"/>
      <c r="E140" s="39" t="str">
        <f aca="false">IF(C140="","",IFERROR(INDEX(Materiais!$D$5:$D$204,MATCH(C140,Materiais!$B$5:$B$204,0)),"?"))</f>
        <v/>
      </c>
      <c r="F140" s="27" t="str">
        <f aca="false">IF(OR(C140="",D140=""),"",IFERROR(D140*INDEX(Materiais!$F$5:$F$204,MATCH(C140,Materiais!$B$5:$B$204,0))/INDEX(Materiais!$E$5:$E$204,MATCH(C140,Materiais!$B$5:$B$204,0)),"Cadastre em Materiais"))</f>
        <v/>
      </c>
      <c r="G140" s="9"/>
    </row>
    <row r="141" customFormat="false" ht="21" hidden="false" customHeight="true" outlineLevel="0" collapsed="false">
      <c r="B141" s="9"/>
      <c r="C141" s="9"/>
      <c r="D141" s="42"/>
      <c r="E141" s="39" t="str">
        <f aca="false">IF(C141="","",IFERROR(INDEX(Materiais!$D$5:$D$204,MATCH(C141,Materiais!$B$5:$B$204,0)),"?"))</f>
        <v/>
      </c>
      <c r="F141" s="27" t="str">
        <f aca="false">IF(OR(C141="",D141=""),"",IFERROR(D141*INDEX(Materiais!$F$5:$F$204,MATCH(C141,Materiais!$B$5:$B$204,0))/INDEX(Materiais!$E$5:$E$204,MATCH(C141,Materiais!$B$5:$B$204,0)),"Cadastre em Materiais"))</f>
        <v/>
      </c>
      <c r="G141" s="9"/>
    </row>
    <row r="142" customFormat="false" ht="21" hidden="false" customHeight="true" outlineLevel="0" collapsed="false">
      <c r="B142" s="9"/>
      <c r="C142" s="9"/>
      <c r="D142" s="42"/>
      <c r="E142" s="39" t="str">
        <f aca="false">IF(C142="","",IFERROR(INDEX(Materiais!$D$5:$D$204,MATCH(C142,Materiais!$B$5:$B$204,0)),"?"))</f>
        <v/>
      </c>
      <c r="F142" s="27" t="str">
        <f aca="false">IF(OR(C142="",D142=""),"",IFERROR(D142*INDEX(Materiais!$F$5:$F$204,MATCH(C142,Materiais!$B$5:$B$204,0))/INDEX(Materiais!$E$5:$E$204,MATCH(C142,Materiais!$B$5:$B$204,0)),"Cadastre em Materiais"))</f>
        <v/>
      </c>
      <c r="G142" s="9"/>
    </row>
    <row r="143" customFormat="false" ht="21" hidden="false" customHeight="true" outlineLevel="0" collapsed="false">
      <c r="B143" s="9"/>
      <c r="C143" s="9"/>
      <c r="D143" s="42"/>
      <c r="E143" s="39" t="str">
        <f aca="false">IF(C143="","",IFERROR(INDEX(Materiais!$D$5:$D$204,MATCH(C143,Materiais!$B$5:$B$204,0)),"?"))</f>
        <v/>
      </c>
      <c r="F143" s="27" t="str">
        <f aca="false">IF(OR(C143="",D143=""),"",IFERROR(D143*INDEX(Materiais!$F$5:$F$204,MATCH(C143,Materiais!$B$5:$B$204,0))/INDEX(Materiais!$E$5:$E$204,MATCH(C143,Materiais!$B$5:$B$204,0)),"Cadastre em Materiais"))</f>
        <v/>
      </c>
      <c r="G143" s="9"/>
    </row>
    <row r="144" customFormat="false" ht="21" hidden="false" customHeight="true" outlineLevel="0" collapsed="false">
      <c r="B144" s="9"/>
      <c r="C144" s="9"/>
      <c r="D144" s="42"/>
      <c r="E144" s="39" t="str">
        <f aca="false">IF(C144="","",IFERROR(INDEX(Materiais!$D$5:$D$204,MATCH(C144,Materiais!$B$5:$B$204,0)),"?"))</f>
        <v/>
      </c>
      <c r="F144" s="27" t="str">
        <f aca="false">IF(OR(C144="",D144=""),"",IFERROR(D144*INDEX(Materiais!$F$5:$F$204,MATCH(C144,Materiais!$B$5:$B$204,0))/INDEX(Materiais!$E$5:$E$204,MATCH(C144,Materiais!$B$5:$B$204,0)),"Cadastre em Materiais"))</f>
        <v/>
      </c>
      <c r="G144" s="9"/>
    </row>
    <row r="145" customFormat="false" ht="21" hidden="false" customHeight="true" outlineLevel="0" collapsed="false">
      <c r="B145" s="9"/>
      <c r="C145" s="9"/>
      <c r="D145" s="42"/>
      <c r="E145" s="39" t="str">
        <f aca="false">IF(C145="","",IFERROR(INDEX(Materiais!$D$5:$D$204,MATCH(C145,Materiais!$B$5:$B$204,0)),"?"))</f>
        <v/>
      </c>
      <c r="F145" s="27" t="str">
        <f aca="false">IF(OR(C145="",D145=""),"",IFERROR(D145*INDEX(Materiais!$F$5:$F$204,MATCH(C145,Materiais!$B$5:$B$204,0))/INDEX(Materiais!$E$5:$E$204,MATCH(C145,Materiais!$B$5:$B$204,0)),"Cadastre em Materiais"))</f>
        <v/>
      </c>
      <c r="G145" s="9"/>
    </row>
    <row r="146" customFormat="false" ht="21" hidden="false" customHeight="true" outlineLevel="0" collapsed="false">
      <c r="B146" s="9"/>
      <c r="C146" s="9"/>
      <c r="D146" s="42"/>
      <c r="E146" s="39" t="str">
        <f aca="false">IF(C146="","",IFERROR(INDEX(Materiais!$D$5:$D$204,MATCH(C146,Materiais!$B$5:$B$204,0)),"?"))</f>
        <v/>
      </c>
      <c r="F146" s="27" t="str">
        <f aca="false">IF(OR(C146="",D146=""),"",IFERROR(D146*INDEX(Materiais!$F$5:$F$204,MATCH(C146,Materiais!$B$5:$B$204,0))/INDEX(Materiais!$E$5:$E$204,MATCH(C146,Materiais!$B$5:$B$204,0)),"Cadastre em Materiais"))</f>
        <v/>
      </c>
      <c r="G146" s="9"/>
    </row>
    <row r="147" customFormat="false" ht="21" hidden="false" customHeight="true" outlineLevel="0" collapsed="false">
      <c r="B147" s="9"/>
      <c r="C147" s="9"/>
      <c r="D147" s="42"/>
      <c r="E147" s="39" t="str">
        <f aca="false">IF(C147="","",IFERROR(INDEX(Materiais!$D$5:$D$204,MATCH(C147,Materiais!$B$5:$B$204,0)),"?"))</f>
        <v/>
      </c>
      <c r="F147" s="27" t="str">
        <f aca="false">IF(OR(C147="",D147=""),"",IFERROR(D147*INDEX(Materiais!$F$5:$F$204,MATCH(C147,Materiais!$B$5:$B$204,0))/INDEX(Materiais!$E$5:$E$204,MATCH(C147,Materiais!$B$5:$B$204,0)),"Cadastre em Materiais"))</f>
        <v/>
      </c>
      <c r="G147" s="9"/>
    </row>
    <row r="148" customFormat="false" ht="21" hidden="false" customHeight="true" outlineLevel="0" collapsed="false">
      <c r="B148" s="9"/>
      <c r="C148" s="9"/>
      <c r="D148" s="42"/>
      <c r="E148" s="39" t="str">
        <f aca="false">IF(C148="","",IFERROR(INDEX(Materiais!$D$5:$D$204,MATCH(C148,Materiais!$B$5:$B$204,0)),"?"))</f>
        <v/>
      </c>
      <c r="F148" s="27" t="str">
        <f aca="false">IF(OR(C148="",D148=""),"",IFERROR(D148*INDEX(Materiais!$F$5:$F$204,MATCH(C148,Materiais!$B$5:$B$204,0))/INDEX(Materiais!$E$5:$E$204,MATCH(C148,Materiais!$B$5:$B$204,0)),"Cadastre em Materiais"))</f>
        <v/>
      </c>
      <c r="G148" s="9"/>
    </row>
    <row r="149" customFormat="false" ht="21" hidden="false" customHeight="true" outlineLevel="0" collapsed="false">
      <c r="B149" s="9"/>
      <c r="C149" s="9"/>
      <c r="D149" s="42"/>
      <c r="E149" s="39" t="str">
        <f aca="false">IF(C149="","",IFERROR(INDEX(Materiais!$D$5:$D$204,MATCH(C149,Materiais!$B$5:$B$204,0)),"?"))</f>
        <v/>
      </c>
      <c r="F149" s="27" t="str">
        <f aca="false">IF(OR(C149="",D149=""),"",IFERROR(D149*INDEX(Materiais!$F$5:$F$204,MATCH(C149,Materiais!$B$5:$B$204,0))/INDEX(Materiais!$E$5:$E$204,MATCH(C149,Materiais!$B$5:$B$204,0)),"Cadastre em Materiais"))</f>
        <v/>
      </c>
      <c r="G149" s="9"/>
    </row>
    <row r="150" customFormat="false" ht="21" hidden="false" customHeight="true" outlineLevel="0" collapsed="false">
      <c r="B150" s="9"/>
      <c r="C150" s="9"/>
      <c r="D150" s="42"/>
      <c r="E150" s="39" t="str">
        <f aca="false">IF(C150="","",IFERROR(INDEX(Materiais!$D$5:$D$204,MATCH(C150,Materiais!$B$5:$B$204,0)),"?"))</f>
        <v/>
      </c>
      <c r="F150" s="27" t="str">
        <f aca="false">IF(OR(C150="",D150=""),"",IFERROR(D150*INDEX(Materiais!$F$5:$F$204,MATCH(C150,Materiais!$B$5:$B$204,0))/INDEX(Materiais!$E$5:$E$204,MATCH(C150,Materiais!$B$5:$B$204,0)),"Cadastre em Materiais"))</f>
        <v/>
      </c>
      <c r="G150" s="9"/>
    </row>
    <row r="151" customFormat="false" ht="21" hidden="false" customHeight="true" outlineLevel="0" collapsed="false">
      <c r="B151" s="9"/>
      <c r="C151" s="9"/>
      <c r="D151" s="42"/>
      <c r="E151" s="39" t="str">
        <f aca="false">IF(C151="","",IFERROR(INDEX(Materiais!$D$5:$D$204,MATCH(C151,Materiais!$B$5:$B$204,0)),"?"))</f>
        <v/>
      </c>
      <c r="F151" s="27" t="str">
        <f aca="false">IF(OR(C151="",D151=""),"",IFERROR(D151*INDEX(Materiais!$F$5:$F$204,MATCH(C151,Materiais!$B$5:$B$204,0))/INDEX(Materiais!$E$5:$E$204,MATCH(C151,Materiais!$B$5:$B$204,0)),"Cadastre em Materiais"))</f>
        <v/>
      </c>
      <c r="G151" s="9"/>
    </row>
    <row r="152" customFormat="false" ht="21" hidden="false" customHeight="true" outlineLevel="0" collapsed="false">
      <c r="B152" s="9"/>
      <c r="C152" s="9"/>
      <c r="D152" s="42"/>
      <c r="E152" s="39" t="str">
        <f aca="false">IF(C152="","",IFERROR(INDEX(Materiais!$D$5:$D$204,MATCH(C152,Materiais!$B$5:$B$204,0)),"?"))</f>
        <v/>
      </c>
      <c r="F152" s="27" t="str">
        <f aca="false">IF(OR(C152="",D152=""),"",IFERROR(D152*INDEX(Materiais!$F$5:$F$204,MATCH(C152,Materiais!$B$5:$B$204,0))/INDEX(Materiais!$E$5:$E$204,MATCH(C152,Materiais!$B$5:$B$204,0)),"Cadastre em Materiais"))</f>
        <v/>
      </c>
      <c r="G152" s="9"/>
    </row>
    <row r="153" customFormat="false" ht="21" hidden="false" customHeight="true" outlineLevel="0" collapsed="false">
      <c r="B153" s="9"/>
      <c r="C153" s="9"/>
      <c r="D153" s="42"/>
      <c r="E153" s="39" t="str">
        <f aca="false">IF(C153="","",IFERROR(INDEX(Materiais!$D$5:$D$204,MATCH(C153,Materiais!$B$5:$B$204,0)),"?"))</f>
        <v/>
      </c>
      <c r="F153" s="27" t="str">
        <f aca="false">IF(OR(C153="",D153=""),"",IFERROR(D153*INDEX(Materiais!$F$5:$F$204,MATCH(C153,Materiais!$B$5:$B$204,0))/INDEX(Materiais!$E$5:$E$204,MATCH(C153,Materiais!$B$5:$B$204,0)),"Cadastre em Materiais"))</f>
        <v/>
      </c>
      <c r="G153" s="9"/>
    </row>
    <row r="154" customFormat="false" ht="21" hidden="false" customHeight="true" outlineLevel="0" collapsed="false">
      <c r="B154" s="9"/>
      <c r="C154" s="9"/>
      <c r="D154" s="42"/>
      <c r="E154" s="39" t="str">
        <f aca="false">IF(C154="","",IFERROR(INDEX(Materiais!$D$5:$D$204,MATCH(C154,Materiais!$B$5:$B$204,0)),"?"))</f>
        <v/>
      </c>
      <c r="F154" s="27" t="str">
        <f aca="false">IF(OR(C154="",D154=""),"",IFERROR(D154*INDEX(Materiais!$F$5:$F$204,MATCH(C154,Materiais!$B$5:$B$204,0))/INDEX(Materiais!$E$5:$E$204,MATCH(C154,Materiais!$B$5:$B$204,0)),"Cadastre em Materiais"))</f>
        <v/>
      </c>
      <c r="G154" s="9"/>
    </row>
    <row r="155" customFormat="false" ht="21" hidden="false" customHeight="true" outlineLevel="0" collapsed="false">
      <c r="B155" s="9"/>
      <c r="C155" s="9"/>
      <c r="D155" s="42"/>
      <c r="E155" s="39" t="str">
        <f aca="false">IF(C155="","",IFERROR(INDEX(Materiais!$D$5:$D$204,MATCH(C155,Materiais!$B$5:$B$204,0)),"?"))</f>
        <v/>
      </c>
      <c r="F155" s="27" t="str">
        <f aca="false">IF(OR(C155="",D155=""),"",IFERROR(D155*INDEX(Materiais!$F$5:$F$204,MATCH(C155,Materiais!$B$5:$B$204,0))/INDEX(Materiais!$E$5:$E$204,MATCH(C155,Materiais!$B$5:$B$204,0)),"Cadastre em Materiais"))</f>
        <v/>
      </c>
      <c r="G155" s="9"/>
    </row>
    <row r="156" customFormat="false" ht="21" hidden="false" customHeight="true" outlineLevel="0" collapsed="false">
      <c r="B156" s="9"/>
      <c r="C156" s="9"/>
      <c r="D156" s="42"/>
      <c r="E156" s="39" t="str">
        <f aca="false">IF(C156="","",IFERROR(INDEX(Materiais!$D$5:$D$204,MATCH(C156,Materiais!$B$5:$B$204,0)),"?"))</f>
        <v/>
      </c>
      <c r="F156" s="27" t="str">
        <f aca="false">IF(OR(C156="",D156=""),"",IFERROR(D156*INDEX(Materiais!$F$5:$F$204,MATCH(C156,Materiais!$B$5:$B$204,0))/INDEX(Materiais!$E$5:$E$204,MATCH(C156,Materiais!$B$5:$B$204,0)),"Cadastre em Materiais"))</f>
        <v/>
      </c>
      <c r="G156" s="9"/>
    </row>
    <row r="157" customFormat="false" ht="21" hidden="false" customHeight="true" outlineLevel="0" collapsed="false">
      <c r="B157" s="9"/>
      <c r="C157" s="9"/>
      <c r="D157" s="42"/>
      <c r="E157" s="39" t="str">
        <f aca="false">IF(C157="","",IFERROR(INDEX(Materiais!$D$5:$D$204,MATCH(C157,Materiais!$B$5:$B$204,0)),"?"))</f>
        <v/>
      </c>
      <c r="F157" s="27" t="str">
        <f aca="false">IF(OR(C157="",D157=""),"",IFERROR(D157*INDEX(Materiais!$F$5:$F$204,MATCH(C157,Materiais!$B$5:$B$204,0))/INDEX(Materiais!$E$5:$E$204,MATCH(C157,Materiais!$B$5:$B$204,0)),"Cadastre em Materiais"))</f>
        <v/>
      </c>
      <c r="G157" s="9"/>
    </row>
    <row r="158" customFormat="false" ht="21" hidden="false" customHeight="true" outlineLevel="0" collapsed="false">
      <c r="B158" s="9"/>
      <c r="C158" s="9"/>
      <c r="D158" s="42"/>
      <c r="E158" s="39" t="str">
        <f aca="false">IF(C158="","",IFERROR(INDEX(Materiais!$D$5:$D$204,MATCH(C158,Materiais!$B$5:$B$204,0)),"?"))</f>
        <v/>
      </c>
      <c r="F158" s="27" t="str">
        <f aca="false">IF(OR(C158="",D158=""),"",IFERROR(D158*INDEX(Materiais!$F$5:$F$204,MATCH(C158,Materiais!$B$5:$B$204,0))/INDEX(Materiais!$E$5:$E$204,MATCH(C158,Materiais!$B$5:$B$204,0)),"Cadastre em Materiais"))</f>
        <v/>
      </c>
      <c r="G158" s="9"/>
    </row>
    <row r="159" customFormat="false" ht="21" hidden="false" customHeight="true" outlineLevel="0" collapsed="false">
      <c r="B159" s="9"/>
      <c r="C159" s="9"/>
      <c r="D159" s="42"/>
      <c r="E159" s="39" t="str">
        <f aca="false">IF(C159="","",IFERROR(INDEX(Materiais!$D$5:$D$204,MATCH(C159,Materiais!$B$5:$B$204,0)),"?"))</f>
        <v/>
      </c>
      <c r="F159" s="27" t="str">
        <f aca="false">IF(OR(C159="",D159=""),"",IFERROR(D159*INDEX(Materiais!$F$5:$F$204,MATCH(C159,Materiais!$B$5:$B$204,0))/INDEX(Materiais!$E$5:$E$204,MATCH(C159,Materiais!$B$5:$B$204,0)),"Cadastre em Materiais"))</f>
        <v/>
      </c>
      <c r="G159" s="9"/>
    </row>
    <row r="160" customFormat="false" ht="21" hidden="false" customHeight="true" outlineLevel="0" collapsed="false">
      <c r="B160" s="9"/>
      <c r="C160" s="9"/>
      <c r="D160" s="42"/>
      <c r="E160" s="39" t="str">
        <f aca="false">IF(C160="","",IFERROR(INDEX(Materiais!$D$5:$D$204,MATCH(C160,Materiais!$B$5:$B$204,0)),"?"))</f>
        <v/>
      </c>
      <c r="F160" s="27" t="str">
        <f aca="false">IF(OR(C160="",D160=""),"",IFERROR(D160*INDEX(Materiais!$F$5:$F$204,MATCH(C160,Materiais!$B$5:$B$204,0))/INDEX(Materiais!$E$5:$E$204,MATCH(C160,Materiais!$B$5:$B$204,0)),"Cadastre em Materiais"))</f>
        <v/>
      </c>
      <c r="G160" s="9"/>
    </row>
    <row r="161" customFormat="false" ht="21" hidden="false" customHeight="true" outlineLevel="0" collapsed="false">
      <c r="B161" s="9"/>
      <c r="C161" s="9"/>
      <c r="D161" s="42"/>
      <c r="E161" s="39" t="str">
        <f aca="false">IF(C161="","",IFERROR(INDEX(Materiais!$D$5:$D$204,MATCH(C161,Materiais!$B$5:$B$204,0)),"?"))</f>
        <v/>
      </c>
      <c r="F161" s="27" t="str">
        <f aca="false">IF(OR(C161="",D161=""),"",IFERROR(D161*INDEX(Materiais!$F$5:$F$204,MATCH(C161,Materiais!$B$5:$B$204,0))/INDEX(Materiais!$E$5:$E$204,MATCH(C161,Materiais!$B$5:$B$204,0)),"Cadastre em Materiais"))</f>
        <v/>
      </c>
      <c r="G161" s="9"/>
    </row>
    <row r="162" customFormat="false" ht="21" hidden="false" customHeight="true" outlineLevel="0" collapsed="false">
      <c r="B162" s="9"/>
      <c r="C162" s="9"/>
      <c r="D162" s="42"/>
      <c r="E162" s="39" t="str">
        <f aca="false">IF(C162="","",IFERROR(INDEX(Materiais!$D$5:$D$204,MATCH(C162,Materiais!$B$5:$B$204,0)),"?"))</f>
        <v/>
      </c>
      <c r="F162" s="27" t="str">
        <f aca="false">IF(OR(C162="",D162=""),"",IFERROR(D162*INDEX(Materiais!$F$5:$F$204,MATCH(C162,Materiais!$B$5:$B$204,0))/INDEX(Materiais!$E$5:$E$204,MATCH(C162,Materiais!$B$5:$B$204,0)),"Cadastre em Materiais"))</f>
        <v/>
      </c>
      <c r="G162" s="9"/>
    </row>
    <row r="163" customFormat="false" ht="21" hidden="false" customHeight="true" outlineLevel="0" collapsed="false">
      <c r="B163" s="9"/>
      <c r="C163" s="9"/>
      <c r="D163" s="42"/>
      <c r="E163" s="39" t="str">
        <f aca="false">IF(C163="","",IFERROR(INDEX(Materiais!$D$5:$D$204,MATCH(C163,Materiais!$B$5:$B$204,0)),"?"))</f>
        <v/>
      </c>
      <c r="F163" s="27" t="str">
        <f aca="false">IF(OR(C163="",D163=""),"",IFERROR(D163*INDEX(Materiais!$F$5:$F$204,MATCH(C163,Materiais!$B$5:$B$204,0))/INDEX(Materiais!$E$5:$E$204,MATCH(C163,Materiais!$B$5:$B$204,0)),"Cadastre em Materiais"))</f>
        <v/>
      </c>
      <c r="G163" s="9"/>
    </row>
    <row r="164" customFormat="false" ht="21" hidden="false" customHeight="true" outlineLevel="0" collapsed="false">
      <c r="B164" s="9"/>
      <c r="C164" s="9"/>
      <c r="D164" s="42"/>
      <c r="E164" s="39" t="str">
        <f aca="false">IF(C164="","",IFERROR(INDEX(Materiais!$D$5:$D$204,MATCH(C164,Materiais!$B$5:$B$204,0)),"?"))</f>
        <v/>
      </c>
      <c r="F164" s="27" t="str">
        <f aca="false">IF(OR(C164="",D164=""),"",IFERROR(D164*INDEX(Materiais!$F$5:$F$204,MATCH(C164,Materiais!$B$5:$B$204,0))/INDEX(Materiais!$E$5:$E$204,MATCH(C164,Materiais!$B$5:$B$204,0)),"Cadastre em Materiais"))</f>
        <v/>
      </c>
      <c r="G164" s="9"/>
    </row>
    <row r="165" customFormat="false" ht="21" hidden="false" customHeight="true" outlineLevel="0" collapsed="false">
      <c r="B165" s="9"/>
      <c r="C165" s="9"/>
      <c r="D165" s="42"/>
      <c r="E165" s="39" t="str">
        <f aca="false">IF(C165="","",IFERROR(INDEX(Materiais!$D$5:$D$204,MATCH(C165,Materiais!$B$5:$B$204,0)),"?"))</f>
        <v/>
      </c>
      <c r="F165" s="27" t="str">
        <f aca="false">IF(OR(C165="",D165=""),"",IFERROR(D165*INDEX(Materiais!$F$5:$F$204,MATCH(C165,Materiais!$B$5:$B$204,0))/INDEX(Materiais!$E$5:$E$204,MATCH(C165,Materiais!$B$5:$B$204,0)),"Cadastre em Materiais"))</f>
        <v/>
      </c>
      <c r="G165" s="9"/>
    </row>
    <row r="166" customFormat="false" ht="21" hidden="false" customHeight="true" outlineLevel="0" collapsed="false">
      <c r="B166" s="9"/>
      <c r="C166" s="9"/>
      <c r="D166" s="42"/>
      <c r="E166" s="39" t="str">
        <f aca="false">IF(C166="","",IFERROR(INDEX(Materiais!$D$5:$D$204,MATCH(C166,Materiais!$B$5:$B$204,0)),"?"))</f>
        <v/>
      </c>
      <c r="F166" s="27" t="str">
        <f aca="false">IF(OR(C166="",D166=""),"",IFERROR(D166*INDEX(Materiais!$F$5:$F$204,MATCH(C166,Materiais!$B$5:$B$204,0))/INDEX(Materiais!$E$5:$E$204,MATCH(C166,Materiais!$B$5:$B$204,0)),"Cadastre em Materiais"))</f>
        <v/>
      </c>
      <c r="G166" s="9"/>
    </row>
    <row r="167" customFormat="false" ht="21" hidden="false" customHeight="true" outlineLevel="0" collapsed="false">
      <c r="B167" s="9"/>
      <c r="C167" s="9"/>
      <c r="D167" s="42"/>
      <c r="E167" s="39" t="str">
        <f aca="false">IF(C167="","",IFERROR(INDEX(Materiais!$D$5:$D$204,MATCH(C167,Materiais!$B$5:$B$204,0)),"?"))</f>
        <v/>
      </c>
      <c r="F167" s="27" t="str">
        <f aca="false">IF(OR(C167="",D167=""),"",IFERROR(D167*INDEX(Materiais!$F$5:$F$204,MATCH(C167,Materiais!$B$5:$B$204,0))/INDEX(Materiais!$E$5:$E$204,MATCH(C167,Materiais!$B$5:$B$204,0)),"Cadastre em Materiais"))</f>
        <v/>
      </c>
      <c r="G167" s="9"/>
    </row>
    <row r="168" customFormat="false" ht="21" hidden="false" customHeight="true" outlineLevel="0" collapsed="false">
      <c r="B168" s="9"/>
      <c r="C168" s="9"/>
      <c r="D168" s="42"/>
      <c r="E168" s="39" t="str">
        <f aca="false">IF(C168="","",IFERROR(INDEX(Materiais!$D$5:$D$204,MATCH(C168,Materiais!$B$5:$B$204,0)),"?"))</f>
        <v/>
      </c>
      <c r="F168" s="27" t="str">
        <f aca="false">IF(OR(C168="",D168=""),"",IFERROR(D168*INDEX(Materiais!$F$5:$F$204,MATCH(C168,Materiais!$B$5:$B$204,0))/INDEX(Materiais!$E$5:$E$204,MATCH(C168,Materiais!$B$5:$B$204,0)),"Cadastre em Materiais"))</f>
        <v/>
      </c>
      <c r="G168" s="9"/>
    </row>
    <row r="169" customFormat="false" ht="21" hidden="false" customHeight="true" outlineLevel="0" collapsed="false">
      <c r="B169" s="9"/>
      <c r="C169" s="9"/>
      <c r="D169" s="42"/>
      <c r="E169" s="39" t="str">
        <f aca="false">IF(C169="","",IFERROR(INDEX(Materiais!$D$5:$D$204,MATCH(C169,Materiais!$B$5:$B$204,0)),"?"))</f>
        <v/>
      </c>
      <c r="F169" s="27" t="str">
        <f aca="false">IF(OR(C169="",D169=""),"",IFERROR(D169*INDEX(Materiais!$F$5:$F$204,MATCH(C169,Materiais!$B$5:$B$204,0))/INDEX(Materiais!$E$5:$E$204,MATCH(C169,Materiais!$B$5:$B$204,0)),"Cadastre em Materiais"))</f>
        <v/>
      </c>
      <c r="G169" s="9"/>
    </row>
    <row r="170" customFormat="false" ht="21" hidden="false" customHeight="true" outlineLevel="0" collapsed="false">
      <c r="B170" s="9"/>
      <c r="C170" s="9"/>
      <c r="D170" s="42"/>
      <c r="E170" s="39" t="str">
        <f aca="false">IF(C170="","",IFERROR(INDEX(Materiais!$D$5:$D$204,MATCH(C170,Materiais!$B$5:$B$204,0)),"?"))</f>
        <v/>
      </c>
      <c r="F170" s="27" t="str">
        <f aca="false">IF(OR(C170="",D170=""),"",IFERROR(D170*INDEX(Materiais!$F$5:$F$204,MATCH(C170,Materiais!$B$5:$B$204,0))/INDEX(Materiais!$E$5:$E$204,MATCH(C170,Materiais!$B$5:$B$204,0)),"Cadastre em Materiais"))</f>
        <v/>
      </c>
      <c r="G170" s="9"/>
    </row>
    <row r="171" customFormat="false" ht="21" hidden="false" customHeight="true" outlineLevel="0" collapsed="false">
      <c r="B171" s="9"/>
      <c r="C171" s="9"/>
      <c r="D171" s="42"/>
      <c r="E171" s="39" t="str">
        <f aca="false">IF(C171="","",IFERROR(INDEX(Materiais!$D$5:$D$204,MATCH(C171,Materiais!$B$5:$B$204,0)),"?"))</f>
        <v/>
      </c>
      <c r="F171" s="27" t="str">
        <f aca="false">IF(OR(C171="",D171=""),"",IFERROR(D171*INDEX(Materiais!$F$5:$F$204,MATCH(C171,Materiais!$B$5:$B$204,0))/INDEX(Materiais!$E$5:$E$204,MATCH(C171,Materiais!$B$5:$B$204,0)),"Cadastre em Materiais"))</f>
        <v/>
      </c>
      <c r="G171" s="9"/>
    </row>
    <row r="172" customFormat="false" ht="21" hidden="false" customHeight="true" outlineLevel="0" collapsed="false">
      <c r="B172" s="9"/>
      <c r="C172" s="9"/>
      <c r="D172" s="42"/>
      <c r="E172" s="39" t="str">
        <f aca="false">IF(C172="","",IFERROR(INDEX(Materiais!$D$5:$D$204,MATCH(C172,Materiais!$B$5:$B$204,0)),"?"))</f>
        <v/>
      </c>
      <c r="F172" s="27" t="str">
        <f aca="false">IF(OR(C172="",D172=""),"",IFERROR(D172*INDEX(Materiais!$F$5:$F$204,MATCH(C172,Materiais!$B$5:$B$204,0))/INDEX(Materiais!$E$5:$E$204,MATCH(C172,Materiais!$B$5:$B$204,0)),"Cadastre em Materiais"))</f>
        <v/>
      </c>
      <c r="G172" s="9"/>
    </row>
    <row r="173" customFormat="false" ht="21" hidden="false" customHeight="true" outlineLevel="0" collapsed="false">
      <c r="B173" s="9"/>
      <c r="C173" s="9"/>
      <c r="D173" s="42"/>
      <c r="E173" s="39" t="str">
        <f aca="false">IF(C173="","",IFERROR(INDEX(Materiais!$D$5:$D$204,MATCH(C173,Materiais!$B$5:$B$204,0)),"?"))</f>
        <v/>
      </c>
      <c r="F173" s="27" t="str">
        <f aca="false">IF(OR(C173="",D173=""),"",IFERROR(D173*INDEX(Materiais!$F$5:$F$204,MATCH(C173,Materiais!$B$5:$B$204,0))/INDEX(Materiais!$E$5:$E$204,MATCH(C173,Materiais!$B$5:$B$204,0)),"Cadastre em Materiais"))</f>
        <v/>
      </c>
      <c r="G173" s="9"/>
    </row>
    <row r="174" customFormat="false" ht="21" hidden="false" customHeight="true" outlineLevel="0" collapsed="false">
      <c r="B174" s="9"/>
      <c r="C174" s="9"/>
      <c r="D174" s="42"/>
      <c r="E174" s="39" t="str">
        <f aca="false">IF(C174="","",IFERROR(INDEX(Materiais!$D$5:$D$204,MATCH(C174,Materiais!$B$5:$B$204,0)),"?"))</f>
        <v/>
      </c>
      <c r="F174" s="27" t="str">
        <f aca="false">IF(OR(C174="",D174=""),"",IFERROR(D174*INDEX(Materiais!$F$5:$F$204,MATCH(C174,Materiais!$B$5:$B$204,0))/INDEX(Materiais!$E$5:$E$204,MATCH(C174,Materiais!$B$5:$B$204,0)),"Cadastre em Materiais"))</f>
        <v/>
      </c>
      <c r="G174" s="9"/>
    </row>
    <row r="175" customFormat="false" ht="21" hidden="false" customHeight="true" outlineLevel="0" collapsed="false">
      <c r="B175" s="9"/>
      <c r="C175" s="9"/>
      <c r="D175" s="42"/>
      <c r="E175" s="39" t="str">
        <f aca="false">IF(C175="","",IFERROR(INDEX(Materiais!$D$5:$D$204,MATCH(C175,Materiais!$B$5:$B$204,0)),"?"))</f>
        <v/>
      </c>
      <c r="F175" s="27" t="str">
        <f aca="false">IF(OR(C175="",D175=""),"",IFERROR(D175*INDEX(Materiais!$F$5:$F$204,MATCH(C175,Materiais!$B$5:$B$204,0))/INDEX(Materiais!$E$5:$E$204,MATCH(C175,Materiais!$B$5:$B$204,0)),"Cadastre em Materiais"))</f>
        <v/>
      </c>
      <c r="G175" s="9"/>
    </row>
    <row r="176" customFormat="false" ht="21" hidden="false" customHeight="true" outlineLevel="0" collapsed="false">
      <c r="B176" s="9"/>
      <c r="C176" s="9"/>
      <c r="D176" s="42"/>
      <c r="E176" s="39" t="str">
        <f aca="false">IF(C176="","",IFERROR(INDEX(Materiais!$D$5:$D$204,MATCH(C176,Materiais!$B$5:$B$204,0)),"?"))</f>
        <v/>
      </c>
      <c r="F176" s="27" t="str">
        <f aca="false">IF(OR(C176="",D176=""),"",IFERROR(D176*INDEX(Materiais!$F$5:$F$204,MATCH(C176,Materiais!$B$5:$B$204,0))/INDEX(Materiais!$E$5:$E$204,MATCH(C176,Materiais!$B$5:$B$204,0)),"Cadastre em Materiais"))</f>
        <v/>
      </c>
      <c r="G176" s="9"/>
    </row>
    <row r="177" customFormat="false" ht="21" hidden="false" customHeight="true" outlineLevel="0" collapsed="false">
      <c r="B177" s="9"/>
      <c r="C177" s="9"/>
      <c r="D177" s="42"/>
      <c r="E177" s="39" t="str">
        <f aca="false">IF(C177="","",IFERROR(INDEX(Materiais!$D$5:$D$204,MATCH(C177,Materiais!$B$5:$B$204,0)),"?"))</f>
        <v/>
      </c>
      <c r="F177" s="27" t="str">
        <f aca="false">IF(OR(C177="",D177=""),"",IFERROR(D177*INDEX(Materiais!$F$5:$F$204,MATCH(C177,Materiais!$B$5:$B$204,0))/INDEX(Materiais!$E$5:$E$204,MATCH(C177,Materiais!$B$5:$B$204,0)),"Cadastre em Materiais"))</f>
        <v/>
      </c>
      <c r="G177" s="9"/>
    </row>
    <row r="178" customFormat="false" ht="21" hidden="false" customHeight="true" outlineLevel="0" collapsed="false">
      <c r="B178" s="9"/>
      <c r="C178" s="9"/>
      <c r="D178" s="42"/>
      <c r="E178" s="39" t="str">
        <f aca="false">IF(C178="","",IFERROR(INDEX(Materiais!$D$5:$D$204,MATCH(C178,Materiais!$B$5:$B$204,0)),"?"))</f>
        <v/>
      </c>
      <c r="F178" s="27" t="str">
        <f aca="false">IF(OR(C178="",D178=""),"",IFERROR(D178*INDEX(Materiais!$F$5:$F$204,MATCH(C178,Materiais!$B$5:$B$204,0))/INDEX(Materiais!$E$5:$E$204,MATCH(C178,Materiais!$B$5:$B$204,0)),"Cadastre em Materiais"))</f>
        <v/>
      </c>
      <c r="G178" s="9"/>
    </row>
    <row r="179" customFormat="false" ht="21" hidden="false" customHeight="true" outlineLevel="0" collapsed="false">
      <c r="B179" s="9"/>
      <c r="C179" s="9"/>
      <c r="D179" s="42"/>
      <c r="E179" s="39" t="str">
        <f aca="false">IF(C179="","",IFERROR(INDEX(Materiais!$D$5:$D$204,MATCH(C179,Materiais!$B$5:$B$204,0)),"?"))</f>
        <v/>
      </c>
      <c r="F179" s="27" t="str">
        <f aca="false">IF(OR(C179="",D179=""),"",IFERROR(D179*INDEX(Materiais!$F$5:$F$204,MATCH(C179,Materiais!$B$5:$B$204,0))/INDEX(Materiais!$E$5:$E$204,MATCH(C179,Materiais!$B$5:$B$204,0)),"Cadastre em Materiais"))</f>
        <v/>
      </c>
      <c r="G179" s="9"/>
    </row>
    <row r="180" customFormat="false" ht="21" hidden="false" customHeight="true" outlineLevel="0" collapsed="false">
      <c r="B180" s="9"/>
      <c r="C180" s="9"/>
      <c r="D180" s="42"/>
      <c r="E180" s="39" t="str">
        <f aca="false">IF(C180="","",IFERROR(INDEX(Materiais!$D$5:$D$204,MATCH(C180,Materiais!$B$5:$B$204,0)),"?"))</f>
        <v/>
      </c>
      <c r="F180" s="27" t="str">
        <f aca="false">IF(OR(C180="",D180=""),"",IFERROR(D180*INDEX(Materiais!$F$5:$F$204,MATCH(C180,Materiais!$B$5:$B$204,0))/INDEX(Materiais!$E$5:$E$204,MATCH(C180,Materiais!$B$5:$B$204,0)),"Cadastre em Materiais"))</f>
        <v/>
      </c>
      <c r="G180" s="9"/>
    </row>
    <row r="181" customFormat="false" ht="21" hidden="false" customHeight="true" outlineLevel="0" collapsed="false">
      <c r="B181" s="9"/>
      <c r="C181" s="9"/>
      <c r="D181" s="42"/>
      <c r="E181" s="39" t="str">
        <f aca="false">IF(C181="","",IFERROR(INDEX(Materiais!$D$5:$D$204,MATCH(C181,Materiais!$B$5:$B$204,0)),"?"))</f>
        <v/>
      </c>
      <c r="F181" s="27" t="str">
        <f aca="false">IF(OR(C181="",D181=""),"",IFERROR(D181*INDEX(Materiais!$F$5:$F$204,MATCH(C181,Materiais!$B$5:$B$204,0))/INDEX(Materiais!$E$5:$E$204,MATCH(C181,Materiais!$B$5:$B$204,0)),"Cadastre em Materiais"))</f>
        <v/>
      </c>
      <c r="G181" s="9"/>
    </row>
    <row r="182" customFormat="false" ht="21" hidden="false" customHeight="true" outlineLevel="0" collapsed="false">
      <c r="B182" s="9"/>
      <c r="C182" s="9"/>
      <c r="D182" s="42"/>
      <c r="E182" s="39" t="str">
        <f aca="false">IF(C182="","",IFERROR(INDEX(Materiais!$D$5:$D$204,MATCH(C182,Materiais!$B$5:$B$204,0)),"?"))</f>
        <v/>
      </c>
      <c r="F182" s="27" t="str">
        <f aca="false">IF(OR(C182="",D182=""),"",IFERROR(D182*INDEX(Materiais!$F$5:$F$204,MATCH(C182,Materiais!$B$5:$B$204,0))/INDEX(Materiais!$E$5:$E$204,MATCH(C182,Materiais!$B$5:$B$204,0)),"Cadastre em Materiais"))</f>
        <v/>
      </c>
      <c r="G182" s="9"/>
    </row>
    <row r="183" customFormat="false" ht="21" hidden="false" customHeight="true" outlineLevel="0" collapsed="false">
      <c r="B183" s="9"/>
      <c r="C183" s="9"/>
      <c r="D183" s="42"/>
      <c r="E183" s="39" t="str">
        <f aca="false">IF(C183="","",IFERROR(INDEX(Materiais!$D$5:$D$204,MATCH(C183,Materiais!$B$5:$B$204,0)),"?"))</f>
        <v/>
      </c>
      <c r="F183" s="27" t="str">
        <f aca="false">IF(OR(C183="",D183=""),"",IFERROR(D183*INDEX(Materiais!$F$5:$F$204,MATCH(C183,Materiais!$B$5:$B$204,0))/INDEX(Materiais!$E$5:$E$204,MATCH(C183,Materiais!$B$5:$B$204,0)),"Cadastre em Materiais"))</f>
        <v/>
      </c>
      <c r="G183" s="9"/>
    </row>
    <row r="184" customFormat="false" ht="21" hidden="false" customHeight="true" outlineLevel="0" collapsed="false">
      <c r="B184" s="9"/>
      <c r="C184" s="9"/>
      <c r="D184" s="42"/>
      <c r="E184" s="39" t="str">
        <f aca="false">IF(C184="","",IFERROR(INDEX(Materiais!$D$5:$D$204,MATCH(C184,Materiais!$B$5:$B$204,0)),"?"))</f>
        <v/>
      </c>
      <c r="F184" s="27" t="str">
        <f aca="false">IF(OR(C184="",D184=""),"",IFERROR(D184*INDEX(Materiais!$F$5:$F$204,MATCH(C184,Materiais!$B$5:$B$204,0))/INDEX(Materiais!$E$5:$E$204,MATCH(C184,Materiais!$B$5:$B$204,0)),"Cadastre em Materiais"))</f>
        <v/>
      </c>
      <c r="G184" s="9"/>
    </row>
    <row r="185" customFormat="false" ht="21" hidden="false" customHeight="true" outlineLevel="0" collapsed="false">
      <c r="B185" s="9"/>
      <c r="C185" s="9"/>
      <c r="D185" s="42"/>
      <c r="E185" s="39" t="str">
        <f aca="false">IF(C185="","",IFERROR(INDEX(Materiais!$D$5:$D$204,MATCH(C185,Materiais!$B$5:$B$204,0)),"?"))</f>
        <v/>
      </c>
      <c r="F185" s="27" t="str">
        <f aca="false">IF(OR(C185="",D185=""),"",IFERROR(D185*INDEX(Materiais!$F$5:$F$204,MATCH(C185,Materiais!$B$5:$B$204,0))/INDEX(Materiais!$E$5:$E$204,MATCH(C185,Materiais!$B$5:$B$204,0)),"Cadastre em Materiais"))</f>
        <v/>
      </c>
      <c r="G185" s="9"/>
    </row>
    <row r="186" customFormat="false" ht="21" hidden="false" customHeight="true" outlineLevel="0" collapsed="false">
      <c r="B186" s="9"/>
      <c r="C186" s="9"/>
      <c r="D186" s="42"/>
      <c r="E186" s="39" t="str">
        <f aca="false">IF(C186="","",IFERROR(INDEX(Materiais!$D$5:$D$204,MATCH(C186,Materiais!$B$5:$B$204,0)),"?"))</f>
        <v/>
      </c>
      <c r="F186" s="27" t="str">
        <f aca="false">IF(OR(C186="",D186=""),"",IFERROR(D186*INDEX(Materiais!$F$5:$F$204,MATCH(C186,Materiais!$B$5:$B$204,0))/INDEX(Materiais!$E$5:$E$204,MATCH(C186,Materiais!$B$5:$B$204,0)),"Cadastre em Materiais"))</f>
        <v/>
      </c>
      <c r="G186" s="9"/>
    </row>
    <row r="187" customFormat="false" ht="21" hidden="false" customHeight="true" outlineLevel="0" collapsed="false">
      <c r="B187" s="9"/>
      <c r="C187" s="9"/>
      <c r="D187" s="42"/>
      <c r="E187" s="39" t="str">
        <f aca="false">IF(C187="","",IFERROR(INDEX(Materiais!$D$5:$D$204,MATCH(C187,Materiais!$B$5:$B$204,0)),"?"))</f>
        <v/>
      </c>
      <c r="F187" s="27" t="str">
        <f aca="false">IF(OR(C187="",D187=""),"",IFERROR(D187*INDEX(Materiais!$F$5:$F$204,MATCH(C187,Materiais!$B$5:$B$204,0))/INDEX(Materiais!$E$5:$E$204,MATCH(C187,Materiais!$B$5:$B$204,0)),"Cadastre em Materiais"))</f>
        <v/>
      </c>
      <c r="G187" s="9"/>
    </row>
    <row r="188" customFormat="false" ht="21" hidden="false" customHeight="true" outlineLevel="0" collapsed="false">
      <c r="B188" s="9"/>
      <c r="C188" s="9"/>
      <c r="D188" s="42"/>
      <c r="E188" s="39" t="str">
        <f aca="false">IF(C188="","",IFERROR(INDEX(Materiais!$D$5:$D$204,MATCH(C188,Materiais!$B$5:$B$204,0)),"?"))</f>
        <v/>
      </c>
      <c r="F188" s="27" t="str">
        <f aca="false">IF(OR(C188="",D188=""),"",IFERROR(D188*INDEX(Materiais!$F$5:$F$204,MATCH(C188,Materiais!$B$5:$B$204,0))/INDEX(Materiais!$E$5:$E$204,MATCH(C188,Materiais!$B$5:$B$204,0)),"Cadastre em Materiais"))</f>
        <v/>
      </c>
      <c r="G188" s="9"/>
    </row>
    <row r="189" customFormat="false" ht="21" hidden="false" customHeight="true" outlineLevel="0" collapsed="false">
      <c r="B189" s="9"/>
      <c r="C189" s="9"/>
      <c r="D189" s="42"/>
      <c r="E189" s="39" t="str">
        <f aca="false">IF(C189="","",IFERROR(INDEX(Materiais!$D$5:$D$204,MATCH(C189,Materiais!$B$5:$B$204,0)),"?"))</f>
        <v/>
      </c>
      <c r="F189" s="27" t="str">
        <f aca="false">IF(OR(C189="",D189=""),"",IFERROR(D189*INDEX(Materiais!$F$5:$F$204,MATCH(C189,Materiais!$B$5:$B$204,0))/INDEX(Materiais!$E$5:$E$204,MATCH(C189,Materiais!$B$5:$B$204,0)),"Cadastre em Materiais"))</f>
        <v/>
      </c>
      <c r="G189" s="9"/>
    </row>
    <row r="190" customFormat="false" ht="21" hidden="false" customHeight="true" outlineLevel="0" collapsed="false">
      <c r="B190" s="9"/>
      <c r="C190" s="9"/>
      <c r="D190" s="42"/>
      <c r="E190" s="39" t="str">
        <f aca="false">IF(C190="","",IFERROR(INDEX(Materiais!$D$5:$D$204,MATCH(C190,Materiais!$B$5:$B$204,0)),"?"))</f>
        <v/>
      </c>
      <c r="F190" s="27" t="str">
        <f aca="false">IF(OR(C190="",D190=""),"",IFERROR(D190*INDEX(Materiais!$F$5:$F$204,MATCH(C190,Materiais!$B$5:$B$204,0))/INDEX(Materiais!$E$5:$E$204,MATCH(C190,Materiais!$B$5:$B$204,0)),"Cadastre em Materiais"))</f>
        <v/>
      </c>
      <c r="G190" s="9"/>
    </row>
    <row r="191" customFormat="false" ht="21" hidden="false" customHeight="true" outlineLevel="0" collapsed="false">
      <c r="B191" s="9"/>
      <c r="C191" s="9"/>
      <c r="D191" s="42"/>
      <c r="E191" s="39" t="str">
        <f aca="false">IF(C191="","",IFERROR(INDEX(Materiais!$D$5:$D$204,MATCH(C191,Materiais!$B$5:$B$204,0)),"?"))</f>
        <v/>
      </c>
      <c r="F191" s="27" t="str">
        <f aca="false">IF(OR(C191="",D191=""),"",IFERROR(D191*INDEX(Materiais!$F$5:$F$204,MATCH(C191,Materiais!$B$5:$B$204,0))/INDEX(Materiais!$E$5:$E$204,MATCH(C191,Materiais!$B$5:$B$204,0)),"Cadastre em Materiais"))</f>
        <v/>
      </c>
      <c r="G191" s="9"/>
    </row>
    <row r="192" customFormat="false" ht="21" hidden="false" customHeight="true" outlineLevel="0" collapsed="false">
      <c r="B192" s="9"/>
      <c r="C192" s="9"/>
      <c r="D192" s="42"/>
      <c r="E192" s="39" t="str">
        <f aca="false">IF(C192="","",IFERROR(INDEX(Materiais!$D$5:$D$204,MATCH(C192,Materiais!$B$5:$B$204,0)),"?"))</f>
        <v/>
      </c>
      <c r="F192" s="27" t="str">
        <f aca="false">IF(OR(C192="",D192=""),"",IFERROR(D192*INDEX(Materiais!$F$5:$F$204,MATCH(C192,Materiais!$B$5:$B$204,0))/INDEX(Materiais!$E$5:$E$204,MATCH(C192,Materiais!$B$5:$B$204,0)),"Cadastre em Materiais"))</f>
        <v/>
      </c>
      <c r="G192" s="9"/>
    </row>
    <row r="193" customFormat="false" ht="21" hidden="false" customHeight="true" outlineLevel="0" collapsed="false">
      <c r="B193" s="9"/>
      <c r="C193" s="9"/>
      <c r="D193" s="42"/>
      <c r="E193" s="39" t="str">
        <f aca="false">IF(C193="","",IFERROR(INDEX(Materiais!$D$5:$D$204,MATCH(C193,Materiais!$B$5:$B$204,0)),"?"))</f>
        <v/>
      </c>
      <c r="F193" s="27" t="str">
        <f aca="false">IF(OR(C193="",D193=""),"",IFERROR(D193*INDEX(Materiais!$F$5:$F$204,MATCH(C193,Materiais!$B$5:$B$204,0))/INDEX(Materiais!$E$5:$E$204,MATCH(C193,Materiais!$B$5:$B$204,0)),"Cadastre em Materiais"))</f>
        <v/>
      </c>
      <c r="G193" s="9"/>
    </row>
    <row r="194" customFormat="false" ht="21" hidden="false" customHeight="true" outlineLevel="0" collapsed="false">
      <c r="B194" s="9"/>
      <c r="C194" s="9"/>
      <c r="D194" s="42"/>
      <c r="E194" s="39" t="str">
        <f aca="false">IF(C194="","",IFERROR(INDEX(Materiais!$D$5:$D$204,MATCH(C194,Materiais!$B$5:$B$204,0)),"?"))</f>
        <v/>
      </c>
      <c r="F194" s="27" t="str">
        <f aca="false">IF(OR(C194="",D194=""),"",IFERROR(D194*INDEX(Materiais!$F$5:$F$204,MATCH(C194,Materiais!$B$5:$B$204,0))/INDEX(Materiais!$E$5:$E$204,MATCH(C194,Materiais!$B$5:$B$204,0)),"Cadastre em Materiais"))</f>
        <v/>
      </c>
      <c r="G194" s="9"/>
    </row>
    <row r="195" customFormat="false" ht="21" hidden="false" customHeight="true" outlineLevel="0" collapsed="false">
      <c r="B195" s="9"/>
      <c r="C195" s="9"/>
      <c r="D195" s="42"/>
      <c r="E195" s="39" t="str">
        <f aca="false">IF(C195="","",IFERROR(INDEX(Materiais!$D$5:$D$204,MATCH(C195,Materiais!$B$5:$B$204,0)),"?"))</f>
        <v/>
      </c>
      <c r="F195" s="27" t="str">
        <f aca="false">IF(OR(C195="",D195=""),"",IFERROR(D195*INDEX(Materiais!$F$5:$F$204,MATCH(C195,Materiais!$B$5:$B$204,0))/INDEX(Materiais!$E$5:$E$204,MATCH(C195,Materiais!$B$5:$B$204,0)),"Cadastre em Materiais"))</f>
        <v/>
      </c>
      <c r="G195" s="9"/>
    </row>
    <row r="196" customFormat="false" ht="21" hidden="false" customHeight="true" outlineLevel="0" collapsed="false">
      <c r="B196" s="9"/>
      <c r="C196" s="9"/>
      <c r="D196" s="42"/>
      <c r="E196" s="39" t="str">
        <f aca="false">IF(C196="","",IFERROR(INDEX(Materiais!$D$5:$D$204,MATCH(C196,Materiais!$B$5:$B$204,0)),"?"))</f>
        <v/>
      </c>
      <c r="F196" s="27" t="str">
        <f aca="false">IF(OR(C196="",D196=""),"",IFERROR(D196*INDEX(Materiais!$F$5:$F$204,MATCH(C196,Materiais!$B$5:$B$204,0))/INDEX(Materiais!$E$5:$E$204,MATCH(C196,Materiais!$B$5:$B$204,0)),"Cadastre em Materiais"))</f>
        <v/>
      </c>
      <c r="G196" s="9"/>
    </row>
    <row r="197" customFormat="false" ht="21" hidden="false" customHeight="true" outlineLevel="0" collapsed="false">
      <c r="B197" s="9"/>
      <c r="C197" s="9"/>
      <c r="D197" s="42"/>
      <c r="E197" s="39" t="str">
        <f aca="false">IF(C197="","",IFERROR(INDEX(Materiais!$D$5:$D$204,MATCH(C197,Materiais!$B$5:$B$204,0)),"?"))</f>
        <v/>
      </c>
      <c r="F197" s="27" t="str">
        <f aca="false">IF(OR(C197="",D197=""),"",IFERROR(D197*INDEX(Materiais!$F$5:$F$204,MATCH(C197,Materiais!$B$5:$B$204,0))/INDEX(Materiais!$E$5:$E$204,MATCH(C197,Materiais!$B$5:$B$204,0)),"Cadastre em Materiais"))</f>
        <v/>
      </c>
      <c r="G197" s="9"/>
    </row>
    <row r="198" customFormat="false" ht="21" hidden="false" customHeight="true" outlineLevel="0" collapsed="false">
      <c r="B198" s="9"/>
      <c r="C198" s="9"/>
      <c r="D198" s="42"/>
      <c r="E198" s="39" t="str">
        <f aca="false">IF(C198="","",IFERROR(INDEX(Materiais!$D$5:$D$204,MATCH(C198,Materiais!$B$5:$B$204,0)),"?"))</f>
        <v/>
      </c>
      <c r="F198" s="27" t="str">
        <f aca="false">IF(OR(C198="",D198=""),"",IFERROR(D198*INDEX(Materiais!$F$5:$F$204,MATCH(C198,Materiais!$B$5:$B$204,0))/INDEX(Materiais!$E$5:$E$204,MATCH(C198,Materiais!$B$5:$B$204,0)),"Cadastre em Materiais"))</f>
        <v/>
      </c>
      <c r="G198" s="9"/>
    </row>
    <row r="199" customFormat="false" ht="21" hidden="false" customHeight="true" outlineLevel="0" collapsed="false">
      <c r="B199" s="9"/>
      <c r="C199" s="9"/>
      <c r="D199" s="42"/>
      <c r="E199" s="39" t="str">
        <f aca="false">IF(C199="","",IFERROR(INDEX(Materiais!$D$5:$D$204,MATCH(C199,Materiais!$B$5:$B$204,0)),"?"))</f>
        <v/>
      </c>
      <c r="F199" s="27" t="str">
        <f aca="false">IF(OR(C199="",D199=""),"",IFERROR(D199*INDEX(Materiais!$F$5:$F$204,MATCH(C199,Materiais!$B$5:$B$204,0))/INDEX(Materiais!$E$5:$E$204,MATCH(C199,Materiais!$B$5:$B$204,0)),"Cadastre em Materiais"))</f>
        <v/>
      </c>
      <c r="G199" s="9"/>
    </row>
    <row r="200" customFormat="false" ht="21" hidden="false" customHeight="true" outlineLevel="0" collapsed="false">
      <c r="B200" s="9"/>
      <c r="C200" s="9"/>
      <c r="D200" s="42"/>
      <c r="E200" s="39" t="str">
        <f aca="false">IF(C200="","",IFERROR(INDEX(Materiais!$D$5:$D$204,MATCH(C200,Materiais!$B$5:$B$204,0)),"?"))</f>
        <v/>
      </c>
      <c r="F200" s="27" t="str">
        <f aca="false">IF(OR(C200="",D200=""),"",IFERROR(D200*INDEX(Materiais!$F$5:$F$204,MATCH(C200,Materiais!$B$5:$B$204,0))/INDEX(Materiais!$E$5:$E$204,MATCH(C200,Materiais!$B$5:$B$204,0)),"Cadastre em Materiais"))</f>
        <v/>
      </c>
      <c r="G200" s="9"/>
    </row>
    <row r="201" customFormat="false" ht="21" hidden="false" customHeight="true" outlineLevel="0" collapsed="false">
      <c r="B201" s="9"/>
      <c r="C201" s="9"/>
      <c r="D201" s="42"/>
      <c r="E201" s="39" t="str">
        <f aca="false">IF(C201="","",IFERROR(INDEX(Materiais!$D$5:$D$204,MATCH(C201,Materiais!$B$5:$B$204,0)),"?"))</f>
        <v/>
      </c>
      <c r="F201" s="27" t="str">
        <f aca="false">IF(OR(C201="",D201=""),"",IFERROR(D201*INDEX(Materiais!$F$5:$F$204,MATCH(C201,Materiais!$B$5:$B$204,0))/INDEX(Materiais!$E$5:$E$204,MATCH(C201,Materiais!$B$5:$B$204,0)),"Cadastre em Materiais"))</f>
        <v/>
      </c>
      <c r="G201" s="9"/>
    </row>
    <row r="202" customFormat="false" ht="21" hidden="false" customHeight="true" outlineLevel="0" collapsed="false">
      <c r="B202" s="9"/>
      <c r="C202" s="9"/>
      <c r="D202" s="42"/>
      <c r="E202" s="39" t="str">
        <f aca="false">IF(C202="","",IFERROR(INDEX(Materiais!$D$5:$D$204,MATCH(C202,Materiais!$B$5:$B$204,0)),"?"))</f>
        <v/>
      </c>
      <c r="F202" s="27" t="str">
        <f aca="false">IF(OR(C202="",D202=""),"",IFERROR(D202*INDEX(Materiais!$F$5:$F$204,MATCH(C202,Materiais!$B$5:$B$204,0))/INDEX(Materiais!$E$5:$E$204,MATCH(C202,Materiais!$B$5:$B$204,0)),"Cadastre em Materiais"))</f>
        <v/>
      </c>
      <c r="G202" s="9"/>
    </row>
    <row r="203" customFormat="false" ht="21" hidden="false" customHeight="true" outlineLevel="0" collapsed="false">
      <c r="B203" s="9"/>
      <c r="C203" s="9"/>
      <c r="D203" s="42"/>
      <c r="E203" s="39" t="str">
        <f aca="false">IF(C203="","",IFERROR(INDEX(Materiais!$D$5:$D$204,MATCH(C203,Materiais!$B$5:$B$204,0)),"?"))</f>
        <v/>
      </c>
      <c r="F203" s="27" t="str">
        <f aca="false">IF(OR(C203="",D203=""),"",IFERROR(D203*INDEX(Materiais!$F$5:$F$204,MATCH(C203,Materiais!$B$5:$B$204,0))/INDEX(Materiais!$E$5:$E$204,MATCH(C203,Materiais!$B$5:$B$204,0)),"Cadastre em Materiais"))</f>
        <v/>
      </c>
      <c r="G203" s="9"/>
    </row>
    <row r="204" customFormat="false" ht="21" hidden="false" customHeight="true" outlineLevel="0" collapsed="false">
      <c r="B204" s="9"/>
      <c r="C204" s="9"/>
      <c r="D204" s="42"/>
      <c r="E204" s="39" t="str">
        <f aca="false">IF(C204="","",IFERROR(INDEX(Materiais!$D$5:$D$204,MATCH(C204,Materiais!$B$5:$B$204,0)),"?"))</f>
        <v/>
      </c>
      <c r="F204" s="27" t="str">
        <f aca="false">IF(OR(C204="",D204=""),"",IFERROR(D204*INDEX(Materiais!$F$5:$F$204,MATCH(C204,Materiais!$B$5:$B$204,0))/INDEX(Materiais!$E$5:$E$204,MATCH(C204,Materiais!$B$5:$B$204,0)),"Cadastre em Materiais"))</f>
        <v/>
      </c>
      <c r="G204" s="9"/>
    </row>
    <row r="205" customFormat="false" ht="21" hidden="false" customHeight="true" outlineLevel="0" collapsed="false">
      <c r="B205" s="9"/>
      <c r="C205" s="9"/>
      <c r="D205" s="42"/>
      <c r="E205" s="39" t="str">
        <f aca="false">IF(C205="","",IFERROR(INDEX(Materiais!$D$5:$D$204,MATCH(C205,Materiais!$B$5:$B$204,0)),"?"))</f>
        <v/>
      </c>
      <c r="F205" s="27" t="str">
        <f aca="false">IF(OR(C205="",D205=""),"",IFERROR(D205*INDEX(Materiais!$F$5:$F$204,MATCH(C205,Materiais!$B$5:$B$204,0))/INDEX(Materiais!$E$5:$E$204,MATCH(C205,Materiais!$B$5:$B$204,0)),"Cadastre em Materiais"))</f>
        <v/>
      </c>
      <c r="G205" s="9"/>
    </row>
    <row r="206" customFormat="false" ht="21" hidden="false" customHeight="true" outlineLevel="0" collapsed="false">
      <c r="B206" s="9"/>
      <c r="C206" s="9"/>
      <c r="D206" s="42"/>
      <c r="E206" s="39" t="str">
        <f aca="false">IF(C206="","",IFERROR(INDEX(Materiais!$D$5:$D$204,MATCH(C206,Materiais!$B$5:$B$204,0)),"?"))</f>
        <v/>
      </c>
      <c r="F206" s="27" t="str">
        <f aca="false">IF(OR(C206="",D206=""),"",IFERROR(D206*INDEX(Materiais!$F$5:$F$204,MATCH(C206,Materiais!$B$5:$B$204,0))/INDEX(Materiais!$E$5:$E$204,MATCH(C206,Materiais!$B$5:$B$204,0)),"Cadastre em Materiais"))</f>
        <v/>
      </c>
      <c r="G206" s="9"/>
    </row>
    <row r="207" customFormat="false" ht="21" hidden="false" customHeight="true" outlineLevel="0" collapsed="false">
      <c r="B207" s="9"/>
      <c r="C207" s="9"/>
      <c r="D207" s="42"/>
      <c r="E207" s="39" t="str">
        <f aca="false">IF(C207="","",IFERROR(INDEX(Materiais!$D$5:$D$204,MATCH(C207,Materiais!$B$5:$B$204,0)),"?"))</f>
        <v/>
      </c>
      <c r="F207" s="27" t="str">
        <f aca="false">IF(OR(C207="",D207=""),"",IFERROR(D207*INDEX(Materiais!$F$5:$F$204,MATCH(C207,Materiais!$B$5:$B$204,0))/INDEX(Materiais!$E$5:$E$204,MATCH(C207,Materiais!$B$5:$B$204,0)),"Cadastre em Materiais"))</f>
        <v/>
      </c>
      <c r="G207" s="9"/>
    </row>
    <row r="208" customFormat="false" ht="21" hidden="false" customHeight="true" outlineLevel="0" collapsed="false">
      <c r="B208" s="9"/>
      <c r="C208" s="9"/>
      <c r="D208" s="42"/>
      <c r="E208" s="39" t="str">
        <f aca="false">IF(C208="","",IFERROR(INDEX(Materiais!$D$5:$D$204,MATCH(C208,Materiais!$B$5:$B$204,0)),"?"))</f>
        <v/>
      </c>
      <c r="F208" s="27" t="str">
        <f aca="false">IF(OR(C208="",D208=""),"",IFERROR(D208*INDEX(Materiais!$F$5:$F$204,MATCH(C208,Materiais!$B$5:$B$204,0))/INDEX(Materiais!$E$5:$E$204,MATCH(C208,Materiais!$B$5:$B$204,0)),"Cadastre em Materiais"))</f>
        <v/>
      </c>
      <c r="G208" s="9"/>
    </row>
    <row r="209" customFormat="false" ht="21" hidden="false" customHeight="true" outlineLevel="0" collapsed="false">
      <c r="B209" s="9"/>
      <c r="C209" s="9"/>
      <c r="D209" s="42"/>
      <c r="E209" s="39" t="str">
        <f aca="false">IF(C209="","",IFERROR(INDEX(Materiais!$D$5:$D$204,MATCH(C209,Materiais!$B$5:$B$204,0)),"?"))</f>
        <v/>
      </c>
      <c r="F209" s="27" t="str">
        <f aca="false">IF(OR(C209="",D209=""),"",IFERROR(D209*INDEX(Materiais!$F$5:$F$204,MATCH(C209,Materiais!$B$5:$B$204,0))/INDEX(Materiais!$E$5:$E$204,MATCH(C209,Materiais!$B$5:$B$204,0)),"Cadastre em Materiais"))</f>
        <v/>
      </c>
      <c r="G209" s="9"/>
    </row>
    <row r="210" customFormat="false" ht="21" hidden="false" customHeight="true" outlineLevel="0" collapsed="false">
      <c r="B210" s="9"/>
      <c r="C210" s="9"/>
      <c r="D210" s="42"/>
      <c r="E210" s="39" t="str">
        <f aca="false">IF(C210="","",IFERROR(INDEX(Materiais!$D$5:$D$204,MATCH(C210,Materiais!$B$5:$B$204,0)),"?"))</f>
        <v/>
      </c>
      <c r="F210" s="27" t="str">
        <f aca="false">IF(OR(C210="",D210=""),"",IFERROR(D210*INDEX(Materiais!$F$5:$F$204,MATCH(C210,Materiais!$B$5:$B$204,0))/INDEX(Materiais!$E$5:$E$204,MATCH(C210,Materiais!$B$5:$B$204,0)),"Cadastre em Materiais"))</f>
        <v/>
      </c>
      <c r="G210" s="9"/>
    </row>
    <row r="211" customFormat="false" ht="21" hidden="false" customHeight="true" outlineLevel="0" collapsed="false">
      <c r="B211" s="9"/>
      <c r="C211" s="9"/>
      <c r="D211" s="42"/>
      <c r="E211" s="39" t="str">
        <f aca="false">IF(C211="","",IFERROR(INDEX(Materiais!$D$5:$D$204,MATCH(C211,Materiais!$B$5:$B$204,0)),"?"))</f>
        <v/>
      </c>
      <c r="F211" s="27" t="str">
        <f aca="false">IF(OR(C211="",D211=""),"",IFERROR(D211*INDEX(Materiais!$F$5:$F$204,MATCH(C211,Materiais!$B$5:$B$204,0))/INDEX(Materiais!$E$5:$E$204,MATCH(C211,Materiais!$B$5:$B$204,0)),"Cadastre em Materiais"))</f>
        <v/>
      </c>
      <c r="G211" s="9"/>
    </row>
    <row r="212" customFormat="false" ht="21" hidden="false" customHeight="true" outlineLevel="0" collapsed="false">
      <c r="B212" s="9"/>
      <c r="C212" s="9"/>
      <c r="D212" s="42"/>
      <c r="E212" s="39" t="str">
        <f aca="false">IF(C212="","",IFERROR(INDEX(Materiais!$D$5:$D$204,MATCH(C212,Materiais!$B$5:$B$204,0)),"?"))</f>
        <v/>
      </c>
      <c r="F212" s="27" t="str">
        <f aca="false">IF(OR(C212="",D212=""),"",IFERROR(D212*INDEX(Materiais!$F$5:$F$204,MATCH(C212,Materiais!$B$5:$B$204,0))/INDEX(Materiais!$E$5:$E$204,MATCH(C212,Materiais!$B$5:$B$204,0)),"Cadastre em Materiais"))</f>
        <v/>
      </c>
      <c r="G212" s="9"/>
    </row>
    <row r="213" customFormat="false" ht="21" hidden="false" customHeight="true" outlineLevel="0" collapsed="false">
      <c r="B213" s="9"/>
      <c r="C213" s="9"/>
      <c r="D213" s="42"/>
      <c r="E213" s="39" t="str">
        <f aca="false">IF(C213="","",IFERROR(INDEX(Materiais!$D$5:$D$204,MATCH(C213,Materiais!$B$5:$B$204,0)),"?"))</f>
        <v/>
      </c>
      <c r="F213" s="27" t="str">
        <f aca="false">IF(OR(C213="",D213=""),"",IFERROR(D213*INDEX(Materiais!$F$5:$F$204,MATCH(C213,Materiais!$B$5:$B$204,0))/INDEX(Materiais!$E$5:$E$204,MATCH(C213,Materiais!$B$5:$B$204,0)),"Cadastre em Materiais"))</f>
        <v/>
      </c>
      <c r="G213" s="9"/>
    </row>
    <row r="214" customFormat="false" ht="21" hidden="false" customHeight="true" outlineLevel="0" collapsed="false">
      <c r="B214" s="9"/>
      <c r="C214" s="9"/>
      <c r="D214" s="42"/>
      <c r="E214" s="39" t="str">
        <f aca="false">IF(C214="","",IFERROR(INDEX(Materiais!$D$5:$D$204,MATCH(C214,Materiais!$B$5:$B$204,0)),"?"))</f>
        <v/>
      </c>
      <c r="F214" s="27" t="str">
        <f aca="false">IF(OR(C214="",D214=""),"",IFERROR(D214*INDEX(Materiais!$F$5:$F$204,MATCH(C214,Materiais!$B$5:$B$204,0))/INDEX(Materiais!$E$5:$E$204,MATCH(C214,Materiais!$B$5:$B$204,0)),"Cadastre em Materiais"))</f>
        <v/>
      </c>
      <c r="G214" s="9"/>
    </row>
    <row r="215" customFormat="false" ht="21" hidden="false" customHeight="true" outlineLevel="0" collapsed="false">
      <c r="B215" s="9"/>
      <c r="C215" s="9"/>
      <c r="D215" s="42"/>
      <c r="E215" s="39" t="str">
        <f aca="false">IF(C215="","",IFERROR(INDEX(Materiais!$D$5:$D$204,MATCH(C215,Materiais!$B$5:$B$204,0)),"?"))</f>
        <v/>
      </c>
      <c r="F215" s="27" t="str">
        <f aca="false">IF(OR(C215="",D215=""),"",IFERROR(D215*INDEX(Materiais!$F$5:$F$204,MATCH(C215,Materiais!$B$5:$B$204,0))/INDEX(Materiais!$E$5:$E$204,MATCH(C215,Materiais!$B$5:$B$204,0)),"Cadastre em Materiais"))</f>
        <v/>
      </c>
      <c r="G215" s="9"/>
    </row>
    <row r="216" customFormat="false" ht="21" hidden="false" customHeight="true" outlineLevel="0" collapsed="false">
      <c r="B216" s="9"/>
      <c r="C216" s="9"/>
      <c r="D216" s="42"/>
      <c r="E216" s="39" t="str">
        <f aca="false">IF(C216="","",IFERROR(INDEX(Materiais!$D$5:$D$204,MATCH(C216,Materiais!$B$5:$B$204,0)),"?"))</f>
        <v/>
      </c>
      <c r="F216" s="27" t="str">
        <f aca="false">IF(OR(C216="",D216=""),"",IFERROR(D216*INDEX(Materiais!$F$5:$F$204,MATCH(C216,Materiais!$B$5:$B$204,0))/INDEX(Materiais!$E$5:$E$204,MATCH(C216,Materiais!$B$5:$B$204,0)),"Cadastre em Materiais"))</f>
        <v/>
      </c>
      <c r="G216" s="9"/>
    </row>
    <row r="217" customFormat="false" ht="21" hidden="false" customHeight="true" outlineLevel="0" collapsed="false">
      <c r="B217" s="9"/>
      <c r="C217" s="9"/>
      <c r="D217" s="42"/>
      <c r="E217" s="39" t="str">
        <f aca="false">IF(C217="","",IFERROR(INDEX(Materiais!$D$5:$D$204,MATCH(C217,Materiais!$B$5:$B$204,0)),"?"))</f>
        <v/>
      </c>
      <c r="F217" s="27" t="str">
        <f aca="false">IF(OR(C217="",D217=""),"",IFERROR(D217*INDEX(Materiais!$F$5:$F$204,MATCH(C217,Materiais!$B$5:$B$204,0))/INDEX(Materiais!$E$5:$E$204,MATCH(C217,Materiais!$B$5:$B$204,0)),"Cadastre em Materiais"))</f>
        <v/>
      </c>
      <c r="G217" s="9"/>
    </row>
    <row r="218" customFormat="false" ht="21" hidden="false" customHeight="true" outlineLevel="0" collapsed="false">
      <c r="B218" s="9"/>
      <c r="C218" s="9"/>
      <c r="D218" s="42"/>
      <c r="E218" s="39" t="str">
        <f aca="false">IF(C218="","",IFERROR(INDEX(Materiais!$D$5:$D$204,MATCH(C218,Materiais!$B$5:$B$204,0)),"?"))</f>
        <v/>
      </c>
      <c r="F218" s="27" t="str">
        <f aca="false">IF(OR(C218="",D218=""),"",IFERROR(D218*INDEX(Materiais!$F$5:$F$204,MATCH(C218,Materiais!$B$5:$B$204,0))/INDEX(Materiais!$E$5:$E$204,MATCH(C218,Materiais!$B$5:$B$204,0)),"Cadastre em Materiais"))</f>
        <v/>
      </c>
      <c r="G218" s="9"/>
    </row>
    <row r="219" customFormat="false" ht="21" hidden="false" customHeight="true" outlineLevel="0" collapsed="false">
      <c r="B219" s="9"/>
      <c r="C219" s="9"/>
      <c r="D219" s="42"/>
      <c r="E219" s="39" t="str">
        <f aca="false">IF(C219="","",IFERROR(INDEX(Materiais!$D$5:$D$204,MATCH(C219,Materiais!$B$5:$B$204,0)),"?"))</f>
        <v/>
      </c>
      <c r="F219" s="27" t="str">
        <f aca="false">IF(OR(C219="",D219=""),"",IFERROR(D219*INDEX(Materiais!$F$5:$F$204,MATCH(C219,Materiais!$B$5:$B$204,0))/INDEX(Materiais!$E$5:$E$204,MATCH(C219,Materiais!$B$5:$B$204,0)),"Cadastre em Materiais"))</f>
        <v/>
      </c>
      <c r="G219" s="9"/>
    </row>
    <row r="220" customFormat="false" ht="21" hidden="false" customHeight="true" outlineLevel="0" collapsed="false">
      <c r="B220" s="9"/>
      <c r="C220" s="9"/>
      <c r="D220" s="42"/>
      <c r="E220" s="39" t="str">
        <f aca="false">IF(C220="","",IFERROR(INDEX(Materiais!$D$5:$D$204,MATCH(C220,Materiais!$B$5:$B$204,0)),"?"))</f>
        <v/>
      </c>
      <c r="F220" s="27" t="str">
        <f aca="false">IF(OR(C220="",D220=""),"",IFERROR(D220*INDEX(Materiais!$F$5:$F$204,MATCH(C220,Materiais!$B$5:$B$204,0))/INDEX(Materiais!$E$5:$E$204,MATCH(C220,Materiais!$B$5:$B$204,0)),"Cadastre em Materiais"))</f>
        <v/>
      </c>
      <c r="G220" s="9"/>
    </row>
    <row r="221" customFormat="false" ht="21" hidden="false" customHeight="true" outlineLevel="0" collapsed="false">
      <c r="B221" s="9"/>
      <c r="C221" s="9"/>
      <c r="D221" s="42"/>
      <c r="E221" s="39" t="str">
        <f aca="false">IF(C221="","",IFERROR(INDEX(Materiais!$D$5:$D$204,MATCH(C221,Materiais!$B$5:$B$204,0)),"?"))</f>
        <v/>
      </c>
      <c r="F221" s="27" t="str">
        <f aca="false">IF(OR(C221="",D221=""),"",IFERROR(D221*INDEX(Materiais!$F$5:$F$204,MATCH(C221,Materiais!$B$5:$B$204,0))/INDEX(Materiais!$E$5:$E$204,MATCH(C221,Materiais!$B$5:$B$204,0)),"Cadastre em Materiais"))</f>
        <v/>
      </c>
      <c r="G221" s="9"/>
    </row>
    <row r="222" customFormat="false" ht="21" hidden="false" customHeight="true" outlineLevel="0" collapsed="false">
      <c r="B222" s="9"/>
      <c r="C222" s="9"/>
      <c r="D222" s="42"/>
      <c r="E222" s="39" t="str">
        <f aca="false">IF(C222="","",IFERROR(INDEX(Materiais!$D$5:$D$204,MATCH(C222,Materiais!$B$5:$B$204,0)),"?"))</f>
        <v/>
      </c>
      <c r="F222" s="27" t="str">
        <f aca="false">IF(OR(C222="",D222=""),"",IFERROR(D222*INDEX(Materiais!$F$5:$F$204,MATCH(C222,Materiais!$B$5:$B$204,0))/INDEX(Materiais!$E$5:$E$204,MATCH(C222,Materiais!$B$5:$B$204,0)),"Cadastre em Materiais"))</f>
        <v/>
      </c>
      <c r="G222" s="9"/>
    </row>
    <row r="223" customFormat="false" ht="21" hidden="false" customHeight="true" outlineLevel="0" collapsed="false">
      <c r="B223" s="9"/>
      <c r="C223" s="9"/>
      <c r="D223" s="42"/>
      <c r="E223" s="39" t="str">
        <f aca="false">IF(C223="","",IFERROR(INDEX(Materiais!$D$5:$D$204,MATCH(C223,Materiais!$B$5:$B$204,0)),"?"))</f>
        <v/>
      </c>
      <c r="F223" s="27" t="str">
        <f aca="false">IF(OR(C223="",D223=""),"",IFERROR(D223*INDEX(Materiais!$F$5:$F$204,MATCH(C223,Materiais!$B$5:$B$204,0))/INDEX(Materiais!$E$5:$E$204,MATCH(C223,Materiais!$B$5:$B$204,0)),"Cadastre em Materiais"))</f>
        <v/>
      </c>
      <c r="G223" s="9"/>
    </row>
    <row r="224" customFormat="false" ht="21" hidden="false" customHeight="true" outlineLevel="0" collapsed="false">
      <c r="B224" s="9"/>
      <c r="C224" s="9"/>
      <c r="D224" s="42"/>
      <c r="E224" s="39" t="str">
        <f aca="false">IF(C224="","",IFERROR(INDEX(Materiais!$D$5:$D$204,MATCH(C224,Materiais!$B$5:$B$204,0)),"?"))</f>
        <v/>
      </c>
      <c r="F224" s="27" t="str">
        <f aca="false">IF(OR(C224="",D224=""),"",IFERROR(D224*INDEX(Materiais!$F$5:$F$204,MATCH(C224,Materiais!$B$5:$B$204,0))/INDEX(Materiais!$E$5:$E$204,MATCH(C224,Materiais!$B$5:$B$204,0)),"Cadastre em Materiais"))</f>
        <v/>
      </c>
      <c r="G224" s="9"/>
    </row>
    <row r="225" customFormat="false" ht="21" hidden="false" customHeight="true" outlineLevel="0" collapsed="false">
      <c r="B225" s="9"/>
      <c r="C225" s="9"/>
      <c r="D225" s="42"/>
      <c r="E225" s="39" t="str">
        <f aca="false">IF(C225="","",IFERROR(INDEX(Materiais!$D$5:$D$204,MATCH(C225,Materiais!$B$5:$B$204,0)),"?"))</f>
        <v/>
      </c>
      <c r="F225" s="27" t="str">
        <f aca="false">IF(OR(C225="",D225=""),"",IFERROR(D225*INDEX(Materiais!$F$5:$F$204,MATCH(C225,Materiais!$B$5:$B$204,0))/INDEX(Materiais!$E$5:$E$204,MATCH(C225,Materiais!$B$5:$B$204,0)),"Cadastre em Materiais"))</f>
        <v/>
      </c>
      <c r="G225" s="9"/>
    </row>
    <row r="226" customFormat="false" ht="21" hidden="false" customHeight="true" outlineLevel="0" collapsed="false">
      <c r="B226" s="9"/>
      <c r="C226" s="9"/>
      <c r="D226" s="42"/>
      <c r="E226" s="39" t="str">
        <f aca="false">IF(C226="","",IFERROR(INDEX(Materiais!$D$5:$D$204,MATCH(C226,Materiais!$B$5:$B$204,0)),"?"))</f>
        <v/>
      </c>
      <c r="F226" s="27" t="str">
        <f aca="false">IF(OR(C226="",D226=""),"",IFERROR(D226*INDEX(Materiais!$F$5:$F$204,MATCH(C226,Materiais!$B$5:$B$204,0))/INDEX(Materiais!$E$5:$E$204,MATCH(C226,Materiais!$B$5:$B$204,0)),"Cadastre em Materiais"))</f>
        <v/>
      </c>
      <c r="G226" s="9"/>
    </row>
    <row r="227" customFormat="false" ht="21" hidden="false" customHeight="true" outlineLevel="0" collapsed="false">
      <c r="B227" s="9"/>
      <c r="C227" s="9"/>
      <c r="D227" s="42"/>
      <c r="E227" s="39" t="str">
        <f aca="false">IF(C227="","",IFERROR(INDEX(Materiais!$D$5:$D$204,MATCH(C227,Materiais!$B$5:$B$204,0)),"?"))</f>
        <v/>
      </c>
      <c r="F227" s="27" t="str">
        <f aca="false">IF(OR(C227="",D227=""),"",IFERROR(D227*INDEX(Materiais!$F$5:$F$204,MATCH(C227,Materiais!$B$5:$B$204,0))/INDEX(Materiais!$E$5:$E$204,MATCH(C227,Materiais!$B$5:$B$204,0)),"Cadastre em Materiais"))</f>
        <v/>
      </c>
      <c r="G227" s="9"/>
    </row>
    <row r="228" customFormat="false" ht="21" hidden="false" customHeight="true" outlineLevel="0" collapsed="false">
      <c r="B228" s="9"/>
      <c r="C228" s="9"/>
      <c r="D228" s="42"/>
      <c r="E228" s="39" t="str">
        <f aca="false">IF(C228="","",IFERROR(INDEX(Materiais!$D$5:$D$204,MATCH(C228,Materiais!$B$5:$B$204,0)),"?"))</f>
        <v/>
      </c>
      <c r="F228" s="27" t="str">
        <f aca="false">IF(OR(C228="",D228=""),"",IFERROR(D228*INDEX(Materiais!$F$5:$F$204,MATCH(C228,Materiais!$B$5:$B$204,0))/INDEX(Materiais!$E$5:$E$204,MATCH(C228,Materiais!$B$5:$B$204,0)),"Cadastre em Materiais"))</f>
        <v/>
      </c>
      <c r="G228" s="9"/>
    </row>
    <row r="229" customFormat="false" ht="21" hidden="false" customHeight="true" outlineLevel="0" collapsed="false">
      <c r="B229" s="9"/>
      <c r="C229" s="9"/>
      <c r="D229" s="42"/>
      <c r="E229" s="39" t="str">
        <f aca="false">IF(C229="","",IFERROR(INDEX(Materiais!$D$5:$D$204,MATCH(C229,Materiais!$B$5:$B$204,0)),"?"))</f>
        <v/>
      </c>
      <c r="F229" s="27" t="str">
        <f aca="false">IF(OR(C229="",D229=""),"",IFERROR(D229*INDEX(Materiais!$F$5:$F$204,MATCH(C229,Materiais!$B$5:$B$204,0))/INDEX(Materiais!$E$5:$E$204,MATCH(C229,Materiais!$B$5:$B$204,0)),"Cadastre em Materiais"))</f>
        <v/>
      </c>
      <c r="G229" s="9"/>
    </row>
    <row r="230" customFormat="false" ht="21" hidden="false" customHeight="true" outlineLevel="0" collapsed="false">
      <c r="B230" s="9"/>
      <c r="C230" s="9"/>
      <c r="D230" s="42"/>
      <c r="E230" s="39" t="str">
        <f aca="false">IF(C230="","",IFERROR(INDEX(Materiais!$D$5:$D$204,MATCH(C230,Materiais!$B$5:$B$204,0)),"?"))</f>
        <v/>
      </c>
      <c r="F230" s="27" t="str">
        <f aca="false">IF(OR(C230="",D230=""),"",IFERROR(D230*INDEX(Materiais!$F$5:$F$204,MATCH(C230,Materiais!$B$5:$B$204,0))/INDEX(Materiais!$E$5:$E$204,MATCH(C230,Materiais!$B$5:$B$204,0)),"Cadastre em Materiais"))</f>
        <v/>
      </c>
      <c r="G230" s="9"/>
    </row>
    <row r="231" customFormat="false" ht="21" hidden="false" customHeight="true" outlineLevel="0" collapsed="false">
      <c r="B231" s="9"/>
      <c r="C231" s="9"/>
      <c r="D231" s="42"/>
      <c r="E231" s="39" t="str">
        <f aca="false">IF(C231="","",IFERROR(INDEX(Materiais!$D$5:$D$204,MATCH(C231,Materiais!$B$5:$B$204,0)),"?"))</f>
        <v/>
      </c>
      <c r="F231" s="27" t="str">
        <f aca="false">IF(OR(C231="",D231=""),"",IFERROR(D231*INDEX(Materiais!$F$5:$F$204,MATCH(C231,Materiais!$B$5:$B$204,0))/INDEX(Materiais!$E$5:$E$204,MATCH(C231,Materiais!$B$5:$B$204,0)),"Cadastre em Materiais"))</f>
        <v/>
      </c>
      <c r="G231" s="9"/>
    </row>
    <row r="232" customFormat="false" ht="21" hidden="false" customHeight="true" outlineLevel="0" collapsed="false">
      <c r="B232" s="9"/>
      <c r="C232" s="9"/>
      <c r="D232" s="42"/>
      <c r="E232" s="39" t="str">
        <f aca="false">IF(C232="","",IFERROR(INDEX(Materiais!$D$5:$D$204,MATCH(C232,Materiais!$B$5:$B$204,0)),"?"))</f>
        <v/>
      </c>
      <c r="F232" s="27" t="str">
        <f aca="false">IF(OR(C232="",D232=""),"",IFERROR(D232*INDEX(Materiais!$F$5:$F$204,MATCH(C232,Materiais!$B$5:$B$204,0))/INDEX(Materiais!$E$5:$E$204,MATCH(C232,Materiais!$B$5:$B$204,0)),"Cadastre em Materiais"))</f>
        <v/>
      </c>
      <c r="G232" s="9"/>
    </row>
    <row r="233" customFormat="false" ht="21" hidden="false" customHeight="true" outlineLevel="0" collapsed="false">
      <c r="B233" s="9"/>
      <c r="C233" s="9"/>
      <c r="D233" s="42"/>
      <c r="E233" s="39" t="str">
        <f aca="false">IF(C233="","",IFERROR(INDEX(Materiais!$D$5:$D$204,MATCH(C233,Materiais!$B$5:$B$204,0)),"?"))</f>
        <v/>
      </c>
      <c r="F233" s="27" t="str">
        <f aca="false">IF(OR(C233="",D233=""),"",IFERROR(D233*INDEX(Materiais!$F$5:$F$204,MATCH(C233,Materiais!$B$5:$B$204,0))/INDEX(Materiais!$E$5:$E$204,MATCH(C233,Materiais!$B$5:$B$204,0)),"Cadastre em Materiais"))</f>
        <v/>
      </c>
      <c r="G233" s="9"/>
    </row>
    <row r="234" customFormat="false" ht="21" hidden="false" customHeight="true" outlineLevel="0" collapsed="false">
      <c r="B234" s="9"/>
      <c r="C234" s="9"/>
      <c r="D234" s="42"/>
      <c r="E234" s="39" t="str">
        <f aca="false">IF(C234="","",IFERROR(INDEX(Materiais!$D$5:$D$204,MATCH(C234,Materiais!$B$5:$B$204,0)),"?"))</f>
        <v/>
      </c>
      <c r="F234" s="27" t="str">
        <f aca="false">IF(OR(C234="",D234=""),"",IFERROR(D234*INDEX(Materiais!$F$5:$F$204,MATCH(C234,Materiais!$B$5:$B$204,0))/INDEX(Materiais!$E$5:$E$204,MATCH(C234,Materiais!$B$5:$B$204,0)),"Cadastre em Materiais"))</f>
        <v/>
      </c>
      <c r="G234" s="9"/>
    </row>
    <row r="235" customFormat="false" ht="21" hidden="false" customHeight="true" outlineLevel="0" collapsed="false">
      <c r="B235" s="9"/>
      <c r="C235" s="9"/>
      <c r="D235" s="42"/>
      <c r="E235" s="39" t="str">
        <f aca="false">IF(C235="","",IFERROR(INDEX(Materiais!$D$5:$D$204,MATCH(C235,Materiais!$B$5:$B$204,0)),"?"))</f>
        <v/>
      </c>
      <c r="F235" s="27" t="str">
        <f aca="false">IF(OR(C235="",D235=""),"",IFERROR(D235*INDEX(Materiais!$F$5:$F$204,MATCH(C235,Materiais!$B$5:$B$204,0))/INDEX(Materiais!$E$5:$E$204,MATCH(C235,Materiais!$B$5:$B$204,0)),"Cadastre em Materiais"))</f>
        <v/>
      </c>
      <c r="G235" s="9"/>
    </row>
    <row r="236" customFormat="false" ht="21" hidden="false" customHeight="true" outlineLevel="0" collapsed="false">
      <c r="B236" s="9"/>
      <c r="C236" s="9"/>
      <c r="D236" s="42"/>
      <c r="E236" s="39" t="str">
        <f aca="false">IF(C236="","",IFERROR(INDEX(Materiais!$D$5:$D$204,MATCH(C236,Materiais!$B$5:$B$204,0)),"?"))</f>
        <v/>
      </c>
      <c r="F236" s="27" t="str">
        <f aca="false">IF(OR(C236="",D236=""),"",IFERROR(D236*INDEX(Materiais!$F$5:$F$204,MATCH(C236,Materiais!$B$5:$B$204,0))/INDEX(Materiais!$E$5:$E$204,MATCH(C236,Materiais!$B$5:$B$204,0)),"Cadastre em Materiais"))</f>
        <v/>
      </c>
      <c r="G236" s="9"/>
    </row>
    <row r="237" customFormat="false" ht="21" hidden="false" customHeight="true" outlineLevel="0" collapsed="false">
      <c r="B237" s="9"/>
      <c r="C237" s="9"/>
      <c r="D237" s="42"/>
      <c r="E237" s="39" t="str">
        <f aca="false">IF(C237="","",IFERROR(INDEX(Materiais!$D$5:$D$204,MATCH(C237,Materiais!$B$5:$B$204,0)),"?"))</f>
        <v/>
      </c>
      <c r="F237" s="27" t="str">
        <f aca="false">IF(OR(C237="",D237=""),"",IFERROR(D237*INDEX(Materiais!$F$5:$F$204,MATCH(C237,Materiais!$B$5:$B$204,0))/INDEX(Materiais!$E$5:$E$204,MATCH(C237,Materiais!$B$5:$B$204,0)),"Cadastre em Materiais"))</f>
        <v/>
      </c>
      <c r="G237" s="9"/>
    </row>
    <row r="238" customFormat="false" ht="21" hidden="false" customHeight="true" outlineLevel="0" collapsed="false">
      <c r="B238" s="9"/>
      <c r="C238" s="9"/>
      <c r="D238" s="42"/>
      <c r="E238" s="39" t="str">
        <f aca="false">IF(C238="","",IFERROR(INDEX(Materiais!$D$5:$D$204,MATCH(C238,Materiais!$B$5:$B$204,0)),"?"))</f>
        <v/>
      </c>
      <c r="F238" s="27" t="str">
        <f aca="false">IF(OR(C238="",D238=""),"",IFERROR(D238*INDEX(Materiais!$F$5:$F$204,MATCH(C238,Materiais!$B$5:$B$204,0))/INDEX(Materiais!$E$5:$E$204,MATCH(C238,Materiais!$B$5:$B$204,0)),"Cadastre em Materiais"))</f>
        <v/>
      </c>
      <c r="G238" s="9"/>
    </row>
    <row r="239" customFormat="false" ht="21" hidden="false" customHeight="true" outlineLevel="0" collapsed="false">
      <c r="B239" s="9"/>
      <c r="C239" s="9"/>
      <c r="D239" s="42"/>
      <c r="E239" s="39" t="str">
        <f aca="false">IF(C239="","",IFERROR(INDEX(Materiais!$D$5:$D$204,MATCH(C239,Materiais!$B$5:$B$204,0)),"?"))</f>
        <v/>
      </c>
      <c r="F239" s="27" t="str">
        <f aca="false">IF(OR(C239="",D239=""),"",IFERROR(D239*INDEX(Materiais!$F$5:$F$204,MATCH(C239,Materiais!$B$5:$B$204,0))/INDEX(Materiais!$E$5:$E$204,MATCH(C239,Materiais!$B$5:$B$204,0)),"Cadastre em Materiais"))</f>
        <v/>
      </c>
      <c r="G239" s="9"/>
    </row>
    <row r="240" customFormat="false" ht="21" hidden="false" customHeight="true" outlineLevel="0" collapsed="false">
      <c r="B240" s="9"/>
      <c r="C240" s="9"/>
      <c r="D240" s="42"/>
      <c r="E240" s="39" t="str">
        <f aca="false">IF(C240="","",IFERROR(INDEX(Materiais!$D$5:$D$204,MATCH(C240,Materiais!$B$5:$B$204,0)),"?"))</f>
        <v/>
      </c>
      <c r="F240" s="27" t="str">
        <f aca="false">IF(OR(C240="",D240=""),"",IFERROR(D240*INDEX(Materiais!$F$5:$F$204,MATCH(C240,Materiais!$B$5:$B$204,0))/INDEX(Materiais!$E$5:$E$204,MATCH(C240,Materiais!$B$5:$B$204,0)),"Cadastre em Materiais"))</f>
        <v/>
      </c>
      <c r="G240" s="9"/>
    </row>
    <row r="241" customFormat="false" ht="21" hidden="false" customHeight="true" outlineLevel="0" collapsed="false">
      <c r="B241" s="9"/>
      <c r="C241" s="9"/>
      <c r="D241" s="42"/>
      <c r="E241" s="39" t="str">
        <f aca="false">IF(C241="","",IFERROR(INDEX(Materiais!$D$5:$D$204,MATCH(C241,Materiais!$B$5:$B$204,0)),"?"))</f>
        <v/>
      </c>
      <c r="F241" s="27" t="str">
        <f aca="false">IF(OR(C241="",D241=""),"",IFERROR(D241*INDEX(Materiais!$F$5:$F$204,MATCH(C241,Materiais!$B$5:$B$204,0))/INDEX(Materiais!$E$5:$E$204,MATCH(C241,Materiais!$B$5:$B$204,0)),"Cadastre em Materiais"))</f>
        <v/>
      </c>
      <c r="G241" s="9"/>
    </row>
    <row r="242" customFormat="false" ht="21" hidden="false" customHeight="true" outlineLevel="0" collapsed="false">
      <c r="B242" s="9"/>
      <c r="C242" s="9"/>
      <c r="D242" s="42"/>
      <c r="E242" s="39" t="str">
        <f aca="false">IF(C242="","",IFERROR(INDEX(Materiais!$D$5:$D$204,MATCH(C242,Materiais!$B$5:$B$204,0)),"?"))</f>
        <v/>
      </c>
      <c r="F242" s="27" t="str">
        <f aca="false">IF(OR(C242="",D242=""),"",IFERROR(D242*INDEX(Materiais!$F$5:$F$204,MATCH(C242,Materiais!$B$5:$B$204,0))/INDEX(Materiais!$E$5:$E$204,MATCH(C242,Materiais!$B$5:$B$204,0)),"Cadastre em Materiais"))</f>
        <v/>
      </c>
      <c r="G242" s="9"/>
    </row>
    <row r="243" customFormat="false" ht="21" hidden="false" customHeight="true" outlineLevel="0" collapsed="false">
      <c r="B243" s="9"/>
      <c r="C243" s="9"/>
      <c r="D243" s="42"/>
      <c r="E243" s="39" t="str">
        <f aca="false">IF(C243="","",IFERROR(INDEX(Materiais!$D$5:$D$204,MATCH(C243,Materiais!$B$5:$B$204,0)),"?"))</f>
        <v/>
      </c>
      <c r="F243" s="27" t="str">
        <f aca="false">IF(OR(C243="",D243=""),"",IFERROR(D243*INDEX(Materiais!$F$5:$F$204,MATCH(C243,Materiais!$B$5:$B$204,0))/INDEX(Materiais!$E$5:$E$204,MATCH(C243,Materiais!$B$5:$B$204,0)),"Cadastre em Materiais"))</f>
        <v/>
      </c>
      <c r="G243" s="9"/>
    </row>
    <row r="244" customFormat="false" ht="21" hidden="false" customHeight="true" outlineLevel="0" collapsed="false">
      <c r="B244" s="9"/>
      <c r="C244" s="9"/>
      <c r="D244" s="42"/>
      <c r="E244" s="39" t="str">
        <f aca="false">IF(C244="","",IFERROR(INDEX(Materiais!$D$5:$D$204,MATCH(C244,Materiais!$B$5:$B$204,0)),"?"))</f>
        <v/>
      </c>
      <c r="F244" s="27" t="str">
        <f aca="false">IF(OR(C244="",D244=""),"",IFERROR(D244*INDEX(Materiais!$F$5:$F$204,MATCH(C244,Materiais!$B$5:$B$204,0))/INDEX(Materiais!$E$5:$E$204,MATCH(C244,Materiais!$B$5:$B$204,0)),"Cadastre em Materiais"))</f>
        <v/>
      </c>
      <c r="G244" s="9"/>
    </row>
    <row r="245" customFormat="false" ht="21" hidden="false" customHeight="true" outlineLevel="0" collapsed="false">
      <c r="B245" s="9"/>
      <c r="C245" s="9"/>
      <c r="D245" s="42"/>
      <c r="E245" s="39" t="str">
        <f aca="false">IF(C245="","",IFERROR(INDEX(Materiais!$D$5:$D$204,MATCH(C245,Materiais!$B$5:$B$204,0)),"?"))</f>
        <v/>
      </c>
      <c r="F245" s="27" t="str">
        <f aca="false">IF(OR(C245="",D245=""),"",IFERROR(D245*INDEX(Materiais!$F$5:$F$204,MATCH(C245,Materiais!$B$5:$B$204,0))/INDEX(Materiais!$E$5:$E$204,MATCH(C245,Materiais!$B$5:$B$204,0)),"Cadastre em Materiais"))</f>
        <v/>
      </c>
      <c r="G245" s="9"/>
    </row>
    <row r="246" customFormat="false" ht="21" hidden="false" customHeight="true" outlineLevel="0" collapsed="false">
      <c r="B246" s="9"/>
      <c r="C246" s="9"/>
      <c r="D246" s="42"/>
      <c r="E246" s="39" t="str">
        <f aca="false">IF(C246="","",IFERROR(INDEX(Materiais!$D$5:$D$204,MATCH(C246,Materiais!$B$5:$B$204,0)),"?"))</f>
        <v/>
      </c>
      <c r="F246" s="27" t="str">
        <f aca="false">IF(OR(C246="",D246=""),"",IFERROR(D246*INDEX(Materiais!$F$5:$F$204,MATCH(C246,Materiais!$B$5:$B$204,0))/INDEX(Materiais!$E$5:$E$204,MATCH(C246,Materiais!$B$5:$B$204,0)),"Cadastre em Materiais"))</f>
        <v/>
      </c>
      <c r="G246" s="9"/>
    </row>
    <row r="247" customFormat="false" ht="21" hidden="false" customHeight="true" outlineLevel="0" collapsed="false">
      <c r="B247" s="9"/>
      <c r="C247" s="9"/>
      <c r="D247" s="42"/>
      <c r="E247" s="39" t="str">
        <f aca="false">IF(C247="","",IFERROR(INDEX(Materiais!$D$5:$D$204,MATCH(C247,Materiais!$B$5:$B$204,0)),"?"))</f>
        <v/>
      </c>
      <c r="F247" s="27" t="str">
        <f aca="false">IF(OR(C247="",D247=""),"",IFERROR(D247*INDEX(Materiais!$F$5:$F$204,MATCH(C247,Materiais!$B$5:$B$204,0))/INDEX(Materiais!$E$5:$E$204,MATCH(C247,Materiais!$B$5:$B$204,0)),"Cadastre em Materiais"))</f>
        <v/>
      </c>
      <c r="G247" s="9"/>
    </row>
    <row r="248" customFormat="false" ht="21" hidden="false" customHeight="true" outlineLevel="0" collapsed="false">
      <c r="B248" s="9"/>
      <c r="C248" s="9"/>
      <c r="D248" s="42"/>
      <c r="E248" s="39" t="str">
        <f aca="false">IF(C248="","",IFERROR(INDEX(Materiais!$D$5:$D$204,MATCH(C248,Materiais!$B$5:$B$204,0)),"?"))</f>
        <v/>
      </c>
      <c r="F248" s="27" t="str">
        <f aca="false">IF(OR(C248="",D248=""),"",IFERROR(D248*INDEX(Materiais!$F$5:$F$204,MATCH(C248,Materiais!$B$5:$B$204,0))/INDEX(Materiais!$E$5:$E$204,MATCH(C248,Materiais!$B$5:$B$204,0)),"Cadastre em Materiais"))</f>
        <v/>
      </c>
      <c r="G248" s="9"/>
    </row>
    <row r="249" customFormat="false" ht="21" hidden="false" customHeight="true" outlineLevel="0" collapsed="false">
      <c r="B249" s="9"/>
      <c r="C249" s="9"/>
      <c r="D249" s="42"/>
      <c r="E249" s="39" t="str">
        <f aca="false">IF(C249="","",IFERROR(INDEX(Materiais!$D$5:$D$204,MATCH(C249,Materiais!$B$5:$B$204,0)),"?"))</f>
        <v/>
      </c>
      <c r="F249" s="27" t="str">
        <f aca="false">IF(OR(C249="",D249=""),"",IFERROR(D249*INDEX(Materiais!$F$5:$F$204,MATCH(C249,Materiais!$B$5:$B$204,0))/INDEX(Materiais!$E$5:$E$204,MATCH(C249,Materiais!$B$5:$B$204,0)),"Cadastre em Materiais"))</f>
        <v/>
      </c>
      <c r="G249" s="9"/>
    </row>
    <row r="250" customFormat="false" ht="21" hidden="false" customHeight="true" outlineLevel="0" collapsed="false">
      <c r="B250" s="9"/>
      <c r="C250" s="9"/>
      <c r="D250" s="42"/>
      <c r="E250" s="39" t="str">
        <f aca="false">IF(C250="","",IFERROR(INDEX(Materiais!$D$5:$D$204,MATCH(C250,Materiais!$B$5:$B$204,0)),"?"))</f>
        <v/>
      </c>
      <c r="F250" s="27" t="str">
        <f aca="false">IF(OR(C250="",D250=""),"",IFERROR(D250*INDEX(Materiais!$F$5:$F$204,MATCH(C250,Materiais!$B$5:$B$204,0))/INDEX(Materiais!$E$5:$E$204,MATCH(C250,Materiais!$B$5:$B$204,0)),"Cadastre em Materiais"))</f>
        <v/>
      </c>
      <c r="G250" s="9"/>
    </row>
    <row r="251" customFormat="false" ht="21" hidden="false" customHeight="true" outlineLevel="0" collapsed="false">
      <c r="B251" s="9"/>
      <c r="C251" s="9"/>
      <c r="D251" s="42"/>
      <c r="E251" s="39" t="str">
        <f aca="false">IF(C251="","",IFERROR(INDEX(Materiais!$D$5:$D$204,MATCH(C251,Materiais!$B$5:$B$204,0)),"?"))</f>
        <v/>
      </c>
      <c r="F251" s="27" t="str">
        <f aca="false">IF(OR(C251="",D251=""),"",IFERROR(D251*INDEX(Materiais!$F$5:$F$204,MATCH(C251,Materiais!$B$5:$B$204,0))/INDEX(Materiais!$E$5:$E$204,MATCH(C251,Materiais!$B$5:$B$204,0)),"Cadastre em Materiais"))</f>
        <v/>
      </c>
      <c r="G251" s="9"/>
    </row>
    <row r="252" customFormat="false" ht="21" hidden="false" customHeight="true" outlineLevel="0" collapsed="false">
      <c r="B252" s="9"/>
      <c r="C252" s="9"/>
      <c r="D252" s="42"/>
      <c r="E252" s="39" t="str">
        <f aca="false">IF(C252="","",IFERROR(INDEX(Materiais!$D$5:$D$204,MATCH(C252,Materiais!$B$5:$B$204,0)),"?"))</f>
        <v/>
      </c>
      <c r="F252" s="27" t="str">
        <f aca="false">IF(OR(C252="",D252=""),"",IFERROR(D252*INDEX(Materiais!$F$5:$F$204,MATCH(C252,Materiais!$B$5:$B$204,0))/INDEX(Materiais!$E$5:$E$204,MATCH(C252,Materiais!$B$5:$B$204,0)),"Cadastre em Materiais"))</f>
        <v/>
      </c>
      <c r="G252" s="9"/>
    </row>
    <row r="253" customFormat="false" ht="21" hidden="false" customHeight="true" outlineLevel="0" collapsed="false">
      <c r="B253" s="9"/>
      <c r="C253" s="9"/>
      <c r="D253" s="42"/>
      <c r="E253" s="39" t="str">
        <f aca="false">IF(C253="","",IFERROR(INDEX(Materiais!$D$5:$D$204,MATCH(C253,Materiais!$B$5:$B$204,0)),"?"))</f>
        <v/>
      </c>
      <c r="F253" s="27" t="str">
        <f aca="false">IF(OR(C253="",D253=""),"",IFERROR(D253*INDEX(Materiais!$F$5:$F$204,MATCH(C253,Materiais!$B$5:$B$204,0))/INDEX(Materiais!$E$5:$E$204,MATCH(C253,Materiais!$B$5:$B$204,0)),"Cadastre em Materiais"))</f>
        <v/>
      </c>
      <c r="G253" s="9"/>
    </row>
    <row r="254" customFormat="false" ht="21" hidden="false" customHeight="true" outlineLevel="0" collapsed="false">
      <c r="B254" s="9"/>
      <c r="C254" s="9"/>
      <c r="D254" s="42"/>
      <c r="E254" s="39" t="str">
        <f aca="false">IF(C254="","",IFERROR(INDEX(Materiais!$D$5:$D$204,MATCH(C254,Materiais!$B$5:$B$204,0)),"?"))</f>
        <v/>
      </c>
      <c r="F254" s="27" t="str">
        <f aca="false">IF(OR(C254="",D254=""),"",IFERROR(D254*INDEX(Materiais!$F$5:$F$204,MATCH(C254,Materiais!$B$5:$B$204,0))/INDEX(Materiais!$E$5:$E$204,MATCH(C254,Materiais!$B$5:$B$204,0)),"Cadastre em Materiais"))</f>
        <v/>
      </c>
      <c r="G254" s="9"/>
    </row>
    <row r="255" customFormat="false" ht="21" hidden="false" customHeight="true" outlineLevel="0" collapsed="false">
      <c r="B255" s="9"/>
      <c r="C255" s="9"/>
      <c r="D255" s="42"/>
      <c r="E255" s="39" t="str">
        <f aca="false">IF(C255="","",IFERROR(INDEX(Materiais!$D$5:$D$204,MATCH(C255,Materiais!$B$5:$B$204,0)),"?"))</f>
        <v/>
      </c>
      <c r="F255" s="27" t="str">
        <f aca="false">IF(OR(C255="",D255=""),"",IFERROR(D255*INDEX(Materiais!$F$5:$F$204,MATCH(C255,Materiais!$B$5:$B$204,0))/INDEX(Materiais!$E$5:$E$204,MATCH(C255,Materiais!$B$5:$B$204,0)),"Cadastre em Materiais"))</f>
        <v/>
      </c>
      <c r="G255" s="9"/>
    </row>
    <row r="256" customFormat="false" ht="21" hidden="false" customHeight="true" outlineLevel="0" collapsed="false">
      <c r="B256" s="9"/>
      <c r="C256" s="9"/>
      <c r="D256" s="42"/>
      <c r="E256" s="39" t="str">
        <f aca="false">IF(C256="","",IFERROR(INDEX(Materiais!$D$5:$D$204,MATCH(C256,Materiais!$B$5:$B$204,0)),"?"))</f>
        <v/>
      </c>
      <c r="F256" s="27" t="str">
        <f aca="false">IF(OR(C256="",D256=""),"",IFERROR(D256*INDEX(Materiais!$F$5:$F$204,MATCH(C256,Materiais!$B$5:$B$204,0))/INDEX(Materiais!$E$5:$E$204,MATCH(C256,Materiais!$B$5:$B$204,0)),"Cadastre em Materiais"))</f>
        <v/>
      </c>
      <c r="G256" s="9"/>
    </row>
    <row r="257" customFormat="false" ht="21" hidden="false" customHeight="true" outlineLevel="0" collapsed="false">
      <c r="B257" s="9"/>
      <c r="C257" s="9"/>
      <c r="D257" s="42"/>
      <c r="E257" s="39" t="str">
        <f aca="false">IF(C257="","",IFERROR(INDEX(Materiais!$D$5:$D$204,MATCH(C257,Materiais!$B$5:$B$204,0)),"?"))</f>
        <v/>
      </c>
      <c r="F257" s="27" t="str">
        <f aca="false">IF(OR(C257="",D257=""),"",IFERROR(D257*INDEX(Materiais!$F$5:$F$204,MATCH(C257,Materiais!$B$5:$B$204,0))/INDEX(Materiais!$E$5:$E$204,MATCH(C257,Materiais!$B$5:$B$204,0)),"Cadastre em Materiais"))</f>
        <v/>
      </c>
      <c r="G257" s="9"/>
    </row>
    <row r="258" customFormat="false" ht="21" hidden="false" customHeight="true" outlineLevel="0" collapsed="false">
      <c r="B258" s="9"/>
      <c r="C258" s="9"/>
      <c r="D258" s="42"/>
      <c r="E258" s="39" t="str">
        <f aca="false">IF(C258="","",IFERROR(INDEX(Materiais!$D$5:$D$204,MATCH(C258,Materiais!$B$5:$B$204,0)),"?"))</f>
        <v/>
      </c>
      <c r="F258" s="27" t="str">
        <f aca="false">IF(OR(C258="",D258=""),"",IFERROR(D258*INDEX(Materiais!$F$5:$F$204,MATCH(C258,Materiais!$B$5:$B$204,0))/INDEX(Materiais!$E$5:$E$204,MATCH(C258,Materiais!$B$5:$B$204,0)),"Cadastre em Materiais"))</f>
        <v/>
      </c>
      <c r="G258" s="9"/>
    </row>
    <row r="259" customFormat="false" ht="21" hidden="false" customHeight="true" outlineLevel="0" collapsed="false">
      <c r="B259" s="9"/>
      <c r="C259" s="9"/>
      <c r="D259" s="42"/>
      <c r="E259" s="39" t="str">
        <f aca="false">IF(C259="","",IFERROR(INDEX(Materiais!$D$5:$D$204,MATCH(C259,Materiais!$B$5:$B$204,0)),"?"))</f>
        <v/>
      </c>
      <c r="F259" s="27" t="str">
        <f aca="false">IF(OR(C259="",D259=""),"",IFERROR(D259*INDEX(Materiais!$F$5:$F$204,MATCH(C259,Materiais!$B$5:$B$204,0))/INDEX(Materiais!$E$5:$E$204,MATCH(C259,Materiais!$B$5:$B$204,0)),"Cadastre em Materiais"))</f>
        <v/>
      </c>
      <c r="G259" s="9"/>
    </row>
    <row r="260" customFormat="false" ht="21" hidden="false" customHeight="true" outlineLevel="0" collapsed="false">
      <c r="B260" s="9"/>
      <c r="C260" s="9"/>
      <c r="D260" s="42"/>
      <c r="E260" s="39" t="str">
        <f aca="false">IF(C260="","",IFERROR(INDEX(Materiais!$D$5:$D$204,MATCH(C260,Materiais!$B$5:$B$204,0)),"?"))</f>
        <v/>
      </c>
      <c r="F260" s="27" t="str">
        <f aca="false">IF(OR(C260="",D260=""),"",IFERROR(D260*INDEX(Materiais!$F$5:$F$204,MATCH(C260,Materiais!$B$5:$B$204,0))/INDEX(Materiais!$E$5:$E$204,MATCH(C260,Materiais!$B$5:$B$204,0)),"Cadastre em Materiais"))</f>
        <v/>
      </c>
      <c r="G260" s="9"/>
    </row>
    <row r="261" customFormat="false" ht="21" hidden="false" customHeight="true" outlineLevel="0" collapsed="false">
      <c r="B261" s="9"/>
      <c r="C261" s="9"/>
      <c r="D261" s="42"/>
      <c r="E261" s="39" t="str">
        <f aca="false">IF(C261="","",IFERROR(INDEX(Materiais!$D$5:$D$204,MATCH(C261,Materiais!$B$5:$B$204,0)),"?"))</f>
        <v/>
      </c>
      <c r="F261" s="27" t="str">
        <f aca="false">IF(OR(C261="",D261=""),"",IFERROR(D261*INDEX(Materiais!$F$5:$F$204,MATCH(C261,Materiais!$B$5:$B$204,0))/INDEX(Materiais!$E$5:$E$204,MATCH(C261,Materiais!$B$5:$B$204,0)),"Cadastre em Materiais"))</f>
        <v/>
      </c>
      <c r="G261" s="9"/>
    </row>
    <row r="262" customFormat="false" ht="21" hidden="false" customHeight="true" outlineLevel="0" collapsed="false">
      <c r="B262" s="9"/>
      <c r="C262" s="9"/>
      <c r="D262" s="42"/>
      <c r="E262" s="39" t="str">
        <f aca="false">IF(C262="","",IFERROR(INDEX(Materiais!$D$5:$D$204,MATCH(C262,Materiais!$B$5:$B$204,0)),"?"))</f>
        <v/>
      </c>
      <c r="F262" s="27" t="str">
        <f aca="false">IF(OR(C262="",D262=""),"",IFERROR(D262*INDEX(Materiais!$F$5:$F$204,MATCH(C262,Materiais!$B$5:$B$204,0))/INDEX(Materiais!$E$5:$E$204,MATCH(C262,Materiais!$B$5:$B$204,0)),"Cadastre em Materiais"))</f>
        <v/>
      </c>
      <c r="G262" s="9"/>
    </row>
    <row r="263" customFormat="false" ht="21" hidden="false" customHeight="true" outlineLevel="0" collapsed="false">
      <c r="B263" s="9"/>
      <c r="C263" s="9"/>
      <c r="D263" s="42"/>
      <c r="E263" s="39" t="str">
        <f aca="false">IF(C263="","",IFERROR(INDEX(Materiais!$D$5:$D$204,MATCH(C263,Materiais!$B$5:$B$204,0)),"?"))</f>
        <v/>
      </c>
      <c r="F263" s="27" t="str">
        <f aca="false">IF(OR(C263="",D263=""),"",IFERROR(D263*INDEX(Materiais!$F$5:$F$204,MATCH(C263,Materiais!$B$5:$B$204,0))/INDEX(Materiais!$E$5:$E$204,MATCH(C263,Materiais!$B$5:$B$204,0)),"Cadastre em Materiais"))</f>
        <v/>
      </c>
      <c r="G263" s="9"/>
    </row>
    <row r="264" customFormat="false" ht="21" hidden="false" customHeight="true" outlineLevel="0" collapsed="false">
      <c r="B264" s="9"/>
      <c r="C264" s="9"/>
      <c r="D264" s="42"/>
      <c r="E264" s="39" t="str">
        <f aca="false">IF(C264="","",IFERROR(INDEX(Materiais!$D$5:$D$204,MATCH(C264,Materiais!$B$5:$B$204,0)),"?"))</f>
        <v/>
      </c>
      <c r="F264" s="27" t="str">
        <f aca="false">IF(OR(C264="",D264=""),"",IFERROR(D264*INDEX(Materiais!$F$5:$F$204,MATCH(C264,Materiais!$B$5:$B$204,0))/INDEX(Materiais!$E$5:$E$204,MATCH(C264,Materiais!$B$5:$B$204,0)),"Cadastre em Materiais"))</f>
        <v/>
      </c>
      <c r="G264" s="9"/>
    </row>
    <row r="265" customFormat="false" ht="21" hidden="false" customHeight="true" outlineLevel="0" collapsed="false">
      <c r="B265" s="9"/>
      <c r="C265" s="9"/>
      <c r="D265" s="42"/>
      <c r="E265" s="39" t="str">
        <f aca="false">IF(C265="","",IFERROR(INDEX(Materiais!$D$5:$D$204,MATCH(C265,Materiais!$B$5:$B$204,0)),"?"))</f>
        <v/>
      </c>
      <c r="F265" s="27" t="str">
        <f aca="false">IF(OR(C265="",D265=""),"",IFERROR(D265*INDEX(Materiais!$F$5:$F$204,MATCH(C265,Materiais!$B$5:$B$204,0))/INDEX(Materiais!$E$5:$E$204,MATCH(C265,Materiais!$B$5:$B$204,0)),"Cadastre em Materiais"))</f>
        <v/>
      </c>
      <c r="G265" s="9"/>
    </row>
    <row r="266" customFormat="false" ht="21" hidden="false" customHeight="true" outlineLevel="0" collapsed="false">
      <c r="B266" s="9"/>
      <c r="C266" s="9"/>
      <c r="D266" s="42"/>
      <c r="E266" s="39" t="str">
        <f aca="false">IF(C266="","",IFERROR(INDEX(Materiais!$D$5:$D$204,MATCH(C266,Materiais!$B$5:$B$204,0)),"?"))</f>
        <v/>
      </c>
      <c r="F266" s="27" t="str">
        <f aca="false">IF(OR(C266="",D266=""),"",IFERROR(D266*INDEX(Materiais!$F$5:$F$204,MATCH(C266,Materiais!$B$5:$B$204,0))/INDEX(Materiais!$E$5:$E$204,MATCH(C266,Materiais!$B$5:$B$204,0)),"Cadastre em Materiais"))</f>
        <v/>
      </c>
      <c r="G266" s="9"/>
    </row>
    <row r="267" customFormat="false" ht="21" hidden="false" customHeight="true" outlineLevel="0" collapsed="false">
      <c r="B267" s="9"/>
      <c r="C267" s="9"/>
      <c r="D267" s="42"/>
      <c r="E267" s="39" t="str">
        <f aca="false">IF(C267="","",IFERROR(INDEX(Materiais!$D$5:$D$204,MATCH(C267,Materiais!$B$5:$B$204,0)),"?"))</f>
        <v/>
      </c>
      <c r="F267" s="27" t="str">
        <f aca="false">IF(OR(C267="",D267=""),"",IFERROR(D267*INDEX(Materiais!$F$5:$F$204,MATCH(C267,Materiais!$B$5:$B$204,0))/INDEX(Materiais!$E$5:$E$204,MATCH(C267,Materiais!$B$5:$B$204,0)),"Cadastre em Materiais"))</f>
        <v/>
      </c>
      <c r="G267" s="9"/>
    </row>
    <row r="268" customFormat="false" ht="21" hidden="false" customHeight="true" outlineLevel="0" collapsed="false">
      <c r="B268" s="9"/>
      <c r="C268" s="9"/>
      <c r="D268" s="42"/>
      <c r="E268" s="39" t="str">
        <f aca="false">IF(C268="","",IFERROR(INDEX(Materiais!$D$5:$D$204,MATCH(C268,Materiais!$B$5:$B$204,0)),"?"))</f>
        <v/>
      </c>
      <c r="F268" s="27" t="str">
        <f aca="false">IF(OR(C268="",D268=""),"",IFERROR(D268*INDEX(Materiais!$F$5:$F$204,MATCH(C268,Materiais!$B$5:$B$204,0))/INDEX(Materiais!$E$5:$E$204,MATCH(C268,Materiais!$B$5:$B$204,0)),"Cadastre em Materiais"))</f>
        <v/>
      </c>
      <c r="G268" s="9"/>
    </row>
    <row r="269" customFormat="false" ht="21" hidden="false" customHeight="true" outlineLevel="0" collapsed="false">
      <c r="B269" s="9"/>
      <c r="C269" s="9"/>
      <c r="D269" s="42"/>
      <c r="E269" s="39" t="str">
        <f aca="false">IF(C269="","",IFERROR(INDEX(Materiais!$D$5:$D$204,MATCH(C269,Materiais!$B$5:$B$204,0)),"?"))</f>
        <v/>
      </c>
      <c r="F269" s="27" t="str">
        <f aca="false">IF(OR(C269="",D269=""),"",IFERROR(D269*INDEX(Materiais!$F$5:$F$204,MATCH(C269,Materiais!$B$5:$B$204,0))/INDEX(Materiais!$E$5:$E$204,MATCH(C269,Materiais!$B$5:$B$204,0)),"Cadastre em Materiais"))</f>
        <v/>
      </c>
      <c r="G269" s="9"/>
    </row>
    <row r="270" customFormat="false" ht="21" hidden="false" customHeight="true" outlineLevel="0" collapsed="false">
      <c r="B270" s="9"/>
      <c r="C270" s="9"/>
      <c r="D270" s="42"/>
      <c r="E270" s="39" t="str">
        <f aca="false">IF(C270="","",IFERROR(INDEX(Materiais!$D$5:$D$204,MATCH(C270,Materiais!$B$5:$B$204,0)),"?"))</f>
        <v/>
      </c>
      <c r="F270" s="27" t="str">
        <f aca="false">IF(OR(C270="",D270=""),"",IFERROR(D270*INDEX(Materiais!$F$5:$F$204,MATCH(C270,Materiais!$B$5:$B$204,0))/INDEX(Materiais!$E$5:$E$204,MATCH(C270,Materiais!$B$5:$B$204,0)),"Cadastre em Materiais"))</f>
        <v/>
      </c>
      <c r="G270" s="9"/>
    </row>
    <row r="271" customFormat="false" ht="21" hidden="false" customHeight="true" outlineLevel="0" collapsed="false">
      <c r="B271" s="9"/>
      <c r="C271" s="9"/>
      <c r="D271" s="42"/>
      <c r="E271" s="39" t="str">
        <f aca="false">IF(C271="","",IFERROR(INDEX(Materiais!$D$5:$D$204,MATCH(C271,Materiais!$B$5:$B$204,0)),"?"))</f>
        <v/>
      </c>
      <c r="F271" s="27" t="str">
        <f aca="false">IF(OR(C271="",D271=""),"",IFERROR(D271*INDEX(Materiais!$F$5:$F$204,MATCH(C271,Materiais!$B$5:$B$204,0))/INDEX(Materiais!$E$5:$E$204,MATCH(C271,Materiais!$B$5:$B$204,0)),"Cadastre em Materiais"))</f>
        <v/>
      </c>
      <c r="G271" s="9"/>
    </row>
    <row r="272" customFormat="false" ht="21" hidden="false" customHeight="true" outlineLevel="0" collapsed="false">
      <c r="B272" s="9"/>
      <c r="C272" s="9"/>
      <c r="D272" s="42"/>
      <c r="E272" s="39" t="str">
        <f aca="false">IF(C272="","",IFERROR(INDEX(Materiais!$D$5:$D$204,MATCH(C272,Materiais!$B$5:$B$204,0)),"?"))</f>
        <v/>
      </c>
      <c r="F272" s="27" t="str">
        <f aca="false">IF(OR(C272="",D272=""),"",IFERROR(D272*INDEX(Materiais!$F$5:$F$204,MATCH(C272,Materiais!$B$5:$B$204,0))/INDEX(Materiais!$E$5:$E$204,MATCH(C272,Materiais!$B$5:$B$204,0)),"Cadastre em Materiais"))</f>
        <v/>
      </c>
      <c r="G272" s="9"/>
    </row>
    <row r="273" customFormat="false" ht="21" hidden="false" customHeight="true" outlineLevel="0" collapsed="false">
      <c r="B273" s="9"/>
      <c r="C273" s="9"/>
      <c r="D273" s="42"/>
      <c r="E273" s="39" t="str">
        <f aca="false">IF(C273="","",IFERROR(INDEX(Materiais!$D$5:$D$204,MATCH(C273,Materiais!$B$5:$B$204,0)),"?"))</f>
        <v/>
      </c>
      <c r="F273" s="27" t="str">
        <f aca="false">IF(OR(C273="",D273=""),"",IFERROR(D273*INDEX(Materiais!$F$5:$F$204,MATCH(C273,Materiais!$B$5:$B$204,0))/INDEX(Materiais!$E$5:$E$204,MATCH(C273,Materiais!$B$5:$B$204,0)),"Cadastre em Materiais"))</f>
        <v/>
      </c>
      <c r="G273" s="9"/>
    </row>
    <row r="274" customFormat="false" ht="21" hidden="false" customHeight="true" outlineLevel="0" collapsed="false">
      <c r="B274" s="9"/>
      <c r="C274" s="9"/>
      <c r="D274" s="42"/>
      <c r="E274" s="39" t="str">
        <f aca="false">IF(C274="","",IFERROR(INDEX(Materiais!$D$5:$D$204,MATCH(C274,Materiais!$B$5:$B$204,0)),"?"))</f>
        <v/>
      </c>
      <c r="F274" s="27" t="str">
        <f aca="false">IF(OR(C274="",D274=""),"",IFERROR(D274*INDEX(Materiais!$F$5:$F$204,MATCH(C274,Materiais!$B$5:$B$204,0))/INDEX(Materiais!$E$5:$E$204,MATCH(C274,Materiais!$B$5:$B$204,0)),"Cadastre em Materiais"))</f>
        <v/>
      </c>
      <c r="G274" s="9"/>
    </row>
    <row r="275" customFormat="false" ht="21" hidden="false" customHeight="true" outlineLevel="0" collapsed="false">
      <c r="B275" s="9"/>
      <c r="C275" s="9"/>
      <c r="D275" s="42"/>
      <c r="E275" s="39" t="str">
        <f aca="false">IF(C275="","",IFERROR(INDEX(Materiais!$D$5:$D$204,MATCH(C275,Materiais!$B$5:$B$204,0)),"?"))</f>
        <v/>
      </c>
      <c r="F275" s="27" t="str">
        <f aca="false">IF(OR(C275="",D275=""),"",IFERROR(D275*INDEX(Materiais!$F$5:$F$204,MATCH(C275,Materiais!$B$5:$B$204,0))/INDEX(Materiais!$E$5:$E$204,MATCH(C275,Materiais!$B$5:$B$204,0)),"Cadastre em Materiais"))</f>
        <v/>
      </c>
      <c r="G275" s="9"/>
    </row>
    <row r="276" customFormat="false" ht="21" hidden="false" customHeight="true" outlineLevel="0" collapsed="false">
      <c r="B276" s="9"/>
      <c r="C276" s="9"/>
      <c r="D276" s="42"/>
      <c r="E276" s="39" t="str">
        <f aca="false">IF(C276="","",IFERROR(INDEX(Materiais!$D$5:$D$204,MATCH(C276,Materiais!$B$5:$B$204,0)),"?"))</f>
        <v/>
      </c>
      <c r="F276" s="27" t="str">
        <f aca="false">IF(OR(C276="",D276=""),"",IFERROR(D276*INDEX(Materiais!$F$5:$F$204,MATCH(C276,Materiais!$B$5:$B$204,0))/INDEX(Materiais!$E$5:$E$204,MATCH(C276,Materiais!$B$5:$B$204,0)),"Cadastre em Materiais"))</f>
        <v/>
      </c>
      <c r="G276" s="9"/>
    </row>
    <row r="277" customFormat="false" ht="21" hidden="false" customHeight="true" outlineLevel="0" collapsed="false">
      <c r="B277" s="9"/>
      <c r="C277" s="9"/>
      <c r="D277" s="42"/>
      <c r="E277" s="39" t="str">
        <f aca="false">IF(C277="","",IFERROR(INDEX(Materiais!$D$5:$D$204,MATCH(C277,Materiais!$B$5:$B$204,0)),"?"))</f>
        <v/>
      </c>
      <c r="F277" s="27" t="str">
        <f aca="false">IF(OR(C277="",D277=""),"",IFERROR(D277*INDEX(Materiais!$F$5:$F$204,MATCH(C277,Materiais!$B$5:$B$204,0))/INDEX(Materiais!$E$5:$E$204,MATCH(C277,Materiais!$B$5:$B$204,0)),"Cadastre em Materiais"))</f>
        <v/>
      </c>
      <c r="G277" s="9"/>
    </row>
    <row r="278" customFormat="false" ht="21" hidden="false" customHeight="true" outlineLevel="0" collapsed="false">
      <c r="B278" s="9"/>
      <c r="C278" s="9"/>
      <c r="D278" s="42"/>
      <c r="E278" s="39" t="str">
        <f aca="false">IF(C278="","",IFERROR(INDEX(Materiais!$D$5:$D$204,MATCH(C278,Materiais!$B$5:$B$204,0)),"?"))</f>
        <v/>
      </c>
      <c r="F278" s="27" t="str">
        <f aca="false">IF(OR(C278="",D278=""),"",IFERROR(D278*INDEX(Materiais!$F$5:$F$204,MATCH(C278,Materiais!$B$5:$B$204,0))/INDEX(Materiais!$E$5:$E$204,MATCH(C278,Materiais!$B$5:$B$204,0)),"Cadastre em Materiais"))</f>
        <v/>
      </c>
      <c r="G278" s="9"/>
    </row>
    <row r="279" customFormat="false" ht="21" hidden="false" customHeight="true" outlineLevel="0" collapsed="false">
      <c r="B279" s="9"/>
      <c r="C279" s="9"/>
      <c r="D279" s="42"/>
      <c r="E279" s="39" t="str">
        <f aca="false">IF(C279="","",IFERROR(INDEX(Materiais!$D$5:$D$204,MATCH(C279,Materiais!$B$5:$B$204,0)),"?"))</f>
        <v/>
      </c>
      <c r="F279" s="27" t="str">
        <f aca="false">IF(OR(C279="",D279=""),"",IFERROR(D279*INDEX(Materiais!$F$5:$F$204,MATCH(C279,Materiais!$B$5:$B$204,0))/INDEX(Materiais!$E$5:$E$204,MATCH(C279,Materiais!$B$5:$B$204,0)),"Cadastre em Materiais"))</f>
        <v/>
      </c>
      <c r="G279" s="9"/>
    </row>
    <row r="280" customFormat="false" ht="21" hidden="false" customHeight="true" outlineLevel="0" collapsed="false">
      <c r="B280" s="9"/>
      <c r="C280" s="9"/>
      <c r="D280" s="42"/>
      <c r="E280" s="39" t="str">
        <f aca="false">IF(C280="","",IFERROR(INDEX(Materiais!$D$5:$D$204,MATCH(C280,Materiais!$B$5:$B$204,0)),"?"))</f>
        <v/>
      </c>
      <c r="F280" s="27" t="str">
        <f aca="false">IF(OR(C280="",D280=""),"",IFERROR(D280*INDEX(Materiais!$F$5:$F$204,MATCH(C280,Materiais!$B$5:$B$204,0))/INDEX(Materiais!$E$5:$E$204,MATCH(C280,Materiais!$B$5:$B$204,0)),"Cadastre em Materiais"))</f>
        <v/>
      </c>
      <c r="G280" s="9"/>
    </row>
    <row r="281" customFormat="false" ht="21" hidden="false" customHeight="true" outlineLevel="0" collapsed="false">
      <c r="B281" s="9"/>
      <c r="C281" s="9"/>
      <c r="D281" s="42"/>
      <c r="E281" s="39" t="str">
        <f aca="false">IF(C281="","",IFERROR(INDEX(Materiais!$D$5:$D$204,MATCH(C281,Materiais!$B$5:$B$204,0)),"?"))</f>
        <v/>
      </c>
      <c r="F281" s="27" t="str">
        <f aca="false">IF(OR(C281="",D281=""),"",IFERROR(D281*INDEX(Materiais!$F$5:$F$204,MATCH(C281,Materiais!$B$5:$B$204,0))/INDEX(Materiais!$E$5:$E$204,MATCH(C281,Materiais!$B$5:$B$204,0)),"Cadastre em Materiais"))</f>
        <v/>
      </c>
      <c r="G281" s="9"/>
    </row>
    <row r="282" customFormat="false" ht="21" hidden="false" customHeight="true" outlineLevel="0" collapsed="false">
      <c r="B282" s="9"/>
      <c r="C282" s="9"/>
      <c r="D282" s="42"/>
      <c r="E282" s="39" t="str">
        <f aca="false">IF(C282="","",IFERROR(INDEX(Materiais!$D$5:$D$204,MATCH(C282,Materiais!$B$5:$B$204,0)),"?"))</f>
        <v/>
      </c>
      <c r="F282" s="27" t="str">
        <f aca="false">IF(OR(C282="",D282=""),"",IFERROR(D282*INDEX(Materiais!$F$5:$F$204,MATCH(C282,Materiais!$B$5:$B$204,0))/INDEX(Materiais!$E$5:$E$204,MATCH(C282,Materiais!$B$5:$B$204,0)),"Cadastre em Materiais"))</f>
        <v/>
      </c>
      <c r="G282" s="9"/>
    </row>
    <row r="283" customFormat="false" ht="21" hidden="false" customHeight="true" outlineLevel="0" collapsed="false">
      <c r="B283" s="9"/>
      <c r="C283" s="9"/>
      <c r="D283" s="42"/>
      <c r="E283" s="39" t="str">
        <f aca="false">IF(C283="","",IFERROR(INDEX(Materiais!$D$5:$D$204,MATCH(C283,Materiais!$B$5:$B$204,0)),"?"))</f>
        <v/>
      </c>
      <c r="F283" s="27" t="str">
        <f aca="false">IF(OR(C283="",D283=""),"",IFERROR(D283*INDEX(Materiais!$F$5:$F$204,MATCH(C283,Materiais!$B$5:$B$204,0))/INDEX(Materiais!$E$5:$E$204,MATCH(C283,Materiais!$B$5:$B$204,0)),"Cadastre em Materiais"))</f>
        <v/>
      </c>
      <c r="G283" s="9"/>
    </row>
    <row r="284" customFormat="false" ht="21" hidden="false" customHeight="true" outlineLevel="0" collapsed="false">
      <c r="B284" s="9"/>
      <c r="C284" s="9"/>
      <c r="D284" s="42"/>
      <c r="E284" s="39" t="str">
        <f aca="false">IF(C284="","",IFERROR(INDEX(Materiais!$D$5:$D$204,MATCH(C284,Materiais!$B$5:$B$204,0)),"?"))</f>
        <v/>
      </c>
      <c r="F284" s="27" t="str">
        <f aca="false">IF(OR(C284="",D284=""),"",IFERROR(D284*INDEX(Materiais!$F$5:$F$204,MATCH(C284,Materiais!$B$5:$B$204,0))/INDEX(Materiais!$E$5:$E$204,MATCH(C284,Materiais!$B$5:$B$204,0)),"Cadastre em Materiais"))</f>
        <v/>
      </c>
      <c r="G284" s="9"/>
    </row>
    <row r="285" customFormat="false" ht="21" hidden="false" customHeight="true" outlineLevel="0" collapsed="false">
      <c r="B285" s="9"/>
      <c r="C285" s="9"/>
      <c r="D285" s="42"/>
      <c r="E285" s="39" t="str">
        <f aca="false">IF(C285="","",IFERROR(INDEX(Materiais!$D$5:$D$204,MATCH(C285,Materiais!$B$5:$B$204,0)),"?"))</f>
        <v/>
      </c>
      <c r="F285" s="27" t="str">
        <f aca="false">IF(OR(C285="",D285=""),"",IFERROR(D285*INDEX(Materiais!$F$5:$F$204,MATCH(C285,Materiais!$B$5:$B$204,0))/INDEX(Materiais!$E$5:$E$204,MATCH(C285,Materiais!$B$5:$B$204,0)),"Cadastre em Materiais"))</f>
        <v/>
      </c>
      <c r="G285" s="9"/>
    </row>
    <row r="286" customFormat="false" ht="21" hidden="false" customHeight="true" outlineLevel="0" collapsed="false">
      <c r="B286" s="9"/>
      <c r="C286" s="9"/>
      <c r="D286" s="42"/>
      <c r="E286" s="39" t="str">
        <f aca="false">IF(C286="","",IFERROR(INDEX(Materiais!$D$5:$D$204,MATCH(C286,Materiais!$B$5:$B$204,0)),"?"))</f>
        <v/>
      </c>
      <c r="F286" s="27" t="str">
        <f aca="false">IF(OR(C286="",D286=""),"",IFERROR(D286*INDEX(Materiais!$F$5:$F$204,MATCH(C286,Materiais!$B$5:$B$204,0))/INDEX(Materiais!$E$5:$E$204,MATCH(C286,Materiais!$B$5:$B$204,0)),"Cadastre em Materiais"))</f>
        <v/>
      </c>
      <c r="G286" s="9"/>
    </row>
    <row r="287" customFormat="false" ht="21" hidden="false" customHeight="true" outlineLevel="0" collapsed="false">
      <c r="B287" s="9"/>
      <c r="C287" s="9"/>
      <c r="D287" s="42"/>
      <c r="E287" s="39" t="str">
        <f aca="false">IF(C287="","",IFERROR(INDEX(Materiais!$D$5:$D$204,MATCH(C287,Materiais!$B$5:$B$204,0)),"?"))</f>
        <v/>
      </c>
      <c r="F287" s="27" t="str">
        <f aca="false">IF(OR(C287="",D287=""),"",IFERROR(D287*INDEX(Materiais!$F$5:$F$204,MATCH(C287,Materiais!$B$5:$B$204,0))/INDEX(Materiais!$E$5:$E$204,MATCH(C287,Materiais!$B$5:$B$204,0)),"Cadastre em Materiais"))</f>
        <v/>
      </c>
      <c r="G287" s="9"/>
    </row>
    <row r="288" customFormat="false" ht="21" hidden="false" customHeight="true" outlineLevel="0" collapsed="false">
      <c r="B288" s="9"/>
      <c r="C288" s="9"/>
      <c r="D288" s="42"/>
      <c r="E288" s="39" t="str">
        <f aca="false">IF(C288="","",IFERROR(INDEX(Materiais!$D$5:$D$204,MATCH(C288,Materiais!$B$5:$B$204,0)),"?"))</f>
        <v/>
      </c>
      <c r="F288" s="27" t="str">
        <f aca="false">IF(OR(C288="",D288=""),"",IFERROR(D288*INDEX(Materiais!$F$5:$F$204,MATCH(C288,Materiais!$B$5:$B$204,0))/INDEX(Materiais!$E$5:$E$204,MATCH(C288,Materiais!$B$5:$B$204,0)),"Cadastre em Materiais"))</f>
        <v/>
      </c>
      <c r="G288" s="9"/>
    </row>
    <row r="289" customFormat="false" ht="21" hidden="false" customHeight="true" outlineLevel="0" collapsed="false">
      <c r="B289" s="9"/>
      <c r="C289" s="9"/>
      <c r="D289" s="42"/>
      <c r="E289" s="39" t="str">
        <f aca="false">IF(C289="","",IFERROR(INDEX(Materiais!$D$5:$D$204,MATCH(C289,Materiais!$B$5:$B$204,0)),"?"))</f>
        <v/>
      </c>
      <c r="F289" s="27" t="str">
        <f aca="false">IF(OR(C289="",D289=""),"",IFERROR(D289*INDEX(Materiais!$F$5:$F$204,MATCH(C289,Materiais!$B$5:$B$204,0))/INDEX(Materiais!$E$5:$E$204,MATCH(C289,Materiais!$B$5:$B$204,0)),"Cadastre em Materiais"))</f>
        <v/>
      </c>
      <c r="G289" s="9"/>
    </row>
    <row r="290" customFormat="false" ht="21" hidden="false" customHeight="true" outlineLevel="0" collapsed="false">
      <c r="B290" s="9"/>
      <c r="C290" s="9"/>
      <c r="D290" s="42"/>
      <c r="E290" s="39" t="str">
        <f aca="false">IF(C290="","",IFERROR(INDEX(Materiais!$D$5:$D$204,MATCH(C290,Materiais!$B$5:$B$204,0)),"?"))</f>
        <v/>
      </c>
      <c r="F290" s="27" t="str">
        <f aca="false">IF(OR(C290="",D290=""),"",IFERROR(D290*INDEX(Materiais!$F$5:$F$204,MATCH(C290,Materiais!$B$5:$B$204,0))/INDEX(Materiais!$E$5:$E$204,MATCH(C290,Materiais!$B$5:$B$204,0)),"Cadastre em Materiais"))</f>
        <v/>
      </c>
      <c r="G290" s="9"/>
    </row>
    <row r="291" customFormat="false" ht="21" hidden="false" customHeight="true" outlineLevel="0" collapsed="false">
      <c r="B291" s="9"/>
      <c r="C291" s="9"/>
      <c r="D291" s="42"/>
      <c r="E291" s="39" t="str">
        <f aca="false">IF(C291="","",IFERROR(INDEX(Materiais!$D$5:$D$204,MATCH(C291,Materiais!$B$5:$B$204,0)),"?"))</f>
        <v/>
      </c>
      <c r="F291" s="27" t="str">
        <f aca="false">IF(OR(C291="",D291=""),"",IFERROR(D291*INDEX(Materiais!$F$5:$F$204,MATCH(C291,Materiais!$B$5:$B$204,0))/INDEX(Materiais!$E$5:$E$204,MATCH(C291,Materiais!$B$5:$B$204,0)),"Cadastre em Materiais"))</f>
        <v/>
      </c>
      <c r="G291" s="9"/>
    </row>
    <row r="292" customFormat="false" ht="21" hidden="false" customHeight="true" outlineLevel="0" collapsed="false">
      <c r="B292" s="9"/>
      <c r="C292" s="9"/>
      <c r="D292" s="42"/>
      <c r="E292" s="39" t="str">
        <f aca="false">IF(C292="","",IFERROR(INDEX(Materiais!$D$5:$D$204,MATCH(C292,Materiais!$B$5:$B$204,0)),"?"))</f>
        <v/>
      </c>
      <c r="F292" s="27" t="str">
        <f aca="false">IF(OR(C292="",D292=""),"",IFERROR(D292*INDEX(Materiais!$F$5:$F$204,MATCH(C292,Materiais!$B$5:$B$204,0))/INDEX(Materiais!$E$5:$E$204,MATCH(C292,Materiais!$B$5:$B$204,0)),"Cadastre em Materiais"))</f>
        <v/>
      </c>
      <c r="G292" s="9"/>
    </row>
    <row r="293" customFormat="false" ht="21" hidden="false" customHeight="true" outlineLevel="0" collapsed="false">
      <c r="B293" s="9"/>
      <c r="C293" s="9"/>
      <c r="D293" s="42"/>
      <c r="E293" s="39" t="str">
        <f aca="false">IF(C293="","",IFERROR(INDEX(Materiais!$D$5:$D$204,MATCH(C293,Materiais!$B$5:$B$204,0)),"?"))</f>
        <v/>
      </c>
      <c r="F293" s="27" t="str">
        <f aca="false">IF(OR(C293="",D293=""),"",IFERROR(D293*INDEX(Materiais!$F$5:$F$204,MATCH(C293,Materiais!$B$5:$B$204,0))/INDEX(Materiais!$E$5:$E$204,MATCH(C293,Materiais!$B$5:$B$204,0)),"Cadastre em Materiais"))</f>
        <v/>
      </c>
      <c r="G293" s="9"/>
    </row>
    <row r="294" customFormat="false" ht="21" hidden="false" customHeight="true" outlineLevel="0" collapsed="false">
      <c r="B294" s="9"/>
      <c r="C294" s="9"/>
      <c r="D294" s="42"/>
      <c r="E294" s="39" t="str">
        <f aca="false">IF(C294="","",IFERROR(INDEX(Materiais!$D$5:$D$204,MATCH(C294,Materiais!$B$5:$B$204,0)),"?"))</f>
        <v/>
      </c>
      <c r="F294" s="27" t="str">
        <f aca="false">IF(OR(C294="",D294=""),"",IFERROR(D294*INDEX(Materiais!$F$5:$F$204,MATCH(C294,Materiais!$B$5:$B$204,0))/INDEX(Materiais!$E$5:$E$204,MATCH(C294,Materiais!$B$5:$B$204,0)),"Cadastre em Materiais"))</f>
        <v/>
      </c>
      <c r="G294" s="9"/>
    </row>
    <row r="295" customFormat="false" ht="21" hidden="false" customHeight="true" outlineLevel="0" collapsed="false">
      <c r="B295" s="9"/>
      <c r="C295" s="9"/>
      <c r="D295" s="42"/>
      <c r="E295" s="39" t="str">
        <f aca="false">IF(C295="","",IFERROR(INDEX(Materiais!$D$5:$D$204,MATCH(C295,Materiais!$B$5:$B$204,0)),"?"))</f>
        <v/>
      </c>
      <c r="F295" s="27" t="str">
        <f aca="false">IF(OR(C295="",D295=""),"",IFERROR(D295*INDEX(Materiais!$F$5:$F$204,MATCH(C295,Materiais!$B$5:$B$204,0))/INDEX(Materiais!$E$5:$E$204,MATCH(C295,Materiais!$B$5:$B$204,0)),"Cadastre em Materiais"))</f>
        <v/>
      </c>
      <c r="G295" s="9"/>
    </row>
    <row r="296" customFormat="false" ht="21" hidden="false" customHeight="true" outlineLevel="0" collapsed="false">
      <c r="B296" s="9"/>
      <c r="C296" s="9"/>
      <c r="D296" s="42"/>
      <c r="E296" s="39" t="str">
        <f aca="false">IF(C296="","",IFERROR(INDEX(Materiais!$D$5:$D$204,MATCH(C296,Materiais!$B$5:$B$204,0)),"?"))</f>
        <v/>
      </c>
      <c r="F296" s="27" t="str">
        <f aca="false">IF(OR(C296="",D296=""),"",IFERROR(D296*INDEX(Materiais!$F$5:$F$204,MATCH(C296,Materiais!$B$5:$B$204,0))/INDEX(Materiais!$E$5:$E$204,MATCH(C296,Materiais!$B$5:$B$204,0)),"Cadastre em Materiais"))</f>
        <v/>
      </c>
      <c r="G296" s="9"/>
    </row>
    <row r="297" customFormat="false" ht="21" hidden="false" customHeight="true" outlineLevel="0" collapsed="false">
      <c r="B297" s="9"/>
      <c r="C297" s="9"/>
      <c r="D297" s="42"/>
      <c r="E297" s="39" t="str">
        <f aca="false">IF(C297="","",IFERROR(INDEX(Materiais!$D$5:$D$204,MATCH(C297,Materiais!$B$5:$B$204,0)),"?"))</f>
        <v/>
      </c>
      <c r="F297" s="27" t="str">
        <f aca="false">IF(OR(C297="",D297=""),"",IFERROR(D297*INDEX(Materiais!$F$5:$F$204,MATCH(C297,Materiais!$B$5:$B$204,0))/INDEX(Materiais!$E$5:$E$204,MATCH(C297,Materiais!$B$5:$B$204,0)),"Cadastre em Materiais"))</f>
        <v/>
      </c>
      <c r="G297" s="9"/>
    </row>
    <row r="298" customFormat="false" ht="21" hidden="false" customHeight="true" outlineLevel="0" collapsed="false">
      <c r="B298" s="9"/>
      <c r="C298" s="9"/>
      <c r="D298" s="42"/>
      <c r="E298" s="39" t="str">
        <f aca="false">IF(C298="","",IFERROR(INDEX(Materiais!$D$5:$D$204,MATCH(C298,Materiais!$B$5:$B$204,0)),"?"))</f>
        <v/>
      </c>
      <c r="F298" s="27" t="str">
        <f aca="false">IF(OR(C298="",D298=""),"",IFERROR(D298*INDEX(Materiais!$F$5:$F$204,MATCH(C298,Materiais!$B$5:$B$204,0))/INDEX(Materiais!$E$5:$E$204,MATCH(C298,Materiais!$B$5:$B$204,0)),"Cadastre em Materiais"))</f>
        <v/>
      </c>
      <c r="G298" s="9"/>
    </row>
    <row r="299" customFormat="false" ht="21" hidden="false" customHeight="true" outlineLevel="0" collapsed="false">
      <c r="B299" s="9"/>
      <c r="C299" s="9"/>
      <c r="D299" s="42"/>
      <c r="E299" s="39" t="str">
        <f aca="false">IF(C299="","",IFERROR(INDEX(Materiais!$D$5:$D$204,MATCH(C299,Materiais!$B$5:$B$204,0)),"?"))</f>
        <v/>
      </c>
      <c r="F299" s="27" t="str">
        <f aca="false">IF(OR(C299="",D299=""),"",IFERROR(D299*INDEX(Materiais!$F$5:$F$204,MATCH(C299,Materiais!$B$5:$B$204,0))/INDEX(Materiais!$E$5:$E$204,MATCH(C299,Materiais!$B$5:$B$204,0)),"Cadastre em Materiais"))</f>
        <v/>
      </c>
      <c r="G299" s="9"/>
    </row>
    <row r="300" customFormat="false" ht="21" hidden="false" customHeight="true" outlineLevel="0" collapsed="false">
      <c r="B300" s="9"/>
      <c r="C300" s="9"/>
      <c r="D300" s="42"/>
      <c r="E300" s="39" t="str">
        <f aca="false">IF(C300="","",IFERROR(INDEX(Materiais!$D$5:$D$204,MATCH(C300,Materiais!$B$5:$B$204,0)),"?"))</f>
        <v/>
      </c>
      <c r="F300" s="27" t="str">
        <f aca="false">IF(OR(C300="",D300=""),"",IFERROR(D300*INDEX(Materiais!$F$5:$F$204,MATCH(C300,Materiais!$B$5:$B$204,0))/INDEX(Materiais!$E$5:$E$204,MATCH(C300,Materiais!$B$5:$B$204,0)),"Cadastre em Materiais"))</f>
        <v/>
      </c>
      <c r="G300" s="9"/>
    </row>
    <row r="301" customFormat="false" ht="21" hidden="false" customHeight="true" outlineLevel="0" collapsed="false">
      <c r="B301" s="9"/>
      <c r="C301" s="9"/>
      <c r="D301" s="42"/>
      <c r="E301" s="39" t="str">
        <f aca="false">IF(C301="","",IFERROR(INDEX(Materiais!$D$5:$D$204,MATCH(C301,Materiais!$B$5:$B$204,0)),"?"))</f>
        <v/>
      </c>
      <c r="F301" s="27" t="str">
        <f aca="false">IF(OR(C301="",D301=""),"",IFERROR(D301*INDEX(Materiais!$F$5:$F$204,MATCH(C301,Materiais!$B$5:$B$204,0))/INDEX(Materiais!$E$5:$E$204,MATCH(C301,Materiais!$B$5:$B$204,0)),"Cadastre em Materiais"))</f>
        <v/>
      </c>
      <c r="G301" s="9"/>
    </row>
    <row r="302" customFormat="false" ht="21" hidden="false" customHeight="true" outlineLevel="0" collapsed="false">
      <c r="B302" s="9"/>
      <c r="C302" s="9"/>
      <c r="D302" s="42"/>
      <c r="E302" s="39" t="str">
        <f aca="false">IF(C302="","",IFERROR(INDEX(Materiais!$D$5:$D$204,MATCH(C302,Materiais!$B$5:$B$204,0)),"?"))</f>
        <v/>
      </c>
      <c r="F302" s="27" t="str">
        <f aca="false">IF(OR(C302="",D302=""),"",IFERROR(D302*INDEX(Materiais!$F$5:$F$204,MATCH(C302,Materiais!$B$5:$B$204,0))/INDEX(Materiais!$E$5:$E$204,MATCH(C302,Materiais!$B$5:$B$204,0)),"Cadastre em Materiais"))</f>
        <v/>
      </c>
      <c r="G302" s="9"/>
    </row>
    <row r="303" customFormat="false" ht="21" hidden="false" customHeight="true" outlineLevel="0" collapsed="false">
      <c r="B303" s="9"/>
      <c r="C303" s="9"/>
      <c r="D303" s="42"/>
      <c r="E303" s="39" t="str">
        <f aca="false">IF(C303="","",IFERROR(INDEX(Materiais!$D$5:$D$204,MATCH(C303,Materiais!$B$5:$B$204,0)),"?"))</f>
        <v/>
      </c>
      <c r="F303" s="27" t="str">
        <f aca="false">IF(OR(C303="",D303=""),"",IFERROR(D303*INDEX(Materiais!$F$5:$F$204,MATCH(C303,Materiais!$B$5:$B$204,0))/INDEX(Materiais!$E$5:$E$204,MATCH(C303,Materiais!$B$5:$B$204,0)),"Cadastre em Materiais"))</f>
        <v/>
      </c>
      <c r="G303" s="9"/>
    </row>
    <row r="304" customFormat="false" ht="21" hidden="false" customHeight="true" outlineLevel="0" collapsed="false">
      <c r="B304" s="9"/>
      <c r="C304" s="9"/>
      <c r="D304" s="42"/>
      <c r="E304" s="39" t="str">
        <f aca="false">IF(C304="","",IFERROR(INDEX(Materiais!$D$5:$D$204,MATCH(C304,Materiais!$B$5:$B$204,0)),"?"))</f>
        <v/>
      </c>
      <c r="F304" s="27" t="str">
        <f aca="false">IF(OR(C304="",D304=""),"",IFERROR(D304*INDEX(Materiais!$F$5:$F$204,MATCH(C304,Materiais!$B$5:$B$204,0))/INDEX(Materiais!$E$5:$E$204,MATCH(C304,Materiais!$B$5:$B$204,0)),"Cadastre em Materiais"))</f>
        <v/>
      </c>
      <c r="G304" s="9"/>
    </row>
    <row r="305" customFormat="false" ht="21" hidden="false" customHeight="true" outlineLevel="0" collapsed="false">
      <c r="B305" s="9"/>
      <c r="C305" s="9"/>
      <c r="D305" s="42"/>
      <c r="E305" s="39" t="str">
        <f aca="false">IF(C305="","",IFERROR(INDEX(Materiais!$D$5:$D$204,MATCH(C305,Materiais!$B$5:$B$204,0)),"?"))</f>
        <v/>
      </c>
      <c r="F305" s="27" t="str">
        <f aca="false">IF(OR(C305="",D305=""),"",IFERROR(D305*INDEX(Materiais!$F$5:$F$204,MATCH(C305,Materiais!$B$5:$B$204,0))/INDEX(Materiais!$E$5:$E$204,MATCH(C305,Materiais!$B$5:$B$204,0)),"Cadastre em Materiais"))</f>
        <v/>
      </c>
      <c r="G305" s="9"/>
    </row>
    <row r="306" customFormat="false" ht="21" hidden="false" customHeight="true" outlineLevel="0" collapsed="false">
      <c r="B306" s="9"/>
      <c r="C306" s="9"/>
      <c r="D306" s="42"/>
      <c r="E306" s="39" t="str">
        <f aca="false">IF(C306="","",IFERROR(INDEX(Materiais!$D$5:$D$204,MATCH(C306,Materiais!$B$5:$B$204,0)),"?"))</f>
        <v/>
      </c>
      <c r="F306" s="27" t="str">
        <f aca="false">IF(OR(C306="",D306=""),"",IFERROR(D306*INDEX(Materiais!$F$5:$F$204,MATCH(C306,Materiais!$B$5:$B$204,0))/INDEX(Materiais!$E$5:$E$204,MATCH(C306,Materiais!$B$5:$B$204,0)),"Cadastre em Materiais"))</f>
        <v/>
      </c>
      <c r="G306" s="9"/>
    </row>
    <row r="307" customFormat="false" ht="21" hidden="false" customHeight="true" outlineLevel="0" collapsed="false">
      <c r="B307" s="9"/>
      <c r="C307" s="9"/>
      <c r="D307" s="42"/>
      <c r="E307" s="39" t="str">
        <f aca="false">IF(C307="","",IFERROR(INDEX(Materiais!$D$5:$D$204,MATCH(C307,Materiais!$B$5:$B$204,0)),"?"))</f>
        <v/>
      </c>
      <c r="F307" s="27" t="str">
        <f aca="false">IF(OR(C307="",D307=""),"",IFERROR(D307*INDEX(Materiais!$F$5:$F$204,MATCH(C307,Materiais!$B$5:$B$204,0))/INDEX(Materiais!$E$5:$E$204,MATCH(C307,Materiais!$B$5:$B$204,0)),"Cadastre em Materiais"))</f>
        <v/>
      </c>
      <c r="G307" s="9"/>
    </row>
    <row r="308" customFormat="false" ht="21" hidden="false" customHeight="true" outlineLevel="0" collapsed="false">
      <c r="B308" s="9"/>
      <c r="C308" s="9"/>
      <c r="D308" s="42"/>
      <c r="E308" s="39" t="str">
        <f aca="false">IF(C308="","",IFERROR(INDEX(Materiais!$D$5:$D$204,MATCH(C308,Materiais!$B$5:$B$204,0)),"?"))</f>
        <v/>
      </c>
      <c r="F308" s="27" t="str">
        <f aca="false">IF(OR(C308="",D308=""),"",IFERROR(D308*INDEX(Materiais!$F$5:$F$204,MATCH(C308,Materiais!$B$5:$B$204,0))/INDEX(Materiais!$E$5:$E$204,MATCH(C308,Materiais!$B$5:$B$204,0)),"Cadastre em Materiais"))</f>
        <v/>
      </c>
      <c r="G308" s="9"/>
    </row>
    <row r="309" customFormat="false" ht="21" hidden="false" customHeight="true" outlineLevel="0" collapsed="false">
      <c r="B309" s="9"/>
      <c r="C309" s="9"/>
      <c r="D309" s="42"/>
      <c r="E309" s="39" t="str">
        <f aca="false">IF(C309="","",IFERROR(INDEX(Materiais!$D$5:$D$204,MATCH(C309,Materiais!$B$5:$B$204,0)),"?"))</f>
        <v/>
      </c>
      <c r="F309" s="27" t="str">
        <f aca="false">IF(OR(C309="",D309=""),"",IFERROR(D309*INDEX(Materiais!$F$5:$F$204,MATCH(C309,Materiais!$B$5:$B$204,0))/INDEX(Materiais!$E$5:$E$204,MATCH(C309,Materiais!$B$5:$B$204,0)),"Cadastre em Materiais"))</f>
        <v/>
      </c>
      <c r="G309" s="9"/>
    </row>
    <row r="310" customFormat="false" ht="21" hidden="false" customHeight="true" outlineLevel="0" collapsed="false">
      <c r="B310" s="9"/>
      <c r="C310" s="9"/>
      <c r="D310" s="42"/>
      <c r="E310" s="39" t="str">
        <f aca="false">IF(C310="","",IFERROR(INDEX(Materiais!$D$5:$D$204,MATCH(C310,Materiais!$B$5:$B$204,0)),"?"))</f>
        <v/>
      </c>
      <c r="F310" s="27" t="str">
        <f aca="false">IF(OR(C310="",D310=""),"",IFERROR(D310*INDEX(Materiais!$F$5:$F$204,MATCH(C310,Materiais!$B$5:$B$204,0))/INDEX(Materiais!$E$5:$E$204,MATCH(C310,Materiais!$B$5:$B$204,0)),"Cadastre em Materiais"))</f>
        <v/>
      </c>
      <c r="G310" s="9"/>
    </row>
    <row r="311" customFormat="false" ht="21" hidden="false" customHeight="true" outlineLevel="0" collapsed="false">
      <c r="B311" s="9"/>
      <c r="C311" s="9"/>
      <c r="D311" s="42"/>
      <c r="E311" s="39" t="str">
        <f aca="false">IF(C311="","",IFERROR(INDEX(Materiais!$D$5:$D$204,MATCH(C311,Materiais!$B$5:$B$204,0)),"?"))</f>
        <v/>
      </c>
      <c r="F311" s="27" t="str">
        <f aca="false">IF(OR(C311="",D311=""),"",IFERROR(D311*INDEX(Materiais!$F$5:$F$204,MATCH(C311,Materiais!$B$5:$B$204,0))/INDEX(Materiais!$E$5:$E$204,MATCH(C311,Materiais!$B$5:$B$204,0)),"Cadastre em Materiais"))</f>
        <v/>
      </c>
      <c r="G311" s="9"/>
    </row>
    <row r="312" customFormat="false" ht="21" hidden="false" customHeight="true" outlineLevel="0" collapsed="false">
      <c r="B312" s="9"/>
      <c r="C312" s="9"/>
      <c r="D312" s="42"/>
      <c r="E312" s="39" t="str">
        <f aca="false">IF(C312="","",IFERROR(INDEX(Materiais!$D$5:$D$204,MATCH(C312,Materiais!$B$5:$B$204,0)),"?"))</f>
        <v/>
      </c>
      <c r="F312" s="27" t="str">
        <f aca="false">IF(OR(C312="",D312=""),"",IFERROR(D312*INDEX(Materiais!$F$5:$F$204,MATCH(C312,Materiais!$B$5:$B$204,0))/INDEX(Materiais!$E$5:$E$204,MATCH(C312,Materiais!$B$5:$B$204,0)),"Cadastre em Materiais"))</f>
        <v/>
      </c>
      <c r="G312" s="9"/>
    </row>
    <row r="313" customFormat="false" ht="21" hidden="false" customHeight="true" outlineLevel="0" collapsed="false">
      <c r="B313" s="9"/>
      <c r="C313" s="9"/>
      <c r="D313" s="42"/>
      <c r="E313" s="39" t="str">
        <f aca="false">IF(C313="","",IFERROR(INDEX(Materiais!$D$5:$D$204,MATCH(C313,Materiais!$B$5:$B$204,0)),"?"))</f>
        <v/>
      </c>
      <c r="F313" s="27" t="str">
        <f aca="false">IF(OR(C313="",D313=""),"",IFERROR(D313*INDEX(Materiais!$F$5:$F$204,MATCH(C313,Materiais!$B$5:$B$204,0))/INDEX(Materiais!$E$5:$E$204,MATCH(C313,Materiais!$B$5:$B$204,0)),"Cadastre em Materiais"))</f>
        <v/>
      </c>
      <c r="G313" s="9"/>
    </row>
    <row r="314" customFormat="false" ht="21" hidden="false" customHeight="true" outlineLevel="0" collapsed="false">
      <c r="B314" s="9"/>
      <c r="C314" s="9"/>
      <c r="D314" s="42"/>
      <c r="E314" s="39" t="str">
        <f aca="false">IF(C314="","",IFERROR(INDEX(Materiais!$D$5:$D$204,MATCH(C314,Materiais!$B$5:$B$204,0)),"?"))</f>
        <v/>
      </c>
      <c r="F314" s="27" t="str">
        <f aca="false">IF(OR(C314="",D314=""),"",IFERROR(D314*INDEX(Materiais!$F$5:$F$204,MATCH(C314,Materiais!$B$5:$B$204,0))/INDEX(Materiais!$E$5:$E$204,MATCH(C314,Materiais!$B$5:$B$204,0)),"Cadastre em Materiais"))</f>
        <v/>
      </c>
      <c r="G314" s="9"/>
    </row>
    <row r="315" customFormat="false" ht="21" hidden="false" customHeight="true" outlineLevel="0" collapsed="false">
      <c r="B315" s="9"/>
      <c r="C315" s="9"/>
      <c r="D315" s="42"/>
      <c r="E315" s="39" t="str">
        <f aca="false">IF(C315="","",IFERROR(INDEX(Materiais!$D$5:$D$204,MATCH(C315,Materiais!$B$5:$B$204,0)),"?"))</f>
        <v/>
      </c>
      <c r="F315" s="27" t="str">
        <f aca="false">IF(OR(C315="",D315=""),"",IFERROR(D315*INDEX(Materiais!$F$5:$F$204,MATCH(C315,Materiais!$B$5:$B$204,0))/INDEX(Materiais!$E$5:$E$204,MATCH(C315,Materiais!$B$5:$B$204,0)),"Cadastre em Materiais"))</f>
        <v/>
      </c>
      <c r="G315" s="9"/>
    </row>
    <row r="316" customFormat="false" ht="21" hidden="false" customHeight="true" outlineLevel="0" collapsed="false">
      <c r="B316" s="9"/>
      <c r="C316" s="9"/>
      <c r="D316" s="42"/>
      <c r="E316" s="39" t="str">
        <f aca="false">IF(C316="","",IFERROR(INDEX(Materiais!$D$5:$D$204,MATCH(C316,Materiais!$B$5:$B$204,0)),"?"))</f>
        <v/>
      </c>
      <c r="F316" s="27" t="str">
        <f aca="false">IF(OR(C316="",D316=""),"",IFERROR(D316*INDEX(Materiais!$F$5:$F$204,MATCH(C316,Materiais!$B$5:$B$204,0))/INDEX(Materiais!$E$5:$E$204,MATCH(C316,Materiais!$B$5:$B$204,0)),"Cadastre em Materiais"))</f>
        <v/>
      </c>
      <c r="G316" s="9"/>
    </row>
    <row r="317" customFormat="false" ht="21" hidden="false" customHeight="true" outlineLevel="0" collapsed="false">
      <c r="B317" s="9"/>
      <c r="C317" s="9"/>
      <c r="D317" s="42"/>
      <c r="E317" s="39" t="str">
        <f aca="false">IF(C317="","",IFERROR(INDEX(Materiais!$D$5:$D$204,MATCH(C317,Materiais!$B$5:$B$204,0)),"?"))</f>
        <v/>
      </c>
      <c r="F317" s="27" t="str">
        <f aca="false">IF(OR(C317="",D317=""),"",IFERROR(D317*INDEX(Materiais!$F$5:$F$204,MATCH(C317,Materiais!$B$5:$B$204,0))/INDEX(Materiais!$E$5:$E$204,MATCH(C317,Materiais!$B$5:$B$204,0)),"Cadastre em Materiais"))</f>
        <v/>
      </c>
      <c r="G317" s="9"/>
    </row>
    <row r="318" customFormat="false" ht="21" hidden="false" customHeight="true" outlineLevel="0" collapsed="false">
      <c r="B318" s="9"/>
      <c r="C318" s="9"/>
      <c r="D318" s="42"/>
      <c r="E318" s="39" t="str">
        <f aca="false">IF(C318="","",IFERROR(INDEX(Materiais!$D$5:$D$204,MATCH(C318,Materiais!$B$5:$B$204,0)),"?"))</f>
        <v/>
      </c>
      <c r="F318" s="27" t="str">
        <f aca="false">IF(OR(C318="",D318=""),"",IFERROR(D318*INDEX(Materiais!$F$5:$F$204,MATCH(C318,Materiais!$B$5:$B$204,0))/INDEX(Materiais!$E$5:$E$204,MATCH(C318,Materiais!$B$5:$B$204,0)),"Cadastre em Materiais"))</f>
        <v/>
      </c>
      <c r="G318" s="9"/>
    </row>
    <row r="319" customFormat="false" ht="21" hidden="false" customHeight="true" outlineLevel="0" collapsed="false">
      <c r="B319" s="9"/>
      <c r="C319" s="9"/>
      <c r="D319" s="42"/>
      <c r="E319" s="39" t="str">
        <f aca="false">IF(C319="","",IFERROR(INDEX(Materiais!$D$5:$D$204,MATCH(C319,Materiais!$B$5:$B$204,0)),"?"))</f>
        <v/>
      </c>
      <c r="F319" s="27" t="str">
        <f aca="false">IF(OR(C319="",D319=""),"",IFERROR(D319*INDEX(Materiais!$F$5:$F$204,MATCH(C319,Materiais!$B$5:$B$204,0))/INDEX(Materiais!$E$5:$E$204,MATCH(C319,Materiais!$B$5:$B$204,0)),"Cadastre em Materiais"))</f>
        <v/>
      </c>
      <c r="G319" s="9"/>
    </row>
    <row r="320" customFormat="false" ht="21" hidden="false" customHeight="true" outlineLevel="0" collapsed="false">
      <c r="B320" s="9"/>
      <c r="C320" s="9"/>
      <c r="D320" s="42"/>
      <c r="E320" s="39" t="str">
        <f aca="false">IF(C320="","",IFERROR(INDEX(Materiais!$D$5:$D$204,MATCH(C320,Materiais!$B$5:$B$204,0)),"?"))</f>
        <v/>
      </c>
      <c r="F320" s="27" t="str">
        <f aca="false">IF(OR(C320="",D320=""),"",IFERROR(D320*INDEX(Materiais!$F$5:$F$204,MATCH(C320,Materiais!$B$5:$B$204,0))/INDEX(Materiais!$E$5:$E$204,MATCH(C320,Materiais!$B$5:$B$204,0)),"Cadastre em Materiais"))</f>
        <v/>
      </c>
      <c r="G320" s="9"/>
    </row>
    <row r="321" customFormat="false" ht="21" hidden="false" customHeight="true" outlineLevel="0" collapsed="false">
      <c r="B321" s="9"/>
      <c r="C321" s="9"/>
      <c r="D321" s="42"/>
      <c r="E321" s="39" t="str">
        <f aca="false">IF(C321="","",IFERROR(INDEX(Materiais!$D$5:$D$204,MATCH(C321,Materiais!$B$5:$B$204,0)),"?"))</f>
        <v/>
      </c>
      <c r="F321" s="27" t="str">
        <f aca="false">IF(OR(C321="",D321=""),"",IFERROR(D321*INDEX(Materiais!$F$5:$F$204,MATCH(C321,Materiais!$B$5:$B$204,0))/INDEX(Materiais!$E$5:$E$204,MATCH(C321,Materiais!$B$5:$B$204,0)),"Cadastre em Materiais"))</f>
        <v/>
      </c>
      <c r="G321" s="9"/>
    </row>
    <row r="322" customFormat="false" ht="21" hidden="false" customHeight="true" outlineLevel="0" collapsed="false">
      <c r="B322" s="9"/>
      <c r="C322" s="9"/>
      <c r="D322" s="42"/>
      <c r="E322" s="39" t="str">
        <f aca="false">IF(C322="","",IFERROR(INDEX(Materiais!$D$5:$D$204,MATCH(C322,Materiais!$B$5:$B$204,0)),"?"))</f>
        <v/>
      </c>
      <c r="F322" s="27" t="str">
        <f aca="false">IF(OR(C322="",D322=""),"",IFERROR(D322*INDEX(Materiais!$F$5:$F$204,MATCH(C322,Materiais!$B$5:$B$204,0))/INDEX(Materiais!$E$5:$E$204,MATCH(C322,Materiais!$B$5:$B$204,0)),"Cadastre em Materiais"))</f>
        <v/>
      </c>
      <c r="G322" s="9"/>
    </row>
    <row r="323" customFormat="false" ht="21" hidden="false" customHeight="true" outlineLevel="0" collapsed="false">
      <c r="B323" s="9"/>
      <c r="C323" s="9"/>
      <c r="D323" s="42"/>
      <c r="E323" s="39" t="str">
        <f aca="false">IF(C323="","",IFERROR(INDEX(Materiais!$D$5:$D$204,MATCH(C323,Materiais!$B$5:$B$204,0)),"?"))</f>
        <v/>
      </c>
      <c r="F323" s="27" t="str">
        <f aca="false">IF(OR(C323="",D323=""),"",IFERROR(D323*INDEX(Materiais!$F$5:$F$204,MATCH(C323,Materiais!$B$5:$B$204,0))/INDEX(Materiais!$E$5:$E$204,MATCH(C323,Materiais!$B$5:$B$204,0)),"Cadastre em Materiais"))</f>
        <v/>
      </c>
      <c r="G323" s="9"/>
    </row>
    <row r="324" customFormat="false" ht="21" hidden="false" customHeight="true" outlineLevel="0" collapsed="false">
      <c r="B324" s="9"/>
      <c r="C324" s="9"/>
      <c r="D324" s="42"/>
      <c r="E324" s="39" t="str">
        <f aca="false">IF(C324="","",IFERROR(INDEX(Materiais!$D$5:$D$204,MATCH(C324,Materiais!$B$5:$B$204,0)),"?"))</f>
        <v/>
      </c>
      <c r="F324" s="27" t="str">
        <f aca="false">IF(OR(C324="",D324=""),"",IFERROR(D324*INDEX(Materiais!$F$5:$F$204,MATCH(C324,Materiais!$B$5:$B$204,0))/INDEX(Materiais!$E$5:$E$204,MATCH(C324,Materiais!$B$5:$B$204,0)),"Cadastre em Materiais"))</f>
        <v/>
      </c>
      <c r="G324" s="9"/>
    </row>
    <row r="325" customFormat="false" ht="21" hidden="false" customHeight="true" outlineLevel="0" collapsed="false">
      <c r="B325" s="9"/>
      <c r="C325" s="9"/>
      <c r="D325" s="42"/>
      <c r="E325" s="39" t="str">
        <f aca="false">IF(C325="","",IFERROR(INDEX(Materiais!$D$5:$D$204,MATCH(C325,Materiais!$B$5:$B$204,0)),"?"))</f>
        <v/>
      </c>
      <c r="F325" s="27" t="str">
        <f aca="false">IF(OR(C325="",D325=""),"",IFERROR(D325*INDEX(Materiais!$F$5:$F$204,MATCH(C325,Materiais!$B$5:$B$204,0))/INDEX(Materiais!$E$5:$E$204,MATCH(C325,Materiais!$B$5:$B$204,0)),"Cadastre em Materiais"))</f>
        <v/>
      </c>
      <c r="G325" s="9"/>
    </row>
    <row r="326" customFormat="false" ht="21" hidden="false" customHeight="true" outlineLevel="0" collapsed="false">
      <c r="B326" s="9"/>
      <c r="C326" s="9"/>
      <c r="D326" s="42"/>
      <c r="E326" s="39" t="str">
        <f aca="false">IF(C326="","",IFERROR(INDEX(Materiais!$D$5:$D$204,MATCH(C326,Materiais!$B$5:$B$204,0)),"?"))</f>
        <v/>
      </c>
      <c r="F326" s="27" t="str">
        <f aca="false">IF(OR(C326="",D326=""),"",IFERROR(D326*INDEX(Materiais!$F$5:$F$204,MATCH(C326,Materiais!$B$5:$B$204,0))/INDEX(Materiais!$E$5:$E$204,MATCH(C326,Materiais!$B$5:$B$204,0)),"Cadastre em Materiais"))</f>
        <v/>
      </c>
      <c r="G326" s="9"/>
    </row>
    <row r="327" customFormat="false" ht="21" hidden="false" customHeight="true" outlineLevel="0" collapsed="false">
      <c r="B327" s="9"/>
      <c r="C327" s="9"/>
      <c r="D327" s="42"/>
      <c r="E327" s="39" t="str">
        <f aca="false">IF(C327="","",IFERROR(INDEX(Materiais!$D$5:$D$204,MATCH(C327,Materiais!$B$5:$B$204,0)),"?"))</f>
        <v/>
      </c>
      <c r="F327" s="27" t="str">
        <f aca="false">IF(OR(C327="",D327=""),"",IFERROR(D327*INDEX(Materiais!$F$5:$F$204,MATCH(C327,Materiais!$B$5:$B$204,0))/INDEX(Materiais!$E$5:$E$204,MATCH(C327,Materiais!$B$5:$B$204,0)),"Cadastre em Materiais"))</f>
        <v/>
      </c>
      <c r="G327" s="9"/>
    </row>
    <row r="328" customFormat="false" ht="21" hidden="false" customHeight="true" outlineLevel="0" collapsed="false">
      <c r="B328" s="9"/>
      <c r="C328" s="9"/>
      <c r="D328" s="42"/>
      <c r="E328" s="39" t="str">
        <f aca="false">IF(C328="","",IFERROR(INDEX(Materiais!$D$5:$D$204,MATCH(C328,Materiais!$B$5:$B$204,0)),"?"))</f>
        <v/>
      </c>
      <c r="F328" s="27" t="str">
        <f aca="false">IF(OR(C328="",D328=""),"",IFERROR(D328*INDEX(Materiais!$F$5:$F$204,MATCH(C328,Materiais!$B$5:$B$204,0))/INDEX(Materiais!$E$5:$E$204,MATCH(C328,Materiais!$B$5:$B$204,0)),"Cadastre em Materiais"))</f>
        <v/>
      </c>
      <c r="G328" s="9"/>
    </row>
    <row r="329" customFormat="false" ht="21" hidden="false" customHeight="true" outlineLevel="0" collapsed="false">
      <c r="B329" s="9"/>
      <c r="C329" s="9"/>
      <c r="D329" s="42"/>
      <c r="E329" s="39" t="str">
        <f aca="false">IF(C329="","",IFERROR(INDEX(Materiais!$D$5:$D$204,MATCH(C329,Materiais!$B$5:$B$204,0)),"?"))</f>
        <v/>
      </c>
      <c r="F329" s="27" t="str">
        <f aca="false">IF(OR(C329="",D329=""),"",IFERROR(D329*INDEX(Materiais!$F$5:$F$204,MATCH(C329,Materiais!$B$5:$B$204,0))/INDEX(Materiais!$E$5:$E$204,MATCH(C329,Materiais!$B$5:$B$204,0)),"Cadastre em Materiais"))</f>
        <v/>
      </c>
      <c r="G329" s="9"/>
    </row>
    <row r="330" customFormat="false" ht="21" hidden="false" customHeight="true" outlineLevel="0" collapsed="false">
      <c r="B330" s="9"/>
      <c r="C330" s="9"/>
      <c r="D330" s="42"/>
      <c r="E330" s="39" t="str">
        <f aca="false">IF(C330="","",IFERROR(INDEX(Materiais!$D$5:$D$204,MATCH(C330,Materiais!$B$5:$B$204,0)),"?"))</f>
        <v/>
      </c>
      <c r="F330" s="27" t="str">
        <f aca="false">IF(OR(C330="",D330=""),"",IFERROR(D330*INDEX(Materiais!$F$5:$F$204,MATCH(C330,Materiais!$B$5:$B$204,0))/INDEX(Materiais!$E$5:$E$204,MATCH(C330,Materiais!$B$5:$B$204,0)),"Cadastre em Materiais"))</f>
        <v/>
      </c>
      <c r="G330" s="9"/>
    </row>
    <row r="331" customFormat="false" ht="21" hidden="false" customHeight="true" outlineLevel="0" collapsed="false">
      <c r="B331" s="9"/>
      <c r="C331" s="9"/>
      <c r="D331" s="42"/>
      <c r="E331" s="39" t="str">
        <f aca="false">IF(C331="","",IFERROR(INDEX(Materiais!$D$5:$D$204,MATCH(C331,Materiais!$B$5:$B$204,0)),"?"))</f>
        <v/>
      </c>
      <c r="F331" s="27" t="str">
        <f aca="false">IF(OR(C331="",D331=""),"",IFERROR(D331*INDEX(Materiais!$F$5:$F$204,MATCH(C331,Materiais!$B$5:$B$204,0))/INDEX(Materiais!$E$5:$E$204,MATCH(C331,Materiais!$B$5:$B$204,0)),"Cadastre em Materiais"))</f>
        <v/>
      </c>
      <c r="G331" s="9"/>
    </row>
    <row r="332" customFormat="false" ht="21" hidden="false" customHeight="true" outlineLevel="0" collapsed="false">
      <c r="B332" s="9"/>
      <c r="C332" s="9"/>
      <c r="D332" s="42"/>
      <c r="E332" s="39" t="str">
        <f aca="false">IF(C332="","",IFERROR(INDEX(Materiais!$D$5:$D$204,MATCH(C332,Materiais!$B$5:$B$204,0)),"?"))</f>
        <v/>
      </c>
      <c r="F332" s="27" t="str">
        <f aca="false">IF(OR(C332="",D332=""),"",IFERROR(D332*INDEX(Materiais!$F$5:$F$204,MATCH(C332,Materiais!$B$5:$B$204,0))/INDEX(Materiais!$E$5:$E$204,MATCH(C332,Materiais!$B$5:$B$204,0)),"Cadastre em Materiais"))</f>
        <v/>
      </c>
      <c r="G332" s="9"/>
    </row>
    <row r="333" customFormat="false" ht="21" hidden="false" customHeight="true" outlineLevel="0" collapsed="false">
      <c r="B333" s="9"/>
      <c r="C333" s="9"/>
      <c r="D333" s="42"/>
      <c r="E333" s="39" t="str">
        <f aca="false">IF(C333="","",IFERROR(INDEX(Materiais!$D$5:$D$204,MATCH(C333,Materiais!$B$5:$B$204,0)),"?"))</f>
        <v/>
      </c>
      <c r="F333" s="27" t="str">
        <f aca="false">IF(OR(C333="",D333=""),"",IFERROR(D333*INDEX(Materiais!$F$5:$F$204,MATCH(C333,Materiais!$B$5:$B$204,0))/INDEX(Materiais!$E$5:$E$204,MATCH(C333,Materiais!$B$5:$B$204,0)),"Cadastre em Materiais"))</f>
        <v/>
      </c>
      <c r="G333" s="9"/>
    </row>
    <row r="334" customFormat="false" ht="21" hidden="false" customHeight="true" outlineLevel="0" collapsed="false">
      <c r="B334" s="9"/>
      <c r="C334" s="9"/>
      <c r="D334" s="42"/>
      <c r="E334" s="39" t="str">
        <f aca="false">IF(C334="","",IFERROR(INDEX(Materiais!$D$5:$D$204,MATCH(C334,Materiais!$B$5:$B$204,0)),"?"))</f>
        <v/>
      </c>
      <c r="F334" s="27" t="str">
        <f aca="false">IF(OR(C334="",D334=""),"",IFERROR(D334*INDEX(Materiais!$F$5:$F$204,MATCH(C334,Materiais!$B$5:$B$204,0))/INDEX(Materiais!$E$5:$E$204,MATCH(C334,Materiais!$B$5:$B$204,0)),"Cadastre em Materiais"))</f>
        <v/>
      </c>
      <c r="G334" s="9"/>
    </row>
    <row r="335" customFormat="false" ht="21" hidden="false" customHeight="true" outlineLevel="0" collapsed="false">
      <c r="B335" s="9"/>
      <c r="C335" s="9"/>
      <c r="D335" s="42"/>
      <c r="E335" s="39" t="str">
        <f aca="false">IF(C335="","",IFERROR(INDEX(Materiais!$D$5:$D$204,MATCH(C335,Materiais!$B$5:$B$204,0)),"?"))</f>
        <v/>
      </c>
      <c r="F335" s="27" t="str">
        <f aca="false">IF(OR(C335="",D335=""),"",IFERROR(D335*INDEX(Materiais!$F$5:$F$204,MATCH(C335,Materiais!$B$5:$B$204,0))/INDEX(Materiais!$E$5:$E$204,MATCH(C335,Materiais!$B$5:$B$204,0)),"Cadastre em Materiais"))</f>
        <v/>
      </c>
      <c r="G335" s="9"/>
    </row>
    <row r="336" customFormat="false" ht="21" hidden="false" customHeight="true" outlineLevel="0" collapsed="false">
      <c r="B336" s="9"/>
      <c r="C336" s="9"/>
      <c r="D336" s="42"/>
      <c r="E336" s="39" t="str">
        <f aca="false">IF(C336="","",IFERROR(INDEX(Materiais!$D$5:$D$204,MATCH(C336,Materiais!$B$5:$B$204,0)),"?"))</f>
        <v/>
      </c>
      <c r="F336" s="27" t="str">
        <f aca="false">IF(OR(C336="",D336=""),"",IFERROR(D336*INDEX(Materiais!$F$5:$F$204,MATCH(C336,Materiais!$B$5:$B$204,0))/INDEX(Materiais!$E$5:$E$204,MATCH(C336,Materiais!$B$5:$B$204,0)),"Cadastre em Materiais"))</f>
        <v/>
      </c>
      <c r="G336" s="9"/>
    </row>
    <row r="337" customFormat="false" ht="21" hidden="false" customHeight="true" outlineLevel="0" collapsed="false">
      <c r="B337" s="9"/>
      <c r="C337" s="9"/>
      <c r="D337" s="42"/>
      <c r="E337" s="39" t="str">
        <f aca="false">IF(C337="","",IFERROR(INDEX(Materiais!$D$5:$D$204,MATCH(C337,Materiais!$B$5:$B$204,0)),"?"))</f>
        <v/>
      </c>
      <c r="F337" s="27" t="str">
        <f aca="false">IF(OR(C337="",D337=""),"",IFERROR(D337*INDEX(Materiais!$F$5:$F$204,MATCH(C337,Materiais!$B$5:$B$204,0))/INDEX(Materiais!$E$5:$E$204,MATCH(C337,Materiais!$B$5:$B$204,0)),"Cadastre em Materiais"))</f>
        <v/>
      </c>
      <c r="G337" s="9"/>
    </row>
    <row r="338" customFormat="false" ht="21" hidden="false" customHeight="true" outlineLevel="0" collapsed="false">
      <c r="B338" s="9"/>
      <c r="C338" s="9"/>
      <c r="D338" s="42"/>
      <c r="E338" s="39" t="str">
        <f aca="false">IF(C338="","",IFERROR(INDEX(Materiais!$D$5:$D$204,MATCH(C338,Materiais!$B$5:$B$204,0)),"?"))</f>
        <v/>
      </c>
      <c r="F338" s="27" t="str">
        <f aca="false">IF(OR(C338="",D338=""),"",IFERROR(D338*INDEX(Materiais!$F$5:$F$204,MATCH(C338,Materiais!$B$5:$B$204,0))/INDEX(Materiais!$E$5:$E$204,MATCH(C338,Materiais!$B$5:$B$204,0)),"Cadastre em Materiais"))</f>
        <v/>
      </c>
      <c r="G338" s="9"/>
    </row>
    <row r="339" customFormat="false" ht="21" hidden="false" customHeight="true" outlineLevel="0" collapsed="false">
      <c r="B339" s="9"/>
      <c r="C339" s="9"/>
      <c r="D339" s="42"/>
      <c r="E339" s="39" t="str">
        <f aca="false">IF(C339="","",IFERROR(INDEX(Materiais!$D$5:$D$204,MATCH(C339,Materiais!$B$5:$B$204,0)),"?"))</f>
        <v/>
      </c>
      <c r="F339" s="27" t="str">
        <f aca="false">IF(OR(C339="",D339=""),"",IFERROR(D339*INDEX(Materiais!$F$5:$F$204,MATCH(C339,Materiais!$B$5:$B$204,0))/INDEX(Materiais!$E$5:$E$204,MATCH(C339,Materiais!$B$5:$B$204,0)),"Cadastre em Materiais"))</f>
        <v/>
      </c>
      <c r="G339" s="9"/>
    </row>
    <row r="340" customFormat="false" ht="21" hidden="false" customHeight="true" outlineLevel="0" collapsed="false">
      <c r="B340" s="9"/>
      <c r="C340" s="9"/>
      <c r="D340" s="42"/>
      <c r="E340" s="39" t="str">
        <f aca="false">IF(C340="","",IFERROR(INDEX(Materiais!$D$5:$D$204,MATCH(C340,Materiais!$B$5:$B$204,0)),"?"))</f>
        <v/>
      </c>
      <c r="F340" s="27" t="str">
        <f aca="false">IF(OR(C340="",D340=""),"",IFERROR(D340*INDEX(Materiais!$F$5:$F$204,MATCH(C340,Materiais!$B$5:$B$204,0))/INDEX(Materiais!$E$5:$E$204,MATCH(C340,Materiais!$B$5:$B$204,0)),"Cadastre em Materiais"))</f>
        <v/>
      </c>
      <c r="G340" s="9"/>
    </row>
    <row r="341" customFormat="false" ht="21" hidden="false" customHeight="true" outlineLevel="0" collapsed="false">
      <c r="B341" s="9"/>
      <c r="C341" s="9"/>
      <c r="D341" s="42"/>
      <c r="E341" s="39" t="str">
        <f aca="false">IF(C341="","",IFERROR(INDEX(Materiais!$D$5:$D$204,MATCH(C341,Materiais!$B$5:$B$204,0)),"?"))</f>
        <v/>
      </c>
      <c r="F341" s="27" t="str">
        <f aca="false">IF(OR(C341="",D341=""),"",IFERROR(D341*INDEX(Materiais!$F$5:$F$204,MATCH(C341,Materiais!$B$5:$B$204,0))/INDEX(Materiais!$E$5:$E$204,MATCH(C341,Materiais!$B$5:$B$204,0)),"Cadastre em Materiais"))</f>
        <v/>
      </c>
      <c r="G341" s="9"/>
    </row>
    <row r="342" customFormat="false" ht="21" hidden="false" customHeight="true" outlineLevel="0" collapsed="false">
      <c r="B342" s="9"/>
      <c r="C342" s="9"/>
      <c r="D342" s="42"/>
      <c r="E342" s="39" t="str">
        <f aca="false">IF(C342="","",IFERROR(INDEX(Materiais!$D$5:$D$204,MATCH(C342,Materiais!$B$5:$B$204,0)),"?"))</f>
        <v/>
      </c>
      <c r="F342" s="27" t="str">
        <f aca="false">IF(OR(C342="",D342=""),"",IFERROR(D342*INDEX(Materiais!$F$5:$F$204,MATCH(C342,Materiais!$B$5:$B$204,0))/INDEX(Materiais!$E$5:$E$204,MATCH(C342,Materiais!$B$5:$B$204,0)),"Cadastre em Materiais"))</f>
        <v/>
      </c>
      <c r="G342" s="9"/>
    </row>
    <row r="343" customFormat="false" ht="21" hidden="false" customHeight="true" outlineLevel="0" collapsed="false">
      <c r="B343" s="9"/>
      <c r="C343" s="9"/>
      <c r="D343" s="42"/>
      <c r="E343" s="39" t="str">
        <f aca="false">IF(C343="","",IFERROR(INDEX(Materiais!$D$5:$D$204,MATCH(C343,Materiais!$B$5:$B$204,0)),"?"))</f>
        <v/>
      </c>
      <c r="F343" s="27" t="str">
        <f aca="false">IF(OR(C343="",D343=""),"",IFERROR(D343*INDEX(Materiais!$F$5:$F$204,MATCH(C343,Materiais!$B$5:$B$204,0))/INDEX(Materiais!$E$5:$E$204,MATCH(C343,Materiais!$B$5:$B$204,0)),"Cadastre em Materiais"))</f>
        <v/>
      </c>
      <c r="G343" s="9"/>
    </row>
    <row r="344" customFormat="false" ht="21" hidden="false" customHeight="true" outlineLevel="0" collapsed="false">
      <c r="B344" s="9"/>
      <c r="C344" s="9"/>
      <c r="D344" s="42"/>
      <c r="E344" s="39" t="str">
        <f aca="false">IF(C344="","",IFERROR(INDEX(Materiais!$D$5:$D$204,MATCH(C344,Materiais!$B$5:$B$204,0)),"?"))</f>
        <v/>
      </c>
      <c r="F344" s="27" t="str">
        <f aca="false">IF(OR(C344="",D344=""),"",IFERROR(D344*INDEX(Materiais!$F$5:$F$204,MATCH(C344,Materiais!$B$5:$B$204,0))/INDEX(Materiais!$E$5:$E$204,MATCH(C344,Materiais!$B$5:$B$204,0)),"Cadastre em Materiais"))</f>
        <v/>
      </c>
      <c r="G344" s="9"/>
    </row>
    <row r="345" customFormat="false" ht="21" hidden="false" customHeight="true" outlineLevel="0" collapsed="false">
      <c r="B345" s="9"/>
      <c r="C345" s="9"/>
      <c r="D345" s="42"/>
      <c r="E345" s="39" t="str">
        <f aca="false">IF(C345="","",IFERROR(INDEX(Materiais!$D$5:$D$204,MATCH(C345,Materiais!$B$5:$B$204,0)),"?"))</f>
        <v/>
      </c>
      <c r="F345" s="27" t="str">
        <f aca="false">IF(OR(C345="",D345=""),"",IFERROR(D345*INDEX(Materiais!$F$5:$F$204,MATCH(C345,Materiais!$B$5:$B$204,0))/INDEX(Materiais!$E$5:$E$204,MATCH(C345,Materiais!$B$5:$B$204,0)),"Cadastre em Materiais"))</f>
        <v/>
      </c>
      <c r="G345" s="9"/>
    </row>
    <row r="346" customFormat="false" ht="21" hidden="false" customHeight="true" outlineLevel="0" collapsed="false">
      <c r="B346" s="9"/>
      <c r="C346" s="9"/>
      <c r="D346" s="42"/>
      <c r="E346" s="39" t="str">
        <f aca="false">IF(C346="","",IFERROR(INDEX(Materiais!$D$5:$D$204,MATCH(C346,Materiais!$B$5:$B$204,0)),"?"))</f>
        <v/>
      </c>
      <c r="F346" s="27" t="str">
        <f aca="false">IF(OR(C346="",D346=""),"",IFERROR(D346*INDEX(Materiais!$F$5:$F$204,MATCH(C346,Materiais!$B$5:$B$204,0))/INDEX(Materiais!$E$5:$E$204,MATCH(C346,Materiais!$B$5:$B$204,0)),"Cadastre em Materiais"))</f>
        <v/>
      </c>
      <c r="G346" s="9"/>
    </row>
    <row r="347" customFormat="false" ht="21" hidden="false" customHeight="true" outlineLevel="0" collapsed="false">
      <c r="B347" s="9"/>
      <c r="C347" s="9"/>
      <c r="D347" s="42"/>
      <c r="E347" s="39" t="str">
        <f aca="false">IF(C347="","",IFERROR(INDEX(Materiais!$D$5:$D$204,MATCH(C347,Materiais!$B$5:$B$204,0)),"?"))</f>
        <v/>
      </c>
      <c r="F347" s="27" t="str">
        <f aca="false">IF(OR(C347="",D347=""),"",IFERROR(D347*INDEX(Materiais!$F$5:$F$204,MATCH(C347,Materiais!$B$5:$B$204,0))/INDEX(Materiais!$E$5:$E$204,MATCH(C347,Materiais!$B$5:$B$204,0)),"Cadastre em Materiais"))</f>
        <v/>
      </c>
      <c r="G347" s="9"/>
    </row>
    <row r="348" customFormat="false" ht="21" hidden="false" customHeight="true" outlineLevel="0" collapsed="false">
      <c r="B348" s="9"/>
      <c r="C348" s="9"/>
      <c r="D348" s="42"/>
      <c r="E348" s="39" t="str">
        <f aca="false">IF(C348="","",IFERROR(INDEX(Materiais!$D$5:$D$204,MATCH(C348,Materiais!$B$5:$B$204,0)),"?"))</f>
        <v/>
      </c>
      <c r="F348" s="27" t="str">
        <f aca="false">IF(OR(C348="",D348=""),"",IFERROR(D348*INDEX(Materiais!$F$5:$F$204,MATCH(C348,Materiais!$B$5:$B$204,0))/INDEX(Materiais!$E$5:$E$204,MATCH(C348,Materiais!$B$5:$B$204,0)),"Cadastre em Materiais"))</f>
        <v/>
      </c>
      <c r="G348" s="9"/>
    </row>
    <row r="349" customFormat="false" ht="21" hidden="false" customHeight="true" outlineLevel="0" collapsed="false">
      <c r="B349" s="9"/>
      <c r="C349" s="9"/>
      <c r="D349" s="42"/>
      <c r="E349" s="39" t="str">
        <f aca="false">IF(C349="","",IFERROR(INDEX(Materiais!$D$5:$D$204,MATCH(C349,Materiais!$B$5:$B$204,0)),"?"))</f>
        <v/>
      </c>
      <c r="F349" s="27" t="str">
        <f aca="false">IF(OR(C349="",D349=""),"",IFERROR(D349*INDEX(Materiais!$F$5:$F$204,MATCH(C349,Materiais!$B$5:$B$204,0))/INDEX(Materiais!$E$5:$E$204,MATCH(C349,Materiais!$B$5:$B$204,0)),"Cadastre em Materiais"))</f>
        <v/>
      </c>
      <c r="G349" s="9"/>
    </row>
    <row r="350" customFormat="false" ht="21" hidden="false" customHeight="true" outlineLevel="0" collapsed="false">
      <c r="B350" s="9"/>
      <c r="C350" s="9"/>
      <c r="D350" s="42"/>
      <c r="E350" s="39" t="str">
        <f aca="false">IF(C350="","",IFERROR(INDEX(Materiais!$D$5:$D$204,MATCH(C350,Materiais!$B$5:$B$204,0)),"?"))</f>
        <v/>
      </c>
      <c r="F350" s="27" t="str">
        <f aca="false">IF(OR(C350="",D350=""),"",IFERROR(D350*INDEX(Materiais!$F$5:$F$204,MATCH(C350,Materiais!$B$5:$B$204,0))/INDEX(Materiais!$E$5:$E$204,MATCH(C350,Materiais!$B$5:$B$204,0)),"Cadastre em Materiais"))</f>
        <v/>
      </c>
      <c r="G350" s="9"/>
    </row>
    <row r="351" customFormat="false" ht="21" hidden="false" customHeight="true" outlineLevel="0" collapsed="false">
      <c r="B351" s="9"/>
      <c r="C351" s="9"/>
      <c r="D351" s="42"/>
      <c r="E351" s="39" t="str">
        <f aca="false">IF(C351="","",IFERROR(INDEX(Materiais!$D$5:$D$204,MATCH(C351,Materiais!$B$5:$B$204,0)),"?"))</f>
        <v/>
      </c>
      <c r="F351" s="27" t="str">
        <f aca="false">IF(OR(C351="",D351=""),"",IFERROR(D351*INDEX(Materiais!$F$5:$F$204,MATCH(C351,Materiais!$B$5:$B$204,0))/INDEX(Materiais!$E$5:$E$204,MATCH(C351,Materiais!$B$5:$B$204,0)),"Cadastre em Materiais"))</f>
        <v/>
      </c>
      <c r="G351" s="9"/>
    </row>
    <row r="352" customFormat="false" ht="21" hidden="false" customHeight="true" outlineLevel="0" collapsed="false">
      <c r="B352" s="9"/>
      <c r="C352" s="9"/>
      <c r="D352" s="42"/>
      <c r="E352" s="39" t="str">
        <f aca="false">IF(C352="","",IFERROR(INDEX(Materiais!$D$5:$D$204,MATCH(C352,Materiais!$B$5:$B$204,0)),"?"))</f>
        <v/>
      </c>
      <c r="F352" s="27" t="str">
        <f aca="false">IF(OR(C352="",D352=""),"",IFERROR(D352*INDEX(Materiais!$F$5:$F$204,MATCH(C352,Materiais!$B$5:$B$204,0))/INDEX(Materiais!$E$5:$E$204,MATCH(C352,Materiais!$B$5:$B$204,0)),"Cadastre em Materiais"))</f>
        <v/>
      </c>
      <c r="G352" s="9"/>
    </row>
    <row r="353" customFormat="false" ht="21" hidden="false" customHeight="true" outlineLevel="0" collapsed="false">
      <c r="B353" s="9"/>
      <c r="C353" s="9"/>
      <c r="D353" s="42"/>
      <c r="E353" s="39" t="str">
        <f aca="false">IF(C353="","",IFERROR(INDEX(Materiais!$D$5:$D$204,MATCH(C353,Materiais!$B$5:$B$204,0)),"?"))</f>
        <v/>
      </c>
      <c r="F353" s="27" t="str">
        <f aca="false">IF(OR(C353="",D353=""),"",IFERROR(D353*INDEX(Materiais!$F$5:$F$204,MATCH(C353,Materiais!$B$5:$B$204,0))/INDEX(Materiais!$E$5:$E$204,MATCH(C353,Materiais!$B$5:$B$204,0)),"Cadastre em Materiais"))</f>
        <v/>
      </c>
      <c r="G353" s="9"/>
    </row>
    <row r="354" customFormat="false" ht="21" hidden="false" customHeight="true" outlineLevel="0" collapsed="false">
      <c r="B354" s="9"/>
      <c r="C354" s="9"/>
      <c r="D354" s="42"/>
      <c r="E354" s="39" t="str">
        <f aca="false">IF(C354="","",IFERROR(INDEX(Materiais!$D$5:$D$204,MATCH(C354,Materiais!$B$5:$B$204,0)),"?"))</f>
        <v/>
      </c>
      <c r="F354" s="27" t="str">
        <f aca="false">IF(OR(C354="",D354=""),"",IFERROR(D354*INDEX(Materiais!$F$5:$F$204,MATCH(C354,Materiais!$B$5:$B$204,0))/INDEX(Materiais!$E$5:$E$204,MATCH(C354,Materiais!$B$5:$B$204,0)),"Cadastre em Materiais"))</f>
        <v/>
      </c>
      <c r="G354" s="9"/>
    </row>
    <row r="355" customFormat="false" ht="21" hidden="false" customHeight="true" outlineLevel="0" collapsed="false">
      <c r="B355" s="9"/>
      <c r="C355" s="9"/>
      <c r="D355" s="42"/>
      <c r="E355" s="39" t="str">
        <f aca="false">IF(C355="","",IFERROR(INDEX(Materiais!$D$5:$D$204,MATCH(C355,Materiais!$B$5:$B$204,0)),"?"))</f>
        <v/>
      </c>
      <c r="F355" s="27" t="str">
        <f aca="false">IF(OR(C355="",D355=""),"",IFERROR(D355*INDEX(Materiais!$F$5:$F$204,MATCH(C355,Materiais!$B$5:$B$204,0))/INDEX(Materiais!$E$5:$E$204,MATCH(C355,Materiais!$B$5:$B$204,0)),"Cadastre em Materiais"))</f>
        <v/>
      </c>
      <c r="G355" s="9"/>
    </row>
    <row r="356" customFormat="false" ht="21" hidden="false" customHeight="true" outlineLevel="0" collapsed="false">
      <c r="B356" s="9"/>
      <c r="C356" s="9"/>
      <c r="D356" s="42"/>
      <c r="E356" s="39" t="str">
        <f aca="false">IF(C356="","",IFERROR(INDEX(Materiais!$D$5:$D$204,MATCH(C356,Materiais!$B$5:$B$204,0)),"?"))</f>
        <v/>
      </c>
      <c r="F356" s="27" t="str">
        <f aca="false">IF(OR(C356="",D356=""),"",IFERROR(D356*INDEX(Materiais!$F$5:$F$204,MATCH(C356,Materiais!$B$5:$B$204,0))/INDEX(Materiais!$E$5:$E$204,MATCH(C356,Materiais!$B$5:$B$204,0)),"Cadastre em Materiais"))</f>
        <v/>
      </c>
      <c r="G356" s="9"/>
    </row>
    <row r="357" customFormat="false" ht="21" hidden="false" customHeight="true" outlineLevel="0" collapsed="false">
      <c r="B357" s="9"/>
      <c r="C357" s="9"/>
      <c r="D357" s="42"/>
      <c r="E357" s="39" t="str">
        <f aca="false">IF(C357="","",IFERROR(INDEX(Materiais!$D$5:$D$204,MATCH(C357,Materiais!$B$5:$B$204,0)),"?"))</f>
        <v/>
      </c>
      <c r="F357" s="27" t="str">
        <f aca="false">IF(OR(C357="",D357=""),"",IFERROR(D357*INDEX(Materiais!$F$5:$F$204,MATCH(C357,Materiais!$B$5:$B$204,0))/INDEX(Materiais!$E$5:$E$204,MATCH(C357,Materiais!$B$5:$B$204,0)),"Cadastre em Materiais"))</f>
        <v/>
      </c>
      <c r="G357" s="9"/>
    </row>
    <row r="358" customFormat="false" ht="21" hidden="false" customHeight="true" outlineLevel="0" collapsed="false">
      <c r="B358" s="9"/>
      <c r="C358" s="9"/>
      <c r="D358" s="42"/>
      <c r="E358" s="39" t="str">
        <f aca="false">IF(C358="","",IFERROR(INDEX(Materiais!$D$5:$D$204,MATCH(C358,Materiais!$B$5:$B$204,0)),"?"))</f>
        <v/>
      </c>
      <c r="F358" s="27" t="str">
        <f aca="false">IF(OR(C358="",D358=""),"",IFERROR(D358*INDEX(Materiais!$F$5:$F$204,MATCH(C358,Materiais!$B$5:$B$204,0))/INDEX(Materiais!$E$5:$E$204,MATCH(C358,Materiais!$B$5:$B$204,0)),"Cadastre em Materiais"))</f>
        <v/>
      </c>
      <c r="G358" s="9"/>
    </row>
    <row r="359" customFormat="false" ht="21" hidden="false" customHeight="true" outlineLevel="0" collapsed="false">
      <c r="B359" s="9"/>
      <c r="C359" s="9"/>
      <c r="D359" s="42"/>
      <c r="E359" s="39" t="str">
        <f aca="false">IF(C359="","",IFERROR(INDEX(Materiais!$D$5:$D$204,MATCH(C359,Materiais!$B$5:$B$204,0)),"?"))</f>
        <v/>
      </c>
      <c r="F359" s="27" t="str">
        <f aca="false">IF(OR(C359="",D359=""),"",IFERROR(D359*INDEX(Materiais!$F$5:$F$204,MATCH(C359,Materiais!$B$5:$B$204,0))/INDEX(Materiais!$E$5:$E$204,MATCH(C359,Materiais!$B$5:$B$204,0)),"Cadastre em Materiais"))</f>
        <v/>
      </c>
      <c r="G359" s="9"/>
    </row>
    <row r="360" customFormat="false" ht="21" hidden="false" customHeight="true" outlineLevel="0" collapsed="false">
      <c r="B360" s="9"/>
      <c r="C360" s="9"/>
      <c r="D360" s="42"/>
      <c r="E360" s="39" t="str">
        <f aca="false">IF(C360="","",IFERROR(INDEX(Materiais!$D$5:$D$204,MATCH(C360,Materiais!$B$5:$B$204,0)),"?"))</f>
        <v/>
      </c>
      <c r="F360" s="27" t="str">
        <f aca="false">IF(OR(C360="",D360=""),"",IFERROR(D360*INDEX(Materiais!$F$5:$F$204,MATCH(C360,Materiais!$B$5:$B$204,0))/INDEX(Materiais!$E$5:$E$204,MATCH(C360,Materiais!$B$5:$B$204,0)),"Cadastre em Materiais"))</f>
        <v/>
      </c>
      <c r="G360" s="9"/>
    </row>
    <row r="361" customFormat="false" ht="21" hidden="false" customHeight="true" outlineLevel="0" collapsed="false">
      <c r="B361" s="9"/>
      <c r="C361" s="9"/>
      <c r="D361" s="42"/>
      <c r="E361" s="39" t="str">
        <f aca="false">IF(C361="","",IFERROR(INDEX(Materiais!$D$5:$D$204,MATCH(C361,Materiais!$B$5:$B$204,0)),"?"))</f>
        <v/>
      </c>
      <c r="F361" s="27" t="str">
        <f aca="false">IF(OR(C361="",D361=""),"",IFERROR(D361*INDEX(Materiais!$F$5:$F$204,MATCH(C361,Materiais!$B$5:$B$204,0))/INDEX(Materiais!$E$5:$E$204,MATCH(C361,Materiais!$B$5:$B$204,0)),"Cadastre em Materiais"))</f>
        <v/>
      </c>
      <c r="G361" s="9"/>
    </row>
    <row r="362" customFormat="false" ht="21" hidden="false" customHeight="true" outlineLevel="0" collapsed="false">
      <c r="B362" s="9"/>
      <c r="C362" s="9"/>
      <c r="D362" s="42"/>
      <c r="E362" s="39" t="str">
        <f aca="false">IF(C362="","",IFERROR(INDEX(Materiais!$D$5:$D$204,MATCH(C362,Materiais!$B$5:$B$204,0)),"?"))</f>
        <v/>
      </c>
      <c r="F362" s="27" t="str">
        <f aca="false">IF(OR(C362="",D362=""),"",IFERROR(D362*INDEX(Materiais!$F$5:$F$204,MATCH(C362,Materiais!$B$5:$B$204,0))/INDEX(Materiais!$E$5:$E$204,MATCH(C362,Materiais!$B$5:$B$204,0)),"Cadastre em Materiais"))</f>
        <v/>
      </c>
      <c r="G362" s="9"/>
    </row>
    <row r="363" customFormat="false" ht="21" hidden="false" customHeight="true" outlineLevel="0" collapsed="false">
      <c r="B363" s="9"/>
      <c r="C363" s="9"/>
      <c r="D363" s="42"/>
      <c r="E363" s="39" t="str">
        <f aca="false">IF(C363="","",IFERROR(INDEX(Materiais!$D$5:$D$204,MATCH(C363,Materiais!$B$5:$B$204,0)),"?"))</f>
        <v/>
      </c>
      <c r="F363" s="27" t="str">
        <f aca="false">IF(OR(C363="",D363=""),"",IFERROR(D363*INDEX(Materiais!$F$5:$F$204,MATCH(C363,Materiais!$B$5:$B$204,0))/INDEX(Materiais!$E$5:$E$204,MATCH(C363,Materiais!$B$5:$B$204,0)),"Cadastre em Materiais"))</f>
        <v/>
      </c>
      <c r="G363" s="9"/>
    </row>
    <row r="364" customFormat="false" ht="21" hidden="false" customHeight="true" outlineLevel="0" collapsed="false">
      <c r="B364" s="9"/>
      <c r="C364" s="9"/>
      <c r="D364" s="42"/>
      <c r="E364" s="39" t="str">
        <f aca="false">IF(C364="","",IFERROR(INDEX(Materiais!$D$5:$D$204,MATCH(C364,Materiais!$B$5:$B$204,0)),"?"))</f>
        <v/>
      </c>
      <c r="F364" s="27" t="str">
        <f aca="false">IF(OR(C364="",D364=""),"",IFERROR(D364*INDEX(Materiais!$F$5:$F$204,MATCH(C364,Materiais!$B$5:$B$204,0))/INDEX(Materiais!$E$5:$E$204,MATCH(C364,Materiais!$B$5:$B$204,0)),"Cadastre em Materiais"))</f>
        <v/>
      </c>
      <c r="G364" s="9"/>
    </row>
    <row r="365" customFormat="false" ht="21" hidden="false" customHeight="true" outlineLevel="0" collapsed="false">
      <c r="B365" s="9"/>
      <c r="C365" s="9"/>
      <c r="D365" s="42"/>
      <c r="E365" s="39" t="str">
        <f aca="false">IF(C365="","",IFERROR(INDEX(Materiais!$D$5:$D$204,MATCH(C365,Materiais!$B$5:$B$204,0)),"?"))</f>
        <v/>
      </c>
      <c r="F365" s="27" t="str">
        <f aca="false">IF(OR(C365="",D365=""),"",IFERROR(D365*INDEX(Materiais!$F$5:$F$204,MATCH(C365,Materiais!$B$5:$B$204,0))/INDEX(Materiais!$E$5:$E$204,MATCH(C365,Materiais!$B$5:$B$204,0)),"Cadastre em Materiais"))</f>
        <v/>
      </c>
      <c r="G365" s="9"/>
    </row>
    <row r="366" customFormat="false" ht="21" hidden="false" customHeight="true" outlineLevel="0" collapsed="false">
      <c r="B366" s="9"/>
      <c r="C366" s="9"/>
      <c r="D366" s="42"/>
      <c r="E366" s="39" t="str">
        <f aca="false">IF(C366="","",IFERROR(INDEX(Materiais!$D$5:$D$204,MATCH(C366,Materiais!$B$5:$B$204,0)),"?"))</f>
        <v/>
      </c>
      <c r="F366" s="27" t="str">
        <f aca="false">IF(OR(C366="",D366=""),"",IFERROR(D366*INDEX(Materiais!$F$5:$F$204,MATCH(C366,Materiais!$B$5:$B$204,0))/INDEX(Materiais!$E$5:$E$204,MATCH(C366,Materiais!$B$5:$B$204,0)),"Cadastre em Materiais"))</f>
        <v/>
      </c>
      <c r="G366" s="9"/>
    </row>
    <row r="367" customFormat="false" ht="21" hidden="false" customHeight="true" outlineLevel="0" collapsed="false">
      <c r="B367" s="9"/>
      <c r="C367" s="9"/>
      <c r="D367" s="42"/>
      <c r="E367" s="39" t="str">
        <f aca="false">IF(C367="","",IFERROR(INDEX(Materiais!$D$5:$D$204,MATCH(C367,Materiais!$B$5:$B$204,0)),"?"))</f>
        <v/>
      </c>
      <c r="F367" s="27" t="str">
        <f aca="false">IF(OR(C367="",D367=""),"",IFERROR(D367*INDEX(Materiais!$F$5:$F$204,MATCH(C367,Materiais!$B$5:$B$204,0))/INDEX(Materiais!$E$5:$E$204,MATCH(C367,Materiais!$B$5:$B$204,0)),"Cadastre em Materiais"))</f>
        <v/>
      </c>
      <c r="G367" s="9"/>
    </row>
    <row r="368" customFormat="false" ht="21" hidden="false" customHeight="true" outlineLevel="0" collapsed="false">
      <c r="B368" s="9"/>
      <c r="C368" s="9"/>
      <c r="D368" s="42"/>
      <c r="E368" s="39" t="str">
        <f aca="false">IF(C368="","",IFERROR(INDEX(Materiais!$D$5:$D$204,MATCH(C368,Materiais!$B$5:$B$204,0)),"?"))</f>
        <v/>
      </c>
      <c r="F368" s="27" t="str">
        <f aca="false">IF(OR(C368="",D368=""),"",IFERROR(D368*INDEX(Materiais!$F$5:$F$204,MATCH(C368,Materiais!$B$5:$B$204,0))/INDEX(Materiais!$E$5:$E$204,MATCH(C368,Materiais!$B$5:$B$204,0)),"Cadastre em Materiais"))</f>
        <v/>
      </c>
      <c r="G368" s="9"/>
    </row>
    <row r="369" customFormat="false" ht="21" hidden="false" customHeight="true" outlineLevel="0" collapsed="false">
      <c r="B369" s="9"/>
      <c r="C369" s="9"/>
      <c r="D369" s="42"/>
      <c r="E369" s="39" t="str">
        <f aca="false">IF(C369="","",IFERROR(INDEX(Materiais!$D$5:$D$204,MATCH(C369,Materiais!$B$5:$B$204,0)),"?"))</f>
        <v/>
      </c>
      <c r="F369" s="27" t="str">
        <f aca="false">IF(OR(C369="",D369=""),"",IFERROR(D369*INDEX(Materiais!$F$5:$F$204,MATCH(C369,Materiais!$B$5:$B$204,0))/INDEX(Materiais!$E$5:$E$204,MATCH(C369,Materiais!$B$5:$B$204,0)),"Cadastre em Materiais"))</f>
        <v/>
      </c>
      <c r="G369" s="9"/>
    </row>
    <row r="370" customFormat="false" ht="21" hidden="false" customHeight="true" outlineLevel="0" collapsed="false">
      <c r="B370" s="9"/>
      <c r="C370" s="9"/>
      <c r="D370" s="42"/>
      <c r="E370" s="39" t="str">
        <f aca="false">IF(C370="","",IFERROR(INDEX(Materiais!$D$5:$D$204,MATCH(C370,Materiais!$B$5:$B$204,0)),"?"))</f>
        <v/>
      </c>
      <c r="F370" s="27" t="str">
        <f aca="false">IF(OR(C370="",D370=""),"",IFERROR(D370*INDEX(Materiais!$F$5:$F$204,MATCH(C370,Materiais!$B$5:$B$204,0))/INDEX(Materiais!$E$5:$E$204,MATCH(C370,Materiais!$B$5:$B$204,0)),"Cadastre em Materiais"))</f>
        <v/>
      </c>
      <c r="G370" s="9"/>
    </row>
    <row r="371" customFormat="false" ht="21" hidden="false" customHeight="true" outlineLevel="0" collapsed="false">
      <c r="B371" s="9"/>
      <c r="C371" s="9"/>
      <c r="D371" s="42"/>
      <c r="E371" s="39" t="str">
        <f aca="false">IF(C371="","",IFERROR(INDEX(Materiais!$D$5:$D$204,MATCH(C371,Materiais!$B$5:$B$204,0)),"?"))</f>
        <v/>
      </c>
      <c r="F371" s="27" t="str">
        <f aca="false">IF(OR(C371="",D371=""),"",IFERROR(D371*INDEX(Materiais!$F$5:$F$204,MATCH(C371,Materiais!$B$5:$B$204,0))/INDEX(Materiais!$E$5:$E$204,MATCH(C371,Materiais!$B$5:$B$204,0)),"Cadastre em Materiais"))</f>
        <v/>
      </c>
      <c r="G371" s="9"/>
    </row>
    <row r="372" customFormat="false" ht="21" hidden="false" customHeight="true" outlineLevel="0" collapsed="false">
      <c r="B372" s="9"/>
      <c r="C372" s="9"/>
      <c r="D372" s="42"/>
      <c r="E372" s="39" t="str">
        <f aca="false">IF(C372="","",IFERROR(INDEX(Materiais!$D$5:$D$204,MATCH(C372,Materiais!$B$5:$B$204,0)),"?"))</f>
        <v/>
      </c>
      <c r="F372" s="27" t="str">
        <f aca="false">IF(OR(C372="",D372=""),"",IFERROR(D372*INDEX(Materiais!$F$5:$F$204,MATCH(C372,Materiais!$B$5:$B$204,0))/INDEX(Materiais!$E$5:$E$204,MATCH(C372,Materiais!$B$5:$B$204,0)),"Cadastre em Materiais"))</f>
        <v/>
      </c>
      <c r="G372" s="9"/>
    </row>
    <row r="373" customFormat="false" ht="21" hidden="false" customHeight="true" outlineLevel="0" collapsed="false">
      <c r="B373" s="9"/>
      <c r="C373" s="9"/>
      <c r="D373" s="42"/>
      <c r="E373" s="39" t="str">
        <f aca="false">IF(C373="","",IFERROR(INDEX(Materiais!$D$5:$D$204,MATCH(C373,Materiais!$B$5:$B$204,0)),"?"))</f>
        <v/>
      </c>
      <c r="F373" s="27" t="str">
        <f aca="false">IF(OR(C373="",D373=""),"",IFERROR(D373*INDEX(Materiais!$F$5:$F$204,MATCH(C373,Materiais!$B$5:$B$204,0))/INDEX(Materiais!$E$5:$E$204,MATCH(C373,Materiais!$B$5:$B$204,0)),"Cadastre em Materiais"))</f>
        <v/>
      </c>
      <c r="G373" s="9"/>
    </row>
    <row r="374" customFormat="false" ht="21" hidden="false" customHeight="true" outlineLevel="0" collapsed="false">
      <c r="B374" s="9"/>
      <c r="C374" s="9"/>
      <c r="D374" s="42"/>
      <c r="E374" s="39" t="str">
        <f aca="false">IF(C374="","",IFERROR(INDEX(Materiais!$D$5:$D$204,MATCH(C374,Materiais!$B$5:$B$204,0)),"?"))</f>
        <v/>
      </c>
      <c r="F374" s="27" t="str">
        <f aca="false">IF(OR(C374="",D374=""),"",IFERROR(D374*INDEX(Materiais!$F$5:$F$204,MATCH(C374,Materiais!$B$5:$B$204,0))/INDEX(Materiais!$E$5:$E$204,MATCH(C374,Materiais!$B$5:$B$204,0)),"Cadastre em Materiais"))</f>
        <v/>
      </c>
      <c r="G374" s="9"/>
    </row>
    <row r="375" customFormat="false" ht="21" hidden="false" customHeight="true" outlineLevel="0" collapsed="false">
      <c r="B375" s="9"/>
      <c r="C375" s="9"/>
      <c r="D375" s="42"/>
      <c r="E375" s="39" t="str">
        <f aca="false">IF(C375="","",IFERROR(INDEX(Materiais!$D$5:$D$204,MATCH(C375,Materiais!$B$5:$B$204,0)),"?"))</f>
        <v/>
      </c>
      <c r="F375" s="27" t="str">
        <f aca="false">IF(OR(C375="",D375=""),"",IFERROR(D375*INDEX(Materiais!$F$5:$F$204,MATCH(C375,Materiais!$B$5:$B$204,0))/INDEX(Materiais!$E$5:$E$204,MATCH(C375,Materiais!$B$5:$B$204,0)),"Cadastre em Materiais"))</f>
        <v/>
      </c>
      <c r="G375" s="9"/>
    </row>
    <row r="376" customFormat="false" ht="21" hidden="false" customHeight="true" outlineLevel="0" collapsed="false">
      <c r="B376" s="9"/>
      <c r="C376" s="9"/>
      <c r="D376" s="42"/>
      <c r="E376" s="39" t="str">
        <f aca="false">IF(C376="","",IFERROR(INDEX(Materiais!$D$5:$D$204,MATCH(C376,Materiais!$B$5:$B$204,0)),"?"))</f>
        <v/>
      </c>
      <c r="F376" s="27" t="str">
        <f aca="false">IF(OR(C376="",D376=""),"",IFERROR(D376*INDEX(Materiais!$F$5:$F$204,MATCH(C376,Materiais!$B$5:$B$204,0))/INDEX(Materiais!$E$5:$E$204,MATCH(C376,Materiais!$B$5:$B$204,0)),"Cadastre em Materiais"))</f>
        <v/>
      </c>
      <c r="G376" s="9"/>
    </row>
    <row r="377" customFormat="false" ht="21" hidden="false" customHeight="true" outlineLevel="0" collapsed="false">
      <c r="B377" s="9"/>
      <c r="C377" s="9"/>
      <c r="D377" s="42"/>
      <c r="E377" s="39" t="str">
        <f aca="false">IF(C377="","",IFERROR(INDEX(Materiais!$D$5:$D$204,MATCH(C377,Materiais!$B$5:$B$204,0)),"?"))</f>
        <v/>
      </c>
      <c r="F377" s="27" t="str">
        <f aca="false">IF(OR(C377="",D377=""),"",IFERROR(D377*INDEX(Materiais!$F$5:$F$204,MATCH(C377,Materiais!$B$5:$B$204,0))/INDEX(Materiais!$E$5:$E$204,MATCH(C377,Materiais!$B$5:$B$204,0)),"Cadastre em Materiais"))</f>
        <v/>
      </c>
      <c r="G377" s="9"/>
    </row>
    <row r="378" customFormat="false" ht="21" hidden="false" customHeight="true" outlineLevel="0" collapsed="false">
      <c r="B378" s="9"/>
      <c r="C378" s="9"/>
      <c r="D378" s="42"/>
      <c r="E378" s="39" t="str">
        <f aca="false">IF(C378="","",IFERROR(INDEX(Materiais!$D$5:$D$204,MATCH(C378,Materiais!$B$5:$B$204,0)),"?"))</f>
        <v/>
      </c>
      <c r="F378" s="27" t="str">
        <f aca="false">IF(OR(C378="",D378=""),"",IFERROR(D378*INDEX(Materiais!$F$5:$F$204,MATCH(C378,Materiais!$B$5:$B$204,0))/INDEX(Materiais!$E$5:$E$204,MATCH(C378,Materiais!$B$5:$B$204,0)),"Cadastre em Materiais"))</f>
        <v/>
      </c>
      <c r="G378" s="9"/>
    </row>
    <row r="379" customFormat="false" ht="21" hidden="false" customHeight="true" outlineLevel="0" collapsed="false">
      <c r="B379" s="9"/>
      <c r="C379" s="9"/>
      <c r="D379" s="42"/>
      <c r="E379" s="39" t="str">
        <f aca="false">IF(C379="","",IFERROR(INDEX(Materiais!$D$5:$D$204,MATCH(C379,Materiais!$B$5:$B$204,0)),"?"))</f>
        <v/>
      </c>
      <c r="F379" s="27" t="str">
        <f aca="false">IF(OR(C379="",D379=""),"",IFERROR(D379*INDEX(Materiais!$F$5:$F$204,MATCH(C379,Materiais!$B$5:$B$204,0))/INDEX(Materiais!$E$5:$E$204,MATCH(C379,Materiais!$B$5:$B$204,0)),"Cadastre em Materiais"))</f>
        <v/>
      </c>
      <c r="G379" s="9"/>
    </row>
    <row r="380" customFormat="false" ht="21" hidden="false" customHeight="true" outlineLevel="0" collapsed="false">
      <c r="B380" s="9"/>
      <c r="C380" s="9"/>
      <c r="D380" s="42"/>
      <c r="E380" s="39" t="str">
        <f aca="false">IF(C380="","",IFERROR(INDEX(Materiais!$D$5:$D$204,MATCH(C380,Materiais!$B$5:$B$204,0)),"?"))</f>
        <v/>
      </c>
      <c r="F380" s="27" t="str">
        <f aca="false">IF(OR(C380="",D380=""),"",IFERROR(D380*INDEX(Materiais!$F$5:$F$204,MATCH(C380,Materiais!$B$5:$B$204,0))/INDEX(Materiais!$E$5:$E$204,MATCH(C380,Materiais!$B$5:$B$204,0)),"Cadastre em Materiais"))</f>
        <v/>
      </c>
      <c r="G380" s="9"/>
    </row>
    <row r="381" customFormat="false" ht="21" hidden="false" customHeight="true" outlineLevel="0" collapsed="false">
      <c r="B381" s="9"/>
      <c r="C381" s="9"/>
      <c r="D381" s="42"/>
      <c r="E381" s="39" t="str">
        <f aca="false">IF(C381="","",IFERROR(INDEX(Materiais!$D$5:$D$204,MATCH(C381,Materiais!$B$5:$B$204,0)),"?"))</f>
        <v/>
      </c>
      <c r="F381" s="27" t="str">
        <f aca="false">IF(OR(C381="",D381=""),"",IFERROR(D381*INDEX(Materiais!$F$5:$F$204,MATCH(C381,Materiais!$B$5:$B$204,0))/INDEX(Materiais!$E$5:$E$204,MATCH(C381,Materiais!$B$5:$B$204,0)),"Cadastre em Materiais"))</f>
        <v/>
      </c>
      <c r="G381" s="9"/>
    </row>
    <row r="382" customFormat="false" ht="21" hidden="false" customHeight="true" outlineLevel="0" collapsed="false">
      <c r="B382" s="9"/>
      <c r="C382" s="9"/>
      <c r="D382" s="42"/>
      <c r="E382" s="39" t="str">
        <f aca="false">IF(C382="","",IFERROR(INDEX(Materiais!$D$5:$D$204,MATCH(C382,Materiais!$B$5:$B$204,0)),"?"))</f>
        <v/>
      </c>
      <c r="F382" s="27" t="str">
        <f aca="false">IF(OR(C382="",D382=""),"",IFERROR(D382*INDEX(Materiais!$F$5:$F$204,MATCH(C382,Materiais!$B$5:$B$204,0))/INDEX(Materiais!$E$5:$E$204,MATCH(C382,Materiais!$B$5:$B$204,0)),"Cadastre em Materiais"))</f>
        <v/>
      </c>
      <c r="G382" s="9"/>
    </row>
    <row r="383" customFormat="false" ht="21" hidden="false" customHeight="true" outlineLevel="0" collapsed="false">
      <c r="B383" s="9"/>
      <c r="C383" s="9"/>
      <c r="D383" s="42"/>
      <c r="E383" s="39" t="str">
        <f aca="false">IF(C383="","",IFERROR(INDEX(Materiais!$D$5:$D$204,MATCH(C383,Materiais!$B$5:$B$204,0)),"?"))</f>
        <v/>
      </c>
      <c r="F383" s="27" t="str">
        <f aca="false">IF(OR(C383="",D383=""),"",IFERROR(D383*INDEX(Materiais!$F$5:$F$204,MATCH(C383,Materiais!$B$5:$B$204,0))/INDEX(Materiais!$E$5:$E$204,MATCH(C383,Materiais!$B$5:$B$204,0)),"Cadastre em Materiais"))</f>
        <v/>
      </c>
      <c r="G383" s="9"/>
    </row>
    <row r="384" customFormat="false" ht="21" hidden="false" customHeight="true" outlineLevel="0" collapsed="false">
      <c r="B384" s="9"/>
      <c r="C384" s="9"/>
      <c r="D384" s="42"/>
      <c r="E384" s="39" t="str">
        <f aca="false">IF(C384="","",IFERROR(INDEX(Materiais!$D$5:$D$204,MATCH(C384,Materiais!$B$5:$B$204,0)),"?"))</f>
        <v/>
      </c>
      <c r="F384" s="27" t="str">
        <f aca="false">IF(OR(C384="",D384=""),"",IFERROR(D384*INDEX(Materiais!$F$5:$F$204,MATCH(C384,Materiais!$B$5:$B$204,0))/INDEX(Materiais!$E$5:$E$204,MATCH(C384,Materiais!$B$5:$B$204,0)),"Cadastre em Materiais"))</f>
        <v/>
      </c>
      <c r="G384" s="9"/>
    </row>
    <row r="385" customFormat="false" ht="21" hidden="false" customHeight="true" outlineLevel="0" collapsed="false">
      <c r="B385" s="9"/>
      <c r="C385" s="9"/>
      <c r="D385" s="42"/>
      <c r="E385" s="39" t="str">
        <f aca="false">IF(C385="","",IFERROR(INDEX(Materiais!$D$5:$D$204,MATCH(C385,Materiais!$B$5:$B$204,0)),"?"))</f>
        <v/>
      </c>
      <c r="F385" s="27" t="str">
        <f aca="false">IF(OR(C385="",D385=""),"",IFERROR(D385*INDEX(Materiais!$F$5:$F$204,MATCH(C385,Materiais!$B$5:$B$204,0))/INDEX(Materiais!$E$5:$E$204,MATCH(C385,Materiais!$B$5:$B$204,0)),"Cadastre em Materiais"))</f>
        <v/>
      </c>
      <c r="G385" s="9"/>
    </row>
    <row r="386" customFormat="false" ht="21" hidden="false" customHeight="true" outlineLevel="0" collapsed="false">
      <c r="B386" s="9"/>
      <c r="C386" s="9"/>
      <c r="D386" s="42"/>
      <c r="E386" s="39" t="str">
        <f aca="false">IF(C386="","",IFERROR(INDEX(Materiais!$D$5:$D$204,MATCH(C386,Materiais!$B$5:$B$204,0)),"?"))</f>
        <v/>
      </c>
      <c r="F386" s="27" t="str">
        <f aca="false">IF(OR(C386="",D386=""),"",IFERROR(D386*INDEX(Materiais!$F$5:$F$204,MATCH(C386,Materiais!$B$5:$B$204,0))/INDEX(Materiais!$E$5:$E$204,MATCH(C386,Materiais!$B$5:$B$204,0)),"Cadastre em Materiais"))</f>
        <v/>
      </c>
      <c r="G386" s="9"/>
    </row>
    <row r="387" customFormat="false" ht="21" hidden="false" customHeight="true" outlineLevel="0" collapsed="false">
      <c r="B387" s="9"/>
      <c r="C387" s="9"/>
      <c r="D387" s="42"/>
      <c r="E387" s="39" t="str">
        <f aca="false">IF(C387="","",IFERROR(INDEX(Materiais!$D$5:$D$204,MATCH(C387,Materiais!$B$5:$B$204,0)),"?"))</f>
        <v/>
      </c>
      <c r="F387" s="27" t="str">
        <f aca="false">IF(OR(C387="",D387=""),"",IFERROR(D387*INDEX(Materiais!$F$5:$F$204,MATCH(C387,Materiais!$B$5:$B$204,0))/INDEX(Materiais!$E$5:$E$204,MATCH(C387,Materiais!$B$5:$B$204,0)),"Cadastre em Materiais"))</f>
        <v/>
      </c>
      <c r="G387" s="9"/>
    </row>
    <row r="388" customFormat="false" ht="21" hidden="false" customHeight="true" outlineLevel="0" collapsed="false">
      <c r="B388" s="9"/>
      <c r="C388" s="9"/>
      <c r="D388" s="42"/>
      <c r="E388" s="39" t="str">
        <f aca="false">IF(C388="","",IFERROR(INDEX(Materiais!$D$5:$D$204,MATCH(C388,Materiais!$B$5:$B$204,0)),"?"))</f>
        <v/>
      </c>
      <c r="F388" s="27" t="str">
        <f aca="false">IF(OR(C388="",D388=""),"",IFERROR(D388*INDEX(Materiais!$F$5:$F$204,MATCH(C388,Materiais!$B$5:$B$204,0))/INDEX(Materiais!$E$5:$E$204,MATCH(C388,Materiais!$B$5:$B$204,0)),"Cadastre em Materiais"))</f>
        <v/>
      </c>
      <c r="G388" s="9"/>
    </row>
    <row r="389" customFormat="false" ht="21" hidden="false" customHeight="true" outlineLevel="0" collapsed="false">
      <c r="B389" s="9"/>
      <c r="C389" s="9"/>
      <c r="D389" s="42"/>
      <c r="E389" s="39" t="str">
        <f aca="false">IF(C389="","",IFERROR(INDEX(Materiais!$D$5:$D$204,MATCH(C389,Materiais!$B$5:$B$204,0)),"?"))</f>
        <v/>
      </c>
      <c r="F389" s="27" t="str">
        <f aca="false">IF(OR(C389="",D389=""),"",IFERROR(D389*INDEX(Materiais!$F$5:$F$204,MATCH(C389,Materiais!$B$5:$B$204,0))/INDEX(Materiais!$E$5:$E$204,MATCH(C389,Materiais!$B$5:$B$204,0)),"Cadastre em Materiais"))</f>
        <v/>
      </c>
      <c r="G389" s="9"/>
    </row>
    <row r="390" customFormat="false" ht="21" hidden="false" customHeight="true" outlineLevel="0" collapsed="false">
      <c r="B390" s="9"/>
      <c r="C390" s="9"/>
      <c r="D390" s="42"/>
      <c r="E390" s="39" t="str">
        <f aca="false">IF(C390="","",IFERROR(INDEX(Materiais!$D$5:$D$204,MATCH(C390,Materiais!$B$5:$B$204,0)),"?"))</f>
        <v/>
      </c>
      <c r="F390" s="27" t="str">
        <f aca="false">IF(OR(C390="",D390=""),"",IFERROR(D390*INDEX(Materiais!$F$5:$F$204,MATCH(C390,Materiais!$B$5:$B$204,0))/INDEX(Materiais!$E$5:$E$204,MATCH(C390,Materiais!$B$5:$B$204,0)),"Cadastre em Materiais"))</f>
        <v/>
      </c>
      <c r="G390" s="9"/>
    </row>
    <row r="391" customFormat="false" ht="21" hidden="false" customHeight="true" outlineLevel="0" collapsed="false">
      <c r="B391" s="9"/>
      <c r="C391" s="9"/>
      <c r="D391" s="42"/>
      <c r="E391" s="39" t="str">
        <f aca="false">IF(C391="","",IFERROR(INDEX(Materiais!$D$5:$D$204,MATCH(C391,Materiais!$B$5:$B$204,0)),"?"))</f>
        <v/>
      </c>
      <c r="F391" s="27" t="str">
        <f aca="false">IF(OR(C391="",D391=""),"",IFERROR(D391*INDEX(Materiais!$F$5:$F$204,MATCH(C391,Materiais!$B$5:$B$204,0))/INDEX(Materiais!$E$5:$E$204,MATCH(C391,Materiais!$B$5:$B$204,0)),"Cadastre em Materiais"))</f>
        <v/>
      </c>
      <c r="G391" s="9"/>
    </row>
    <row r="392" customFormat="false" ht="21" hidden="false" customHeight="true" outlineLevel="0" collapsed="false">
      <c r="B392" s="9"/>
      <c r="C392" s="9"/>
      <c r="D392" s="42"/>
      <c r="E392" s="39" t="str">
        <f aca="false">IF(C392="","",IFERROR(INDEX(Materiais!$D$5:$D$204,MATCH(C392,Materiais!$B$5:$B$204,0)),"?"))</f>
        <v/>
      </c>
      <c r="F392" s="27" t="str">
        <f aca="false">IF(OR(C392="",D392=""),"",IFERROR(D392*INDEX(Materiais!$F$5:$F$204,MATCH(C392,Materiais!$B$5:$B$204,0))/INDEX(Materiais!$E$5:$E$204,MATCH(C392,Materiais!$B$5:$B$204,0)),"Cadastre em Materiais"))</f>
        <v/>
      </c>
      <c r="G392" s="9"/>
    </row>
    <row r="393" customFormat="false" ht="21" hidden="false" customHeight="true" outlineLevel="0" collapsed="false">
      <c r="B393" s="9"/>
      <c r="C393" s="9"/>
      <c r="D393" s="42"/>
      <c r="E393" s="39" t="str">
        <f aca="false">IF(C393="","",IFERROR(INDEX(Materiais!$D$5:$D$204,MATCH(C393,Materiais!$B$5:$B$204,0)),"?"))</f>
        <v/>
      </c>
      <c r="F393" s="27" t="str">
        <f aca="false">IF(OR(C393="",D393=""),"",IFERROR(D393*INDEX(Materiais!$F$5:$F$204,MATCH(C393,Materiais!$B$5:$B$204,0))/INDEX(Materiais!$E$5:$E$204,MATCH(C393,Materiais!$B$5:$B$204,0)),"Cadastre em Materiais"))</f>
        <v/>
      </c>
      <c r="G393" s="9"/>
    </row>
    <row r="394" customFormat="false" ht="21" hidden="false" customHeight="true" outlineLevel="0" collapsed="false">
      <c r="B394" s="9"/>
      <c r="C394" s="9"/>
      <c r="D394" s="42"/>
      <c r="E394" s="39" t="str">
        <f aca="false">IF(C394="","",IFERROR(INDEX(Materiais!$D$5:$D$204,MATCH(C394,Materiais!$B$5:$B$204,0)),"?"))</f>
        <v/>
      </c>
      <c r="F394" s="27" t="str">
        <f aca="false">IF(OR(C394="",D394=""),"",IFERROR(D394*INDEX(Materiais!$F$5:$F$204,MATCH(C394,Materiais!$B$5:$B$204,0))/INDEX(Materiais!$E$5:$E$204,MATCH(C394,Materiais!$B$5:$B$204,0)),"Cadastre em Materiais"))</f>
        <v/>
      </c>
      <c r="G394" s="9"/>
    </row>
    <row r="395" customFormat="false" ht="21" hidden="false" customHeight="true" outlineLevel="0" collapsed="false">
      <c r="B395" s="9"/>
      <c r="C395" s="9"/>
      <c r="D395" s="42"/>
      <c r="E395" s="39" t="str">
        <f aca="false">IF(C395="","",IFERROR(INDEX(Materiais!$D$5:$D$204,MATCH(C395,Materiais!$B$5:$B$204,0)),"?"))</f>
        <v/>
      </c>
      <c r="F395" s="27" t="str">
        <f aca="false">IF(OR(C395="",D395=""),"",IFERROR(D395*INDEX(Materiais!$F$5:$F$204,MATCH(C395,Materiais!$B$5:$B$204,0))/INDEX(Materiais!$E$5:$E$204,MATCH(C395,Materiais!$B$5:$B$204,0)),"Cadastre em Materiais"))</f>
        <v/>
      </c>
      <c r="G395" s="9"/>
    </row>
    <row r="396" customFormat="false" ht="21" hidden="false" customHeight="true" outlineLevel="0" collapsed="false">
      <c r="B396" s="9"/>
      <c r="C396" s="9"/>
      <c r="D396" s="42"/>
      <c r="E396" s="39" t="str">
        <f aca="false">IF(C396="","",IFERROR(INDEX(Materiais!$D$5:$D$204,MATCH(C396,Materiais!$B$5:$B$204,0)),"?"))</f>
        <v/>
      </c>
      <c r="F396" s="27" t="str">
        <f aca="false">IF(OR(C396="",D396=""),"",IFERROR(D396*INDEX(Materiais!$F$5:$F$204,MATCH(C396,Materiais!$B$5:$B$204,0))/INDEX(Materiais!$E$5:$E$204,MATCH(C396,Materiais!$B$5:$B$204,0)),"Cadastre em Materiais"))</f>
        <v/>
      </c>
      <c r="G396" s="9"/>
    </row>
    <row r="397" customFormat="false" ht="21" hidden="false" customHeight="true" outlineLevel="0" collapsed="false">
      <c r="B397" s="9"/>
      <c r="C397" s="9"/>
      <c r="D397" s="42"/>
      <c r="E397" s="39" t="str">
        <f aca="false">IF(C397="","",IFERROR(INDEX(Materiais!$D$5:$D$204,MATCH(C397,Materiais!$B$5:$B$204,0)),"?"))</f>
        <v/>
      </c>
      <c r="F397" s="27" t="str">
        <f aca="false">IF(OR(C397="",D397=""),"",IFERROR(D397*INDEX(Materiais!$F$5:$F$204,MATCH(C397,Materiais!$B$5:$B$204,0))/INDEX(Materiais!$E$5:$E$204,MATCH(C397,Materiais!$B$5:$B$204,0)),"Cadastre em Materiais"))</f>
        <v/>
      </c>
      <c r="G397" s="9"/>
    </row>
    <row r="398" customFormat="false" ht="21" hidden="false" customHeight="true" outlineLevel="0" collapsed="false">
      <c r="B398" s="9"/>
      <c r="C398" s="9"/>
      <c r="D398" s="42"/>
      <c r="E398" s="39" t="str">
        <f aca="false">IF(C398="","",IFERROR(INDEX(Materiais!$D$5:$D$204,MATCH(C398,Materiais!$B$5:$B$204,0)),"?"))</f>
        <v/>
      </c>
      <c r="F398" s="27" t="str">
        <f aca="false">IF(OR(C398="",D398=""),"",IFERROR(D398*INDEX(Materiais!$F$5:$F$204,MATCH(C398,Materiais!$B$5:$B$204,0))/INDEX(Materiais!$E$5:$E$204,MATCH(C398,Materiais!$B$5:$B$204,0)),"Cadastre em Materiais"))</f>
        <v/>
      </c>
      <c r="G398" s="9"/>
    </row>
    <row r="399" customFormat="false" ht="21" hidden="false" customHeight="true" outlineLevel="0" collapsed="false">
      <c r="B399" s="9"/>
      <c r="C399" s="9"/>
      <c r="D399" s="42"/>
      <c r="E399" s="39" t="str">
        <f aca="false">IF(C399="","",IFERROR(INDEX(Materiais!$D$5:$D$204,MATCH(C399,Materiais!$B$5:$B$204,0)),"?"))</f>
        <v/>
      </c>
      <c r="F399" s="27" t="str">
        <f aca="false">IF(OR(C399="",D399=""),"",IFERROR(D399*INDEX(Materiais!$F$5:$F$204,MATCH(C399,Materiais!$B$5:$B$204,0))/INDEX(Materiais!$E$5:$E$204,MATCH(C399,Materiais!$B$5:$B$204,0)),"Cadastre em Materiais"))</f>
        <v/>
      </c>
      <c r="G399" s="9"/>
    </row>
    <row r="400" customFormat="false" ht="21" hidden="false" customHeight="true" outlineLevel="0" collapsed="false">
      <c r="B400" s="9"/>
      <c r="C400" s="9"/>
      <c r="D400" s="42"/>
      <c r="E400" s="39" t="str">
        <f aca="false">IF(C400="","",IFERROR(INDEX(Materiais!$D$5:$D$204,MATCH(C400,Materiais!$B$5:$B$204,0)),"?"))</f>
        <v/>
      </c>
      <c r="F400" s="27" t="str">
        <f aca="false">IF(OR(C400="",D400=""),"",IFERROR(D400*INDEX(Materiais!$F$5:$F$204,MATCH(C400,Materiais!$B$5:$B$204,0))/INDEX(Materiais!$E$5:$E$204,MATCH(C400,Materiais!$B$5:$B$204,0)),"Cadastre em Materiais"))</f>
        <v/>
      </c>
      <c r="G400" s="9"/>
    </row>
    <row r="401" customFormat="false" ht="21" hidden="false" customHeight="true" outlineLevel="0" collapsed="false">
      <c r="B401" s="9"/>
      <c r="C401" s="9"/>
      <c r="D401" s="42"/>
      <c r="E401" s="39" t="str">
        <f aca="false">IF(C401="","",IFERROR(INDEX(Materiais!$D$5:$D$204,MATCH(C401,Materiais!$B$5:$B$204,0)),"?"))</f>
        <v/>
      </c>
      <c r="F401" s="27" t="str">
        <f aca="false">IF(OR(C401="",D401=""),"",IFERROR(D401*INDEX(Materiais!$F$5:$F$204,MATCH(C401,Materiais!$B$5:$B$204,0))/INDEX(Materiais!$E$5:$E$204,MATCH(C401,Materiais!$B$5:$B$204,0)),"Cadastre em Materiais"))</f>
        <v/>
      </c>
      <c r="G401" s="9"/>
    </row>
    <row r="402" customFormat="false" ht="21" hidden="false" customHeight="true" outlineLevel="0" collapsed="false">
      <c r="B402" s="9"/>
      <c r="C402" s="9"/>
      <c r="D402" s="42"/>
      <c r="E402" s="39" t="str">
        <f aca="false">IF(C402="","",IFERROR(INDEX(Materiais!$D$5:$D$204,MATCH(C402,Materiais!$B$5:$B$204,0)),"?"))</f>
        <v/>
      </c>
      <c r="F402" s="27" t="str">
        <f aca="false">IF(OR(C402="",D402=""),"",IFERROR(D402*INDEX(Materiais!$F$5:$F$204,MATCH(C402,Materiais!$B$5:$B$204,0))/INDEX(Materiais!$E$5:$E$204,MATCH(C402,Materiais!$B$5:$B$204,0)),"Cadastre em Materiais"))</f>
        <v/>
      </c>
      <c r="G402" s="9"/>
    </row>
    <row r="403" customFormat="false" ht="21" hidden="false" customHeight="true" outlineLevel="0" collapsed="false">
      <c r="B403" s="9"/>
      <c r="C403" s="9"/>
      <c r="D403" s="42"/>
      <c r="E403" s="39" t="str">
        <f aca="false">IF(C403="","",IFERROR(INDEX(Materiais!$D$5:$D$204,MATCH(C403,Materiais!$B$5:$B$204,0)),"?"))</f>
        <v/>
      </c>
      <c r="F403" s="27" t="str">
        <f aca="false">IF(OR(C403="",D403=""),"",IFERROR(D403*INDEX(Materiais!$F$5:$F$204,MATCH(C403,Materiais!$B$5:$B$204,0))/INDEX(Materiais!$E$5:$E$204,MATCH(C403,Materiais!$B$5:$B$204,0)),"Cadastre em Materiais"))</f>
        <v/>
      </c>
      <c r="G403" s="9"/>
    </row>
    <row r="404" customFormat="false" ht="21" hidden="false" customHeight="true" outlineLevel="0" collapsed="false">
      <c r="B404" s="9"/>
      <c r="C404" s="9"/>
      <c r="D404" s="42"/>
      <c r="E404" s="39" t="str">
        <f aca="false">IF(C404="","",IFERROR(INDEX(Materiais!$D$5:$D$204,MATCH(C404,Materiais!$B$5:$B$204,0)),"?"))</f>
        <v/>
      </c>
      <c r="F404" s="27" t="str">
        <f aca="false">IF(OR(C404="",D404=""),"",IFERROR(D404*INDEX(Materiais!$F$5:$F$204,MATCH(C404,Materiais!$B$5:$B$204,0))/INDEX(Materiais!$E$5:$E$204,MATCH(C404,Materiais!$B$5:$B$204,0)),"Cadastre em Materiais"))</f>
        <v/>
      </c>
      <c r="G404" s="9"/>
    </row>
    <row r="405" customFormat="false" ht="21" hidden="false" customHeight="true" outlineLevel="0" collapsed="false">
      <c r="B405" s="9"/>
      <c r="C405" s="9"/>
      <c r="D405" s="42"/>
      <c r="E405" s="39" t="str">
        <f aca="false">IF(C405="","",IFERROR(INDEX(Materiais!$D$5:$D$204,MATCH(C405,Materiais!$B$5:$B$204,0)),"?"))</f>
        <v/>
      </c>
      <c r="F405" s="27" t="str">
        <f aca="false">IF(OR(C405="",D405=""),"",IFERROR(D405*INDEX(Materiais!$F$5:$F$204,MATCH(C405,Materiais!$B$5:$B$204,0))/INDEX(Materiais!$E$5:$E$204,MATCH(C405,Materiais!$B$5:$B$204,0)),"Cadastre em Materiais"))</f>
        <v/>
      </c>
      <c r="G405" s="9"/>
    </row>
    <row r="406" customFormat="false" ht="21" hidden="false" customHeight="true" outlineLevel="0" collapsed="false">
      <c r="B406" s="9"/>
      <c r="C406" s="9"/>
      <c r="D406" s="42"/>
      <c r="E406" s="39" t="str">
        <f aca="false">IF(C406="","",IFERROR(INDEX(Materiais!$D$5:$D$204,MATCH(C406,Materiais!$B$5:$B$204,0)),"?"))</f>
        <v/>
      </c>
      <c r="F406" s="27" t="str">
        <f aca="false">IF(OR(C406="",D406=""),"",IFERROR(D406*INDEX(Materiais!$F$5:$F$204,MATCH(C406,Materiais!$B$5:$B$204,0))/INDEX(Materiais!$E$5:$E$204,MATCH(C406,Materiais!$B$5:$B$204,0)),"Cadastre em Materiais"))</f>
        <v/>
      </c>
      <c r="G406" s="9"/>
    </row>
    <row r="407" customFormat="false" ht="21" hidden="false" customHeight="true" outlineLevel="0" collapsed="false">
      <c r="B407" s="9"/>
      <c r="C407" s="9"/>
      <c r="D407" s="42"/>
      <c r="E407" s="39" t="str">
        <f aca="false">IF(C407="","",IFERROR(INDEX(Materiais!$D$5:$D$204,MATCH(C407,Materiais!$B$5:$B$204,0)),"?"))</f>
        <v/>
      </c>
      <c r="F407" s="27" t="str">
        <f aca="false">IF(OR(C407="",D407=""),"",IFERROR(D407*INDEX(Materiais!$F$5:$F$204,MATCH(C407,Materiais!$B$5:$B$204,0))/INDEX(Materiais!$E$5:$E$204,MATCH(C407,Materiais!$B$5:$B$204,0)),"Cadastre em Materiais"))</f>
        <v/>
      </c>
      <c r="G407" s="9"/>
    </row>
    <row r="408" customFormat="false" ht="21" hidden="false" customHeight="true" outlineLevel="0" collapsed="false">
      <c r="B408" s="9"/>
      <c r="C408" s="9"/>
      <c r="D408" s="42"/>
      <c r="E408" s="39" t="str">
        <f aca="false">IF(C408="","",IFERROR(INDEX(Materiais!$D$5:$D$204,MATCH(C408,Materiais!$B$5:$B$204,0)),"?"))</f>
        <v/>
      </c>
      <c r="F408" s="27" t="str">
        <f aca="false">IF(OR(C408="",D408=""),"",IFERROR(D408*INDEX(Materiais!$F$5:$F$204,MATCH(C408,Materiais!$B$5:$B$204,0))/INDEX(Materiais!$E$5:$E$204,MATCH(C408,Materiais!$B$5:$B$204,0)),"Cadastre em Materiais"))</f>
        <v/>
      </c>
      <c r="G408" s="9"/>
    </row>
    <row r="409" customFormat="false" ht="21" hidden="false" customHeight="true" outlineLevel="0" collapsed="false">
      <c r="B409" s="9"/>
      <c r="C409" s="9"/>
      <c r="D409" s="42"/>
      <c r="E409" s="39" t="str">
        <f aca="false">IF(C409="","",IFERROR(INDEX(Materiais!$D$5:$D$204,MATCH(C409,Materiais!$B$5:$B$204,0)),"?"))</f>
        <v/>
      </c>
      <c r="F409" s="27" t="str">
        <f aca="false">IF(OR(C409="",D409=""),"",IFERROR(D409*INDEX(Materiais!$F$5:$F$204,MATCH(C409,Materiais!$B$5:$B$204,0))/INDEX(Materiais!$E$5:$E$204,MATCH(C409,Materiais!$B$5:$B$204,0)),"Cadastre em Materiais"))</f>
        <v/>
      </c>
      <c r="G409" s="9"/>
    </row>
    <row r="410" customFormat="false" ht="21" hidden="false" customHeight="true" outlineLevel="0" collapsed="false">
      <c r="B410" s="9"/>
      <c r="C410" s="9"/>
      <c r="D410" s="42"/>
      <c r="E410" s="39" t="str">
        <f aca="false">IF(C410="","",IFERROR(INDEX(Materiais!$D$5:$D$204,MATCH(C410,Materiais!$B$5:$B$204,0)),"?"))</f>
        <v/>
      </c>
      <c r="F410" s="27" t="str">
        <f aca="false">IF(OR(C410="",D410=""),"",IFERROR(D410*INDEX(Materiais!$F$5:$F$204,MATCH(C410,Materiais!$B$5:$B$204,0))/INDEX(Materiais!$E$5:$E$204,MATCH(C410,Materiais!$B$5:$B$204,0)),"Cadastre em Materiais"))</f>
        <v/>
      </c>
      <c r="G410" s="9"/>
    </row>
    <row r="411" customFormat="false" ht="21" hidden="false" customHeight="true" outlineLevel="0" collapsed="false">
      <c r="B411" s="9"/>
      <c r="C411" s="9"/>
      <c r="D411" s="42"/>
      <c r="E411" s="39" t="str">
        <f aca="false">IF(C411="","",IFERROR(INDEX(Materiais!$D$5:$D$204,MATCH(C411,Materiais!$B$5:$B$204,0)),"?"))</f>
        <v/>
      </c>
      <c r="F411" s="27" t="str">
        <f aca="false">IF(OR(C411="",D411=""),"",IFERROR(D411*INDEX(Materiais!$F$5:$F$204,MATCH(C411,Materiais!$B$5:$B$204,0))/INDEX(Materiais!$E$5:$E$204,MATCH(C411,Materiais!$B$5:$B$204,0)),"Cadastre em Materiais"))</f>
        <v/>
      </c>
      <c r="G411" s="9"/>
    </row>
    <row r="412" customFormat="false" ht="21" hidden="false" customHeight="true" outlineLevel="0" collapsed="false">
      <c r="B412" s="9"/>
      <c r="C412" s="9"/>
      <c r="D412" s="42"/>
      <c r="E412" s="39" t="str">
        <f aca="false">IF(C412="","",IFERROR(INDEX(Materiais!$D$5:$D$204,MATCH(C412,Materiais!$B$5:$B$204,0)),"?"))</f>
        <v/>
      </c>
      <c r="F412" s="27" t="str">
        <f aca="false">IF(OR(C412="",D412=""),"",IFERROR(D412*INDEX(Materiais!$F$5:$F$204,MATCH(C412,Materiais!$B$5:$B$204,0))/INDEX(Materiais!$E$5:$E$204,MATCH(C412,Materiais!$B$5:$B$204,0)),"Cadastre em Materiais"))</f>
        <v/>
      </c>
      <c r="G412" s="9"/>
    </row>
    <row r="413" customFormat="false" ht="21" hidden="false" customHeight="true" outlineLevel="0" collapsed="false">
      <c r="B413" s="9"/>
      <c r="C413" s="9"/>
      <c r="D413" s="42"/>
      <c r="E413" s="39" t="str">
        <f aca="false">IF(C413="","",IFERROR(INDEX(Materiais!$D$5:$D$204,MATCH(C413,Materiais!$B$5:$B$204,0)),"?"))</f>
        <v/>
      </c>
      <c r="F413" s="27" t="str">
        <f aca="false">IF(OR(C413="",D413=""),"",IFERROR(D413*INDEX(Materiais!$F$5:$F$204,MATCH(C413,Materiais!$B$5:$B$204,0))/INDEX(Materiais!$E$5:$E$204,MATCH(C413,Materiais!$B$5:$B$204,0)),"Cadastre em Materiais"))</f>
        <v/>
      </c>
      <c r="G413" s="9"/>
    </row>
    <row r="414" customFormat="false" ht="21" hidden="false" customHeight="true" outlineLevel="0" collapsed="false">
      <c r="B414" s="9"/>
      <c r="C414" s="9"/>
      <c r="D414" s="42"/>
      <c r="E414" s="39" t="str">
        <f aca="false">IF(C414="","",IFERROR(INDEX(Materiais!$D$5:$D$204,MATCH(C414,Materiais!$B$5:$B$204,0)),"?"))</f>
        <v/>
      </c>
      <c r="F414" s="27" t="str">
        <f aca="false">IF(OR(C414="",D414=""),"",IFERROR(D414*INDEX(Materiais!$F$5:$F$204,MATCH(C414,Materiais!$B$5:$B$204,0))/INDEX(Materiais!$E$5:$E$204,MATCH(C414,Materiais!$B$5:$B$204,0)),"Cadastre em Materiais"))</f>
        <v/>
      </c>
      <c r="G414" s="9"/>
    </row>
    <row r="415" customFormat="false" ht="21" hidden="false" customHeight="true" outlineLevel="0" collapsed="false">
      <c r="B415" s="9"/>
      <c r="C415" s="9"/>
      <c r="D415" s="42"/>
      <c r="E415" s="39" t="str">
        <f aca="false">IF(C415="","",IFERROR(INDEX(Materiais!$D$5:$D$204,MATCH(C415,Materiais!$B$5:$B$204,0)),"?"))</f>
        <v/>
      </c>
      <c r="F415" s="27" t="str">
        <f aca="false">IF(OR(C415="",D415=""),"",IFERROR(D415*INDEX(Materiais!$F$5:$F$204,MATCH(C415,Materiais!$B$5:$B$204,0))/INDEX(Materiais!$E$5:$E$204,MATCH(C415,Materiais!$B$5:$B$204,0)),"Cadastre em Materiais"))</f>
        <v/>
      </c>
      <c r="G415" s="9"/>
    </row>
    <row r="416" customFormat="false" ht="21" hidden="false" customHeight="true" outlineLevel="0" collapsed="false">
      <c r="B416" s="9"/>
      <c r="C416" s="9"/>
      <c r="D416" s="42"/>
      <c r="E416" s="39" t="str">
        <f aca="false">IF(C416="","",IFERROR(INDEX(Materiais!$D$5:$D$204,MATCH(C416,Materiais!$B$5:$B$204,0)),"?"))</f>
        <v/>
      </c>
      <c r="F416" s="27" t="str">
        <f aca="false">IF(OR(C416="",D416=""),"",IFERROR(D416*INDEX(Materiais!$F$5:$F$204,MATCH(C416,Materiais!$B$5:$B$204,0))/INDEX(Materiais!$E$5:$E$204,MATCH(C416,Materiais!$B$5:$B$204,0)),"Cadastre em Materiais"))</f>
        <v/>
      </c>
      <c r="G416" s="9"/>
    </row>
    <row r="417" customFormat="false" ht="21" hidden="false" customHeight="true" outlineLevel="0" collapsed="false">
      <c r="B417" s="9"/>
      <c r="C417" s="9"/>
      <c r="D417" s="42"/>
      <c r="E417" s="39" t="str">
        <f aca="false">IF(C417="","",IFERROR(INDEX(Materiais!$D$5:$D$204,MATCH(C417,Materiais!$B$5:$B$204,0)),"?"))</f>
        <v/>
      </c>
      <c r="F417" s="27" t="str">
        <f aca="false">IF(OR(C417="",D417=""),"",IFERROR(D417*INDEX(Materiais!$F$5:$F$204,MATCH(C417,Materiais!$B$5:$B$204,0))/INDEX(Materiais!$E$5:$E$204,MATCH(C417,Materiais!$B$5:$B$204,0)),"Cadastre em Materiais"))</f>
        <v/>
      </c>
      <c r="G417" s="9"/>
    </row>
    <row r="418" customFormat="false" ht="21" hidden="false" customHeight="true" outlineLevel="0" collapsed="false">
      <c r="B418" s="9"/>
      <c r="C418" s="9"/>
      <c r="D418" s="42"/>
      <c r="E418" s="39" t="str">
        <f aca="false">IF(C418="","",IFERROR(INDEX(Materiais!$D$5:$D$204,MATCH(C418,Materiais!$B$5:$B$204,0)),"?"))</f>
        <v/>
      </c>
      <c r="F418" s="27" t="str">
        <f aca="false">IF(OR(C418="",D418=""),"",IFERROR(D418*INDEX(Materiais!$F$5:$F$204,MATCH(C418,Materiais!$B$5:$B$204,0))/INDEX(Materiais!$E$5:$E$204,MATCH(C418,Materiais!$B$5:$B$204,0)),"Cadastre em Materiais"))</f>
        <v/>
      </c>
      <c r="G418" s="9"/>
    </row>
    <row r="419" customFormat="false" ht="21" hidden="false" customHeight="true" outlineLevel="0" collapsed="false">
      <c r="B419" s="9"/>
      <c r="C419" s="9"/>
      <c r="D419" s="42"/>
      <c r="E419" s="39" t="str">
        <f aca="false">IF(C419="","",IFERROR(INDEX(Materiais!$D$5:$D$204,MATCH(C419,Materiais!$B$5:$B$204,0)),"?"))</f>
        <v/>
      </c>
      <c r="F419" s="27" t="str">
        <f aca="false">IF(OR(C419="",D419=""),"",IFERROR(D419*INDEX(Materiais!$F$5:$F$204,MATCH(C419,Materiais!$B$5:$B$204,0))/INDEX(Materiais!$E$5:$E$204,MATCH(C419,Materiais!$B$5:$B$204,0)),"Cadastre em Materiais"))</f>
        <v/>
      </c>
      <c r="G419" s="9"/>
    </row>
    <row r="420" customFormat="false" ht="21" hidden="false" customHeight="true" outlineLevel="0" collapsed="false">
      <c r="B420" s="9"/>
      <c r="C420" s="9"/>
      <c r="D420" s="42"/>
      <c r="E420" s="39" t="str">
        <f aca="false">IF(C420="","",IFERROR(INDEX(Materiais!$D$5:$D$204,MATCH(C420,Materiais!$B$5:$B$204,0)),"?"))</f>
        <v/>
      </c>
      <c r="F420" s="27" t="str">
        <f aca="false">IF(OR(C420="",D420=""),"",IFERROR(D420*INDEX(Materiais!$F$5:$F$204,MATCH(C420,Materiais!$B$5:$B$204,0))/INDEX(Materiais!$E$5:$E$204,MATCH(C420,Materiais!$B$5:$B$204,0)),"Cadastre em Materiais"))</f>
        <v/>
      </c>
      <c r="G420" s="9"/>
    </row>
    <row r="421" customFormat="false" ht="21" hidden="false" customHeight="true" outlineLevel="0" collapsed="false">
      <c r="B421" s="9"/>
      <c r="C421" s="9"/>
      <c r="D421" s="42"/>
      <c r="E421" s="39" t="str">
        <f aca="false">IF(C421="","",IFERROR(INDEX(Materiais!$D$5:$D$204,MATCH(C421,Materiais!$B$5:$B$204,0)),"?"))</f>
        <v/>
      </c>
      <c r="F421" s="27" t="str">
        <f aca="false">IF(OR(C421="",D421=""),"",IFERROR(D421*INDEX(Materiais!$F$5:$F$204,MATCH(C421,Materiais!$B$5:$B$204,0))/INDEX(Materiais!$E$5:$E$204,MATCH(C421,Materiais!$B$5:$B$204,0)),"Cadastre em Materiais"))</f>
        <v/>
      </c>
      <c r="G421" s="9"/>
    </row>
    <row r="422" customFormat="false" ht="21" hidden="false" customHeight="true" outlineLevel="0" collapsed="false">
      <c r="B422" s="9"/>
      <c r="C422" s="9"/>
      <c r="D422" s="42"/>
      <c r="E422" s="39" t="str">
        <f aca="false">IF(C422="","",IFERROR(INDEX(Materiais!$D$5:$D$204,MATCH(C422,Materiais!$B$5:$B$204,0)),"?"))</f>
        <v/>
      </c>
      <c r="F422" s="27" t="str">
        <f aca="false">IF(OR(C422="",D422=""),"",IFERROR(D422*INDEX(Materiais!$F$5:$F$204,MATCH(C422,Materiais!$B$5:$B$204,0))/INDEX(Materiais!$E$5:$E$204,MATCH(C422,Materiais!$B$5:$B$204,0)),"Cadastre em Materiais"))</f>
        <v/>
      </c>
      <c r="G422" s="9"/>
    </row>
    <row r="423" customFormat="false" ht="21" hidden="false" customHeight="true" outlineLevel="0" collapsed="false">
      <c r="B423" s="9"/>
      <c r="C423" s="9"/>
      <c r="D423" s="42"/>
      <c r="E423" s="39" t="str">
        <f aca="false">IF(C423="","",IFERROR(INDEX(Materiais!$D$5:$D$204,MATCH(C423,Materiais!$B$5:$B$204,0)),"?"))</f>
        <v/>
      </c>
      <c r="F423" s="27" t="str">
        <f aca="false">IF(OR(C423="",D423=""),"",IFERROR(D423*INDEX(Materiais!$F$5:$F$204,MATCH(C423,Materiais!$B$5:$B$204,0))/INDEX(Materiais!$E$5:$E$204,MATCH(C423,Materiais!$B$5:$B$204,0)),"Cadastre em Materiais"))</f>
        <v/>
      </c>
      <c r="G423" s="9"/>
    </row>
    <row r="424" customFormat="false" ht="21" hidden="false" customHeight="true" outlineLevel="0" collapsed="false">
      <c r="B424" s="9"/>
      <c r="C424" s="9"/>
      <c r="D424" s="42"/>
      <c r="E424" s="39" t="str">
        <f aca="false">IF(C424="","",IFERROR(INDEX(Materiais!$D$5:$D$204,MATCH(C424,Materiais!$B$5:$B$204,0)),"?"))</f>
        <v/>
      </c>
      <c r="F424" s="27" t="str">
        <f aca="false">IF(OR(C424="",D424=""),"",IFERROR(D424*INDEX(Materiais!$F$5:$F$204,MATCH(C424,Materiais!$B$5:$B$204,0))/INDEX(Materiais!$E$5:$E$204,MATCH(C424,Materiais!$B$5:$B$204,0)),"Cadastre em Materiais"))</f>
        <v/>
      </c>
      <c r="G424" s="9"/>
    </row>
    <row r="425" customFormat="false" ht="21" hidden="false" customHeight="true" outlineLevel="0" collapsed="false">
      <c r="B425" s="9"/>
      <c r="C425" s="9"/>
      <c r="D425" s="42"/>
      <c r="E425" s="39" t="str">
        <f aca="false">IF(C425="","",IFERROR(INDEX(Materiais!$D$5:$D$204,MATCH(C425,Materiais!$B$5:$B$204,0)),"?"))</f>
        <v/>
      </c>
      <c r="F425" s="27" t="str">
        <f aca="false">IF(OR(C425="",D425=""),"",IFERROR(D425*INDEX(Materiais!$F$5:$F$204,MATCH(C425,Materiais!$B$5:$B$204,0))/INDEX(Materiais!$E$5:$E$204,MATCH(C425,Materiais!$B$5:$B$204,0)),"Cadastre em Materiais"))</f>
        <v/>
      </c>
      <c r="G425" s="9"/>
    </row>
    <row r="426" customFormat="false" ht="21" hidden="false" customHeight="true" outlineLevel="0" collapsed="false">
      <c r="B426" s="9"/>
      <c r="C426" s="9"/>
      <c r="D426" s="42"/>
      <c r="E426" s="39" t="str">
        <f aca="false">IF(C426="","",IFERROR(INDEX(Materiais!$D$5:$D$204,MATCH(C426,Materiais!$B$5:$B$204,0)),"?"))</f>
        <v/>
      </c>
      <c r="F426" s="27" t="str">
        <f aca="false">IF(OR(C426="",D426=""),"",IFERROR(D426*INDEX(Materiais!$F$5:$F$204,MATCH(C426,Materiais!$B$5:$B$204,0))/INDEX(Materiais!$E$5:$E$204,MATCH(C426,Materiais!$B$5:$B$204,0)),"Cadastre em Materiais"))</f>
        <v/>
      </c>
      <c r="G426" s="9"/>
    </row>
    <row r="427" customFormat="false" ht="21" hidden="false" customHeight="true" outlineLevel="0" collapsed="false">
      <c r="B427" s="9"/>
      <c r="C427" s="9"/>
      <c r="D427" s="42"/>
      <c r="E427" s="39" t="str">
        <f aca="false">IF(C427="","",IFERROR(INDEX(Materiais!$D$5:$D$204,MATCH(C427,Materiais!$B$5:$B$204,0)),"?"))</f>
        <v/>
      </c>
      <c r="F427" s="27" t="str">
        <f aca="false">IF(OR(C427="",D427=""),"",IFERROR(D427*INDEX(Materiais!$F$5:$F$204,MATCH(C427,Materiais!$B$5:$B$204,0))/INDEX(Materiais!$E$5:$E$204,MATCH(C427,Materiais!$B$5:$B$204,0)),"Cadastre em Materiais"))</f>
        <v/>
      </c>
      <c r="G427" s="9"/>
    </row>
    <row r="428" customFormat="false" ht="21" hidden="false" customHeight="true" outlineLevel="0" collapsed="false">
      <c r="B428" s="9"/>
      <c r="C428" s="9"/>
      <c r="D428" s="42"/>
      <c r="E428" s="39" t="str">
        <f aca="false">IF(C428="","",IFERROR(INDEX(Materiais!$D$5:$D$204,MATCH(C428,Materiais!$B$5:$B$204,0)),"?"))</f>
        <v/>
      </c>
      <c r="F428" s="27" t="str">
        <f aca="false">IF(OR(C428="",D428=""),"",IFERROR(D428*INDEX(Materiais!$F$5:$F$204,MATCH(C428,Materiais!$B$5:$B$204,0))/INDEX(Materiais!$E$5:$E$204,MATCH(C428,Materiais!$B$5:$B$204,0)),"Cadastre em Materiais"))</f>
        <v/>
      </c>
      <c r="G428" s="9"/>
    </row>
    <row r="429" customFormat="false" ht="21" hidden="false" customHeight="true" outlineLevel="0" collapsed="false">
      <c r="B429" s="9"/>
      <c r="C429" s="9"/>
      <c r="D429" s="42"/>
      <c r="E429" s="39" t="str">
        <f aca="false">IF(C429="","",IFERROR(INDEX(Materiais!$D$5:$D$204,MATCH(C429,Materiais!$B$5:$B$204,0)),"?"))</f>
        <v/>
      </c>
      <c r="F429" s="27" t="str">
        <f aca="false">IF(OR(C429="",D429=""),"",IFERROR(D429*INDEX(Materiais!$F$5:$F$204,MATCH(C429,Materiais!$B$5:$B$204,0))/INDEX(Materiais!$E$5:$E$204,MATCH(C429,Materiais!$B$5:$B$204,0)),"Cadastre em Materiais"))</f>
        <v/>
      </c>
      <c r="G429" s="9"/>
    </row>
    <row r="430" customFormat="false" ht="21" hidden="false" customHeight="true" outlineLevel="0" collapsed="false">
      <c r="B430" s="9"/>
      <c r="C430" s="9"/>
      <c r="D430" s="42"/>
      <c r="E430" s="39" t="str">
        <f aca="false">IF(C430="","",IFERROR(INDEX(Materiais!$D$5:$D$204,MATCH(C430,Materiais!$B$5:$B$204,0)),"?"))</f>
        <v/>
      </c>
      <c r="F430" s="27" t="str">
        <f aca="false">IF(OR(C430="",D430=""),"",IFERROR(D430*INDEX(Materiais!$F$5:$F$204,MATCH(C430,Materiais!$B$5:$B$204,0))/INDEX(Materiais!$E$5:$E$204,MATCH(C430,Materiais!$B$5:$B$204,0)),"Cadastre em Materiais"))</f>
        <v/>
      </c>
      <c r="G430" s="9"/>
    </row>
    <row r="431" customFormat="false" ht="21" hidden="false" customHeight="true" outlineLevel="0" collapsed="false">
      <c r="B431" s="9"/>
      <c r="C431" s="9"/>
      <c r="D431" s="42"/>
      <c r="E431" s="39" t="str">
        <f aca="false">IF(C431="","",IFERROR(INDEX(Materiais!$D$5:$D$204,MATCH(C431,Materiais!$B$5:$B$204,0)),"?"))</f>
        <v/>
      </c>
      <c r="F431" s="27" t="str">
        <f aca="false">IF(OR(C431="",D431=""),"",IFERROR(D431*INDEX(Materiais!$F$5:$F$204,MATCH(C431,Materiais!$B$5:$B$204,0))/INDEX(Materiais!$E$5:$E$204,MATCH(C431,Materiais!$B$5:$B$204,0)),"Cadastre em Materiais"))</f>
        <v/>
      </c>
      <c r="G431" s="9"/>
    </row>
    <row r="432" customFormat="false" ht="21" hidden="false" customHeight="true" outlineLevel="0" collapsed="false">
      <c r="B432" s="9"/>
      <c r="C432" s="9"/>
      <c r="D432" s="42"/>
      <c r="E432" s="39" t="str">
        <f aca="false">IF(C432="","",IFERROR(INDEX(Materiais!$D$5:$D$204,MATCH(C432,Materiais!$B$5:$B$204,0)),"?"))</f>
        <v/>
      </c>
      <c r="F432" s="27" t="str">
        <f aca="false">IF(OR(C432="",D432=""),"",IFERROR(D432*INDEX(Materiais!$F$5:$F$204,MATCH(C432,Materiais!$B$5:$B$204,0))/INDEX(Materiais!$E$5:$E$204,MATCH(C432,Materiais!$B$5:$B$204,0)),"Cadastre em Materiais"))</f>
        <v/>
      </c>
      <c r="G432" s="9"/>
    </row>
    <row r="433" customFormat="false" ht="21" hidden="false" customHeight="true" outlineLevel="0" collapsed="false">
      <c r="B433" s="9"/>
      <c r="C433" s="9"/>
      <c r="D433" s="42"/>
      <c r="E433" s="39" t="str">
        <f aca="false">IF(C433="","",IFERROR(INDEX(Materiais!$D$5:$D$204,MATCH(C433,Materiais!$B$5:$B$204,0)),"?"))</f>
        <v/>
      </c>
      <c r="F433" s="27" t="str">
        <f aca="false">IF(OR(C433="",D433=""),"",IFERROR(D433*INDEX(Materiais!$F$5:$F$204,MATCH(C433,Materiais!$B$5:$B$204,0))/INDEX(Materiais!$E$5:$E$204,MATCH(C433,Materiais!$B$5:$B$204,0)),"Cadastre em Materiais"))</f>
        <v/>
      </c>
      <c r="G433" s="9"/>
    </row>
    <row r="434" customFormat="false" ht="21" hidden="false" customHeight="true" outlineLevel="0" collapsed="false">
      <c r="B434" s="9"/>
      <c r="C434" s="9"/>
      <c r="D434" s="42"/>
      <c r="E434" s="39" t="str">
        <f aca="false">IF(C434="","",IFERROR(INDEX(Materiais!$D$5:$D$204,MATCH(C434,Materiais!$B$5:$B$204,0)),"?"))</f>
        <v/>
      </c>
      <c r="F434" s="27" t="str">
        <f aca="false">IF(OR(C434="",D434=""),"",IFERROR(D434*INDEX(Materiais!$F$5:$F$204,MATCH(C434,Materiais!$B$5:$B$204,0))/INDEX(Materiais!$E$5:$E$204,MATCH(C434,Materiais!$B$5:$B$204,0)),"Cadastre em Materiais"))</f>
        <v/>
      </c>
      <c r="G434" s="9"/>
    </row>
    <row r="435" customFormat="false" ht="21" hidden="false" customHeight="true" outlineLevel="0" collapsed="false">
      <c r="B435" s="9"/>
      <c r="C435" s="9"/>
      <c r="D435" s="42"/>
      <c r="E435" s="39" t="str">
        <f aca="false">IF(C435="","",IFERROR(INDEX(Materiais!$D$5:$D$204,MATCH(C435,Materiais!$B$5:$B$204,0)),"?"))</f>
        <v/>
      </c>
      <c r="F435" s="27" t="str">
        <f aca="false">IF(OR(C435="",D435=""),"",IFERROR(D435*INDEX(Materiais!$F$5:$F$204,MATCH(C435,Materiais!$B$5:$B$204,0))/INDEX(Materiais!$E$5:$E$204,MATCH(C435,Materiais!$B$5:$B$204,0)),"Cadastre em Materiais"))</f>
        <v/>
      </c>
      <c r="G435" s="9"/>
    </row>
    <row r="436" customFormat="false" ht="21" hidden="false" customHeight="true" outlineLevel="0" collapsed="false">
      <c r="B436" s="9"/>
      <c r="C436" s="9"/>
      <c r="D436" s="42"/>
      <c r="E436" s="39" t="str">
        <f aca="false">IF(C436="","",IFERROR(INDEX(Materiais!$D$5:$D$204,MATCH(C436,Materiais!$B$5:$B$204,0)),"?"))</f>
        <v/>
      </c>
      <c r="F436" s="27" t="str">
        <f aca="false">IF(OR(C436="",D436=""),"",IFERROR(D436*INDEX(Materiais!$F$5:$F$204,MATCH(C436,Materiais!$B$5:$B$204,0))/INDEX(Materiais!$E$5:$E$204,MATCH(C436,Materiais!$B$5:$B$204,0)),"Cadastre em Materiais"))</f>
        <v/>
      </c>
      <c r="G436" s="9"/>
    </row>
    <row r="437" customFormat="false" ht="21" hidden="false" customHeight="true" outlineLevel="0" collapsed="false">
      <c r="B437" s="9"/>
      <c r="C437" s="9"/>
      <c r="D437" s="42"/>
      <c r="E437" s="39" t="str">
        <f aca="false">IF(C437="","",IFERROR(INDEX(Materiais!$D$5:$D$204,MATCH(C437,Materiais!$B$5:$B$204,0)),"?"))</f>
        <v/>
      </c>
      <c r="F437" s="27" t="str">
        <f aca="false">IF(OR(C437="",D437=""),"",IFERROR(D437*INDEX(Materiais!$F$5:$F$204,MATCH(C437,Materiais!$B$5:$B$204,0))/INDEX(Materiais!$E$5:$E$204,MATCH(C437,Materiais!$B$5:$B$204,0)),"Cadastre em Materiais"))</f>
        <v/>
      </c>
      <c r="G437" s="9"/>
    </row>
    <row r="438" customFormat="false" ht="21" hidden="false" customHeight="true" outlineLevel="0" collapsed="false">
      <c r="B438" s="9"/>
      <c r="C438" s="9"/>
      <c r="D438" s="42"/>
      <c r="E438" s="39" t="str">
        <f aca="false">IF(C438="","",IFERROR(INDEX(Materiais!$D$5:$D$204,MATCH(C438,Materiais!$B$5:$B$204,0)),"?"))</f>
        <v/>
      </c>
      <c r="F438" s="27" t="str">
        <f aca="false">IF(OR(C438="",D438=""),"",IFERROR(D438*INDEX(Materiais!$F$5:$F$204,MATCH(C438,Materiais!$B$5:$B$204,0))/INDEX(Materiais!$E$5:$E$204,MATCH(C438,Materiais!$B$5:$B$204,0)),"Cadastre em Materiais"))</f>
        <v/>
      </c>
      <c r="G438" s="9"/>
    </row>
    <row r="439" customFormat="false" ht="21" hidden="false" customHeight="true" outlineLevel="0" collapsed="false">
      <c r="B439" s="9"/>
      <c r="C439" s="9"/>
      <c r="D439" s="42"/>
      <c r="E439" s="39" t="str">
        <f aca="false">IF(C439="","",IFERROR(INDEX(Materiais!$D$5:$D$204,MATCH(C439,Materiais!$B$5:$B$204,0)),"?"))</f>
        <v/>
      </c>
      <c r="F439" s="27" t="str">
        <f aca="false">IF(OR(C439="",D439=""),"",IFERROR(D439*INDEX(Materiais!$F$5:$F$204,MATCH(C439,Materiais!$B$5:$B$204,0))/INDEX(Materiais!$E$5:$E$204,MATCH(C439,Materiais!$B$5:$B$204,0)),"Cadastre em Materiais"))</f>
        <v/>
      </c>
      <c r="G439" s="9"/>
    </row>
    <row r="440" customFormat="false" ht="21" hidden="false" customHeight="true" outlineLevel="0" collapsed="false">
      <c r="B440" s="9"/>
      <c r="C440" s="9"/>
      <c r="D440" s="42"/>
      <c r="E440" s="39" t="str">
        <f aca="false">IF(C440="","",IFERROR(INDEX(Materiais!$D$5:$D$204,MATCH(C440,Materiais!$B$5:$B$204,0)),"?"))</f>
        <v/>
      </c>
      <c r="F440" s="27" t="str">
        <f aca="false">IF(OR(C440="",D440=""),"",IFERROR(D440*INDEX(Materiais!$F$5:$F$204,MATCH(C440,Materiais!$B$5:$B$204,0))/INDEX(Materiais!$E$5:$E$204,MATCH(C440,Materiais!$B$5:$B$204,0)),"Cadastre em Materiais"))</f>
        <v/>
      </c>
      <c r="G440" s="9"/>
    </row>
    <row r="441" customFormat="false" ht="21" hidden="false" customHeight="true" outlineLevel="0" collapsed="false">
      <c r="B441" s="9"/>
      <c r="C441" s="9"/>
      <c r="D441" s="42"/>
      <c r="E441" s="39" t="str">
        <f aca="false">IF(C441="","",IFERROR(INDEX(Materiais!$D$5:$D$204,MATCH(C441,Materiais!$B$5:$B$204,0)),"?"))</f>
        <v/>
      </c>
      <c r="F441" s="27" t="str">
        <f aca="false">IF(OR(C441="",D441=""),"",IFERROR(D441*INDEX(Materiais!$F$5:$F$204,MATCH(C441,Materiais!$B$5:$B$204,0))/INDEX(Materiais!$E$5:$E$204,MATCH(C441,Materiais!$B$5:$B$204,0)),"Cadastre em Materiais"))</f>
        <v/>
      </c>
      <c r="G441" s="9"/>
    </row>
    <row r="442" customFormat="false" ht="21" hidden="false" customHeight="true" outlineLevel="0" collapsed="false">
      <c r="B442" s="9"/>
      <c r="C442" s="9"/>
      <c r="D442" s="42"/>
      <c r="E442" s="39" t="str">
        <f aca="false">IF(C442="","",IFERROR(INDEX(Materiais!$D$5:$D$204,MATCH(C442,Materiais!$B$5:$B$204,0)),"?"))</f>
        <v/>
      </c>
      <c r="F442" s="27" t="str">
        <f aca="false">IF(OR(C442="",D442=""),"",IFERROR(D442*INDEX(Materiais!$F$5:$F$204,MATCH(C442,Materiais!$B$5:$B$204,0))/INDEX(Materiais!$E$5:$E$204,MATCH(C442,Materiais!$B$5:$B$204,0)),"Cadastre em Materiais"))</f>
        <v/>
      </c>
      <c r="G442" s="9"/>
    </row>
    <row r="443" customFormat="false" ht="21" hidden="false" customHeight="true" outlineLevel="0" collapsed="false">
      <c r="B443" s="9"/>
      <c r="C443" s="9"/>
      <c r="D443" s="42"/>
      <c r="E443" s="39" t="str">
        <f aca="false">IF(C443="","",IFERROR(INDEX(Materiais!$D$5:$D$204,MATCH(C443,Materiais!$B$5:$B$204,0)),"?"))</f>
        <v/>
      </c>
      <c r="F443" s="27" t="str">
        <f aca="false">IF(OR(C443="",D443=""),"",IFERROR(D443*INDEX(Materiais!$F$5:$F$204,MATCH(C443,Materiais!$B$5:$B$204,0))/INDEX(Materiais!$E$5:$E$204,MATCH(C443,Materiais!$B$5:$B$204,0)),"Cadastre em Materiais"))</f>
        <v/>
      </c>
      <c r="G443" s="9"/>
    </row>
    <row r="444" customFormat="false" ht="21" hidden="false" customHeight="true" outlineLevel="0" collapsed="false">
      <c r="B444" s="9"/>
      <c r="C444" s="9"/>
      <c r="D444" s="42"/>
      <c r="E444" s="39" t="str">
        <f aca="false">IF(C444="","",IFERROR(INDEX(Materiais!$D$5:$D$204,MATCH(C444,Materiais!$B$5:$B$204,0)),"?"))</f>
        <v/>
      </c>
      <c r="F444" s="27" t="str">
        <f aca="false">IF(OR(C444="",D444=""),"",IFERROR(D444*INDEX(Materiais!$F$5:$F$204,MATCH(C444,Materiais!$B$5:$B$204,0))/INDEX(Materiais!$E$5:$E$204,MATCH(C444,Materiais!$B$5:$B$204,0)),"Cadastre em Materiais"))</f>
        <v/>
      </c>
      <c r="G444" s="9"/>
    </row>
    <row r="445" customFormat="false" ht="21" hidden="false" customHeight="true" outlineLevel="0" collapsed="false">
      <c r="B445" s="9"/>
      <c r="C445" s="9"/>
      <c r="D445" s="42"/>
      <c r="E445" s="39" t="str">
        <f aca="false">IF(C445="","",IFERROR(INDEX(Materiais!$D$5:$D$204,MATCH(C445,Materiais!$B$5:$B$204,0)),"?"))</f>
        <v/>
      </c>
      <c r="F445" s="27" t="str">
        <f aca="false">IF(OR(C445="",D445=""),"",IFERROR(D445*INDEX(Materiais!$F$5:$F$204,MATCH(C445,Materiais!$B$5:$B$204,0))/INDEX(Materiais!$E$5:$E$204,MATCH(C445,Materiais!$B$5:$B$204,0)),"Cadastre em Materiais"))</f>
        <v/>
      </c>
      <c r="G445" s="9"/>
    </row>
    <row r="446" customFormat="false" ht="21" hidden="false" customHeight="true" outlineLevel="0" collapsed="false">
      <c r="B446" s="9"/>
      <c r="C446" s="9"/>
      <c r="D446" s="42"/>
      <c r="E446" s="39" t="str">
        <f aca="false">IF(C446="","",IFERROR(INDEX(Materiais!$D$5:$D$204,MATCH(C446,Materiais!$B$5:$B$204,0)),"?"))</f>
        <v/>
      </c>
      <c r="F446" s="27" t="str">
        <f aca="false">IF(OR(C446="",D446=""),"",IFERROR(D446*INDEX(Materiais!$F$5:$F$204,MATCH(C446,Materiais!$B$5:$B$204,0))/INDEX(Materiais!$E$5:$E$204,MATCH(C446,Materiais!$B$5:$B$204,0)),"Cadastre em Materiais"))</f>
        <v/>
      </c>
      <c r="G446" s="9"/>
    </row>
    <row r="447" customFormat="false" ht="21" hidden="false" customHeight="true" outlineLevel="0" collapsed="false">
      <c r="B447" s="9"/>
      <c r="C447" s="9"/>
      <c r="D447" s="42"/>
      <c r="E447" s="39" t="str">
        <f aca="false">IF(C447="","",IFERROR(INDEX(Materiais!$D$5:$D$204,MATCH(C447,Materiais!$B$5:$B$204,0)),"?"))</f>
        <v/>
      </c>
      <c r="F447" s="27" t="str">
        <f aca="false">IF(OR(C447="",D447=""),"",IFERROR(D447*INDEX(Materiais!$F$5:$F$204,MATCH(C447,Materiais!$B$5:$B$204,0))/INDEX(Materiais!$E$5:$E$204,MATCH(C447,Materiais!$B$5:$B$204,0)),"Cadastre em Materiais"))</f>
        <v/>
      </c>
      <c r="G447" s="9"/>
    </row>
    <row r="448" customFormat="false" ht="21" hidden="false" customHeight="true" outlineLevel="0" collapsed="false">
      <c r="B448" s="9"/>
      <c r="C448" s="9"/>
      <c r="D448" s="42"/>
      <c r="E448" s="39" t="str">
        <f aca="false">IF(C448="","",IFERROR(INDEX(Materiais!$D$5:$D$204,MATCH(C448,Materiais!$B$5:$B$204,0)),"?"))</f>
        <v/>
      </c>
      <c r="F448" s="27" t="str">
        <f aca="false">IF(OR(C448="",D448=""),"",IFERROR(D448*INDEX(Materiais!$F$5:$F$204,MATCH(C448,Materiais!$B$5:$B$204,0))/INDEX(Materiais!$E$5:$E$204,MATCH(C448,Materiais!$B$5:$B$204,0)),"Cadastre em Materiais"))</f>
        <v/>
      </c>
      <c r="G448" s="9"/>
    </row>
    <row r="449" customFormat="false" ht="21" hidden="false" customHeight="true" outlineLevel="0" collapsed="false">
      <c r="B449" s="9"/>
      <c r="C449" s="9"/>
      <c r="D449" s="42"/>
      <c r="E449" s="39" t="str">
        <f aca="false">IF(C449="","",IFERROR(INDEX(Materiais!$D$5:$D$204,MATCH(C449,Materiais!$B$5:$B$204,0)),"?"))</f>
        <v/>
      </c>
      <c r="F449" s="27" t="str">
        <f aca="false">IF(OR(C449="",D449=""),"",IFERROR(D449*INDEX(Materiais!$F$5:$F$204,MATCH(C449,Materiais!$B$5:$B$204,0))/INDEX(Materiais!$E$5:$E$204,MATCH(C449,Materiais!$B$5:$B$204,0)),"Cadastre em Materiais"))</f>
        <v/>
      </c>
      <c r="G449" s="9"/>
    </row>
    <row r="450" customFormat="false" ht="21" hidden="false" customHeight="true" outlineLevel="0" collapsed="false">
      <c r="B450" s="9"/>
      <c r="C450" s="9"/>
      <c r="D450" s="42"/>
      <c r="E450" s="39" t="str">
        <f aca="false">IF(C450="","",IFERROR(INDEX(Materiais!$D$5:$D$204,MATCH(C450,Materiais!$B$5:$B$204,0)),"?"))</f>
        <v/>
      </c>
      <c r="F450" s="27" t="str">
        <f aca="false">IF(OR(C450="",D450=""),"",IFERROR(D450*INDEX(Materiais!$F$5:$F$204,MATCH(C450,Materiais!$B$5:$B$204,0))/INDEX(Materiais!$E$5:$E$204,MATCH(C450,Materiais!$B$5:$B$204,0)),"Cadastre em Materiais"))</f>
        <v/>
      </c>
      <c r="G450" s="9"/>
    </row>
    <row r="451" customFormat="false" ht="21" hidden="false" customHeight="true" outlineLevel="0" collapsed="false">
      <c r="B451" s="9"/>
      <c r="C451" s="9"/>
      <c r="D451" s="42"/>
      <c r="E451" s="39" t="str">
        <f aca="false">IF(C451="","",IFERROR(INDEX(Materiais!$D$5:$D$204,MATCH(C451,Materiais!$B$5:$B$204,0)),"?"))</f>
        <v/>
      </c>
      <c r="F451" s="27" t="str">
        <f aca="false">IF(OR(C451="",D451=""),"",IFERROR(D451*INDEX(Materiais!$F$5:$F$204,MATCH(C451,Materiais!$B$5:$B$204,0))/INDEX(Materiais!$E$5:$E$204,MATCH(C451,Materiais!$B$5:$B$204,0)),"Cadastre em Materiais"))</f>
        <v/>
      </c>
      <c r="G451" s="9"/>
    </row>
    <row r="452" customFormat="false" ht="21" hidden="false" customHeight="true" outlineLevel="0" collapsed="false">
      <c r="B452" s="9"/>
      <c r="C452" s="9"/>
      <c r="D452" s="42"/>
      <c r="E452" s="39" t="str">
        <f aca="false">IF(C452="","",IFERROR(INDEX(Materiais!$D$5:$D$204,MATCH(C452,Materiais!$B$5:$B$204,0)),"?"))</f>
        <v/>
      </c>
      <c r="F452" s="27" t="str">
        <f aca="false">IF(OR(C452="",D452=""),"",IFERROR(D452*INDEX(Materiais!$F$5:$F$204,MATCH(C452,Materiais!$B$5:$B$204,0))/INDEX(Materiais!$E$5:$E$204,MATCH(C452,Materiais!$B$5:$B$204,0)),"Cadastre em Materiais"))</f>
        <v/>
      </c>
      <c r="G452" s="9"/>
    </row>
    <row r="453" customFormat="false" ht="21" hidden="false" customHeight="true" outlineLevel="0" collapsed="false">
      <c r="B453" s="9"/>
      <c r="C453" s="9"/>
      <c r="D453" s="42"/>
      <c r="E453" s="39" t="str">
        <f aca="false">IF(C453="","",IFERROR(INDEX(Materiais!$D$5:$D$204,MATCH(C453,Materiais!$B$5:$B$204,0)),"?"))</f>
        <v/>
      </c>
      <c r="F453" s="27" t="str">
        <f aca="false">IF(OR(C453="",D453=""),"",IFERROR(D453*INDEX(Materiais!$F$5:$F$204,MATCH(C453,Materiais!$B$5:$B$204,0))/INDEX(Materiais!$E$5:$E$204,MATCH(C453,Materiais!$B$5:$B$204,0)),"Cadastre em Materiais"))</f>
        <v/>
      </c>
      <c r="G453" s="9"/>
    </row>
    <row r="454" customFormat="false" ht="21" hidden="false" customHeight="true" outlineLevel="0" collapsed="false">
      <c r="B454" s="9"/>
      <c r="C454" s="9"/>
      <c r="D454" s="42"/>
      <c r="E454" s="39" t="str">
        <f aca="false">IF(C454="","",IFERROR(INDEX(Materiais!$D$5:$D$204,MATCH(C454,Materiais!$B$5:$B$204,0)),"?"))</f>
        <v/>
      </c>
      <c r="F454" s="27" t="str">
        <f aca="false">IF(OR(C454="",D454=""),"",IFERROR(D454*INDEX(Materiais!$F$5:$F$204,MATCH(C454,Materiais!$B$5:$B$204,0))/INDEX(Materiais!$E$5:$E$204,MATCH(C454,Materiais!$B$5:$B$204,0)),"Cadastre em Materiais"))</f>
        <v/>
      </c>
      <c r="G454" s="9"/>
    </row>
    <row r="455" customFormat="false" ht="21" hidden="false" customHeight="true" outlineLevel="0" collapsed="false">
      <c r="B455" s="9"/>
      <c r="C455" s="9"/>
      <c r="D455" s="42"/>
      <c r="E455" s="39" t="str">
        <f aca="false">IF(C455="","",IFERROR(INDEX(Materiais!$D$5:$D$204,MATCH(C455,Materiais!$B$5:$B$204,0)),"?"))</f>
        <v/>
      </c>
      <c r="F455" s="27" t="str">
        <f aca="false">IF(OR(C455="",D455=""),"",IFERROR(D455*INDEX(Materiais!$F$5:$F$204,MATCH(C455,Materiais!$B$5:$B$204,0))/INDEX(Materiais!$E$5:$E$204,MATCH(C455,Materiais!$B$5:$B$204,0)),"Cadastre em Materiais"))</f>
        <v/>
      </c>
      <c r="G455" s="9"/>
    </row>
    <row r="456" customFormat="false" ht="21" hidden="false" customHeight="true" outlineLevel="0" collapsed="false">
      <c r="B456" s="9"/>
      <c r="C456" s="9"/>
      <c r="D456" s="42"/>
      <c r="E456" s="39" t="str">
        <f aca="false">IF(C456="","",IFERROR(INDEX(Materiais!$D$5:$D$204,MATCH(C456,Materiais!$B$5:$B$204,0)),"?"))</f>
        <v/>
      </c>
      <c r="F456" s="27" t="str">
        <f aca="false">IF(OR(C456="",D456=""),"",IFERROR(D456*INDEX(Materiais!$F$5:$F$204,MATCH(C456,Materiais!$B$5:$B$204,0))/INDEX(Materiais!$E$5:$E$204,MATCH(C456,Materiais!$B$5:$B$204,0)),"Cadastre em Materiais"))</f>
        <v/>
      </c>
      <c r="G456" s="9"/>
    </row>
    <row r="457" customFormat="false" ht="21" hidden="false" customHeight="true" outlineLevel="0" collapsed="false">
      <c r="B457" s="9"/>
      <c r="C457" s="9"/>
      <c r="D457" s="42"/>
      <c r="E457" s="39" t="str">
        <f aca="false">IF(C457="","",IFERROR(INDEX(Materiais!$D$5:$D$204,MATCH(C457,Materiais!$B$5:$B$204,0)),"?"))</f>
        <v/>
      </c>
      <c r="F457" s="27" t="str">
        <f aca="false">IF(OR(C457="",D457=""),"",IFERROR(D457*INDEX(Materiais!$F$5:$F$204,MATCH(C457,Materiais!$B$5:$B$204,0))/INDEX(Materiais!$E$5:$E$204,MATCH(C457,Materiais!$B$5:$B$204,0)),"Cadastre em Materiais"))</f>
        <v/>
      </c>
      <c r="G457" s="9"/>
    </row>
    <row r="458" customFormat="false" ht="21" hidden="false" customHeight="true" outlineLevel="0" collapsed="false">
      <c r="B458" s="9"/>
      <c r="C458" s="9"/>
      <c r="D458" s="42"/>
      <c r="E458" s="39" t="str">
        <f aca="false">IF(C458="","",IFERROR(INDEX(Materiais!$D$5:$D$204,MATCH(C458,Materiais!$B$5:$B$204,0)),"?"))</f>
        <v/>
      </c>
      <c r="F458" s="27" t="str">
        <f aca="false">IF(OR(C458="",D458=""),"",IFERROR(D458*INDEX(Materiais!$F$5:$F$204,MATCH(C458,Materiais!$B$5:$B$204,0))/INDEX(Materiais!$E$5:$E$204,MATCH(C458,Materiais!$B$5:$B$204,0)),"Cadastre em Materiais"))</f>
        <v/>
      </c>
      <c r="G458" s="9"/>
    </row>
    <row r="459" customFormat="false" ht="21" hidden="false" customHeight="true" outlineLevel="0" collapsed="false">
      <c r="B459" s="9"/>
      <c r="C459" s="9"/>
      <c r="D459" s="42"/>
      <c r="E459" s="39" t="str">
        <f aca="false">IF(C459="","",IFERROR(INDEX(Materiais!$D$5:$D$204,MATCH(C459,Materiais!$B$5:$B$204,0)),"?"))</f>
        <v/>
      </c>
      <c r="F459" s="27" t="str">
        <f aca="false">IF(OR(C459="",D459=""),"",IFERROR(D459*INDEX(Materiais!$F$5:$F$204,MATCH(C459,Materiais!$B$5:$B$204,0))/INDEX(Materiais!$E$5:$E$204,MATCH(C459,Materiais!$B$5:$B$204,0)),"Cadastre em Materiais"))</f>
        <v/>
      </c>
      <c r="G459" s="9"/>
    </row>
    <row r="460" customFormat="false" ht="21" hidden="false" customHeight="true" outlineLevel="0" collapsed="false">
      <c r="B460" s="9"/>
      <c r="C460" s="9"/>
      <c r="D460" s="42"/>
      <c r="E460" s="39" t="str">
        <f aca="false">IF(C460="","",IFERROR(INDEX(Materiais!$D$5:$D$204,MATCH(C460,Materiais!$B$5:$B$204,0)),"?"))</f>
        <v/>
      </c>
      <c r="F460" s="27" t="str">
        <f aca="false">IF(OR(C460="",D460=""),"",IFERROR(D460*INDEX(Materiais!$F$5:$F$204,MATCH(C460,Materiais!$B$5:$B$204,0))/INDEX(Materiais!$E$5:$E$204,MATCH(C460,Materiais!$B$5:$B$204,0)),"Cadastre em Materiais"))</f>
        <v/>
      </c>
      <c r="G460" s="9"/>
    </row>
    <row r="461" customFormat="false" ht="21" hidden="false" customHeight="true" outlineLevel="0" collapsed="false">
      <c r="B461" s="9"/>
      <c r="C461" s="9"/>
      <c r="D461" s="42"/>
      <c r="E461" s="39" t="str">
        <f aca="false">IF(C461="","",IFERROR(INDEX(Materiais!$D$5:$D$204,MATCH(C461,Materiais!$B$5:$B$204,0)),"?"))</f>
        <v/>
      </c>
      <c r="F461" s="27" t="str">
        <f aca="false">IF(OR(C461="",D461=""),"",IFERROR(D461*INDEX(Materiais!$F$5:$F$204,MATCH(C461,Materiais!$B$5:$B$204,0))/INDEX(Materiais!$E$5:$E$204,MATCH(C461,Materiais!$B$5:$B$204,0)),"Cadastre em Materiais"))</f>
        <v/>
      </c>
      <c r="G461" s="9"/>
    </row>
    <row r="462" customFormat="false" ht="21" hidden="false" customHeight="true" outlineLevel="0" collapsed="false">
      <c r="B462" s="9"/>
      <c r="C462" s="9"/>
      <c r="D462" s="42"/>
      <c r="E462" s="39" t="str">
        <f aca="false">IF(C462="","",IFERROR(INDEX(Materiais!$D$5:$D$204,MATCH(C462,Materiais!$B$5:$B$204,0)),"?"))</f>
        <v/>
      </c>
      <c r="F462" s="27" t="str">
        <f aca="false">IF(OR(C462="",D462=""),"",IFERROR(D462*INDEX(Materiais!$F$5:$F$204,MATCH(C462,Materiais!$B$5:$B$204,0))/INDEX(Materiais!$E$5:$E$204,MATCH(C462,Materiais!$B$5:$B$204,0)),"Cadastre em Materiais"))</f>
        <v/>
      </c>
      <c r="G462" s="9"/>
    </row>
    <row r="463" customFormat="false" ht="21" hidden="false" customHeight="true" outlineLevel="0" collapsed="false">
      <c r="B463" s="9"/>
      <c r="C463" s="9"/>
      <c r="D463" s="42"/>
      <c r="E463" s="39" t="str">
        <f aca="false">IF(C463="","",IFERROR(INDEX(Materiais!$D$5:$D$204,MATCH(C463,Materiais!$B$5:$B$204,0)),"?"))</f>
        <v/>
      </c>
      <c r="F463" s="27" t="str">
        <f aca="false">IF(OR(C463="",D463=""),"",IFERROR(D463*INDEX(Materiais!$F$5:$F$204,MATCH(C463,Materiais!$B$5:$B$204,0))/INDEX(Materiais!$E$5:$E$204,MATCH(C463,Materiais!$B$5:$B$204,0)),"Cadastre em Materiais"))</f>
        <v/>
      </c>
      <c r="G463" s="9"/>
    </row>
    <row r="464" customFormat="false" ht="21" hidden="false" customHeight="true" outlineLevel="0" collapsed="false">
      <c r="B464" s="9"/>
      <c r="C464" s="9"/>
      <c r="D464" s="42"/>
      <c r="E464" s="39" t="str">
        <f aca="false">IF(C464="","",IFERROR(INDEX(Materiais!$D$5:$D$204,MATCH(C464,Materiais!$B$5:$B$204,0)),"?"))</f>
        <v/>
      </c>
      <c r="F464" s="27" t="str">
        <f aca="false">IF(OR(C464="",D464=""),"",IFERROR(D464*INDEX(Materiais!$F$5:$F$204,MATCH(C464,Materiais!$B$5:$B$204,0))/INDEX(Materiais!$E$5:$E$204,MATCH(C464,Materiais!$B$5:$B$204,0)),"Cadastre em Materiais"))</f>
        <v/>
      </c>
      <c r="G464" s="9"/>
    </row>
    <row r="465" customFormat="false" ht="21" hidden="false" customHeight="true" outlineLevel="0" collapsed="false">
      <c r="B465" s="9"/>
      <c r="C465" s="9"/>
      <c r="D465" s="42"/>
      <c r="E465" s="39" t="str">
        <f aca="false">IF(C465="","",IFERROR(INDEX(Materiais!$D$5:$D$204,MATCH(C465,Materiais!$B$5:$B$204,0)),"?"))</f>
        <v/>
      </c>
      <c r="F465" s="27" t="str">
        <f aca="false">IF(OR(C465="",D465=""),"",IFERROR(D465*INDEX(Materiais!$F$5:$F$204,MATCH(C465,Materiais!$B$5:$B$204,0))/INDEX(Materiais!$E$5:$E$204,MATCH(C465,Materiais!$B$5:$B$204,0)),"Cadastre em Materiais"))</f>
        <v/>
      </c>
      <c r="G465" s="9"/>
    </row>
    <row r="466" customFormat="false" ht="21" hidden="false" customHeight="true" outlineLevel="0" collapsed="false">
      <c r="B466" s="9"/>
      <c r="C466" s="9"/>
      <c r="D466" s="42"/>
      <c r="E466" s="39" t="str">
        <f aca="false">IF(C466="","",IFERROR(INDEX(Materiais!$D$5:$D$204,MATCH(C466,Materiais!$B$5:$B$204,0)),"?"))</f>
        <v/>
      </c>
      <c r="F466" s="27" t="str">
        <f aca="false">IF(OR(C466="",D466=""),"",IFERROR(D466*INDEX(Materiais!$F$5:$F$204,MATCH(C466,Materiais!$B$5:$B$204,0))/INDEX(Materiais!$E$5:$E$204,MATCH(C466,Materiais!$B$5:$B$204,0)),"Cadastre em Materiais"))</f>
        <v/>
      </c>
      <c r="G466" s="9"/>
    </row>
    <row r="467" customFormat="false" ht="21" hidden="false" customHeight="true" outlineLevel="0" collapsed="false">
      <c r="B467" s="9"/>
      <c r="C467" s="9"/>
      <c r="D467" s="42"/>
      <c r="E467" s="39" t="str">
        <f aca="false">IF(C467="","",IFERROR(INDEX(Materiais!$D$5:$D$204,MATCH(C467,Materiais!$B$5:$B$204,0)),"?"))</f>
        <v/>
      </c>
      <c r="F467" s="27" t="str">
        <f aca="false">IF(OR(C467="",D467=""),"",IFERROR(D467*INDEX(Materiais!$F$5:$F$204,MATCH(C467,Materiais!$B$5:$B$204,0))/INDEX(Materiais!$E$5:$E$204,MATCH(C467,Materiais!$B$5:$B$204,0)),"Cadastre em Materiais"))</f>
        <v/>
      </c>
      <c r="G467" s="9"/>
    </row>
    <row r="468" customFormat="false" ht="21" hidden="false" customHeight="true" outlineLevel="0" collapsed="false">
      <c r="B468" s="9"/>
      <c r="C468" s="9"/>
      <c r="D468" s="42"/>
      <c r="E468" s="39" t="str">
        <f aca="false">IF(C468="","",IFERROR(INDEX(Materiais!$D$5:$D$204,MATCH(C468,Materiais!$B$5:$B$204,0)),"?"))</f>
        <v/>
      </c>
      <c r="F468" s="27" t="str">
        <f aca="false">IF(OR(C468="",D468=""),"",IFERROR(D468*INDEX(Materiais!$F$5:$F$204,MATCH(C468,Materiais!$B$5:$B$204,0))/INDEX(Materiais!$E$5:$E$204,MATCH(C468,Materiais!$B$5:$B$204,0)),"Cadastre em Materiais"))</f>
        <v/>
      </c>
      <c r="G468" s="9"/>
    </row>
    <row r="469" customFormat="false" ht="21" hidden="false" customHeight="true" outlineLevel="0" collapsed="false">
      <c r="B469" s="9"/>
      <c r="C469" s="9"/>
      <c r="D469" s="42"/>
      <c r="E469" s="39" t="str">
        <f aca="false">IF(C469="","",IFERROR(INDEX(Materiais!$D$5:$D$204,MATCH(C469,Materiais!$B$5:$B$204,0)),"?"))</f>
        <v/>
      </c>
      <c r="F469" s="27" t="str">
        <f aca="false">IF(OR(C469="",D469=""),"",IFERROR(D469*INDEX(Materiais!$F$5:$F$204,MATCH(C469,Materiais!$B$5:$B$204,0))/INDEX(Materiais!$E$5:$E$204,MATCH(C469,Materiais!$B$5:$B$204,0)),"Cadastre em Materiais"))</f>
        <v/>
      </c>
      <c r="G469" s="9"/>
    </row>
    <row r="470" customFormat="false" ht="21" hidden="false" customHeight="true" outlineLevel="0" collapsed="false">
      <c r="B470" s="9"/>
      <c r="C470" s="9"/>
      <c r="D470" s="42"/>
      <c r="E470" s="39" t="str">
        <f aca="false">IF(C470="","",IFERROR(INDEX(Materiais!$D$5:$D$204,MATCH(C470,Materiais!$B$5:$B$204,0)),"?"))</f>
        <v/>
      </c>
      <c r="F470" s="27" t="str">
        <f aca="false">IF(OR(C470="",D470=""),"",IFERROR(D470*INDEX(Materiais!$F$5:$F$204,MATCH(C470,Materiais!$B$5:$B$204,0))/INDEX(Materiais!$E$5:$E$204,MATCH(C470,Materiais!$B$5:$B$204,0)),"Cadastre em Materiais"))</f>
        <v/>
      </c>
      <c r="G470" s="9"/>
    </row>
    <row r="471" customFormat="false" ht="21" hidden="false" customHeight="true" outlineLevel="0" collapsed="false">
      <c r="B471" s="9"/>
      <c r="C471" s="9"/>
      <c r="D471" s="42"/>
      <c r="E471" s="39" t="str">
        <f aca="false">IF(C471="","",IFERROR(INDEX(Materiais!$D$5:$D$204,MATCH(C471,Materiais!$B$5:$B$204,0)),"?"))</f>
        <v/>
      </c>
      <c r="F471" s="27" t="str">
        <f aca="false">IF(OR(C471="",D471=""),"",IFERROR(D471*INDEX(Materiais!$F$5:$F$204,MATCH(C471,Materiais!$B$5:$B$204,0))/INDEX(Materiais!$E$5:$E$204,MATCH(C471,Materiais!$B$5:$B$204,0)),"Cadastre em Materiais"))</f>
        <v/>
      </c>
      <c r="G471" s="9"/>
    </row>
    <row r="472" customFormat="false" ht="21" hidden="false" customHeight="true" outlineLevel="0" collapsed="false">
      <c r="B472" s="9"/>
      <c r="C472" s="9"/>
      <c r="D472" s="42"/>
      <c r="E472" s="39" t="str">
        <f aca="false">IF(C472="","",IFERROR(INDEX(Materiais!$D$5:$D$204,MATCH(C472,Materiais!$B$5:$B$204,0)),"?"))</f>
        <v/>
      </c>
      <c r="F472" s="27" t="str">
        <f aca="false">IF(OR(C472="",D472=""),"",IFERROR(D472*INDEX(Materiais!$F$5:$F$204,MATCH(C472,Materiais!$B$5:$B$204,0))/INDEX(Materiais!$E$5:$E$204,MATCH(C472,Materiais!$B$5:$B$204,0)),"Cadastre em Materiais"))</f>
        <v/>
      </c>
      <c r="G472" s="9"/>
    </row>
    <row r="473" customFormat="false" ht="21" hidden="false" customHeight="true" outlineLevel="0" collapsed="false">
      <c r="B473" s="9"/>
      <c r="C473" s="9"/>
      <c r="D473" s="42"/>
      <c r="E473" s="39" t="str">
        <f aca="false">IF(C473="","",IFERROR(INDEX(Materiais!$D$5:$D$204,MATCH(C473,Materiais!$B$5:$B$204,0)),"?"))</f>
        <v/>
      </c>
      <c r="F473" s="27" t="str">
        <f aca="false">IF(OR(C473="",D473=""),"",IFERROR(D473*INDEX(Materiais!$F$5:$F$204,MATCH(C473,Materiais!$B$5:$B$204,0))/INDEX(Materiais!$E$5:$E$204,MATCH(C473,Materiais!$B$5:$B$204,0)),"Cadastre em Materiais"))</f>
        <v/>
      </c>
      <c r="G473" s="9"/>
    </row>
    <row r="474" customFormat="false" ht="21" hidden="false" customHeight="true" outlineLevel="0" collapsed="false">
      <c r="B474" s="9"/>
      <c r="C474" s="9"/>
      <c r="D474" s="42"/>
      <c r="E474" s="39" t="str">
        <f aca="false">IF(C474="","",IFERROR(INDEX(Materiais!$D$5:$D$204,MATCH(C474,Materiais!$B$5:$B$204,0)),"?"))</f>
        <v/>
      </c>
      <c r="F474" s="27" t="str">
        <f aca="false">IF(OR(C474="",D474=""),"",IFERROR(D474*INDEX(Materiais!$F$5:$F$204,MATCH(C474,Materiais!$B$5:$B$204,0))/INDEX(Materiais!$E$5:$E$204,MATCH(C474,Materiais!$B$5:$B$204,0)),"Cadastre em Materiais"))</f>
        <v/>
      </c>
      <c r="G474" s="9"/>
    </row>
    <row r="475" customFormat="false" ht="21" hidden="false" customHeight="true" outlineLevel="0" collapsed="false">
      <c r="B475" s="9"/>
      <c r="C475" s="9"/>
      <c r="D475" s="42"/>
      <c r="E475" s="39" t="str">
        <f aca="false">IF(C475="","",IFERROR(INDEX(Materiais!$D$5:$D$204,MATCH(C475,Materiais!$B$5:$B$204,0)),"?"))</f>
        <v/>
      </c>
      <c r="F475" s="27" t="str">
        <f aca="false">IF(OR(C475="",D475=""),"",IFERROR(D475*INDEX(Materiais!$F$5:$F$204,MATCH(C475,Materiais!$B$5:$B$204,0))/INDEX(Materiais!$E$5:$E$204,MATCH(C475,Materiais!$B$5:$B$204,0)),"Cadastre em Materiais"))</f>
        <v/>
      </c>
      <c r="G475" s="9"/>
    </row>
    <row r="476" customFormat="false" ht="21" hidden="false" customHeight="true" outlineLevel="0" collapsed="false">
      <c r="B476" s="9"/>
      <c r="C476" s="9"/>
      <c r="D476" s="42"/>
      <c r="E476" s="39" t="str">
        <f aca="false">IF(C476="","",IFERROR(INDEX(Materiais!$D$5:$D$204,MATCH(C476,Materiais!$B$5:$B$204,0)),"?"))</f>
        <v/>
      </c>
      <c r="F476" s="27" t="str">
        <f aca="false">IF(OR(C476="",D476=""),"",IFERROR(D476*INDEX(Materiais!$F$5:$F$204,MATCH(C476,Materiais!$B$5:$B$204,0))/INDEX(Materiais!$E$5:$E$204,MATCH(C476,Materiais!$B$5:$B$204,0)),"Cadastre em Materiais"))</f>
        <v/>
      </c>
      <c r="G476" s="9"/>
    </row>
    <row r="477" customFormat="false" ht="21" hidden="false" customHeight="true" outlineLevel="0" collapsed="false">
      <c r="B477" s="9"/>
      <c r="C477" s="9"/>
      <c r="D477" s="42"/>
      <c r="E477" s="39" t="str">
        <f aca="false">IF(C477="","",IFERROR(INDEX(Materiais!$D$5:$D$204,MATCH(C477,Materiais!$B$5:$B$204,0)),"?"))</f>
        <v/>
      </c>
      <c r="F477" s="27" t="str">
        <f aca="false">IF(OR(C477="",D477=""),"",IFERROR(D477*INDEX(Materiais!$F$5:$F$204,MATCH(C477,Materiais!$B$5:$B$204,0))/INDEX(Materiais!$E$5:$E$204,MATCH(C477,Materiais!$B$5:$B$204,0)),"Cadastre em Materiais"))</f>
        <v/>
      </c>
      <c r="G477" s="9"/>
    </row>
    <row r="478" customFormat="false" ht="21" hidden="false" customHeight="true" outlineLevel="0" collapsed="false">
      <c r="B478" s="9"/>
      <c r="C478" s="9"/>
      <c r="D478" s="42"/>
      <c r="E478" s="39" t="str">
        <f aca="false">IF(C478="","",IFERROR(INDEX(Materiais!$D$5:$D$204,MATCH(C478,Materiais!$B$5:$B$204,0)),"?"))</f>
        <v/>
      </c>
      <c r="F478" s="27" t="str">
        <f aca="false">IF(OR(C478="",D478=""),"",IFERROR(D478*INDEX(Materiais!$F$5:$F$204,MATCH(C478,Materiais!$B$5:$B$204,0))/INDEX(Materiais!$E$5:$E$204,MATCH(C478,Materiais!$B$5:$B$204,0)),"Cadastre em Materiais"))</f>
        <v/>
      </c>
      <c r="G478" s="9"/>
    </row>
    <row r="479" customFormat="false" ht="21" hidden="false" customHeight="true" outlineLevel="0" collapsed="false">
      <c r="B479" s="9"/>
      <c r="C479" s="9"/>
      <c r="D479" s="42"/>
      <c r="E479" s="39" t="str">
        <f aca="false">IF(C479="","",IFERROR(INDEX(Materiais!$D$5:$D$204,MATCH(C479,Materiais!$B$5:$B$204,0)),"?"))</f>
        <v/>
      </c>
      <c r="F479" s="27" t="str">
        <f aca="false">IF(OR(C479="",D479=""),"",IFERROR(D479*INDEX(Materiais!$F$5:$F$204,MATCH(C479,Materiais!$B$5:$B$204,0))/INDEX(Materiais!$E$5:$E$204,MATCH(C479,Materiais!$B$5:$B$204,0)),"Cadastre em Materiais"))</f>
        <v/>
      </c>
      <c r="G479" s="9"/>
    </row>
    <row r="480" customFormat="false" ht="21" hidden="false" customHeight="true" outlineLevel="0" collapsed="false">
      <c r="B480" s="9"/>
      <c r="C480" s="9"/>
      <c r="D480" s="42"/>
      <c r="E480" s="39" t="str">
        <f aca="false">IF(C480="","",IFERROR(INDEX(Materiais!$D$5:$D$204,MATCH(C480,Materiais!$B$5:$B$204,0)),"?"))</f>
        <v/>
      </c>
      <c r="F480" s="27" t="str">
        <f aca="false">IF(OR(C480="",D480=""),"",IFERROR(D480*INDEX(Materiais!$F$5:$F$204,MATCH(C480,Materiais!$B$5:$B$204,0))/INDEX(Materiais!$E$5:$E$204,MATCH(C480,Materiais!$B$5:$B$204,0)),"Cadastre em Materiais"))</f>
        <v/>
      </c>
      <c r="G480" s="9"/>
    </row>
    <row r="481" customFormat="false" ht="21" hidden="false" customHeight="true" outlineLevel="0" collapsed="false">
      <c r="B481" s="9"/>
      <c r="C481" s="9"/>
      <c r="D481" s="42"/>
      <c r="E481" s="39" t="str">
        <f aca="false">IF(C481="","",IFERROR(INDEX(Materiais!$D$5:$D$204,MATCH(C481,Materiais!$B$5:$B$204,0)),"?"))</f>
        <v/>
      </c>
      <c r="F481" s="27" t="str">
        <f aca="false">IF(OR(C481="",D481=""),"",IFERROR(D481*INDEX(Materiais!$F$5:$F$204,MATCH(C481,Materiais!$B$5:$B$204,0))/INDEX(Materiais!$E$5:$E$204,MATCH(C481,Materiais!$B$5:$B$204,0)),"Cadastre em Materiais"))</f>
        <v/>
      </c>
      <c r="G481" s="9"/>
    </row>
    <row r="482" customFormat="false" ht="21" hidden="false" customHeight="true" outlineLevel="0" collapsed="false">
      <c r="B482" s="9"/>
      <c r="C482" s="9"/>
      <c r="D482" s="42"/>
      <c r="E482" s="39" t="str">
        <f aca="false">IF(C482="","",IFERROR(INDEX(Materiais!$D$5:$D$204,MATCH(C482,Materiais!$B$5:$B$204,0)),"?"))</f>
        <v/>
      </c>
      <c r="F482" s="27" t="str">
        <f aca="false">IF(OR(C482="",D482=""),"",IFERROR(D482*INDEX(Materiais!$F$5:$F$204,MATCH(C482,Materiais!$B$5:$B$204,0))/INDEX(Materiais!$E$5:$E$204,MATCH(C482,Materiais!$B$5:$B$204,0)),"Cadastre em Materiais"))</f>
        <v/>
      </c>
      <c r="G482" s="9"/>
    </row>
    <row r="483" customFormat="false" ht="21" hidden="false" customHeight="true" outlineLevel="0" collapsed="false">
      <c r="B483" s="9"/>
      <c r="C483" s="9"/>
      <c r="D483" s="42"/>
      <c r="E483" s="39" t="str">
        <f aca="false">IF(C483="","",IFERROR(INDEX(Materiais!$D$5:$D$204,MATCH(C483,Materiais!$B$5:$B$204,0)),"?"))</f>
        <v/>
      </c>
      <c r="F483" s="27" t="str">
        <f aca="false">IF(OR(C483="",D483=""),"",IFERROR(D483*INDEX(Materiais!$F$5:$F$204,MATCH(C483,Materiais!$B$5:$B$204,0))/INDEX(Materiais!$E$5:$E$204,MATCH(C483,Materiais!$B$5:$B$204,0)),"Cadastre em Materiais"))</f>
        <v/>
      </c>
      <c r="G483" s="9"/>
    </row>
    <row r="484" customFormat="false" ht="21" hidden="false" customHeight="true" outlineLevel="0" collapsed="false">
      <c r="B484" s="9"/>
      <c r="C484" s="9"/>
      <c r="D484" s="42"/>
      <c r="E484" s="39" t="str">
        <f aca="false">IF(C484="","",IFERROR(INDEX(Materiais!$D$5:$D$204,MATCH(C484,Materiais!$B$5:$B$204,0)),"?"))</f>
        <v/>
      </c>
      <c r="F484" s="27" t="str">
        <f aca="false">IF(OR(C484="",D484=""),"",IFERROR(D484*INDEX(Materiais!$F$5:$F$204,MATCH(C484,Materiais!$B$5:$B$204,0))/INDEX(Materiais!$E$5:$E$204,MATCH(C484,Materiais!$B$5:$B$204,0)),"Cadastre em Materiais"))</f>
        <v/>
      </c>
      <c r="G484" s="9"/>
    </row>
    <row r="485" customFormat="false" ht="21" hidden="false" customHeight="true" outlineLevel="0" collapsed="false">
      <c r="B485" s="9"/>
      <c r="C485" s="9"/>
      <c r="D485" s="42"/>
      <c r="E485" s="39" t="str">
        <f aca="false">IF(C485="","",IFERROR(INDEX(Materiais!$D$5:$D$204,MATCH(C485,Materiais!$B$5:$B$204,0)),"?"))</f>
        <v/>
      </c>
      <c r="F485" s="27" t="str">
        <f aca="false">IF(OR(C485="",D485=""),"",IFERROR(D485*INDEX(Materiais!$F$5:$F$204,MATCH(C485,Materiais!$B$5:$B$204,0))/INDEX(Materiais!$E$5:$E$204,MATCH(C485,Materiais!$B$5:$B$204,0)),"Cadastre em Materiais"))</f>
        <v/>
      </c>
      <c r="G485" s="9"/>
    </row>
    <row r="486" customFormat="false" ht="21" hidden="false" customHeight="true" outlineLevel="0" collapsed="false">
      <c r="B486" s="9"/>
      <c r="C486" s="9"/>
      <c r="D486" s="42"/>
      <c r="E486" s="39" t="str">
        <f aca="false">IF(C486="","",IFERROR(INDEX(Materiais!$D$5:$D$204,MATCH(C486,Materiais!$B$5:$B$204,0)),"?"))</f>
        <v/>
      </c>
      <c r="F486" s="27" t="str">
        <f aca="false">IF(OR(C486="",D486=""),"",IFERROR(D486*INDEX(Materiais!$F$5:$F$204,MATCH(C486,Materiais!$B$5:$B$204,0))/INDEX(Materiais!$E$5:$E$204,MATCH(C486,Materiais!$B$5:$B$204,0)),"Cadastre em Materiais"))</f>
        <v/>
      </c>
      <c r="G486" s="9"/>
    </row>
    <row r="487" customFormat="false" ht="21" hidden="false" customHeight="true" outlineLevel="0" collapsed="false">
      <c r="B487" s="9"/>
      <c r="C487" s="9"/>
      <c r="D487" s="42"/>
      <c r="E487" s="39" t="str">
        <f aca="false">IF(C487="","",IFERROR(INDEX(Materiais!$D$5:$D$204,MATCH(C487,Materiais!$B$5:$B$204,0)),"?"))</f>
        <v/>
      </c>
      <c r="F487" s="27" t="str">
        <f aca="false">IF(OR(C487="",D487=""),"",IFERROR(D487*INDEX(Materiais!$F$5:$F$204,MATCH(C487,Materiais!$B$5:$B$204,0))/INDEX(Materiais!$E$5:$E$204,MATCH(C487,Materiais!$B$5:$B$204,0)),"Cadastre em Materiais"))</f>
        <v/>
      </c>
      <c r="G487" s="9"/>
    </row>
    <row r="488" customFormat="false" ht="21" hidden="false" customHeight="true" outlineLevel="0" collapsed="false">
      <c r="B488" s="9"/>
      <c r="C488" s="9"/>
      <c r="D488" s="42"/>
      <c r="E488" s="39" t="str">
        <f aca="false">IF(C488="","",IFERROR(INDEX(Materiais!$D$5:$D$204,MATCH(C488,Materiais!$B$5:$B$204,0)),"?"))</f>
        <v/>
      </c>
      <c r="F488" s="27" t="str">
        <f aca="false">IF(OR(C488="",D488=""),"",IFERROR(D488*INDEX(Materiais!$F$5:$F$204,MATCH(C488,Materiais!$B$5:$B$204,0))/INDEX(Materiais!$E$5:$E$204,MATCH(C488,Materiais!$B$5:$B$204,0)),"Cadastre em Materiais"))</f>
        <v/>
      </c>
      <c r="G488" s="9"/>
    </row>
    <row r="489" customFormat="false" ht="21" hidden="false" customHeight="true" outlineLevel="0" collapsed="false">
      <c r="B489" s="9"/>
      <c r="C489" s="9"/>
      <c r="D489" s="42"/>
      <c r="E489" s="39" t="str">
        <f aca="false">IF(C489="","",IFERROR(INDEX(Materiais!$D$5:$D$204,MATCH(C489,Materiais!$B$5:$B$204,0)),"?"))</f>
        <v/>
      </c>
      <c r="F489" s="27" t="str">
        <f aca="false">IF(OR(C489="",D489=""),"",IFERROR(D489*INDEX(Materiais!$F$5:$F$204,MATCH(C489,Materiais!$B$5:$B$204,0))/INDEX(Materiais!$E$5:$E$204,MATCH(C489,Materiais!$B$5:$B$204,0)),"Cadastre em Materiais"))</f>
        <v/>
      </c>
      <c r="G489" s="9"/>
    </row>
    <row r="490" customFormat="false" ht="21" hidden="false" customHeight="true" outlineLevel="0" collapsed="false">
      <c r="B490" s="9"/>
      <c r="C490" s="9"/>
      <c r="D490" s="42"/>
      <c r="E490" s="39" t="str">
        <f aca="false">IF(C490="","",IFERROR(INDEX(Materiais!$D$5:$D$204,MATCH(C490,Materiais!$B$5:$B$204,0)),"?"))</f>
        <v/>
      </c>
      <c r="F490" s="27" t="str">
        <f aca="false">IF(OR(C490="",D490=""),"",IFERROR(D490*INDEX(Materiais!$F$5:$F$204,MATCH(C490,Materiais!$B$5:$B$204,0))/INDEX(Materiais!$E$5:$E$204,MATCH(C490,Materiais!$B$5:$B$204,0)),"Cadastre em Materiais"))</f>
        <v/>
      </c>
      <c r="G490" s="9"/>
    </row>
    <row r="491" customFormat="false" ht="21" hidden="false" customHeight="true" outlineLevel="0" collapsed="false">
      <c r="B491" s="9"/>
      <c r="C491" s="9"/>
      <c r="D491" s="42"/>
      <c r="E491" s="39" t="str">
        <f aca="false">IF(C491="","",IFERROR(INDEX(Materiais!$D$5:$D$204,MATCH(C491,Materiais!$B$5:$B$204,0)),"?"))</f>
        <v/>
      </c>
      <c r="F491" s="27" t="str">
        <f aca="false">IF(OR(C491="",D491=""),"",IFERROR(D491*INDEX(Materiais!$F$5:$F$204,MATCH(C491,Materiais!$B$5:$B$204,0))/INDEX(Materiais!$E$5:$E$204,MATCH(C491,Materiais!$B$5:$B$204,0)),"Cadastre em Materiais"))</f>
        <v/>
      </c>
      <c r="G491" s="9"/>
    </row>
    <row r="492" customFormat="false" ht="21" hidden="false" customHeight="true" outlineLevel="0" collapsed="false">
      <c r="B492" s="9"/>
      <c r="C492" s="9"/>
      <c r="D492" s="42"/>
      <c r="E492" s="39" t="str">
        <f aca="false">IF(C492="","",IFERROR(INDEX(Materiais!$D$5:$D$204,MATCH(C492,Materiais!$B$5:$B$204,0)),"?"))</f>
        <v/>
      </c>
      <c r="F492" s="27" t="str">
        <f aca="false">IF(OR(C492="",D492=""),"",IFERROR(D492*INDEX(Materiais!$F$5:$F$204,MATCH(C492,Materiais!$B$5:$B$204,0))/INDEX(Materiais!$E$5:$E$204,MATCH(C492,Materiais!$B$5:$B$204,0)),"Cadastre em Materiais"))</f>
        <v/>
      </c>
      <c r="G492" s="9"/>
    </row>
    <row r="493" customFormat="false" ht="21" hidden="false" customHeight="true" outlineLevel="0" collapsed="false">
      <c r="B493" s="9"/>
      <c r="C493" s="9"/>
      <c r="D493" s="42"/>
      <c r="E493" s="39" t="str">
        <f aca="false">IF(C493="","",IFERROR(INDEX(Materiais!$D$5:$D$204,MATCH(C493,Materiais!$B$5:$B$204,0)),"?"))</f>
        <v/>
      </c>
      <c r="F493" s="27" t="str">
        <f aca="false">IF(OR(C493="",D493=""),"",IFERROR(D493*INDEX(Materiais!$F$5:$F$204,MATCH(C493,Materiais!$B$5:$B$204,0))/INDEX(Materiais!$E$5:$E$204,MATCH(C493,Materiais!$B$5:$B$204,0)),"Cadastre em Materiais"))</f>
        <v/>
      </c>
      <c r="G493" s="9"/>
    </row>
    <row r="494" customFormat="false" ht="21" hidden="false" customHeight="true" outlineLevel="0" collapsed="false">
      <c r="B494" s="9"/>
      <c r="C494" s="9"/>
      <c r="D494" s="42"/>
      <c r="E494" s="39" t="str">
        <f aca="false">IF(C494="","",IFERROR(INDEX(Materiais!$D$5:$D$204,MATCH(C494,Materiais!$B$5:$B$204,0)),"?"))</f>
        <v/>
      </c>
      <c r="F494" s="27" t="str">
        <f aca="false">IF(OR(C494="",D494=""),"",IFERROR(D494*INDEX(Materiais!$F$5:$F$204,MATCH(C494,Materiais!$B$5:$B$204,0))/INDEX(Materiais!$E$5:$E$204,MATCH(C494,Materiais!$B$5:$B$204,0)),"Cadastre em Materiais"))</f>
        <v/>
      </c>
      <c r="G494" s="9"/>
    </row>
    <row r="495" customFormat="false" ht="21" hidden="false" customHeight="true" outlineLevel="0" collapsed="false">
      <c r="B495" s="9"/>
      <c r="C495" s="9"/>
      <c r="D495" s="42"/>
      <c r="E495" s="39" t="str">
        <f aca="false">IF(C495="","",IFERROR(INDEX(Materiais!$D$5:$D$204,MATCH(C495,Materiais!$B$5:$B$204,0)),"?"))</f>
        <v/>
      </c>
      <c r="F495" s="27" t="str">
        <f aca="false">IF(OR(C495="",D495=""),"",IFERROR(D495*INDEX(Materiais!$F$5:$F$204,MATCH(C495,Materiais!$B$5:$B$204,0))/INDEX(Materiais!$E$5:$E$204,MATCH(C495,Materiais!$B$5:$B$204,0)),"Cadastre em Materiais"))</f>
        <v/>
      </c>
      <c r="G495" s="9"/>
    </row>
    <row r="496" customFormat="false" ht="21" hidden="false" customHeight="true" outlineLevel="0" collapsed="false">
      <c r="B496" s="9"/>
      <c r="C496" s="9"/>
      <c r="D496" s="42"/>
      <c r="E496" s="39" t="str">
        <f aca="false">IF(C496="","",IFERROR(INDEX(Materiais!$D$5:$D$204,MATCH(C496,Materiais!$B$5:$B$204,0)),"?"))</f>
        <v/>
      </c>
      <c r="F496" s="27" t="str">
        <f aca="false">IF(OR(C496="",D496=""),"",IFERROR(D496*INDEX(Materiais!$F$5:$F$204,MATCH(C496,Materiais!$B$5:$B$204,0))/INDEX(Materiais!$E$5:$E$204,MATCH(C496,Materiais!$B$5:$B$204,0)),"Cadastre em Materiais"))</f>
        <v/>
      </c>
      <c r="G496" s="9"/>
    </row>
    <row r="497" customFormat="false" ht="21" hidden="false" customHeight="true" outlineLevel="0" collapsed="false">
      <c r="B497" s="9"/>
      <c r="C497" s="9"/>
      <c r="D497" s="42"/>
      <c r="E497" s="39" t="str">
        <f aca="false">IF(C497="","",IFERROR(INDEX(Materiais!$D$5:$D$204,MATCH(C497,Materiais!$B$5:$B$204,0)),"?"))</f>
        <v/>
      </c>
      <c r="F497" s="27" t="str">
        <f aca="false">IF(OR(C497="",D497=""),"",IFERROR(D497*INDEX(Materiais!$F$5:$F$204,MATCH(C497,Materiais!$B$5:$B$204,0))/INDEX(Materiais!$E$5:$E$204,MATCH(C497,Materiais!$B$5:$B$204,0)),"Cadastre em Materiais"))</f>
        <v/>
      </c>
      <c r="G497" s="9"/>
    </row>
    <row r="498" customFormat="false" ht="21" hidden="false" customHeight="true" outlineLevel="0" collapsed="false">
      <c r="B498" s="9"/>
      <c r="C498" s="9"/>
      <c r="D498" s="42"/>
      <c r="E498" s="39" t="str">
        <f aca="false">IF(C498="","",IFERROR(INDEX(Materiais!$D$5:$D$204,MATCH(C498,Materiais!$B$5:$B$204,0)),"?"))</f>
        <v/>
      </c>
      <c r="F498" s="27" t="str">
        <f aca="false">IF(OR(C498="",D498=""),"",IFERROR(D498*INDEX(Materiais!$F$5:$F$204,MATCH(C498,Materiais!$B$5:$B$204,0))/INDEX(Materiais!$E$5:$E$204,MATCH(C498,Materiais!$B$5:$B$204,0)),"Cadastre em Materiais"))</f>
        <v/>
      </c>
      <c r="G498" s="9"/>
    </row>
    <row r="499" customFormat="false" ht="21" hidden="false" customHeight="true" outlineLevel="0" collapsed="false">
      <c r="B499" s="9"/>
      <c r="C499" s="9"/>
      <c r="D499" s="42"/>
      <c r="E499" s="39" t="str">
        <f aca="false">IF(C499="","",IFERROR(INDEX(Materiais!$D$5:$D$204,MATCH(C499,Materiais!$B$5:$B$204,0)),"?"))</f>
        <v/>
      </c>
      <c r="F499" s="27" t="str">
        <f aca="false">IF(OR(C499="",D499=""),"",IFERROR(D499*INDEX(Materiais!$F$5:$F$204,MATCH(C499,Materiais!$B$5:$B$204,0))/INDEX(Materiais!$E$5:$E$204,MATCH(C499,Materiais!$B$5:$B$204,0)),"Cadastre em Materiais"))</f>
        <v/>
      </c>
      <c r="G499" s="9"/>
    </row>
    <row r="500" customFormat="false" ht="21" hidden="false" customHeight="true" outlineLevel="0" collapsed="false">
      <c r="B500" s="9"/>
      <c r="C500" s="9"/>
      <c r="D500" s="42"/>
      <c r="E500" s="39" t="str">
        <f aca="false">IF(C500="","",IFERROR(INDEX(Materiais!$D$5:$D$204,MATCH(C500,Materiais!$B$5:$B$204,0)),"?"))</f>
        <v/>
      </c>
      <c r="F500" s="27" t="str">
        <f aca="false">IF(OR(C500="",D500=""),"",IFERROR(D500*INDEX(Materiais!$F$5:$F$204,MATCH(C500,Materiais!$B$5:$B$204,0))/INDEX(Materiais!$E$5:$E$204,MATCH(C500,Materiais!$B$5:$B$204,0)),"Cadastre em Materiais"))</f>
        <v/>
      </c>
      <c r="G500" s="9"/>
    </row>
    <row r="501" customFormat="false" ht="21" hidden="false" customHeight="true" outlineLevel="0" collapsed="false">
      <c r="B501" s="9"/>
      <c r="C501" s="9"/>
      <c r="D501" s="42"/>
      <c r="E501" s="39" t="str">
        <f aca="false">IF(C501="","",IFERROR(INDEX(Materiais!$D$5:$D$204,MATCH(C501,Materiais!$B$5:$B$204,0)),"?"))</f>
        <v/>
      </c>
      <c r="F501" s="27" t="str">
        <f aca="false">IF(OR(C501="",D501=""),"",IFERROR(D501*INDEX(Materiais!$F$5:$F$204,MATCH(C501,Materiais!$B$5:$B$204,0))/INDEX(Materiais!$E$5:$E$204,MATCH(C501,Materiais!$B$5:$B$204,0)),"Cadastre em Materiais"))</f>
        <v/>
      </c>
      <c r="G501" s="9"/>
    </row>
    <row r="502" customFormat="false" ht="21" hidden="false" customHeight="true" outlineLevel="0" collapsed="false">
      <c r="B502" s="9"/>
      <c r="C502" s="9"/>
      <c r="D502" s="42"/>
      <c r="E502" s="39" t="str">
        <f aca="false">IF(C502="","",IFERROR(INDEX(Materiais!$D$5:$D$204,MATCH(C502,Materiais!$B$5:$B$204,0)),"?"))</f>
        <v/>
      </c>
      <c r="F502" s="27" t="str">
        <f aca="false">IF(OR(C502="",D502=""),"",IFERROR(D502*INDEX(Materiais!$F$5:$F$204,MATCH(C502,Materiais!$B$5:$B$204,0))/INDEX(Materiais!$E$5:$E$204,MATCH(C502,Materiais!$B$5:$B$204,0)),"Cadastre em Materiais"))</f>
        <v/>
      </c>
      <c r="G502" s="9"/>
    </row>
    <row r="503" customFormat="false" ht="21" hidden="false" customHeight="true" outlineLevel="0" collapsed="false">
      <c r="B503" s="9"/>
      <c r="C503" s="9"/>
      <c r="D503" s="42"/>
      <c r="E503" s="39" t="str">
        <f aca="false">IF(C503="","",IFERROR(INDEX(Materiais!$D$5:$D$204,MATCH(C503,Materiais!$B$5:$B$204,0)),"?"))</f>
        <v/>
      </c>
      <c r="F503" s="27" t="str">
        <f aca="false">IF(OR(C503="",D503=""),"",IFERROR(D503*INDEX(Materiais!$F$5:$F$204,MATCH(C503,Materiais!$B$5:$B$204,0))/INDEX(Materiais!$E$5:$E$204,MATCH(C503,Materiais!$B$5:$B$204,0)),"Cadastre em Materiais"))</f>
        <v/>
      </c>
      <c r="G503" s="9"/>
    </row>
    <row r="504" customFormat="false" ht="21" hidden="false" customHeight="true" outlineLevel="0" collapsed="false">
      <c r="B504" s="9"/>
      <c r="C504" s="9"/>
      <c r="D504" s="42"/>
      <c r="E504" s="39" t="str">
        <f aca="false">IF(C504="","",IFERROR(INDEX(Materiais!$D$5:$D$204,MATCH(C504,Materiais!$B$5:$B$204,0)),"?"))</f>
        <v/>
      </c>
      <c r="F504" s="27" t="str">
        <f aca="false">IF(OR(C504="",D504=""),"",IFERROR(D504*INDEX(Materiais!$F$5:$F$204,MATCH(C504,Materiais!$B$5:$B$204,0))/INDEX(Materiais!$E$5:$E$204,MATCH(C504,Materiais!$B$5:$B$204,0)),"Cadastre em Materiais"))</f>
        <v/>
      </c>
      <c r="G504" s="9"/>
    </row>
  </sheetData>
  <mergeCells count="2">
    <mergeCell ref="B1:G1"/>
    <mergeCell ref="B2:G2"/>
  </mergeCells>
  <conditionalFormatting sqref="F5:F504">
    <cfRule type="expression" priority="2" aboveAverage="0" equalAverage="0" bottom="0" percent="0" rank="0" text="" dxfId="1">
      <formula>ISTEXT(F5)*(F5&lt;&gt;"")</formula>
    </cfRule>
  </conditionalFormatting>
  <dataValidations count="2">
    <dataValidation allowBlank="true" errorStyle="stop" operator="between" prompt="Escolha da lista. Para um produto novo, cadastre antes na aba Produtos." promptTitle="Produto" showDropDown="false" showErrorMessage="false" showInputMessage="true" sqref="B5:B504" type="list">
      <formula1>Produtos!$B$5:$B$104</formula1>
      <formula2>0</formula2>
    </dataValidation>
    <dataValidation allowBlank="true" errorStyle="stop" operator="between" prompt="Escolha da lista. Se não estiver, cadastre na aba Materiais." promptTitle="O que vai" showDropDown="false" showErrorMessage="false" showInputMessage="true" sqref="C5:C504" type="list">
      <formula1>Materiais!$B$5:$B$204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573"/>
    <pageSetUpPr fitToPage="true"/>
  </sheetPr>
  <dimension ref="B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9.75" hidden="false" customHeight="true" outlineLevel="0" collapsed="false">
      <c r="B1" s="1" t="s">
        <v>6</v>
      </c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B2" s="2" t="s">
        <v>187</v>
      </c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43.5" hidden="false" customHeight="true" outlineLevel="0" collapsed="false">
      <c r="B4" s="40" t="s">
        <v>188</v>
      </c>
      <c r="C4" s="40" t="s">
        <v>189</v>
      </c>
      <c r="D4" s="40" t="s">
        <v>190</v>
      </c>
      <c r="E4" s="40" t="s">
        <v>191</v>
      </c>
      <c r="F4" s="40" t="s">
        <v>192</v>
      </c>
      <c r="G4" s="18" t="s">
        <v>193</v>
      </c>
      <c r="H4" s="18"/>
      <c r="I4" s="40" t="s">
        <v>194</v>
      </c>
      <c r="J4" s="40" t="s">
        <v>195</v>
      </c>
    </row>
    <row r="5" customFormat="false" ht="21" hidden="false" customHeight="true" outlineLevel="0" collapsed="false">
      <c r="B5" s="9" t="s">
        <v>168</v>
      </c>
      <c r="C5" s="42" t="s">
        <v>196</v>
      </c>
      <c r="D5" s="42" t="s">
        <v>197</v>
      </c>
      <c r="E5" s="42" t="n">
        <v>395</v>
      </c>
      <c r="F5" s="43" t="n">
        <v>6.49</v>
      </c>
      <c r="G5" s="27" t="n">
        <f aca="false">IF(OR(B5="",E5="",F5="",N(E5)=0),"",IF(OR(D5="g",D5="ml"),F5/E5*1000,F5/E5))</f>
        <v>16.4303797468354</v>
      </c>
      <c r="H5" s="23" t="str">
        <f aca="false">IF(G5="","",IF(D5="g","o quilo",IF(D5="ml","o litro","a unidade")))</f>
        <v>o quilo</v>
      </c>
      <c r="I5" s="9" t="s">
        <v>198</v>
      </c>
      <c r="J5" s="41" t="n">
        <v>46325</v>
      </c>
    </row>
    <row r="6" customFormat="false" ht="21" hidden="false" customHeight="true" outlineLevel="0" collapsed="false">
      <c r="B6" s="9" t="s">
        <v>170</v>
      </c>
      <c r="C6" s="42" t="s">
        <v>196</v>
      </c>
      <c r="D6" s="42" t="s">
        <v>197</v>
      </c>
      <c r="E6" s="42" t="n">
        <v>200</v>
      </c>
      <c r="F6" s="43" t="n">
        <v>3.29</v>
      </c>
      <c r="G6" s="27" t="n">
        <f aca="false">IF(OR(B6="",E6="",F6="",N(E6)=0),"",IF(OR(D6="g",D6="ml"),F6/E6*1000,F6/E6))</f>
        <v>16.45</v>
      </c>
      <c r="H6" s="23" t="str">
        <f aca="false">IF(G6="","",IF(D6="g","o quilo",IF(D6="ml","o litro","a unidade")))</f>
        <v>o quilo</v>
      </c>
      <c r="I6" s="9" t="s">
        <v>198</v>
      </c>
      <c r="J6" s="41" t="n">
        <v>46325</v>
      </c>
    </row>
    <row r="7" customFormat="false" ht="21" hidden="false" customHeight="true" outlineLevel="0" collapsed="false">
      <c r="B7" s="9" t="s">
        <v>162</v>
      </c>
      <c r="C7" s="42" t="s">
        <v>196</v>
      </c>
      <c r="D7" s="42" t="s">
        <v>197</v>
      </c>
      <c r="E7" s="42" t="n">
        <v>200</v>
      </c>
      <c r="F7" s="43" t="n">
        <v>9.9</v>
      </c>
      <c r="G7" s="27" t="n">
        <f aca="false">IF(OR(B7="",E7="",F7="",N(E7)=0),"",IF(OR(D7="g",D7="ml"),F7/E7*1000,F7/E7))</f>
        <v>49.5</v>
      </c>
      <c r="H7" s="23" t="str">
        <f aca="false">IF(G7="","",IF(D7="g","o quilo",IF(D7="ml","o litro","a unidade")))</f>
        <v>o quilo</v>
      </c>
      <c r="I7" s="9" t="s">
        <v>198</v>
      </c>
      <c r="J7" s="41" t="n">
        <v>46325</v>
      </c>
    </row>
    <row r="8" customFormat="false" ht="21" hidden="false" customHeight="true" outlineLevel="0" collapsed="false">
      <c r="B8" s="9" t="s">
        <v>173</v>
      </c>
      <c r="C8" s="42" t="s">
        <v>196</v>
      </c>
      <c r="D8" s="42" t="s">
        <v>197</v>
      </c>
      <c r="E8" s="42" t="n">
        <v>500</v>
      </c>
      <c r="F8" s="43" t="n">
        <v>14.9</v>
      </c>
      <c r="G8" s="27" t="n">
        <f aca="false">IF(OR(B8="",E8="",F8="",N(E8)=0),"",IF(OR(D8="g",D8="ml"),F8/E8*1000,F8/E8))</f>
        <v>29.8</v>
      </c>
      <c r="H8" s="23" t="str">
        <f aca="false">IF(G8="","",IF(D8="g","o quilo",IF(D8="ml","o litro","a unidade")))</f>
        <v>o quilo</v>
      </c>
      <c r="I8" s="9" t="s">
        <v>199</v>
      </c>
      <c r="J8" s="41" t="n">
        <v>46325</v>
      </c>
    </row>
    <row r="9" customFormat="false" ht="21" hidden="false" customHeight="true" outlineLevel="0" collapsed="false">
      <c r="B9" s="9" t="s">
        <v>172</v>
      </c>
      <c r="C9" s="42" t="s">
        <v>196</v>
      </c>
      <c r="D9" s="42" t="s">
        <v>197</v>
      </c>
      <c r="E9" s="42" t="n">
        <v>200</v>
      </c>
      <c r="F9" s="43" t="n">
        <v>9.9</v>
      </c>
      <c r="G9" s="27" t="n">
        <f aca="false">IF(OR(B9="",E9="",F9="",N(E9)=0),"",IF(OR(D9="g",D9="ml"),F9/E9*1000,F9/E9))</f>
        <v>49.5</v>
      </c>
      <c r="H9" s="23" t="str">
        <f aca="false">IF(G9="","",IF(D9="g","o quilo",IF(D9="ml","o litro","a unidade")))</f>
        <v>o quilo</v>
      </c>
      <c r="I9" s="9" t="s">
        <v>198</v>
      </c>
      <c r="J9" s="41" t="n">
        <v>46325</v>
      </c>
    </row>
    <row r="10" customFormat="false" ht="21" hidden="false" customHeight="true" outlineLevel="0" collapsed="false">
      <c r="B10" s="9" t="s">
        <v>161</v>
      </c>
      <c r="C10" s="42" t="s">
        <v>196</v>
      </c>
      <c r="D10" s="42" t="s">
        <v>197</v>
      </c>
      <c r="E10" s="42" t="n">
        <v>1000</v>
      </c>
      <c r="F10" s="43" t="n">
        <v>4.79</v>
      </c>
      <c r="G10" s="27" t="n">
        <f aca="false">IF(OR(B10="",E10="",F10="",N(E10)=0),"",IF(OR(D10="g",D10="ml"),F10/E10*1000,F10/E10))</f>
        <v>4.79</v>
      </c>
      <c r="H10" s="23" t="str">
        <f aca="false">IF(G10="","",IF(D10="g","o quilo",IF(D10="ml","o litro","a unidade")))</f>
        <v>o quilo</v>
      </c>
      <c r="I10" s="9" t="s">
        <v>198</v>
      </c>
      <c r="J10" s="41" t="n">
        <v>46325</v>
      </c>
    </row>
    <row r="11" customFormat="false" ht="21" hidden="false" customHeight="true" outlineLevel="0" collapsed="false">
      <c r="B11" s="9" t="s">
        <v>159</v>
      </c>
      <c r="C11" s="42" t="s">
        <v>196</v>
      </c>
      <c r="D11" s="42" t="s">
        <v>197</v>
      </c>
      <c r="E11" s="42" t="n">
        <v>1000</v>
      </c>
      <c r="F11" s="43" t="n">
        <v>5.49</v>
      </c>
      <c r="G11" s="27" t="n">
        <f aca="false">IF(OR(B11="",E11="",F11="",N(E11)=0),"",IF(OR(D11="g",D11="ml"),F11/E11*1000,F11/E11))</f>
        <v>5.49</v>
      </c>
      <c r="H11" s="23" t="str">
        <f aca="false">IF(G11="","",IF(D11="g","o quilo",IF(D11="ml","o litro","a unidade")))</f>
        <v>o quilo</v>
      </c>
      <c r="I11" s="9" t="s">
        <v>198</v>
      </c>
      <c r="J11" s="41" t="n">
        <v>46325</v>
      </c>
    </row>
    <row r="12" customFormat="false" ht="21" hidden="false" customHeight="true" outlineLevel="0" collapsed="false">
      <c r="B12" s="9" t="s">
        <v>164</v>
      </c>
      <c r="C12" s="42" t="s">
        <v>196</v>
      </c>
      <c r="D12" s="42" t="s">
        <v>200</v>
      </c>
      <c r="E12" s="42" t="n">
        <v>30</v>
      </c>
      <c r="F12" s="43" t="n">
        <v>19.9</v>
      </c>
      <c r="G12" s="27" t="n">
        <f aca="false">IF(OR(B12="",E12="",F12="",N(E12)=0),"",IF(OR(D12="g",D12="ml"),F12/E12*1000,F12/E12))</f>
        <v>0.663333333333333</v>
      </c>
      <c r="H12" s="23" t="str">
        <f aca="false">IF(G12="","",IF(D12="g","o quilo",IF(D12="ml","o litro","a unidade")))</f>
        <v>a unidade</v>
      </c>
      <c r="I12" s="9" t="s">
        <v>201</v>
      </c>
      <c r="J12" s="41" t="n">
        <v>46325</v>
      </c>
    </row>
    <row r="13" customFormat="false" ht="21" hidden="false" customHeight="true" outlineLevel="0" collapsed="false">
      <c r="B13" s="9" t="s">
        <v>165</v>
      </c>
      <c r="C13" s="42" t="s">
        <v>196</v>
      </c>
      <c r="D13" s="42" t="s">
        <v>202</v>
      </c>
      <c r="E13" s="42" t="n">
        <v>1000</v>
      </c>
      <c r="F13" s="43" t="n">
        <v>5.29</v>
      </c>
      <c r="G13" s="27" t="n">
        <f aca="false">IF(OR(B13="",E13="",F13="",N(E13)=0),"",IF(OR(D13="g",D13="ml"),F13/E13*1000,F13/E13))</f>
        <v>5.29</v>
      </c>
      <c r="H13" s="23" t="str">
        <f aca="false">IF(G13="","",IF(D13="g","o quilo",IF(D13="ml","o litro","a unidade")))</f>
        <v>o litro</v>
      </c>
      <c r="I13" s="9" t="s">
        <v>198</v>
      </c>
      <c r="J13" s="41" t="n">
        <v>46325</v>
      </c>
    </row>
    <row r="14" customFormat="false" ht="21" hidden="false" customHeight="true" outlineLevel="0" collapsed="false">
      <c r="B14" s="9" t="s">
        <v>166</v>
      </c>
      <c r="C14" s="42" t="s">
        <v>196</v>
      </c>
      <c r="D14" s="42" t="s">
        <v>202</v>
      </c>
      <c r="E14" s="42" t="n">
        <v>900</v>
      </c>
      <c r="F14" s="43" t="n">
        <v>7.99</v>
      </c>
      <c r="G14" s="27" t="n">
        <f aca="false">IF(OR(B14="",E14="",F14="",N(E14)=0),"",IF(OR(D14="g",D14="ml"),F14/E14*1000,F14/E14))</f>
        <v>8.87777777777778</v>
      </c>
      <c r="H14" s="23" t="str">
        <f aca="false">IF(G14="","",IF(D14="g","o quilo",IF(D14="ml","o litro","a unidade")))</f>
        <v>o litro</v>
      </c>
      <c r="I14" s="9" t="s">
        <v>198</v>
      </c>
      <c r="J14" s="41" t="n">
        <v>46325</v>
      </c>
    </row>
    <row r="15" customFormat="false" ht="21" hidden="false" customHeight="true" outlineLevel="0" collapsed="false">
      <c r="B15" s="9" t="s">
        <v>167</v>
      </c>
      <c r="C15" s="42" t="s">
        <v>196</v>
      </c>
      <c r="D15" s="42" t="s">
        <v>197</v>
      </c>
      <c r="E15" s="42" t="n">
        <v>100</v>
      </c>
      <c r="F15" s="43" t="n">
        <v>3.99</v>
      </c>
      <c r="G15" s="27" t="n">
        <f aca="false">IF(OR(B15="",E15="",F15="",N(E15)=0),"",IF(OR(D15="g",D15="ml"),F15/E15*1000,F15/E15))</f>
        <v>39.9</v>
      </c>
      <c r="H15" s="23" t="str">
        <f aca="false">IF(G15="","",IF(D15="g","o quilo",IF(D15="ml","o litro","a unidade")))</f>
        <v>o quilo</v>
      </c>
      <c r="I15" s="9" t="s">
        <v>198</v>
      </c>
      <c r="J15" s="41" t="n">
        <v>46325</v>
      </c>
    </row>
    <row r="16" customFormat="false" ht="21" hidden="false" customHeight="true" outlineLevel="0" collapsed="false">
      <c r="B16" s="9" t="s">
        <v>178</v>
      </c>
      <c r="C16" s="42" t="s">
        <v>196</v>
      </c>
      <c r="D16" s="42" t="s">
        <v>197</v>
      </c>
      <c r="E16" s="42" t="n">
        <v>1000</v>
      </c>
      <c r="F16" s="43" t="n">
        <v>21.9</v>
      </c>
      <c r="G16" s="27" t="n">
        <f aca="false">IF(OR(B16="",E16="",F16="",N(E16)=0),"",IF(OR(D16="g",D16="ml"),F16/E16*1000,F16/E16))</f>
        <v>21.9</v>
      </c>
      <c r="H16" s="23" t="str">
        <f aca="false">IF(G16="","",IF(D16="g","o quilo",IF(D16="ml","o litro","a unidade")))</f>
        <v>o quilo</v>
      </c>
      <c r="I16" s="9" t="s">
        <v>203</v>
      </c>
      <c r="J16" s="41" t="n">
        <v>46325</v>
      </c>
    </row>
    <row r="17" customFormat="false" ht="21" hidden="false" customHeight="true" outlineLevel="0" collapsed="false">
      <c r="B17" s="9" t="s">
        <v>179</v>
      </c>
      <c r="C17" s="42" t="s">
        <v>196</v>
      </c>
      <c r="D17" s="42" t="s">
        <v>197</v>
      </c>
      <c r="E17" s="42" t="n">
        <v>400</v>
      </c>
      <c r="F17" s="43" t="n">
        <v>10.9</v>
      </c>
      <c r="G17" s="27" t="n">
        <f aca="false">IF(OR(B17="",E17="",F17="",N(E17)=0),"",IF(OR(D17="g",D17="ml"),F17/E17*1000,F17/E17))</f>
        <v>27.25</v>
      </c>
      <c r="H17" s="23" t="str">
        <f aca="false">IF(G17="","",IF(D17="g","o quilo",IF(D17="ml","o litro","a unidade")))</f>
        <v>o quilo</v>
      </c>
      <c r="I17" s="9" t="s">
        <v>198</v>
      </c>
      <c r="J17" s="41" t="n">
        <v>46325</v>
      </c>
    </row>
    <row r="18" customFormat="false" ht="21" hidden="false" customHeight="true" outlineLevel="0" collapsed="false">
      <c r="B18" s="9" t="s">
        <v>180</v>
      </c>
      <c r="C18" s="42" t="s">
        <v>196</v>
      </c>
      <c r="D18" s="42" t="s">
        <v>197</v>
      </c>
      <c r="E18" s="42" t="n">
        <v>1000</v>
      </c>
      <c r="F18" s="43" t="n">
        <v>5.99</v>
      </c>
      <c r="G18" s="27" t="n">
        <f aca="false">IF(OR(B18="",E18="",F18="",N(E18)=0),"",IF(OR(D18="g",D18="ml"),F18/E18*1000,F18/E18))</f>
        <v>5.99</v>
      </c>
      <c r="H18" s="23" t="str">
        <f aca="false">IF(G18="","",IF(D18="g","o quilo",IF(D18="ml","o litro","a unidade")))</f>
        <v>o quilo</v>
      </c>
      <c r="I18" s="9" t="s">
        <v>201</v>
      </c>
      <c r="J18" s="41" t="n">
        <v>46325</v>
      </c>
    </row>
    <row r="19" customFormat="false" ht="21" hidden="false" customHeight="true" outlineLevel="0" collapsed="false">
      <c r="B19" s="9" t="s">
        <v>181</v>
      </c>
      <c r="C19" s="42" t="s">
        <v>196</v>
      </c>
      <c r="D19" s="42" t="s">
        <v>197</v>
      </c>
      <c r="E19" s="42" t="n">
        <v>1000</v>
      </c>
      <c r="F19" s="43" t="n">
        <v>2.99</v>
      </c>
      <c r="G19" s="27" t="n">
        <f aca="false">IF(OR(B19="",E19="",F19="",N(E19)=0),"",IF(OR(D19="g",D19="ml"),F19/E19*1000,F19/E19))</f>
        <v>2.99</v>
      </c>
      <c r="H19" s="23" t="str">
        <f aca="false">IF(G19="","",IF(D19="g","o quilo",IF(D19="ml","o litro","a unidade")))</f>
        <v>o quilo</v>
      </c>
      <c r="I19" s="9" t="s">
        <v>198</v>
      </c>
      <c r="J19" s="41" t="n">
        <v>46325</v>
      </c>
    </row>
    <row r="20" customFormat="false" ht="21" hidden="false" customHeight="true" outlineLevel="0" collapsed="false">
      <c r="B20" s="9" t="s">
        <v>183</v>
      </c>
      <c r="C20" s="42" t="s">
        <v>196</v>
      </c>
      <c r="D20" s="42" t="s">
        <v>197</v>
      </c>
      <c r="E20" s="42" t="n">
        <v>500</v>
      </c>
      <c r="F20" s="43" t="n">
        <v>6.9</v>
      </c>
      <c r="G20" s="27" t="n">
        <f aca="false">IF(OR(B20="",E20="",F20="",N(E20)=0),"",IF(OR(D20="g",D20="ml"),F20/E20*1000,F20/E20))</f>
        <v>13.8</v>
      </c>
      <c r="H20" s="23" t="str">
        <f aca="false">IF(G20="","",IF(D20="g","o quilo",IF(D20="ml","o litro","a unidade")))</f>
        <v>o quilo</v>
      </c>
      <c r="I20" s="9" t="s">
        <v>198</v>
      </c>
      <c r="J20" s="41" t="n">
        <v>46325</v>
      </c>
    </row>
    <row r="21" customFormat="false" ht="21" hidden="false" customHeight="true" outlineLevel="0" collapsed="false">
      <c r="B21" s="9" t="s">
        <v>175</v>
      </c>
      <c r="C21" s="42" t="s">
        <v>204</v>
      </c>
      <c r="D21" s="42" t="s">
        <v>200</v>
      </c>
      <c r="E21" s="42" t="n">
        <v>50</v>
      </c>
      <c r="F21" s="43" t="n">
        <v>39.9</v>
      </c>
      <c r="G21" s="27" t="n">
        <f aca="false">IF(OR(B21="",E21="",F21="",N(E21)=0),"",IF(OR(D21="g",D21="ml"),F21/E21*1000,F21/E21))</f>
        <v>0.798</v>
      </c>
      <c r="H21" s="23" t="str">
        <f aca="false">IF(G21="","",IF(D21="g","o quilo",IF(D21="ml","o litro","a unidade")))</f>
        <v>a unidade</v>
      </c>
      <c r="I21" s="9" t="s">
        <v>205</v>
      </c>
      <c r="J21" s="41" t="n">
        <v>46325</v>
      </c>
    </row>
    <row r="22" customFormat="false" ht="21" hidden="false" customHeight="true" outlineLevel="0" collapsed="false">
      <c r="B22" s="9" t="s">
        <v>176</v>
      </c>
      <c r="C22" s="42" t="s">
        <v>204</v>
      </c>
      <c r="D22" s="42" t="s">
        <v>200</v>
      </c>
      <c r="E22" s="42" t="n">
        <v>50</v>
      </c>
      <c r="F22" s="43" t="n">
        <v>7.9</v>
      </c>
      <c r="G22" s="27" t="n">
        <f aca="false">IF(OR(B22="",E22="",F22="",N(E22)=0),"",IF(OR(D22="g",D22="ml"),F22/E22*1000,F22/E22))</f>
        <v>0.158</v>
      </c>
      <c r="H22" s="23" t="str">
        <f aca="false">IF(G22="","",IF(D22="g","o quilo",IF(D22="ml","o litro","a unidade")))</f>
        <v>a unidade</v>
      </c>
      <c r="I22" s="9" t="s">
        <v>205</v>
      </c>
      <c r="J22" s="41" t="n">
        <v>46325</v>
      </c>
    </row>
    <row r="23" customFormat="false" ht="21" hidden="false" customHeight="true" outlineLevel="0" collapsed="false">
      <c r="B23" s="9" t="s">
        <v>177</v>
      </c>
      <c r="C23" s="42" t="s">
        <v>204</v>
      </c>
      <c r="D23" s="42" t="s">
        <v>200</v>
      </c>
      <c r="E23" s="42" t="n">
        <v>100</v>
      </c>
      <c r="F23" s="43" t="n">
        <v>15</v>
      </c>
      <c r="G23" s="27" t="n">
        <f aca="false">IF(OR(B23="",E23="",F23="",N(E23)=0),"",IF(OR(D23="g",D23="ml"),F23/E23*1000,F23/E23))</f>
        <v>0.15</v>
      </c>
      <c r="H23" s="23" t="str">
        <f aca="false">IF(G23="","",IF(D23="g","o quilo",IF(D23="ml","o litro","a unidade")))</f>
        <v>a unidade</v>
      </c>
      <c r="I23" s="9" t="s">
        <v>206</v>
      </c>
      <c r="J23" s="41" t="n">
        <v>46325</v>
      </c>
    </row>
    <row r="24" customFormat="false" ht="21" hidden="false" customHeight="true" outlineLevel="0" collapsed="false">
      <c r="B24" s="9" t="s">
        <v>186</v>
      </c>
      <c r="C24" s="42" t="s">
        <v>204</v>
      </c>
      <c r="D24" s="42" t="s">
        <v>200</v>
      </c>
      <c r="E24" s="42" t="n">
        <v>100</v>
      </c>
      <c r="F24" s="43" t="n">
        <v>5.9</v>
      </c>
      <c r="G24" s="27" t="n">
        <f aca="false">IF(OR(B24="",E24="",F24="",N(E24)=0),"",IF(OR(D24="g",D24="ml"),F24/E24*1000,F24/E24))</f>
        <v>0.059</v>
      </c>
      <c r="H24" s="23" t="str">
        <f aca="false">IF(G24="","",IF(D24="g","o quilo",IF(D24="ml","o litro","a unidade")))</f>
        <v>a unidade</v>
      </c>
      <c r="I24" s="9" t="s">
        <v>199</v>
      </c>
      <c r="J24" s="41" t="n">
        <v>46325</v>
      </c>
    </row>
    <row r="25" customFormat="false" ht="21" hidden="false" customHeight="true" outlineLevel="0" collapsed="false">
      <c r="B25" s="9" t="s">
        <v>185</v>
      </c>
      <c r="C25" s="42" t="s">
        <v>204</v>
      </c>
      <c r="D25" s="42" t="s">
        <v>200</v>
      </c>
      <c r="E25" s="42" t="n">
        <v>10</v>
      </c>
      <c r="F25" s="43" t="n">
        <v>12.9</v>
      </c>
      <c r="G25" s="27" t="n">
        <f aca="false">IF(OR(B25="",E25="",F25="",N(E25)=0),"",IF(OR(D25="g",D25="ml"),F25/E25*1000,F25/E25))</f>
        <v>1.29</v>
      </c>
      <c r="H25" s="23" t="str">
        <f aca="false">IF(G25="","",IF(D25="g","o quilo",IF(D25="ml","o litro","a unidade")))</f>
        <v>a unidade</v>
      </c>
      <c r="I25" s="9" t="s">
        <v>205</v>
      </c>
      <c r="J25" s="41" t="n">
        <v>46325</v>
      </c>
    </row>
    <row r="26" customFormat="false" ht="21" hidden="false" customHeight="true" outlineLevel="0" collapsed="false">
      <c r="B26" s="9"/>
      <c r="C26" s="42"/>
      <c r="D26" s="42"/>
      <c r="E26" s="42"/>
      <c r="F26" s="43"/>
      <c r="G26" s="27" t="str">
        <f aca="false">IF(OR(B26="",E26="",F26="",N(E26)=0),"",IF(OR(D26="g",D26="ml"),F26/E26*1000,F26/E26))</f>
        <v/>
      </c>
      <c r="H26" s="23" t="str">
        <f aca="false">IF(G26="","",IF(D26="g","o quilo",IF(D26="ml","o litro","a unidade")))</f>
        <v/>
      </c>
      <c r="I26" s="9"/>
      <c r="J26" s="41"/>
    </row>
    <row r="27" customFormat="false" ht="21" hidden="false" customHeight="true" outlineLevel="0" collapsed="false">
      <c r="B27" s="9"/>
      <c r="C27" s="42"/>
      <c r="D27" s="42"/>
      <c r="E27" s="42"/>
      <c r="F27" s="43"/>
      <c r="G27" s="27" t="str">
        <f aca="false">IF(OR(B27="",E27="",F27="",N(E27)=0),"",IF(OR(D27="g",D27="ml"),F27/E27*1000,F27/E27))</f>
        <v/>
      </c>
      <c r="H27" s="23" t="str">
        <f aca="false">IF(G27="","",IF(D27="g","o quilo",IF(D27="ml","o litro","a unidade")))</f>
        <v/>
      </c>
      <c r="I27" s="9"/>
      <c r="J27" s="41"/>
    </row>
    <row r="28" customFormat="false" ht="21" hidden="false" customHeight="true" outlineLevel="0" collapsed="false">
      <c r="B28" s="9"/>
      <c r="C28" s="42"/>
      <c r="D28" s="42"/>
      <c r="E28" s="42"/>
      <c r="F28" s="43"/>
      <c r="G28" s="27" t="str">
        <f aca="false">IF(OR(B28="",E28="",F28="",N(E28)=0),"",IF(OR(D28="g",D28="ml"),F28/E28*1000,F28/E28))</f>
        <v/>
      </c>
      <c r="H28" s="23" t="str">
        <f aca="false">IF(G28="","",IF(D28="g","o quilo",IF(D28="ml","o litro","a unidade")))</f>
        <v/>
      </c>
      <c r="I28" s="9"/>
      <c r="J28" s="41"/>
    </row>
    <row r="29" customFormat="false" ht="21" hidden="false" customHeight="true" outlineLevel="0" collapsed="false">
      <c r="B29" s="9"/>
      <c r="C29" s="42"/>
      <c r="D29" s="42"/>
      <c r="E29" s="42"/>
      <c r="F29" s="43"/>
      <c r="G29" s="27" t="str">
        <f aca="false">IF(OR(B29="",E29="",F29="",N(E29)=0),"",IF(OR(D29="g",D29="ml"),F29/E29*1000,F29/E29))</f>
        <v/>
      </c>
      <c r="H29" s="23" t="str">
        <f aca="false">IF(G29="","",IF(D29="g","o quilo",IF(D29="ml","o litro","a unidade")))</f>
        <v/>
      </c>
      <c r="I29" s="9"/>
      <c r="J29" s="41"/>
    </row>
    <row r="30" customFormat="false" ht="21" hidden="false" customHeight="true" outlineLevel="0" collapsed="false">
      <c r="B30" s="9"/>
      <c r="C30" s="42"/>
      <c r="D30" s="42"/>
      <c r="E30" s="42"/>
      <c r="F30" s="43"/>
      <c r="G30" s="27" t="str">
        <f aca="false">IF(OR(B30="",E30="",F30="",N(E30)=0),"",IF(OR(D30="g",D30="ml"),F30/E30*1000,F30/E30))</f>
        <v/>
      </c>
      <c r="H30" s="23" t="str">
        <f aca="false">IF(G30="","",IF(D30="g","o quilo",IF(D30="ml","o litro","a unidade")))</f>
        <v/>
      </c>
      <c r="I30" s="9"/>
      <c r="J30" s="41"/>
    </row>
    <row r="31" customFormat="false" ht="21" hidden="false" customHeight="true" outlineLevel="0" collapsed="false">
      <c r="B31" s="9"/>
      <c r="C31" s="42"/>
      <c r="D31" s="42"/>
      <c r="E31" s="42"/>
      <c r="F31" s="43"/>
      <c r="G31" s="27" t="str">
        <f aca="false">IF(OR(B31="",E31="",F31="",N(E31)=0),"",IF(OR(D31="g",D31="ml"),F31/E31*1000,F31/E31))</f>
        <v/>
      </c>
      <c r="H31" s="23" t="str">
        <f aca="false">IF(G31="","",IF(D31="g","o quilo",IF(D31="ml","o litro","a unidade")))</f>
        <v/>
      </c>
      <c r="I31" s="9"/>
      <c r="J31" s="41"/>
    </row>
    <row r="32" customFormat="false" ht="21" hidden="false" customHeight="true" outlineLevel="0" collapsed="false">
      <c r="B32" s="9"/>
      <c r="C32" s="42"/>
      <c r="D32" s="42"/>
      <c r="E32" s="42"/>
      <c r="F32" s="43"/>
      <c r="G32" s="27" t="str">
        <f aca="false">IF(OR(B32="",E32="",F32="",N(E32)=0),"",IF(OR(D32="g",D32="ml"),F32/E32*1000,F32/E32))</f>
        <v/>
      </c>
      <c r="H32" s="23" t="str">
        <f aca="false">IF(G32="","",IF(D32="g","o quilo",IF(D32="ml","o litro","a unidade")))</f>
        <v/>
      </c>
      <c r="I32" s="9"/>
      <c r="J32" s="41"/>
    </row>
    <row r="33" customFormat="false" ht="21" hidden="false" customHeight="true" outlineLevel="0" collapsed="false">
      <c r="B33" s="9"/>
      <c r="C33" s="42"/>
      <c r="D33" s="42"/>
      <c r="E33" s="42"/>
      <c r="F33" s="43"/>
      <c r="G33" s="27" t="str">
        <f aca="false">IF(OR(B33="",E33="",F33="",N(E33)=0),"",IF(OR(D33="g",D33="ml"),F33/E33*1000,F33/E33))</f>
        <v/>
      </c>
      <c r="H33" s="23" t="str">
        <f aca="false">IF(G33="","",IF(D33="g","o quilo",IF(D33="ml","o litro","a unidade")))</f>
        <v/>
      </c>
      <c r="I33" s="9"/>
      <c r="J33" s="41"/>
    </row>
    <row r="34" customFormat="false" ht="21" hidden="false" customHeight="true" outlineLevel="0" collapsed="false">
      <c r="B34" s="9"/>
      <c r="C34" s="42"/>
      <c r="D34" s="42"/>
      <c r="E34" s="42"/>
      <c r="F34" s="43"/>
      <c r="G34" s="27" t="str">
        <f aca="false">IF(OR(B34="",E34="",F34="",N(E34)=0),"",IF(OR(D34="g",D34="ml"),F34/E34*1000,F34/E34))</f>
        <v/>
      </c>
      <c r="H34" s="23" t="str">
        <f aca="false">IF(G34="","",IF(D34="g","o quilo",IF(D34="ml","o litro","a unidade")))</f>
        <v/>
      </c>
      <c r="I34" s="9"/>
      <c r="J34" s="41"/>
    </row>
    <row r="35" customFormat="false" ht="21" hidden="false" customHeight="true" outlineLevel="0" collapsed="false">
      <c r="B35" s="9"/>
      <c r="C35" s="42"/>
      <c r="D35" s="42"/>
      <c r="E35" s="42"/>
      <c r="F35" s="43"/>
      <c r="G35" s="27" t="str">
        <f aca="false">IF(OR(B35="",E35="",F35="",N(E35)=0),"",IF(OR(D35="g",D35="ml"),F35/E35*1000,F35/E35))</f>
        <v/>
      </c>
      <c r="H35" s="23" t="str">
        <f aca="false">IF(G35="","",IF(D35="g","o quilo",IF(D35="ml","o litro","a unidade")))</f>
        <v/>
      </c>
      <c r="I35" s="9"/>
      <c r="J35" s="41"/>
    </row>
    <row r="36" customFormat="false" ht="21" hidden="false" customHeight="true" outlineLevel="0" collapsed="false">
      <c r="B36" s="9"/>
      <c r="C36" s="42"/>
      <c r="D36" s="42"/>
      <c r="E36" s="42"/>
      <c r="F36" s="43"/>
      <c r="G36" s="27" t="str">
        <f aca="false">IF(OR(B36="",E36="",F36="",N(E36)=0),"",IF(OR(D36="g",D36="ml"),F36/E36*1000,F36/E36))</f>
        <v/>
      </c>
      <c r="H36" s="23" t="str">
        <f aca="false">IF(G36="","",IF(D36="g","o quilo",IF(D36="ml","o litro","a unidade")))</f>
        <v/>
      </c>
      <c r="I36" s="9"/>
      <c r="J36" s="41"/>
    </row>
    <row r="37" customFormat="false" ht="21" hidden="false" customHeight="true" outlineLevel="0" collapsed="false">
      <c r="B37" s="9"/>
      <c r="C37" s="42"/>
      <c r="D37" s="42"/>
      <c r="E37" s="42"/>
      <c r="F37" s="43"/>
      <c r="G37" s="27" t="str">
        <f aca="false">IF(OR(B37="",E37="",F37="",N(E37)=0),"",IF(OR(D37="g",D37="ml"),F37/E37*1000,F37/E37))</f>
        <v/>
      </c>
      <c r="H37" s="23" t="str">
        <f aca="false">IF(G37="","",IF(D37="g","o quilo",IF(D37="ml","o litro","a unidade")))</f>
        <v/>
      </c>
      <c r="I37" s="9"/>
      <c r="J37" s="41"/>
    </row>
    <row r="38" customFormat="false" ht="21" hidden="false" customHeight="true" outlineLevel="0" collapsed="false">
      <c r="B38" s="9"/>
      <c r="C38" s="42"/>
      <c r="D38" s="42"/>
      <c r="E38" s="42"/>
      <c r="F38" s="43"/>
      <c r="G38" s="27" t="str">
        <f aca="false">IF(OR(B38="",E38="",F38="",N(E38)=0),"",IF(OR(D38="g",D38="ml"),F38/E38*1000,F38/E38))</f>
        <v/>
      </c>
      <c r="H38" s="23" t="str">
        <f aca="false">IF(G38="","",IF(D38="g","o quilo",IF(D38="ml","o litro","a unidade")))</f>
        <v/>
      </c>
      <c r="I38" s="9"/>
      <c r="J38" s="41"/>
    </row>
    <row r="39" customFormat="false" ht="21" hidden="false" customHeight="true" outlineLevel="0" collapsed="false">
      <c r="B39" s="9"/>
      <c r="C39" s="42"/>
      <c r="D39" s="42"/>
      <c r="E39" s="42"/>
      <c r="F39" s="43"/>
      <c r="G39" s="27" t="str">
        <f aca="false">IF(OR(B39="",E39="",F39="",N(E39)=0),"",IF(OR(D39="g",D39="ml"),F39/E39*1000,F39/E39))</f>
        <v/>
      </c>
      <c r="H39" s="23" t="str">
        <f aca="false">IF(G39="","",IF(D39="g","o quilo",IF(D39="ml","o litro","a unidade")))</f>
        <v/>
      </c>
      <c r="I39" s="9"/>
      <c r="J39" s="41"/>
    </row>
    <row r="40" customFormat="false" ht="21" hidden="false" customHeight="true" outlineLevel="0" collapsed="false">
      <c r="B40" s="9"/>
      <c r="C40" s="42"/>
      <c r="D40" s="42"/>
      <c r="E40" s="42"/>
      <c r="F40" s="43"/>
      <c r="G40" s="27" t="str">
        <f aca="false">IF(OR(B40="",E40="",F40="",N(E40)=0),"",IF(OR(D40="g",D40="ml"),F40/E40*1000,F40/E40))</f>
        <v/>
      </c>
      <c r="H40" s="23" t="str">
        <f aca="false">IF(G40="","",IF(D40="g","o quilo",IF(D40="ml","o litro","a unidade")))</f>
        <v/>
      </c>
      <c r="I40" s="9"/>
      <c r="J40" s="41"/>
    </row>
    <row r="41" customFormat="false" ht="21" hidden="false" customHeight="true" outlineLevel="0" collapsed="false">
      <c r="B41" s="9"/>
      <c r="C41" s="42"/>
      <c r="D41" s="42"/>
      <c r="E41" s="42"/>
      <c r="F41" s="43"/>
      <c r="G41" s="27" t="str">
        <f aca="false">IF(OR(B41="",E41="",F41="",N(E41)=0),"",IF(OR(D41="g",D41="ml"),F41/E41*1000,F41/E41))</f>
        <v/>
      </c>
      <c r="H41" s="23" t="str">
        <f aca="false">IF(G41="","",IF(D41="g","o quilo",IF(D41="ml","o litro","a unidade")))</f>
        <v/>
      </c>
      <c r="I41" s="9"/>
      <c r="J41" s="41"/>
    </row>
    <row r="42" customFormat="false" ht="21" hidden="false" customHeight="true" outlineLevel="0" collapsed="false">
      <c r="B42" s="9"/>
      <c r="C42" s="42"/>
      <c r="D42" s="42"/>
      <c r="E42" s="42"/>
      <c r="F42" s="43"/>
      <c r="G42" s="27" t="str">
        <f aca="false">IF(OR(B42="",E42="",F42="",N(E42)=0),"",IF(OR(D42="g",D42="ml"),F42/E42*1000,F42/E42))</f>
        <v/>
      </c>
      <c r="H42" s="23" t="str">
        <f aca="false">IF(G42="","",IF(D42="g","o quilo",IF(D42="ml","o litro","a unidade")))</f>
        <v/>
      </c>
      <c r="I42" s="9"/>
      <c r="J42" s="41"/>
    </row>
    <row r="43" customFormat="false" ht="21" hidden="false" customHeight="true" outlineLevel="0" collapsed="false">
      <c r="B43" s="9"/>
      <c r="C43" s="42"/>
      <c r="D43" s="42"/>
      <c r="E43" s="42"/>
      <c r="F43" s="43"/>
      <c r="G43" s="27" t="str">
        <f aca="false">IF(OR(B43="",E43="",F43="",N(E43)=0),"",IF(OR(D43="g",D43="ml"),F43/E43*1000,F43/E43))</f>
        <v/>
      </c>
      <c r="H43" s="23" t="str">
        <f aca="false">IF(G43="","",IF(D43="g","o quilo",IF(D43="ml","o litro","a unidade")))</f>
        <v/>
      </c>
      <c r="I43" s="9"/>
      <c r="J43" s="41"/>
    </row>
    <row r="44" customFormat="false" ht="21" hidden="false" customHeight="true" outlineLevel="0" collapsed="false">
      <c r="B44" s="9"/>
      <c r="C44" s="42"/>
      <c r="D44" s="42"/>
      <c r="E44" s="42"/>
      <c r="F44" s="43"/>
      <c r="G44" s="27" t="str">
        <f aca="false">IF(OR(B44="",E44="",F44="",N(E44)=0),"",IF(OR(D44="g",D44="ml"),F44/E44*1000,F44/E44))</f>
        <v/>
      </c>
      <c r="H44" s="23" t="str">
        <f aca="false">IF(G44="","",IF(D44="g","o quilo",IF(D44="ml","o litro","a unidade")))</f>
        <v/>
      </c>
      <c r="I44" s="9"/>
      <c r="J44" s="41"/>
    </row>
    <row r="45" customFormat="false" ht="21" hidden="false" customHeight="true" outlineLevel="0" collapsed="false">
      <c r="B45" s="9"/>
      <c r="C45" s="42"/>
      <c r="D45" s="42"/>
      <c r="E45" s="42"/>
      <c r="F45" s="43"/>
      <c r="G45" s="27" t="str">
        <f aca="false">IF(OR(B45="",E45="",F45="",N(E45)=0),"",IF(OR(D45="g",D45="ml"),F45/E45*1000,F45/E45))</f>
        <v/>
      </c>
      <c r="H45" s="23" t="str">
        <f aca="false">IF(G45="","",IF(D45="g","o quilo",IF(D45="ml","o litro","a unidade")))</f>
        <v/>
      </c>
      <c r="I45" s="9"/>
      <c r="J45" s="41"/>
    </row>
    <row r="46" customFormat="false" ht="21" hidden="false" customHeight="true" outlineLevel="0" collapsed="false">
      <c r="B46" s="9"/>
      <c r="C46" s="42"/>
      <c r="D46" s="42"/>
      <c r="E46" s="42"/>
      <c r="F46" s="43"/>
      <c r="G46" s="27" t="str">
        <f aca="false">IF(OR(B46="",E46="",F46="",N(E46)=0),"",IF(OR(D46="g",D46="ml"),F46/E46*1000,F46/E46))</f>
        <v/>
      </c>
      <c r="H46" s="23" t="str">
        <f aca="false">IF(G46="","",IF(D46="g","o quilo",IF(D46="ml","o litro","a unidade")))</f>
        <v/>
      </c>
      <c r="I46" s="9"/>
      <c r="J46" s="41"/>
    </row>
    <row r="47" customFormat="false" ht="21" hidden="false" customHeight="true" outlineLevel="0" collapsed="false">
      <c r="B47" s="9"/>
      <c r="C47" s="42"/>
      <c r="D47" s="42"/>
      <c r="E47" s="42"/>
      <c r="F47" s="43"/>
      <c r="G47" s="27" t="str">
        <f aca="false">IF(OR(B47="",E47="",F47="",N(E47)=0),"",IF(OR(D47="g",D47="ml"),F47/E47*1000,F47/E47))</f>
        <v/>
      </c>
      <c r="H47" s="23" t="str">
        <f aca="false">IF(G47="","",IF(D47="g","o quilo",IF(D47="ml","o litro","a unidade")))</f>
        <v/>
      </c>
      <c r="I47" s="9"/>
      <c r="J47" s="41"/>
    </row>
    <row r="48" customFormat="false" ht="21" hidden="false" customHeight="true" outlineLevel="0" collapsed="false">
      <c r="B48" s="9"/>
      <c r="C48" s="42"/>
      <c r="D48" s="42"/>
      <c r="E48" s="42"/>
      <c r="F48" s="43"/>
      <c r="G48" s="27" t="str">
        <f aca="false">IF(OR(B48="",E48="",F48="",N(E48)=0),"",IF(OR(D48="g",D48="ml"),F48/E48*1000,F48/E48))</f>
        <v/>
      </c>
      <c r="H48" s="23" t="str">
        <f aca="false">IF(G48="","",IF(D48="g","o quilo",IF(D48="ml","o litro","a unidade")))</f>
        <v/>
      </c>
      <c r="I48" s="9"/>
      <c r="J48" s="41"/>
    </row>
    <row r="49" customFormat="false" ht="21" hidden="false" customHeight="true" outlineLevel="0" collapsed="false">
      <c r="B49" s="9"/>
      <c r="C49" s="42"/>
      <c r="D49" s="42"/>
      <c r="E49" s="42"/>
      <c r="F49" s="43"/>
      <c r="G49" s="27" t="str">
        <f aca="false">IF(OR(B49="",E49="",F49="",N(E49)=0),"",IF(OR(D49="g",D49="ml"),F49/E49*1000,F49/E49))</f>
        <v/>
      </c>
      <c r="H49" s="23" t="str">
        <f aca="false">IF(G49="","",IF(D49="g","o quilo",IF(D49="ml","o litro","a unidade")))</f>
        <v/>
      </c>
      <c r="I49" s="9"/>
      <c r="J49" s="41"/>
    </row>
    <row r="50" customFormat="false" ht="21" hidden="false" customHeight="true" outlineLevel="0" collapsed="false">
      <c r="B50" s="9"/>
      <c r="C50" s="42"/>
      <c r="D50" s="42"/>
      <c r="E50" s="42"/>
      <c r="F50" s="43"/>
      <c r="G50" s="27" t="str">
        <f aca="false">IF(OR(B50="",E50="",F50="",N(E50)=0),"",IF(OR(D50="g",D50="ml"),F50/E50*1000,F50/E50))</f>
        <v/>
      </c>
      <c r="H50" s="23" t="str">
        <f aca="false">IF(G50="","",IF(D50="g","o quilo",IF(D50="ml","o litro","a unidade")))</f>
        <v/>
      </c>
      <c r="I50" s="9"/>
      <c r="J50" s="41"/>
    </row>
    <row r="51" customFormat="false" ht="21" hidden="false" customHeight="true" outlineLevel="0" collapsed="false">
      <c r="B51" s="9"/>
      <c r="C51" s="42"/>
      <c r="D51" s="42"/>
      <c r="E51" s="42"/>
      <c r="F51" s="43"/>
      <c r="G51" s="27" t="str">
        <f aca="false">IF(OR(B51="",E51="",F51="",N(E51)=0),"",IF(OR(D51="g",D51="ml"),F51/E51*1000,F51/E51))</f>
        <v/>
      </c>
      <c r="H51" s="23" t="str">
        <f aca="false">IF(G51="","",IF(D51="g","o quilo",IF(D51="ml","o litro","a unidade")))</f>
        <v/>
      </c>
      <c r="I51" s="9"/>
      <c r="J51" s="41"/>
    </row>
    <row r="52" customFormat="false" ht="21" hidden="false" customHeight="true" outlineLevel="0" collapsed="false">
      <c r="B52" s="9"/>
      <c r="C52" s="42"/>
      <c r="D52" s="42"/>
      <c r="E52" s="42"/>
      <c r="F52" s="43"/>
      <c r="G52" s="27" t="str">
        <f aca="false">IF(OR(B52="",E52="",F52="",N(E52)=0),"",IF(OR(D52="g",D52="ml"),F52/E52*1000,F52/E52))</f>
        <v/>
      </c>
      <c r="H52" s="23" t="str">
        <f aca="false">IF(G52="","",IF(D52="g","o quilo",IF(D52="ml","o litro","a unidade")))</f>
        <v/>
      </c>
      <c r="I52" s="9"/>
      <c r="J52" s="41"/>
    </row>
    <row r="53" customFormat="false" ht="21" hidden="false" customHeight="true" outlineLevel="0" collapsed="false">
      <c r="B53" s="9"/>
      <c r="C53" s="42"/>
      <c r="D53" s="42"/>
      <c r="E53" s="42"/>
      <c r="F53" s="43"/>
      <c r="G53" s="27" t="str">
        <f aca="false">IF(OR(B53="",E53="",F53="",N(E53)=0),"",IF(OR(D53="g",D53="ml"),F53/E53*1000,F53/E53))</f>
        <v/>
      </c>
      <c r="H53" s="23" t="str">
        <f aca="false">IF(G53="","",IF(D53="g","o quilo",IF(D53="ml","o litro","a unidade")))</f>
        <v/>
      </c>
      <c r="I53" s="9"/>
      <c r="J53" s="41"/>
    </row>
    <row r="54" customFormat="false" ht="21" hidden="false" customHeight="true" outlineLevel="0" collapsed="false">
      <c r="B54" s="9"/>
      <c r="C54" s="42"/>
      <c r="D54" s="42"/>
      <c r="E54" s="42"/>
      <c r="F54" s="43"/>
      <c r="G54" s="27" t="str">
        <f aca="false">IF(OR(B54="",E54="",F54="",N(E54)=0),"",IF(OR(D54="g",D54="ml"),F54/E54*1000,F54/E54))</f>
        <v/>
      </c>
      <c r="H54" s="23" t="str">
        <f aca="false">IF(G54="","",IF(D54="g","o quilo",IF(D54="ml","o litro","a unidade")))</f>
        <v/>
      </c>
      <c r="I54" s="9"/>
      <c r="J54" s="41"/>
    </row>
    <row r="55" customFormat="false" ht="21" hidden="false" customHeight="true" outlineLevel="0" collapsed="false">
      <c r="B55" s="9"/>
      <c r="C55" s="42"/>
      <c r="D55" s="42"/>
      <c r="E55" s="42"/>
      <c r="F55" s="43"/>
      <c r="G55" s="27" t="str">
        <f aca="false">IF(OR(B55="",E55="",F55="",N(E55)=0),"",IF(OR(D55="g",D55="ml"),F55/E55*1000,F55/E55))</f>
        <v/>
      </c>
      <c r="H55" s="23" t="str">
        <f aca="false">IF(G55="","",IF(D55="g","o quilo",IF(D55="ml","o litro","a unidade")))</f>
        <v/>
      </c>
      <c r="I55" s="9"/>
      <c r="J55" s="41"/>
    </row>
    <row r="56" customFormat="false" ht="21" hidden="false" customHeight="true" outlineLevel="0" collapsed="false">
      <c r="B56" s="9"/>
      <c r="C56" s="42"/>
      <c r="D56" s="42"/>
      <c r="E56" s="42"/>
      <c r="F56" s="43"/>
      <c r="G56" s="27" t="str">
        <f aca="false">IF(OR(B56="",E56="",F56="",N(E56)=0),"",IF(OR(D56="g",D56="ml"),F56/E56*1000,F56/E56))</f>
        <v/>
      </c>
      <c r="H56" s="23" t="str">
        <f aca="false">IF(G56="","",IF(D56="g","o quilo",IF(D56="ml","o litro","a unidade")))</f>
        <v/>
      </c>
      <c r="I56" s="9"/>
      <c r="J56" s="41"/>
    </row>
    <row r="57" customFormat="false" ht="21" hidden="false" customHeight="true" outlineLevel="0" collapsed="false">
      <c r="B57" s="9"/>
      <c r="C57" s="42"/>
      <c r="D57" s="42"/>
      <c r="E57" s="42"/>
      <c r="F57" s="43"/>
      <c r="G57" s="27" t="str">
        <f aca="false">IF(OR(B57="",E57="",F57="",N(E57)=0),"",IF(OR(D57="g",D57="ml"),F57/E57*1000,F57/E57))</f>
        <v/>
      </c>
      <c r="H57" s="23" t="str">
        <f aca="false">IF(G57="","",IF(D57="g","o quilo",IF(D57="ml","o litro","a unidade")))</f>
        <v/>
      </c>
      <c r="I57" s="9"/>
      <c r="J57" s="41"/>
    </row>
    <row r="58" customFormat="false" ht="21" hidden="false" customHeight="true" outlineLevel="0" collapsed="false">
      <c r="B58" s="9"/>
      <c r="C58" s="42"/>
      <c r="D58" s="42"/>
      <c r="E58" s="42"/>
      <c r="F58" s="43"/>
      <c r="G58" s="27" t="str">
        <f aca="false">IF(OR(B58="",E58="",F58="",N(E58)=0),"",IF(OR(D58="g",D58="ml"),F58/E58*1000,F58/E58))</f>
        <v/>
      </c>
      <c r="H58" s="23" t="str">
        <f aca="false">IF(G58="","",IF(D58="g","o quilo",IF(D58="ml","o litro","a unidade")))</f>
        <v/>
      </c>
      <c r="I58" s="9"/>
      <c r="J58" s="41"/>
    </row>
    <row r="59" customFormat="false" ht="21" hidden="false" customHeight="true" outlineLevel="0" collapsed="false">
      <c r="B59" s="9"/>
      <c r="C59" s="42"/>
      <c r="D59" s="42"/>
      <c r="E59" s="42"/>
      <c r="F59" s="43"/>
      <c r="G59" s="27" t="str">
        <f aca="false">IF(OR(B59="",E59="",F59="",N(E59)=0),"",IF(OR(D59="g",D59="ml"),F59/E59*1000,F59/E59))</f>
        <v/>
      </c>
      <c r="H59" s="23" t="str">
        <f aca="false">IF(G59="","",IF(D59="g","o quilo",IF(D59="ml","o litro","a unidade")))</f>
        <v/>
      </c>
      <c r="I59" s="9"/>
      <c r="J59" s="41"/>
    </row>
    <row r="60" customFormat="false" ht="21" hidden="false" customHeight="true" outlineLevel="0" collapsed="false">
      <c r="B60" s="9"/>
      <c r="C60" s="42"/>
      <c r="D60" s="42"/>
      <c r="E60" s="42"/>
      <c r="F60" s="43"/>
      <c r="G60" s="27" t="str">
        <f aca="false">IF(OR(B60="",E60="",F60="",N(E60)=0),"",IF(OR(D60="g",D60="ml"),F60/E60*1000,F60/E60))</f>
        <v/>
      </c>
      <c r="H60" s="23" t="str">
        <f aca="false">IF(G60="","",IF(D60="g","o quilo",IF(D60="ml","o litro","a unidade")))</f>
        <v/>
      </c>
      <c r="I60" s="9"/>
      <c r="J60" s="41"/>
    </row>
    <row r="61" customFormat="false" ht="21" hidden="false" customHeight="true" outlineLevel="0" collapsed="false">
      <c r="B61" s="9"/>
      <c r="C61" s="42"/>
      <c r="D61" s="42"/>
      <c r="E61" s="42"/>
      <c r="F61" s="43"/>
      <c r="G61" s="27" t="str">
        <f aca="false">IF(OR(B61="",E61="",F61="",N(E61)=0),"",IF(OR(D61="g",D61="ml"),F61/E61*1000,F61/E61))</f>
        <v/>
      </c>
      <c r="H61" s="23" t="str">
        <f aca="false">IF(G61="","",IF(D61="g","o quilo",IF(D61="ml","o litro","a unidade")))</f>
        <v/>
      </c>
      <c r="I61" s="9"/>
      <c r="J61" s="41"/>
    </row>
    <row r="62" customFormat="false" ht="21" hidden="false" customHeight="true" outlineLevel="0" collapsed="false">
      <c r="B62" s="9"/>
      <c r="C62" s="42"/>
      <c r="D62" s="42"/>
      <c r="E62" s="42"/>
      <c r="F62" s="43"/>
      <c r="G62" s="27" t="str">
        <f aca="false">IF(OR(B62="",E62="",F62="",N(E62)=0),"",IF(OR(D62="g",D62="ml"),F62/E62*1000,F62/E62))</f>
        <v/>
      </c>
      <c r="H62" s="23" t="str">
        <f aca="false">IF(G62="","",IF(D62="g","o quilo",IF(D62="ml","o litro","a unidade")))</f>
        <v/>
      </c>
      <c r="I62" s="9"/>
      <c r="J62" s="41"/>
    </row>
    <row r="63" customFormat="false" ht="21" hidden="false" customHeight="true" outlineLevel="0" collapsed="false">
      <c r="B63" s="9"/>
      <c r="C63" s="42"/>
      <c r="D63" s="42"/>
      <c r="E63" s="42"/>
      <c r="F63" s="43"/>
      <c r="G63" s="27" t="str">
        <f aca="false">IF(OR(B63="",E63="",F63="",N(E63)=0),"",IF(OR(D63="g",D63="ml"),F63/E63*1000,F63/E63))</f>
        <v/>
      </c>
      <c r="H63" s="23" t="str">
        <f aca="false">IF(G63="","",IF(D63="g","o quilo",IF(D63="ml","o litro","a unidade")))</f>
        <v/>
      </c>
      <c r="I63" s="9"/>
      <c r="J63" s="41"/>
    </row>
    <row r="64" customFormat="false" ht="21" hidden="false" customHeight="true" outlineLevel="0" collapsed="false">
      <c r="B64" s="9"/>
      <c r="C64" s="42"/>
      <c r="D64" s="42"/>
      <c r="E64" s="42"/>
      <c r="F64" s="43"/>
      <c r="G64" s="27" t="str">
        <f aca="false">IF(OR(B64="",E64="",F64="",N(E64)=0),"",IF(OR(D64="g",D64="ml"),F64/E64*1000,F64/E64))</f>
        <v/>
      </c>
      <c r="H64" s="23" t="str">
        <f aca="false">IF(G64="","",IF(D64="g","o quilo",IF(D64="ml","o litro","a unidade")))</f>
        <v/>
      </c>
      <c r="I64" s="9"/>
      <c r="J64" s="41"/>
    </row>
    <row r="65" customFormat="false" ht="21" hidden="false" customHeight="true" outlineLevel="0" collapsed="false">
      <c r="B65" s="9"/>
      <c r="C65" s="42"/>
      <c r="D65" s="42"/>
      <c r="E65" s="42"/>
      <c r="F65" s="43"/>
      <c r="G65" s="27" t="str">
        <f aca="false">IF(OR(B65="",E65="",F65="",N(E65)=0),"",IF(OR(D65="g",D65="ml"),F65/E65*1000,F65/E65))</f>
        <v/>
      </c>
      <c r="H65" s="23" t="str">
        <f aca="false">IF(G65="","",IF(D65="g","o quilo",IF(D65="ml","o litro","a unidade")))</f>
        <v/>
      </c>
      <c r="I65" s="9"/>
      <c r="J65" s="41"/>
    </row>
    <row r="66" customFormat="false" ht="21" hidden="false" customHeight="true" outlineLevel="0" collapsed="false">
      <c r="B66" s="9"/>
      <c r="C66" s="42"/>
      <c r="D66" s="42"/>
      <c r="E66" s="42"/>
      <c r="F66" s="43"/>
      <c r="G66" s="27" t="str">
        <f aca="false">IF(OR(B66="",E66="",F66="",N(E66)=0),"",IF(OR(D66="g",D66="ml"),F66/E66*1000,F66/E66))</f>
        <v/>
      </c>
      <c r="H66" s="23" t="str">
        <f aca="false">IF(G66="","",IF(D66="g","o quilo",IF(D66="ml","o litro","a unidade")))</f>
        <v/>
      </c>
      <c r="I66" s="9"/>
      <c r="J66" s="41"/>
    </row>
    <row r="67" customFormat="false" ht="21" hidden="false" customHeight="true" outlineLevel="0" collapsed="false">
      <c r="B67" s="9"/>
      <c r="C67" s="42"/>
      <c r="D67" s="42"/>
      <c r="E67" s="42"/>
      <c r="F67" s="43"/>
      <c r="G67" s="27" t="str">
        <f aca="false">IF(OR(B67="",E67="",F67="",N(E67)=0),"",IF(OR(D67="g",D67="ml"),F67/E67*1000,F67/E67))</f>
        <v/>
      </c>
      <c r="H67" s="23" t="str">
        <f aca="false">IF(G67="","",IF(D67="g","o quilo",IF(D67="ml","o litro","a unidade")))</f>
        <v/>
      </c>
      <c r="I67" s="9"/>
      <c r="J67" s="41"/>
    </row>
    <row r="68" customFormat="false" ht="21" hidden="false" customHeight="true" outlineLevel="0" collapsed="false">
      <c r="B68" s="9"/>
      <c r="C68" s="42"/>
      <c r="D68" s="42"/>
      <c r="E68" s="42"/>
      <c r="F68" s="43"/>
      <c r="G68" s="27" t="str">
        <f aca="false">IF(OR(B68="",E68="",F68="",N(E68)=0),"",IF(OR(D68="g",D68="ml"),F68/E68*1000,F68/E68))</f>
        <v/>
      </c>
      <c r="H68" s="23" t="str">
        <f aca="false">IF(G68="","",IF(D68="g","o quilo",IF(D68="ml","o litro","a unidade")))</f>
        <v/>
      </c>
      <c r="I68" s="9"/>
      <c r="J68" s="41"/>
    </row>
    <row r="69" customFormat="false" ht="21" hidden="false" customHeight="true" outlineLevel="0" collapsed="false">
      <c r="B69" s="9"/>
      <c r="C69" s="42"/>
      <c r="D69" s="42"/>
      <c r="E69" s="42"/>
      <c r="F69" s="43"/>
      <c r="G69" s="27" t="str">
        <f aca="false">IF(OR(B69="",E69="",F69="",N(E69)=0),"",IF(OR(D69="g",D69="ml"),F69/E69*1000,F69/E69))</f>
        <v/>
      </c>
      <c r="H69" s="23" t="str">
        <f aca="false">IF(G69="","",IF(D69="g","o quilo",IF(D69="ml","o litro","a unidade")))</f>
        <v/>
      </c>
      <c r="I69" s="9"/>
      <c r="J69" s="41"/>
    </row>
    <row r="70" customFormat="false" ht="21" hidden="false" customHeight="true" outlineLevel="0" collapsed="false">
      <c r="B70" s="9"/>
      <c r="C70" s="42"/>
      <c r="D70" s="42"/>
      <c r="E70" s="42"/>
      <c r="F70" s="43"/>
      <c r="G70" s="27" t="str">
        <f aca="false">IF(OR(B70="",E70="",F70="",N(E70)=0),"",IF(OR(D70="g",D70="ml"),F70/E70*1000,F70/E70))</f>
        <v/>
      </c>
      <c r="H70" s="23" t="str">
        <f aca="false">IF(G70="","",IF(D70="g","o quilo",IF(D70="ml","o litro","a unidade")))</f>
        <v/>
      </c>
      <c r="I70" s="9"/>
      <c r="J70" s="41"/>
    </row>
    <row r="71" customFormat="false" ht="21" hidden="false" customHeight="true" outlineLevel="0" collapsed="false">
      <c r="B71" s="9"/>
      <c r="C71" s="42"/>
      <c r="D71" s="42"/>
      <c r="E71" s="42"/>
      <c r="F71" s="43"/>
      <c r="G71" s="27" t="str">
        <f aca="false">IF(OR(B71="",E71="",F71="",N(E71)=0),"",IF(OR(D71="g",D71="ml"),F71/E71*1000,F71/E71))</f>
        <v/>
      </c>
      <c r="H71" s="23" t="str">
        <f aca="false">IF(G71="","",IF(D71="g","o quilo",IF(D71="ml","o litro","a unidade")))</f>
        <v/>
      </c>
      <c r="I71" s="9"/>
      <c r="J71" s="41"/>
    </row>
    <row r="72" customFormat="false" ht="21" hidden="false" customHeight="true" outlineLevel="0" collapsed="false">
      <c r="B72" s="9"/>
      <c r="C72" s="42"/>
      <c r="D72" s="42"/>
      <c r="E72" s="42"/>
      <c r="F72" s="43"/>
      <c r="G72" s="27" t="str">
        <f aca="false">IF(OR(B72="",E72="",F72="",N(E72)=0),"",IF(OR(D72="g",D72="ml"),F72/E72*1000,F72/E72))</f>
        <v/>
      </c>
      <c r="H72" s="23" t="str">
        <f aca="false">IF(G72="","",IF(D72="g","o quilo",IF(D72="ml","o litro","a unidade")))</f>
        <v/>
      </c>
      <c r="I72" s="9"/>
      <c r="J72" s="41"/>
    </row>
    <row r="73" customFormat="false" ht="21" hidden="false" customHeight="true" outlineLevel="0" collapsed="false">
      <c r="B73" s="9"/>
      <c r="C73" s="42"/>
      <c r="D73" s="42"/>
      <c r="E73" s="42"/>
      <c r="F73" s="43"/>
      <c r="G73" s="27" t="str">
        <f aca="false">IF(OR(B73="",E73="",F73="",N(E73)=0),"",IF(OR(D73="g",D73="ml"),F73/E73*1000,F73/E73))</f>
        <v/>
      </c>
      <c r="H73" s="23" t="str">
        <f aca="false">IF(G73="","",IF(D73="g","o quilo",IF(D73="ml","o litro","a unidade")))</f>
        <v/>
      </c>
      <c r="I73" s="9"/>
      <c r="J73" s="41"/>
    </row>
    <row r="74" customFormat="false" ht="21" hidden="false" customHeight="true" outlineLevel="0" collapsed="false">
      <c r="B74" s="9"/>
      <c r="C74" s="42"/>
      <c r="D74" s="42"/>
      <c r="E74" s="42"/>
      <c r="F74" s="43"/>
      <c r="G74" s="27" t="str">
        <f aca="false">IF(OR(B74="",E74="",F74="",N(E74)=0),"",IF(OR(D74="g",D74="ml"),F74/E74*1000,F74/E74))</f>
        <v/>
      </c>
      <c r="H74" s="23" t="str">
        <f aca="false">IF(G74="","",IF(D74="g","o quilo",IF(D74="ml","o litro","a unidade")))</f>
        <v/>
      </c>
      <c r="I74" s="9"/>
      <c r="J74" s="41"/>
    </row>
    <row r="75" customFormat="false" ht="21" hidden="false" customHeight="true" outlineLevel="0" collapsed="false">
      <c r="B75" s="9"/>
      <c r="C75" s="42"/>
      <c r="D75" s="42"/>
      <c r="E75" s="42"/>
      <c r="F75" s="43"/>
      <c r="G75" s="27" t="str">
        <f aca="false">IF(OR(B75="",E75="",F75="",N(E75)=0),"",IF(OR(D75="g",D75="ml"),F75/E75*1000,F75/E75))</f>
        <v/>
      </c>
      <c r="H75" s="23" t="str">
        <f aca="false">IF(G75="","",IF(D75="g","o quilo",IF(D75="ml","o litro","a unidade")))</f>
        <v/>
      </c>
      <c r="I75" s="9"/>
      <c r="J75" s="41"/>
    </row>
    <row r="76" customFormat="false" ht="21" hidden="false" customHeight="true" outlineLevel="0" collapsed="false">
      <c r="B76" s="9"/>
      <c r="C76" s="42"/>
      <c r="D76" s="42"/>
      <c r="E76" s="42"/>
      <c r="F76" s="43"/>
      <c r="G76" s="27" t="str">
        <f aca="false">IF(OR(B76="",E76="",F76="",N(E76)=0),"",IF(OR(D76="g",D76="ml"),F76/E76*1000,F76/E76))</f>
        <v/>
      </c>
      <c r="H76" s="23" t="str">
        <f aca="false">IF(G76="","",IF(D76="g","o quilo",IF(D76="ml","o litro","a unidade")))</f>
        <v/>
      </c>
      <c r="I76" s="9"/>
      <c r="J76" s="41"/>
    </row>
    <row r="77" customFormat="false" ht="21" hidden="false" customHeight="true" outlineLevel="0" collapsed="false">
      <c r="B77" s="9"/>
      <c r="C77" s="42"/>
      <c r="D77" s="42"/>
      <c r="E77" s="42"/>
      <c r="F77" s="43"/>
      <c r="G77" s="27" t="str">
        <f aca="false">IF(OR(B77="",E77="",F77="",N(E77)=0),"",IF(OR(D77="g",D77="ml"),F77/E77*1000,F77/E77))</f>
        <v/>
      </c>
      <c r="H77" s="23" t="str">
        <f aca="false">IF(G77="","",IF(D77="g","o quilo",IF(D77="ml","o litro","a unidade")))</f>
        <v/>
      </c>
      <c r="I77" s="9"/>
      <c r="J77" s="41"/>
    </row>
    <row r="78" customFormat="false" ht="21" hidden="false" customHeight="true" outlineLevel="0" collapsed="false">
      <c r="B78" s="9"/>
      <c r="C78" s="42"/>
      <c r="D78" s="42"/>
      <c r="E78" s="42"/>
      <c r="F78" s="43"/>
      <c r="G78" s="27" t="str">
        <f aca="false">IF(OR(B78="",E78="",F78="",N(E78)=0),"",IF(OR(D78="g",D78="ml"),F78/E78*1000,F78/E78))</f>
        <v/>
      </c>
      <c r="H78" s="23" t="str">
        <f aca="false">IF(G78="","",IF(D78="g","o quilo",IF(D78="ml","o litro","a unidade")))</f>
        <v/>
      </c>
      <c r="I78" s="9"/>
      <c r="J78" s="41"/>
    </row>
    <row r="79" customFormat="false" ht="21" hidden="false" customHeight="true" outlineLevel="0" collapsed="false">
      <c r="B79" s="9"/>
      <c r="C79" s="42"/>
      <c r="D79" s="42"/>
      <c r="E79" s="42"/>
      <c r="F79" s="43"/>
      <c r="G79" s="27" t="str">
        <f aca="false">IF(OR(B79="",E79="",F79="",N(E79)=0),"",IF(OR(D79="g",D79="ml"),F79/E79*1000,F79/E79))</f>
        <v/>
      </c>
      <c r="H79" s="23" t="str">
        <f aca="false">IF(G79="","",IF(D79="g","o quilo",IF(D79="ml","o litro","a unidade")))</f>
        <v/>
      </c>
      <c r="I79" s="9"/>
      <c r="J79" s="41"/>
    </row>
    <row r="80" customFormat="false" ht="21" hidden="false" customHeight="true" outlineLevel="0" collapsed="false">
      <c r="B80" s="9"/>
      <c r="C80" s="42"/>
      <c r="D80" s="42"/>
      <c r="E80" s="42"/>
      <c r="F80" s="43"/>
      <c r="G80" s="27" t="str">
        <f aca="false">IF(OR(B80="",E80="",F80="",N(E80)=0),"",IF(OR(D80="g",D80="ml"),F80/E80*1000,F80/E80))</f>
        <v/>
      </c>
      <c r="H80" s="23" t="str">
        <f aca="false">IF(G80="","",IF(D80="g","o quilo",IF(D80="ml","o litro","a unidade")))</f>
        <v/>
      </c>
      <c r="I80" s="9"/>
      <c r="J80" s="41"/>
    </row>
    <row r="81" customFormat="false" ht="21" hidden="false" customHeight="true" outlineLevel="0" collapsed="false">
      <c r="B81" s="9"/>
      <c r="C81" s="42"/>
      <c r="D81" s="42"/>
      <c r="E81" s="42"/>
      <c r="F81" s="43"/>
      <c r="G81" s="27" t="str">
        <f aca="false">IF(OR(B81="",E81="",F81="",N(E81)=0),"",IF(OR(D81="g",D81="ml"),F81/E81*1000,F81/E81))</f>
        <v/>
      </c>
      <c r="H81" s="23" t="str">
        <f aca="false">IF(G81="","",IF(D81="g","o quilo",IF(D81="ml","o litro","a unidade")))</f>
        <v/>
      </c>
      <c r="I81" s="9"/>
      <c r="J81" s="41"/>
    </row>
    <row r="82" customFormat="false" ht="21" hidden="false" customHeight="true" outlineLevel="0" collapsed="false">
      <c r="B82" s="9"/>
      <c r="C82" s="42"/>
      <c r="D82" s="42"/>
      <c r="E82" s="42"/>
      <c r="F82" s="43"/>
      <c r="G82" s="27" t="str">
        <f aca="false">IF(OR(B82="",E82="",F82="",N(E82)=0),"",IF(OR(D82="g",D82="ml"),F82/E82*1000,F82/E82))</f>
        <v/>
      </c>
      <c r="H82" s="23" t="str">
        <f aca="false">IF(G82="","",IF(D82="g","o quilo",IF(D82="ml","o litro","a unidade")))</f>
        <v/>
      </c>
      <c r="I82" s="9"/>
      <c r="J82" s="41"/>
    </row>
    <row r="83" customFormat="false" ht="21" hidden="false" customHeight="true" outlineLevel="0" collapsed="false">
      <c r="B83" s="9"/>
      <c r="C83" s="42"/>
      <c r="D83" s="42"/>
      <c r="E83" s="42"/>
      <c r="F83" s="43"/>
      <c r="G83" s="27" t="str">
        <f aca="false">IF(OR(B83="",E83="",F83="",N(E83)=0),"",IF(OR(D83="g",D83="ml"),F83/E83*1000,F83/E83))</f>
        <v/>
      </c>
      <c r="H83" s="23" t="str">
        <f aca="false">IF(G83="","",IF(D83="g","o quilo",IF(D83="ml","o litro","a unidade")))</f>
        <v/>
      </c>
      <c r="I83" s="9"/>
      <c r="J83" s="41"/>
    </row>
    <row r="84" customFormat="false" ht="21" hidden="false" customHeight="true" outlineLevel="0" collapsed="false">
      <c r="B84" s="9"/>
      <c r="C84" s="42"/>
      <c r="D84" s="42"/>
      <c r="E84" s="42"/>
      <c r="F84" s="43"/>
      <c r="G84" s="27" t="str">
        <f aca="false">IF(OR(B84="",E84="",F84="",N(E84)=0),"",IF(OR(D84="g",D84="ml"),F84/E84*1000,F84/E84))</f>
        <v/>
      </c>
      <c r="H84" s="23" t="str">
        <f aca="false">IF(G84="","",IF(D84="g","o quilo",IF(D84="ml","o litro","a unidade")))</f>
        <v/>
      </c>
      <c r="I84" s="9"/>
      <c r="J84" s="41"/>
    </row>
    <row r="85" customFormat="false" ht="21" hidden="false" customHeight="true" outlineLevel="0" collapsed="false">
      <c r="B85" s="9"/>
      <c r="C85" s="42"/>
      <c r="D85" s="42"/>
      <c r="E85" s="42"/>
      <c r="F85" s="43"/>
      <c r="G85" s="27" t="str">
        <f aca="false">IF(OR(B85="",E85="",F85="",N(E85)=0),"",IF(OR(D85="g",D85="ml"),F85/E85*1000,F85/E85))</f>
        <v/>
      </c>
      <c r="H85" s="23" t="str">
        <f aca="false">IF(G85="","",IF(D85="g","o quilo",IF(D85="ml","o litro","a unidade")))</f>
        <v/>
      </c>
      <c r="I85" s="9"/>
      <c r="J85" s="41"/>
    </row>
    <row r="86" customFormat="false" ht="21" hidden="false" customHeight="true" outlineLevel="0" collapsed="false">
      <c r="B86" s="9"/>
      <c r="C86" s="42"/>
      <c r="D86" s="42"/>
      <c r="E86" s="42"/>
      <c r="F86" s="43"/>
      <c r="G86" s="27" t="str">
        <f aca="false">IF(OR(B86="",E86="",F86="",N(E86)=0),"",IF(OR(D86="g",D86="ml"),F86/E86*1000,F86/E86))</f>
        <v/>
      </c>
      <c r="H86" s="23" t="str">
        <f aca="false">IF(G86="","",IF(D86="g","o quilo",IF(D86="ml","o litro","a unidade")))</f>
        <v/>
      </c>
      <c r="I86" s="9"/>
      <c r="J86" s="41"/>
    </row>
    <row r="87" customFormat="false" ht="21" hidden="false" customHeight="true" outlineLevel="0" collapsed="false">
      <c r="B87" s="9"/>
      <c r="C87" s="42"/>
      <c r="D87" s="42"/>
      <c r="E87" s="42"/>
      <c r="F87" s="43"/>
      <c r="G87" s="27" t="str">
        <f aca="false">IF(OR(B87="",E87="",F87="",N(E87)=0),"",IF(OR(D87="g",D87="ml"),F87/E87*1000,F87/E87))</f>
        <v/>
      </c>
      <c r="H87" s="23" t="str">
        <f aca="false">IF(G87="","",IF(D87="g","o quilo",IF(D87="ml","o litro","a unidade")))</f>
        <v/>
      </c>
      <c r="I87" s="9"/>
      <c r="J87" s="41"/>
    </row>
    <row r="88" customFormat="false" ht="21" hidden="false" customHeight="true" outlineLevel="0" collapsed="false">
      <c r="B88" s="9"/>
      <c r="C88" s="42"/>
      <c r="D88" s="42"/>
      <c r="E88" s="42"/>
      <c r="F88" s="43"/>
      <c r="G88" s="27" t="str">
        <f aca="false">IF(OR(B88="",E88="",F88="",N(E88)=0),"",IF(OR(D88="g",D88="ml"),F88/E88*1000,F88/E88))</f>
        <v/>
      </c>
      <c r="H88" s="23" t="str">
        <f aca="false">IF(G88="","",IF(D88="g","o quilo",IF(D88="ml","o litro","a unidade")))</f>
        <v/>
      </c>
      <c r="I88" s="9"/>
      <c r="J88" s="41"/>
    </row>
    <row r="89" customFormat="false" ht="21" hidden="false" customHeight="true" outlineLevel="0" collapsed="false">
      <c r="B89" s="9"/>
      <c r="C89" s="42"/>
      <c r="D89" s="42"/>
      <c r="E89" s="42"/>
      <c r="F89" s="43"/>
      <c r="G89" s="27" t="str">
        <f aca="false">IF(OR(B89="",E89="",F89="",N(E89)=0),"",IF(OR(D89="g",D89="ml"),F89/E89*1000,F89/E89))</f>
        <v/>
      </c>
      <c r="H89" s="23" t="str">
        <f aca="false">IF(G89="","",IF(D89="g","o quilo",IF(D89="ml","o litro","a unidade")))</f>
        <v/>
      </c>
      <c r="I89" s="9"/>
      <c r="J89" s="41"/>
    </row>
    <row r="90" customFormat="false" ht="21" hidden="false" customHeight="true" outlineLevel="0" collapsed="false">
      <c r="B90" s="9"/>
      <c r="C90" s="42"/>
      <c r="D90" s="42"/>
      <c r="E90" s="42"/>
      <c r="F90" s="43"/>
      <c r="G90" s="27" t="str">
        <f aca="false">IF(OR(B90="",E90="",F90="",N(E90)=0),"",IF(OR(D90="g",D90="ml"),F90/E90*1000,F90/E90))</f>
        <v/>
      </c>
      <c r="H90" s="23" t="str">
        <f aca="false">IF(G90="","",IF(D90="g","o quilo",IF(D90="ml","o litro","a unidade")))</f>
        <v/>
      </c>
      <c r="I90" s="9"/>
      <c r="J90" s="41"/>
    </row>
    <row r="91" customFormat="false" ht="21" hidden="false" customHeight="true" outlineLevel="0" collapsed="false">
      <c r="B91" s="9"/>
      <c r="C91" s="42"/>
      <c r="D91" s="42"/>
      <c r="E91" s="42"/>
      <c r="F91" s="43"/>
      <c r="G91" s="27" t="str">
        <f aca="false">IF(OR(B91="",E91="",F91="",N(E91)=0),"",IF(OR(D91="g",D91="ml"),F91/E91*1000,F91/E91))</f>
        <v/>
      </c>
      <c r="H91" s="23" t="str">
        <f aca="false">IF(G91="","",IF(D91="g","o quilo",IF(D91="ml","o litro","a unidade")))</f>
        <v/>
      </c>
      <c r="I91" s="9"/>
      <c r="J91" s="41"/>
    </row>
    <row r="92" customFormat="false" ht="21" hidden="false" customHeight="true" outlineLevel="0" collapsed="false">
      <c r="B92" s="9"/>
      <c r="C92" s="42"/>
      <c r="D92" s="42"/>
      <c r="E92" s="42"/>
      <c r="F92" s="43"/>
      <c r="G92" s="27" t="str">
        <f aca="false">IF(OR(B92="",E92="",F92="",N(E92)=0),"",IF(OR(D92="g",D92="ml"),F92/E92*1000,F92/E92))</f>
        <v/>
      </c>
      <c r="H92" s="23" t="str">
        <f aca="false">IF(G92="","",IF(D92="g","o quilo",IF(D92="ml","o litro","a unidade")))</f>
        <v/>
      </c>
      <c r="I92" s="9"/>
      <c r="J92" s="41"/>
    </row>
    <row r="93" customFormat="false" ht="21" hidden="false" customHeight="true" outlineLevel="0" collapsed="false">
      <c r="B93" s="9"/>
      <c r="C93" s="42"/>
      <c r="D93" s="42"/>
      <c r="E93" s="42"/>
      <c r="F93" s="43"/>
      <c r="G93" s="27" t="str">
        <f aca="false">IF(OR(B93="",E93="",F93="",N(E93)=0),"",IF(OR(D93="g",D93="ml"),F93/E93*1000,F93/E93))</f>
        <v/>
      </c>
      <c r="H93" s="23" t="str">
        <f aca="false">IF(G93="","",IF(D93="g","o quilo",IF(D93="ml","o litro","a unidade")))</f>
        <v/>
      </c>
      <c r="I93" s="9"/>
      <c r="J93" s="41"/>
    </row>
    <row r="94" customFormat="false" ht="21" hidden="false" customHeight="true" outlineLevel="0" collapsed="false">
      <c r="B94" s="9"/>
      <c r="C94" s="42"/>
      <c r="D94" s="42"/>
      <c r="E94" s="42"/>
      <c r="F94" s="43"/>
      <c r="G94" s="27" t="str">
        <f aca="false">IF(OR(B94="",E94="",F94="",N(E94)=0),"",IF(OR(D94="g",D94="ml"),F94/E94*1000,F94/E94))</f>
        <v/>
      </c>
      <c r="H94" s="23" t="str">
        <f aca="false">IF(G94="","",IF(D94="g","o quilo",IF(D94="ml","o litro","a unidade")))</f>
        <v/>
      </c>
      <c r="I94" s="9"/>
      <c r="J94" s="41"/>
    </row>
    <row r="95" customFormat="false" ht="21" hidden="false" customHeight="true" outlineLevel="0" collapsed="false">
      <c r="B95" s="9"/>
      <c r="C95" s="42"/>
      <c r="D95" s="42"/>
      <c r="E95" s="42"/>
      <c r="F95" s="43"/>
      <c r="G95" s="27" t="str">
        <f aca="false">IF(OR(B95="",E95="",F95="",N(E95)=0),"",IF(OR(D95="g",D95="ml"),F95/E95*1000,F95/E95))</f>
        <v/>
      </c>
      <c r="H95" s="23" t="str">
        <f aca="false">IF(G95="","",IF(D95="g","o quilo",IF(D95="ml","o litro","a unidade")))</f>
        <v/>
      </c>
      <c r="I95" s="9"/>
      <c r="J95" s="41"/>
    </row>
    <row r="96" customFormat="false" ht="21" hidden="false" customHeight="true" outlineLevel="0" collapsed="false">
      <c r="B96" s="9"/>
      <c r="C96" s="42"/>
      <c r="D96" s="42"/>
      <c r="E96" s="42"/>
      <c r="F96" s="43"/>
      <c r="G96" s="27" t="str">
        <f aca="false">IF(OR(B96="",E96="",F96="",N(E96)=0),"",IF(OR(D96="g",D96="ml"),F96/E96*1000,F96/E96))</f>
        <v/>
      </c>
      <c r="H96" s="23" t="str">
        <f aca="false">IF(G96="","",IF(D96="g","o quilo",IF(D96="ml","o litro","a unidade")))</f>
        <v/>
      </c>
      <c r="I96" s="9"/>
      <c r="J96" s="41"/>
    </row>
    <row r="97" customFormat="false" ht="21" hidden="false" customHeight="true" outlineLevel="0" collapsed="false">
      <c r="B97" s="9"/>
      <c r="C97" s="42"/>
      <c r="D97" s="42"/>
      <c r="E97" s="42"/>
      <c r="F97" s="43"/>
      <c r="G97" s="27" t="str">
        <f aca="false">IF(OR(B97="",E97="",F97="",N(E97)=0),"",IF(OR(D97="g",D97="ml"),F97/E97*1000,F97/E97))</f>
        <v/>
      </c>
      <c r="H97" s="23" t="str">
        <f aca="false">IF(G97="","",IF(D97="g","o quilo",IF(D97="ml","o litro","a unidade")))</f>
        <v/>
      </c>
      <c r="I97" s="9"/>
      <c r="J97" s="41"/>
    </row>
    <row r="98" customFormat="false" ht="21" hidden="false" customHeight="true" outlineLevel="0" collapsed="false">
      <c r="B98" s="9"/>
      <c r="C98" s="42"/>
      <c r="D98" s="42"/>
      <c r="E98" s="42"/>
      <c r="F98" s="43"/>
      <c r="G98" s="27" t="str">
        <f aca="false">IF(OR(B98="",E98="",F98="",N(E98)=0),"",IF(OR(D98="g",D98="ml"),F98/E98*1000,F98/E98))</f>
        <v/>
      </c>
      <c r="H98" s="23" t="str">
        <f aca="false">IF(G98="","",IF(D98="g","o quilo",IF(D98="ml","o litro","a unidade")))</f>
        <v/>
      </c>
      <c r="I98" s="9"/>
      <c r="J98" s="41"/>
    </row>
    <row r="99" customFormat="false" ht="21" hidden="false" customHeight="true" outlineLevel="0" collapsed="false">
      <c r="B99" s="9"/>
      <c r="C99" s="42"/>
      <c r="D99" s="42"/>
      <c r="E99" s="42"/>
      <c r="F99" s="43"/>
      <c r="G99" s="27" t="str">
        <f aca="false">IF(OR(B99="",E99="",F99="",N(E99)=0),"",IF(OR(D99="g",D99="ml"),F99/E99*1000,F99/E99))</f>
        <v/>
      </c>
      <c r="H99" s="23" t="str">
        <f aca="false">IF(G99="","",IF(D99="g","o quilo",IF(D99="ml","o litro","a unidade")))</f>
        <v/>
      </c>
      <c r="I99" s="9"/>
      <c r="J99" s="41"/>
    </row>
    <row r="100" customFormat="false" ht="21" hidden="false" customHeight="true" outlineLevel="0" collapsed="false">
      <c r="B100" s="9"/>
      <c r="C100" s="42"/>
      <c r="D100" s="42"/>
      <c r="E100" s="42"/>
      <c r="F100" s="43"/>
      <c r="G100" s="27" t="str">
        <f aca="false">IF(OR(B100="",E100="",F100="",N(E100)=0),"",IF(OR(D100="g",D100="ml"),F100/E100*1000,F100/E100))</f>
        <v/>
      </c>
      <c r="H100" s="23" t="str">
        <f aca="false">IF(G100="","",IF(D100="g","o quilo",IF(D100="ml","o litro","a unidade")))</f>
        <v/>
      </c>
      <c r="I100" s="9"/>
      <c r="J100" s="41"/>
    </row>
    <row r="101" customFormat="false" ht="21" hidden="false" customHeight="true" outlineLevel="0" collapsed="false">
      <c r="B101" s="9"/>
      <c r="C101" s="42"/>
      <c r="D101" s="42"/>
      <c r="E101" s="42"/>
      <c r="F101" s="43"/>
      <c r="G101" s="27" t="str">
        <f aca="false">IF(OR(B101="",E101="",F101="",N(E101)=0),"",IF(OR(D101="g",D101="ml"),F101/E101*1000,F101/E101))</f>
        <v/>
      </c>
      <c r="H101" s="23" t="str">
        <f aca="false">IF(G101="","",IF(D101="g","o quilo",IF(D101="ml","o litro","a unidade")))</f>
        <v/>
      </c>
      <c r="I101" s="9"/>
      <c r="J101" s="41"/>
    </row>
    <row r="102" customFormat="false" ht="21" hidden="false" customHeight="true" outlineLevel="0" collapsed="false">
      <c r="B102" s="9"/>
      <c r="C102" s="42"/>
      <c r="D102" s="42"/>
      <c r="E102" s="42"/>
      <c r="F102" s="43"/>
      <c r="G102" s="27" t="str">
        <f aca="false">IF(OR(B102="",E102="",F102="",N(E102)=0),"",IF(OR(D102="g",D102="ml"),F102/E102*1000,F102/E102))</f>
        <v/>
      </c>
      <c r="H102" s="23" t="str">
        <f aca="false">IF(G102="","",IF(D102="g","o quilo",IF(D102="ml","o litro","a unidade")))</f>
        <v/>
      </c>
      <c r="I102" s="9"/>
      <c r="J102" s="41"/>
    </row>
    <row r="103" customFormat="false" ht="21" hidden="false" customHeight="true" outlineLevel="0" collapsed="false">
      <c r="B103" s="9"/>
      <c r="C103" s="42"/>
      <c r="D103" s="42"/>
      <c r="E103" s="42"/>
      <c r="F103" s="43"/>
      <c r="G103" s="27" t="str">
        <f aca="false">IF(OR(B103="",E103="",F103="",N(E103)=0),"",IF(OR(D103="g",D103="ml"),F103/E103*1000,F103/E103))</f>
        <v/>
      </c>
      <c r="H103" s="23" t="str">
        <f aca="false">IF(G103="","",IF(D103="g","o quilo",IF(D103="ml","o litro","a unidade")))</f>
        <v/>
      </c>
      <c r="I103" s="9"/>
      <c r="J103" s="41"/>
    </row>
    <row r="104" customFormat="false" ht="21" hidden="false" customHeight="true" outlineLevel="0" collapsed="false">
      <c r="B104" s="9"/>
      <c r="C104" s="42"/>
      <c r="D104" s="42"/>
      <c r="E104" s="42"/>
      <c r="F104" s="43"/>
      <c r="G104" s="27" t="str">
        <f aca="false">IF(OR(B104="",E104="",F104="",N(E104)=0),"",IF(OR(D104="g",D104="ml"),F104/E104*1000,F104/E104))</f>
        <v/>
      </c>
      <c r="H104" s="23" t="str">
        <f aca="false">IF(G104="","",IF(D104="g","o quilo",IF(D104="ml","o litro","a unidade")))</f>
        <v/>
      </c>
      <c r="I104" s="9"/>
      <c r="J104" s="41"/>
    </row>
    <row r="105" customFormat="false" ht="21" hidden="false" customHeight="true" outlineLevel="0" collapsed="false">
      <c r="B105" s="9"/>
      <c r="C105" s="42"/>
      <c r="D105" s="42"/>
      <c r="E105" s="42"/>
      <c r="F105" s="43"/>
      <c r="G105" s="27" t="str">
        <f aca="false">IF(OR(B105="",E105="",F105="",N(E105)=0),"",IF(OR(D105="g",D105="ml"),F105/E105*1000,F105/E105))</f>
        <v/>
      </c>
      <c r="H105" s="23" t="str">
        <f aca="false">IF(G105="","",IF(D105="g","o quilo",IF(D105="ml","o litro","a unidade")))</f>
        <v/>
      </c>
      <c r="I105" s="9"/>
      <c r="J105" s="41"/>
    </row>
    <row r="106" customFormat="false" ht="21" hidden="false" customHeight="true" outlineLevel="0" collapsed="false">
      <c r="B106" s="9"/>
      <c r="C106" s="42"/>
      <c r="D106" s="42"/>
      <c r="E106" s="42"/>
      <c r="F106" s="43"/>
      <c r="G106" s="27" t="str">
        <f aca="false">IF(OR(B106="",E106="",F106="",N(E106)=0),"",IF(OR(D106="g",D106="ml"),F106/E106*1000,F106/E106))</f>
        <v/>
      </c>
      <c r="H106" s="23" t="str">
        <f aca="false">IF(G106="","",IF(D106="g","o quilo",IF(D106="ml","o litro","a unidade")))</f>
        <v/>
      </c>
      <c r="I106" s="9"/>
      <c r="J106" s="41"/>
    </row>
    <row r="107" customFormat="false" ht="21" hidden="false" customHeight="true" outlineLevel="0" collapsed="false">
      <c r="B107" s="9"/>
      <c r="C107" s="42"/>
      <c r="D107" s="42"/>
      <c r="E107" s="42"/>
      <c r="F107" s="43"/>
      <c r="G107" s="27" t="str">
        <f aca="false">IF(OR(B107="",E107="",F107="",N(E107)=0),"",IF(OR(D107="g",D107="ml"),F107/E107*1000,F107/E107))</f>
        <v/>
      </c>
      <c r="H107" s="23" t="str">
        <f aca="false">IF(G107="","",IF(D107="g","o quilo",IF(D107="ml","o litro","a unidade")))</f>
        <v/>
      </c>
      <c r="I107" s="9"/>
      <c r="J107" s="41"/>
    </row>
    <row r="108" customFormat="false" ht="21" hidden="false" customHeight="true" outlineLevel="0" collapsed="false">
      <c r="B108" s="9"/>
      <c r="C108" s="42"/>
      <c r="D108" s="42"/>
      <c r="E108" s="42"/>
      <c r="F108" s="43"/>
      <c r="G108" s="27" t="str">
        <f aca="false">IF(OR(B108="",E108="",F108="",N(E108)=0),"",IF(OR(D108="g",D108="ml"),F108/E108*1000,F108/E108))</f>
        <v/>
      </c>
      <c r="H108" s="23" t="str">
        <f aca="false">IF(G108="","",IF(D108="g","o quilo",IF(D108="ml","o litro","a unidade")))</f>
        <v/>
      </c>
      <c r="I108" s="9"/>
      <c r="J108" s="41"/>
    </row>
    <row r="109" customFormat="false" ht="21" hidden="false" customHeight="true" outlineLevel="0" collapsed="false">
      <c r="B109" s="9"/>
      <c r="C109" s="42"/>
      <c r="D109" s="42"/>
      <c r="E109" s="42"/>
      <c r="F109" s="43"/>
      <c r="G109" s="27" t="str">
        <f aca="false">IF(OR(B109="",E109="",F109="",N(E109)=0),"",IF(OR(D109="g",D109="ml"),F109/E109*1000,F109/E109))</f>
        <v/>
      </c>
      <c r="H109" s="23" t="str">
        <f aca="false">IF(G109="","",IF(D109="g","o quilo",IF(D109="ml","o litro","a unidade")))</f>
        <v/>
      </c>
      <c r="I109" s="9"/>
      <c r="J109" s="41"/>
    </row>
    <row r="110" customFormat="false" ht="21" hidden="false" customHeight="true" outlineLevel="0" collapsed="false">
      <c r="B110" s="9"/>
      <c r="C110" s="42"/>
      <c r="D110" s="42"/>
      <c r="E110" s="42"/>
      <c r="F110" s="43"/>
      <c r="G110" s="27" t="str">
        <f aca="false">IF(OR(B110="",E110="",F110="",N(E110)=0),"",IF(OR(D110="g",D110="ml"),F110/E110*1000,F110/E110))</f>
        <v/>
      </c>
      <c r="H110" s="23" t="str">
        <f aca="false">IF(G110="","",IF(D110="g","o quilo",IF(D110="ml","o litro","a unidade")))</f>
        <v/>
      </c>
      <c r="I110" s="9"/>
      <c r="J110" s="41"/>
    </row>
    <row r="111" customFormat="false" ht="21" hidden="false" customHeight="true" outlineLevel="0" collapsed="false">
      <c r="B111" s="9"/>
      <c r="C111" s="42"/>
      <c r="D111" s="42"/>
      <c r="E111" s="42"/>
      <c r="F111" s="43"/>
      <c r="G111" s="27" t="str">
        <f aca="false">IF(OR(B111="",E111="",F111="",N(E111)=0),"",IF(OR(D111="g",D111="ml"),F111/E111*1000,F111/E111))</f>
        <v/>
      </c>
      <c r="H111" s="23" t="str">
        <f aca="false">IF(G111="","",IF(D111="g","o quilo",IF(D111="ml","o litro","a unidade")))</f>
        <v/>
      </c>
      <c r="I111" s="9"/>
      <c r="J111" s="41"/>
    </row>
    <row r="112" customFormat="false" ht="21" hidden="false" customHeight="true" outlineLevel="0" collapsed="false">
      <c r="B112" s="9"/>
      <c r="C112" s="42"/>
      <c r="D112" s="42"/>
      <c r="E112" s="42"/>
      <c r="F112" s="43"/>
      <c r="G112" s="27" t="str">
        <f aca="false">IF(OR(B112="",E112="",F112="",N(E112)=0),"",IF(OR(D112="g",D112="ml"),F112/E112*1000,F112/E112))</f>
        <v/>
      </c>
      <c r="H112" s="23" t="str">
        <f aca="false">IF(G112="","",IF(D112="g","o quilo",IF(D112="ml","o litro","a unidade")))</f>
        <v/>
      </c>
      <c r="I112" s="9"/>
      <c r="J112" s="41"/>
    </row>
    <row r="113" customFormat="false" ht="21" hidden="false" customHeight="true" outlineLevel="0" collapsed="false">
      <c r="B113" s="9"/>
      <c r="C113" s="42"/>
      <c r="D113" s="42"/>
      <c r="E113" s="42"/>
      <c r="F113" s="43"/>
      <c r="G113" s="27" t="str">
        <f aca="false">IF(OR(B113="",E113="",F113="",N(E113)=0),"",IF(OR(D113="g",D113="ml"),F113/E113*1000,F113/E113))</f>
        <v/>
      </c>
      <c r="H113" s="23" t="str">
        <f aca="false">IF(G113="","",IF(D113="g","o quilo",IF(D113="ml","o litro","a unidade")))</f>
        <v/>
      </c>
      <c r="I113" s="9"/>
      <c r="J113" s="41"/>
    </row>
    <row r="114" customFormat="false" ht="21" hidden="false" customHeight="true" outlineLevel="0" collapsed="false">
      <c r="B114" s="9"/>
      <c r="C114" s="42"/>
      <c r="D114" s="42"/>
      <c r="E114" s="42"/>
      <c r="F114" s="43"/>
      <c r="G114" s="27" t="str">
        <f aca="false">IF(OR(B114="",E114="",F114="",N(E114)=0),"",IF(OR(D114="g",D114="ml"),F114/E114*1000,F114/E114))</f>
        <v/>
      </c>
      <c r="H114" s="23" t="str">
        <f aca="false">IF(G114="","",IF(D114="g","o quilo",IF(D114="ml","o litro","a unidade")))</f>
        <v/>
      </c>
      <c r="I114" s="9"/>
      <c r="J114" s="41"/>
    </row>
    <row r="115" customFormat="false" ht="21" hidden="false" customHeight="true" outlineLevel="0" collapsed="false">
      <c r="B115" s="9"/>
      <c r="C115" s="42"/>
      <c r="D115" s="42"/>
      <c r="E115" s="42"/>
      <c r="F115" s="43"/>
      <c r="G115" s="27" t="str">
        <f aca="false">IF(OR(B115="",E115="",F115="",N(E115)=0),"",IF(OR(D115="g",D115="ml"),F115/E115*1000,F115/E115))</f>
        <v/>
      </c>
      <c r="H115" s="23" t="str">
        <f aca="false">IF(G115="","",IF(D115="g","o quilo",IF(D115="ml","o litro","a unidade")))</f>
        <v/>
      </c>
      <c r="I115" s="9"/>
      <c r="J115" s="41"/>
    </row>
    <row r="116" customFormat="false" ht="21" hidden="false" customHeight="true" outlineLevel="0" collapsed="false">
      <c r="B116" s="9"/>
      <c r="C116" s="42"/>
      <c r="D116" s="42"/>
      <c r="E116" s="42"/>
      <c r="F116" s="43"/>
      <c r="G116" s="27" t="str">
        <f aca="false">IF(OR(B116="",E116="",F116="",N(E116)=0),"",IF(OR(D116="g",D116="ml"),F116/E116*1000,F116/E116))</f>
        <v/>
      </c>
      <c r="H116" s="23" t="str">
        <f aca="false">IF(G116="","",IF(D116="g","o quilo",IF(D116="ml","o litro","a unidade")))</f>
        <v/>
      </c>
      <c r="I116" s="9"/>
      <c r="J116" s="41"/>
    </row>
    <row r="117" customFormat="false" ht="21" hidden="false" customHeight="true" outlineLevel="0" collapsed="false">
      <c r="B117" s="9"/>
      <c r="C117" s="42"/>
      <c r="D117" s="42"/>
      <c r="E117" s="42"/>
      <c r="F117" s="43"/>
      <c r="G117" s="27" t="str">
        <f aca="false">IF(OR(B117="",E117="",F117="",N(E117)=0),"",IF(OR(D117="g",D117="ml"),F117/E117*1000,F117/E117))</f>
        <v/>
      </c>
      <c r="H117" s="23" t="str">
        <f aca="false">IF(G117="","",IF(D117="g","o quilo",IF(D117="ml","o litro","a unidade")))</f>
        <v/>
      </c>
      <c r="I117" s="9"/>
      <c r="J117" s="41"/>
    </row>
    <row r="118" customFormat="false" ht="21" hidden="false" customHeight="true" outlineLevel="0" collapsed="false">
      <c r="B118" s="9"/>
      <c r="C118" s="42"/>
      <c r="D118" s="42"/>
      <c r="E118" s="42"/>
      <c r="F118" s="43"/>
      <c r="G118" s="27" t="str">
        <f aca="false">IF(OR(B118="",E118="",F118="",N(E118)=0),"",IF(OR(D118="g",D118="ml"),F118/E118*1000,F118/E118))</f>
        <v/>
      </c>
      <c r="H118" s="23" t="str">
        <f aca="false">IF(G118="","",IF(D118="g","o quilo",IF(D118="ml","o litro","a unidade")))</f>
        <v/>
      </c>
      <c r="I118" s="9"/>
      <c r="J118" s="41"/>
    </row>
    <row r="119" customFormat="false" ht="21" hidden="false" customHeight="true" outlineLevel="0" collapsed="false">
      <c r="B119" s="9"/>
      <c r="C119" s="42"/>
      <c r="D119" s="42"/>
      <c r="E119" s="42"/>
      <c r="F119" s="43"/>
      <c r="G119" s="27" t="str">
        <f aca="false">IF(OR(B119="",E119="",F119="",N(E119)=0),"",IF(OR(D119="g",D119="ml"),F119/E119*1000,F119/E119))</f>
        <v/>
      </c>
      <c r="H119" s="23" t="str">
        <f aca="false">IF(G119="","",IF(D119="g","o quilo",IF(D119="ml","o litro","a unidade")))</f>
        <v/>
      </c>
      <c r="I119" s="9"/>
      <c r="J119" s="41"/>
    </row>
    <row r="120" customFormat="false" ht="21" hidden="false" customHeight="true" outlineLevel="0" collapsed="false">
      <c r="B120" s="9"/>
      <c r="C120" s="42"/>
      <c r="D120" s="42"/>
      <c r="E120" s="42"/>
      <c r="F120" s="43"/>
      <c r="G120" s="27" t="str">
        <f aca="false">IF(OR(B120="",E120="",F120="",N(E120)=0),"",IF(OR(D120="g",D120="ml"),F120/E120*1000,F120/E120))</f>
        <v/>
      </c>
      <c r="H120" s="23" t="str">
        <f aca="false">IF(G120="","",IF(D120="g","o quilo",IF(D120="ml","o litro","a unidade")))</f>
        <v/>
      </c>
      <c r="I120" s="9"/>
      <c r="J120" s="41"/>
    </row>
    <row r="121" customFormat="false" ht="21" hidden="false" customHeight="true" outlineLevel="0" collapsed="false">
      <c r="B121" s="9"/>
      <c r="C121" s="42"/>
      <c r="D121" s="42"/>
      <c r="E121" s="42"/>
      <c r="F121" s="43"/>
      <c r="G121" s="27" t="str">
        <f aca="false">IF(OR(B121="",E121="",F121="",N(E121)=0),"",IF(OR(D121="g",D121="ml"),F121/E121*1000,F121/E121))</f>
        <v/>
      </c>
      <c r="H121" s="23" t="str">
        <f aca="false">IF(G121="","",IF(D121="g","o quilo",IF(D121="ml","o litro","a unidade")))</f>
        <v/>
      </c>
      <c r="I121" s="9"/>
      <c r="J121" s="41"/>
    </row>
    <row r="122" customFormat="false" ht="21" hidden="false" customHeight="true" outlineLevel="0" collapsed="false">
      <c r="B122" s="9"/>
      <c r="C122" s="42"/>
      <c r="D122" s="42"/>
      <c r="E122" s="42"/>
      <c r="F122" s="43"/>
      <c r="G122" s="27" t="str">
        <f aca="false">IF(OR(B122="",E122="",F122="",N(E122)=0),"",IF(OR(D122="g",D122="ml"),F122/E122*1000,F122/E122))</f>
        <v/>
      </c>
      <c r="H122" s="23" t="str">
        <f aca="false">IF(G122="","",IF(D122="g","o quilo",IF(D122="ml","o litro","a unidade")))</f>
        <v/>
      </c>
      <c r="I122" s="9"/>
      <c r="J122" s="41"/>
    </row>
    <row r="123" customFormat="false" ht="21" hidden="false" customHeight="true" outlineLevel="0" collapsed="false">
      <c r="B123" s="9"/>
      <c r="C123" s="42"/>
      <c r="D123" s="42"/>
      <c r="E123" s="42"/>
      <c r="F123" s="43"/>
      <c r="G123" s="27" t="str">
        <f aca="false">IF(OR(B123="",E123="",F123="",N(E123)=0),"",IF(OR(D123="g",D123="ml"),F123/E123*1000,F123/E123))</f>
        <v/>
      </c>
      <c r="H123" s="23" t="str">
        <f aca="false">IF(G123="","",IF(D123="g","o quilo",IF(D123="ml","o litro","a unidade")))</f>
        <v/>
      </c>
      <c r="I123" s="9"/>
      <c r="J123" s="41"/>
    </row>
    <row r="124" customFormat="false" ht="21" hidden="false" customHeight="true" outlineLevel="0" collapsed="false">
      <c r="B124" s="9"/>
      <c r="C124" s="42"/>
      <c r="D124" s="42"/>
      <c r="E124" s="42"/>
      <c r="F124" s="43"/>
      <c r="G124" s="27" t="str">
        <f aca="false">IF(OR(B124="",E124="",F124="",N(E124)=0),"",IF(OR(D124="g",D124="ml"),F124/E124*1000,F124/E124))</f>
        <v/>
      </c>
      <c r="H124" s="23" t="str">
        <f aca="false">IF(G124="","",IF(D124="g","o quilo",IF(D124="ml","o litro","a unidade")))</f>
        <v/>
      </c>
      <c r="I124" s="9"/>
      <c r="J124" s="41"/>
    </row>
    <row r="125" customFormat="false" ht="21" hidden="false" customHeight="true" outlineLevel="0" collapsed="false">
      <c r="B125" s="9"/>
      <c r="C125" s="42"/>
      <c r="D125" s="42"/>
      <c r="E125" s="42"/>
      <c r="F125" s="43"/>
      <c r="G125" s="27" t="str">
        <f aca="false">IF(OR(B125="",E125="",F125="",N(E125)=0),"",IF(OR(D125="g",D125="ml"),F125/E125*1000,F125/E125))</f>
        <v/>
      </c>
      <c r="H125" s="23" t="str">
        <f aca="false">IF(G125="","",IF(D125="g","o quilo",IF(D125="ml","o litro","a unidade")))</f>
        <v/>
      </c>
      <c r="I125" s="9"/>
      <c r="J125" s="41"/>
    </row>
    <row r="126" customFormat="false" ht="21" hidden="false" customHeight="true" outlineLevel="0" collapsed="false">
      <c r="B126" s="9"/>
      <c r="C126" s="42"/>
      <c r="D126" s="42"/>
      <c r="E126" s="42"/>
      <c r="F126" s="43"/>
      <c r="G126" s="27" t="str">
        <f aca="false">IF(OR(B126="",E126="",F126="",N(E126)=0),"",IF(OR(D126="g",D126="ml"),F126/E126*1000,F126/E126))</f>
        <v/>
      </c>
      <c r="H126" s="23" t="str">
        <f aca="false">IF(G126="","",IF(D126="g","o quilo",IF(D126="ml","o litro","a unidade")))</f>
        <v/>
      </c>
      <c r="I126" s="9"/>
      <c r="J126" s="41"/>
    </row>
    <row r="127" customFormat="false" ht="21" hidden="false" customHeight="true" outlineLevel="0" collapsed="false">
      <c r="B127" s="9"/>
      <c r="C127" s="42"/>
      <c r="D127" s="42"/>
      <c r="E127" s="42"/>
      <c r="F127" s="43"/>
      <c r="G127" s="27" t="str">
        <f aca="false">IF(OR(B127="",E127="",F127="",N(E127)=0),"",IF(OR(D127="g",D127="ml"),F127/E127*1000,F127/E127))</f>
        <v/>
      </c>
      <c r="H127" s="23" t="str">
        <f aca="false">IF(G127="","",IF(D127="g","o quilo",IF(D127="ml","o litro","a unidade")))</f>
        <v/>
      </c>
      <c r="I127" s="9"/>
      <c r="J127" s="41"/>
    </row>
    <row r="128" customFormat="false" ht="21" hidden="false" customHeight="true" outlineLevel="0" collapsed="false">
      <c r="B128" s="9"/>
      <c r="C128" s="42"/>
      <c r="D128" s="42"/>
      <c r="E128" s="42"/>
      <c r="F128" s="43"/>
      <c r="G128" s="27" t="str">
        <f aca="false">IF(OR(B128="",E128="",F128="",N(E128)=0),"",IF(OR(D128="g",D128="ml"),F128/E128*1000,F128/E128))</f>
        <v/>
      </c>
      <c r="H128" s="23" t="str">
        <f aca="false">IF(G128="","",IF(D128="g","o quilo",IF(D128="ml","o litro","a unidade")))</f>
        <v/>
      </c>
      <c r="I128" s="9"/>
      <c r="J128" s="41"/>
    </row>
    <row r="129" customFormat="false" ht="21" hidden="false" customHeight="true" outlineLevel="0" collapsed="false">
      <c r="B129" s="9"/>
      <c r="C129" s="42"/>
      <c r="D129" s="42"/>
      <c r="E129" s="42"/>
      <c r="F129" s="43"/>
      <c r="G129" s="27" t="str">
        <f aca="false">IF(OR(B129="",E129="",F129="",N(E129)=0),"",IF(OR(D129="g",D129="ml"),F129/E129*1000,F129/E129))</f>
        <v/>
      </c>
      <c r="H129" s="23" t="str">
        <f aca="false">IF(G129="","",IF(D129="g","o quilo",IF(D129="ml","o litro","a unidade")))</f>
        <v/>
      </c>
      <c r="I129" s="9"/>
      <c r="J129" s="41"/>
    </row>
    <row r="130" customFormat="false" ht="21" hidden="false" customHeight="true" outlineLevel="0" collapsed="false">
      <c r="B130" s="9"/>
      <c r="C130" s="42"/>
      <c r="D130" s="42"/>
      <c r="E130" s="42"/>
      <c r="F130" s="43"/>
      <c r="G130" s="27" t="str">
        <f aca="false">IF(OR(B130="",E130="",F130="",N(E130)=0),"",IF(OR(D130="g",D130="ml"),F130/E130*1000,F130/E130))</f>
        <v/>
      </c>
      <c r="H130" s="23" t="str">
        <f aca="false">IF(G130="","",IF(D130="g","o quilo",IF(D130="ml","o litro","a unidade")))</f>
        <v/>
      </c>
      <c r="I130" s="9"/>
      <c r="J130" s="41"/>
    </row>
    <row r="131" customFormat="false" ht="21" hidden="false" customHeight="true" outlineLevel="0" collapsed="false">
      <c r="B131" s="9"/>
      <c r="C131" s="42"/>
      <c r="D131" s="42"/>
      <c r="E131" s="42"/>
      <c r="F131" s="43"/>
      <c r="G131" s="27" t="str">
        <f aca="false">IF(OR(B131="",E131="",F131="",N(E131)=0),"",IF(OR(D131="g",D131="ml"),F131/E131*1000,F131/E131))</f>
        <v/>
      </c>
      <c r="H131" s="23" t="str">
        <f aca="false">IF(G131="","",IF(D131="g","o quilo",IF(D131="ml","o litro","a unidade")))</f>
        <v/>
      </c>
      <c r="I131" s="9"/>
      <c r="J131" s="41"/>
    </row>
    <row r="132" customFormat="false" ht="21" hidden="false" customHeight="true" outlineLevel="0" collapsed="false">
      <c r="B132" s="9"/>
      <c r="C132" s="42"/>
      <c r="D132" s="42"/>
      <c r="E132" s="42"/>
      <c r="F132" s="43"/>
      <c r="G132" s="27" t="str">
        <f aca="false">IF(OR(B132="",E132="",F132="",N(E132)=0),"",IF(OR(D132="g",D132="ml"),F132/E132*1000,F132/E132))</f>
        <v/>
      </c>
      <c r="H132" s="23" t="str">
        <f aca="false">IF(G132="","",IF(D132="g","o quilo",IF(D132="ml","o litro","a unidade")))</f>
        <v/>
      </c>
      <c r="I132" s="9"/>
      <c r="J132" s="41"/>
    </row>
    <row r="133" customFormat="false" ht="21" hidden="false" customHeight="true" outlineLevel="0" collapsed="false">
      <c r="B133" s="9"/>
      <c r="C133" s="42"/>
      <c r="D133" s="42"/>
      <c r="E133" s="42"/>
      <c r="F133" s="43"/>
      <c r="G133" s="27" t="str">
        <f aca="false">IF(OR(B133="",E133="",F133="",N(E133)=0),"",IF(OR(D133="g",D133="ml"),F133/E133*1000,F133/E133))</f>
        <v/>
      </c>
      <c r="H133" s="23" t="str">
        <f aca="false">IF(G133="","",IF(D133="g","o quilo",IF(D133="ml","o litro","a unidade")))</f>
        <v/>
      </c>
      <c r="I133" s="9"/>
      <c r="J133" s="41"/>
    </row>
    <row r="134" customFormat="false" ht="21" hidden="false" customHeight="true" outlineLevel="0" collapsed="false">
      <c r="B134" s="9"/>
      <c r="C134" s="42"/>
      <c r="D134" s="42"/>
      <c r="E134" s="42"/>
      <c r="F134" s="43"/>
      <c r="G134" s="27" t="str">
        <f aca="false">IF(OR(B134="",E134="",F134="",N(E134)=0),"",IF(OR(D134="g",D134="ml"),F134/E134*1000,F134/E134))</f>
        <v/>
      </c>
      <c r="H134" s="23" t="str">
        <f aca="false">IF(G134="","",IF(D134="g","o quilo",IF(D134="ml","o litro","a unidade")))</f>
        <v/>
      </c>
      <c r="I134" s="9"/>
      <c r="J134" s="41"/>
    </row>
    <row r="135" customFormat="false" ht="21" hidden="false" customHeight="true" outlineLevel="0" collapsed="false">
      <c r="B135" s="9"/>
      <c r="C135" s="42"/>
      <c r="D135" s="42"/>
      <c r="E135" s="42"/>
      <c r="F135" s="43"/>
      <c r="G135" s="27" t="str">
        <f aca="false">IF(OR(B135="",E135="",F135="",N(E135)=0),"",IF(OR(D135="g",D135="ml"),F135/E135*1000,F135/E135))</f>
        <v/>
      </c>
      <c r="H135" s="23" t="str">
        <f aca="false">IF(G135="","",IF(D135="g","o quilo",IF(D135="ml","o litro","a unidade")))</f>
        <v/>
      </c>
      <c r="I135" s="9"/>
      <c r="J135" s="41"/>
    </row>
    <row r="136" customFormat="false" ht="21" hidden="false" customHeight="true" outlineLevel="0" collapsed="false">
      <c r="B136" s="9"/>
      <c r="C136" s="42"/>
      <c r="D136" s="42"/>
      <c r="E136" s="42"/>
      <c r="F136" s="43"/>
      <c r="G136" s="27" t="str">
        <f aca="false">IF(OR(B136="",E136="",F136="",N(E136)=0),"",IF(OR(D136="g",D136="ml"),F136/E136*1000,F136/E136))</f>
        <v/>
      </c>
      <c r="H136" s="23" t="str">
        <f aca="false">IF(G136="","",IF(D136="g","o quilo",IF(D136="ml","o litro","a unidade")))</f>
        <v/>
      </c>
      <c r="I136" s="9"/>
      <c r="J136" s="41"/>
    </row>
    <row r="137" customFormat="false" ht="21" hidden="false" customHeight="true" outlineLevel="0" collapsed="false">
      <c r="B137" s="9"/>
      <c r="C137" s="42"/>
      <c r="D137" s="42"/>
      <c r="E137" s="42"/>
      <c r="F137" s="43"/>
      <c r="G137" s="27" t="str">
        <f aca="false">IF(OR(B137="",E137="",F137="",N(E137)=0),"",IF(OR(D137="g",D137="ml"),F137/E137*1000,F137/E137))</f>
        <v/>
      </c>
      <c r="H137" s="23" t="str">
        <f aca="false">IF(G137="","",IF(D137="g","o quilo",IF(D137="ml","o litro","a unidade")))</f>
        <v/>
      </c>
      <c r="I137" s="9"/>
      <c r="J137" s="41"/>
    </row>
    <row r="138" customFormat="false" ht="21" hidden="false" customHeight="true" outlineLevel="0" collapsed="false">
      <c r="B138" s="9"/>
      <c r="C138" s="42"/>
      <c r="D138" s="42"/>
      <c r="E138" s="42"/>
      <c r="F138" s="43"/>
      <c r="G138" s="27" t="str">
        <f aca="false">IF(OR(B138="",E138="",F138="",N(E138)=0),"",IF(OR(D138="g",D138="ml"),F138/E138*1000,F138/E138))</f>
        <v/>
      </c>
      <c r="H138" s="23" t="str">
        <f aca="false">IF(G138="","",IF(D138="g","o quilo",IF(D138="ml","o litro","a unidade")))</f>
        <v/>
      </c>
      <c r="I138" s="9"/>
      <c r="J138" s="41"/>
    </row>
    <row r="139" customFormat="false" ht="21" hidden="false" customHeight="true" outlineLevel="0" collapsed="false">
      <c r="B139" s="9"/>
      <c r="C139" s="42"/>
      <c r="D139" s="42"/>
      <c r="E139" s="42"/>
      <c r="F139" s="43"/>
      <c r="G139" s="27" t="str">
        <f aca="false">IF(OR(B139="",E139="",F139="",N(E139)=0),"",IF(OR(D139="g",D139="ml"),F139/E139*1000,F139/E139))</f>
        <v/>
      </c>
      <c r="H139" s="23" t="str">
        <f aca="false">IF(G139="","",IF(D139="g","o quilo",IF(D139="ml","o litro","a unidade")))</f>
        <v/>
      </c>
      <c r="I139" s="9"/>
      <c r="J139" s="41"/>
    </row>
    <row r="140" customFormat="false" ht="21" hidden="false" customHeight="true" outlineLevel="0" collapsed="false">
      <c r="B140" s="9"/>
      <c r="C140" s="42"/>
      <c r="D140" s="42"/>
      <c r="E140" s="42"/>
      <c r="F140" s="43"/>
      <c r="G140" s="27" t="str">
        <f aca="false">IF(OR(B140="",E140="",F140="",N(E140)=0),"",IF(OR(D140="g",D140="ml"),F140/E140*1000,F140/E140))</f>
        <v/>
      </c>
      <c r="H140" s="23" t="str">
        <f aca="false">IF(G140="","",IF(D140="g","o quilo",IF(D140="ml","o litro","a unidade")))</f>
        <v/>
      </c>
      <c r="I140" s="9"/>
      <c r="J140" s="41"/>
    </row>
    <row r="141" customFormat="false" ht="21" hidden="false" customHeight="true" outlineLevel="0" collapsed="false">
      <c r="B141" s="9"/>
      <c r="C141" s="42"/>
      <c r="D141" s="42"/>
      <c r="E141" s="42"/>
      <c r="F141" s="43"/>
      <c r="G141" s="27" t="str">
        <f aca="false">IF(OR(B141="",E141="",F141="",N(E141)=0),"",IF(OR(D141="g",D141="ml"),F141/E141*1000,F141/E141))</f>
        <v/>
      </c>
      <c r="H141" s="23" t="str">
        <f aca="false">IF(G141="","",IF(D141="g","o quilo",IF(D141="ml","o litro","a unidade")))</f>
        <v/>
      </c>
      <c r="I141" s="9"/>
      <c r="J141" s="41"/>
    </row>
    <row r="142" customFormat="false" ht="21" hidden="false" customHeight="true" outlineLevel="0" collapsed="false">
      <c r="B142" s="9"/>
      <c r="C142" s="42"/>
      <c r="D142" s="42"/>
      <c r="E142" s="42"/>
      <c r="F142" s="43"/>
      <c r="G142" s="27" t="str">
        <f aca="false">IF(OR(B142="",E142="",F142="",N(E142)=0),"",IF(OR(D142="g",D142="ml"),F142/E142*1000,F142/E142))</f>
        <v/>
      </c>
      <c r="H142" s="23" t="str">
        <f aca="false">IF(G142="","",IF(D142="g","o quilo",IF(D142="ml","o litro","a unidade")))</f>
        <v/>
      </c>
      <c r="I142" s="9"/>
      <c r="J142" s="41"/>
    </row>
    <row r="143" customFormat="false" ht="21" hidden="false" customHeight="true" outlineLevel="0" collapsed="false">
      <c r="B143" s="9"/>
      <c r="C143" s="42"/>
      <c r="D143" s="42"/>
      <c r="E143" s="42"/>
      <c r="F143" s="43"/>
      <c r="G143" s="27" t="str">
        <f aca="false">IF(OR(B143="",E143="",F143="",N(E143)=0),"",IF(OR(D143="g",D143="ml"),F143/E143*1000,F143/E143))</f>
        <v/>
      </c>
      <c r="H143" s="23" t="str">
        <f aca="false">IF(G143="","",IF(D143="g","o quilo",IF(D143="ml","o litro","a unidade")))</f>
        <v/>
      </c>
      <c r="I143" s="9"/>
      <c r="J143" s="41"/>
    </row>
    <row r="144" customFormat="false" ht="21" hidden="false" customHeight="true" outlineLevel="0" collapsed="false">
      <c r="B144" s="9"/>
      <c r="C144" s="42"/>
      <c r="D144" s="42"/>
      <c r="E144" s="42"/>
      <c r="F144" s="43"/>
      <c r="G144" s="27" t="str">
        <f aca="false">IF(OR(B144="",E144="",F144="",N(E144)=0),"",IF(OR(D144="g",D144="ml"),F144/E144*1000,F144/E144))</f>
        <v/>
      </c>
      <c r="H144" s="23" t="str">
        <f aca="false">IF(G144="","",IF(D144="g","o quilo",IF(D144="ml","o litro","a unidade")))</f>
        <v/>
      </c>
      <c r="I144" s="9"/>
      <c r="J144" s="41"/>
    </row>
    <row r="145" customFormat="false" ht="21" hidden="false" customHeight="true" outlineLevel="0" collapsed="false">
      <c r="B145" s="9"/>
      <c r="C145" s="42"/>
      <c r="D145" s="42"/>
      <c r="E145" s="42"/>
      <c r="F145" s="43"/>
      <c r="G145" s="27" t="str">
        <f aca="false">IF(OR(B145="",E145="",F145="",N(E145)=0),"",IF(OR(D145="g",D145="ml"),F145/E145*1000,F145/E145))</f>
        <v/>
      </c>
      <c r="H145" s="23" t="str">
        <f aca="false">IF(G145="","",IF(D145="g","o quilo",IF(D145="ml","o litro","a unidade")))</f>
        <v/>
      </c>
      <c r="I145" s="9"/>
      <c r="J145" s="41"/>
    </row>
    <row r="146" customFormat="false" ht="21" hidden="false" customHeight="true" outlineLevel="0" collapsed="false">
      <c r="B146" s="9"/>
      <c r="C146" s="42"/>
      <c r="D146" s="42"/>
      <c r="E146" s="42"/>
      <c r="F146" s="43"/>
      <c r="G146" s="27" t="str">
        <f aca="false">IF(OR(B146="",E146="",F146="",N(E146)=0),"",IF(OR(D146="g",D146="ml"),F146/E146*1000,F146/E146))</f>
        <v/>
      </c>
      <c r="H146" s="23" t="str">
        <f aca="false">IF(G146="","",IF(D146="g","o quilo",IF(D146="ml","o litro","a unidade")))</f>
        <v/>
      </c>
      <c r="I146" s="9"/>
      <c r="J146" s="41"/>
    </row>
    <row r="147" customFormat="false" ht="21" hidden="false" customHeight="true" outlineLevel="0" collapsed="false">
      <c r="B147" s="9"/>
      <c r="C147" s="42"/>
      <c r="D147" s="42"/>
      <c r="E147" s="42"/>
      <c r="F147" s="43"/>
      <c r="G147" s="27" t="str">
        <f aca="false">IF(OR(B147="",E147="",F147="",N(E147)=0),"",IF(OR(D147="g",D147="ml"),F147/E147*1000,F147/E147))</f>
        <v/>
      </c>
      <c r="H147" s="23" t="str">
        <f aca="false">IF(G147="","",IF(D147="g","o quilo",IF(D147="ml","o litro","a unidade")))</f>
        <v/>
      </c>
      <c r="I147" s="9"/>
      <c r="J147" s="41"/>
    </row>
    <row r="148" customFormat="false" ht="21" hidden="false" customHeight="true" outlineLevel="0" collapsed="false">
      <c r="B148" s="9"/>
      <c r="C148" s="42"/>
      <c r="D148" s="42"/>
      <c r="E148" s="42"/>
      <c r="F148" s="43"/>
      <c r="G148" s="27" t="str">
        <f aca="false">IF(OR(B148="",E148="",F148="",N(E148)=0),"",IF(OR(D148="g",D148="ml"),F148/E148*1000,F148/E148))</f>
        <v/>
      </c>
      <c r="H148" s="23" t="str">
        <f aca="false">IF(G148="","",IF(D148="g","o quilo",IF(D148="ml","o litro","a unidade")))</f>
        <v/>
      </c>
      <c r="I148" s="9"/>
      <c r="J148" s="41"/>
    </row>
    <row r="149" customFormat="false" ht="21" hidden="false" customHeight="true" outlineLevel="0" collapsed="false">
      <c r="B149" s="9"/>
      <c r="C149" s="42"/>
      <c r="D149" s="42"/>
      <c r="E149" s="42"/>
      <c r="F149" s="43"/>
      <c r="G149" s="27" t="str">
        <f aca="false">IF(OR(B149="",E149="",F149="",N(E149)=0),"",IF(OR(D149="g",D149="ml"),F149/E149*1000,F149/E149))</f>
        <v/>
      </c>
      <c r="H149" s="23" t="str">
        <f aca="false">IF(G149="","",IF(D149="g","o quilo",IF(D149="ml","o litro","a unidade")))</f>
        <v/>
      </c>
      <c r="I149" s="9"/>
      <c r="J149" s="41"/>
    </row>
    <row r="150" customFormat="false" ht="21" hidden="false" customHeight="true" outlineLevel="0" collapsed="false">
      <c r="B150" s="9"/>
      <c r="C150" s="42"/>
      <c r="D150" s="42"/>
      <c r="E150" s="42"/>
      <c r="F150" s="43"/>
      <c r="G150" s="27" t="str">
        <f aca="false">IF(OR(B150="",E150="",F150="",N(E150)=0),"",IF(OR(D150="g",D150="ml"),F150/E150*1000,F150/E150))</f>
        <v/>
      </c>
      <c r="H150" s="23" t="str">
        <f aca="false">IF(G150="","",IF(D150="g","o quilo",IF(D150="ml","o litro","a unidade")))</f>
        <v/>
      </c>
      <c r="I150" s="9"/>
      <c r="J150" s="41"/>
    </row>
    <row r="151" customFormat="false" ht="21" hidden="false" customHeight="true" outlineLevel="0" collapsed="false">
      <c r="B151" s="9"/>
      <c r="C151" s="42"/>
      <c r="D151" s="42"/>
      <c r="E151" s="42"/>
      <c r="F151" s="43"/>
      <c r="G151" s="27" t="str">
        <f aca="false">IF(OR(B151="",E151="",F151="",N(E151)=0),"",IF(OR(D151="g",D151="ml"),F151/E151*1000,F151/E151))</f>
        <v/>
      </c>
      <c r="H151" s="23" t="str">
        <f aca="false">IF(G151="","",IF(D151="g","o quilo",IF(D151="ml","o litro","a unidade")))</f>
        <v/>
      </c>
      <c r="I151" s="9"/>
      <c r="J151" s="41"/>
    </row>
    <row r="152" customFormat="false" ht="21" hidden="false" customHeight="true" outlineLevel="0" collapsed="false">
      <c r="B152" s="9"/>
      <c r="C152" s="42"/>
      <c r="D152" s="42"/>
      <c r="E152" s="42"/>
      <c r="F152" s="43"/>
      <c r="G152" s="27" t="str">
        <f aca="false">IF(OR(B152="",E152="",F152="",N(E152)=0),"",IF(OR(D152="g",D152="ml"),F152/E152*1000,F152/E152))</f>
        <v/>
      </c>
      <c r="H152" s="23" t="str">
        <f aca="false">IF(G152="","",IF(D152="g","o quilo",IF(D152="ml","o litro","a unidade")))</f>
        <v/>
      </c>
      <c r="I152" s="9"/>
      <c r="J152" s="41"/>
    </row>
    <row r="153" customFormat="false" ht="21" hidden="false" customHeight="true" outlineLevel="0" collapsed="false">
      <c r="B153" s="9"/>
      <c r="C153" s="42"/>
      <c r="D153" s="42"/>
      <c r="E153" s="42"/>
      <c r="F153" s="43"/>
      <c r="G153" s="27" t="str">
        <f aca="false">IF(OR(B153="",E153="",F153="",N(E153)=0),"",IF(OR(D153="g",D153="ml"),F153/E153*1000,F153/E153))</f>
        <v/>
      </c>
      <c r="H153" s="23" t="str">
        <f aca="false">IF(G153="","",IF(D153="g","o quilo",IF(D153="ml","o litro","a unidade")))</f>
        <v/>
      </c>
      <c r="I153" s="9"/>
      <c r="J153" s="41"/>
    </row>
    <row r="154" customFormat="false" ht="21" hidden="false" customHeight="true" outlineLevel="0" collapsed="false">
      <c r="B154" s="9"/>
      <c r="C154" s="42"/>
      <c r="D154" s="42"/>
      <c r="E154" s="42"/>
      <c r="F154" s="43"/>
      <c r="G154" s="27" t="str">
        <f aca="false">IF(OR(B154="",E154="",F154="",N(E154)=0),"",IF(OR(D154="g",D154="ml"),F154/E154*1000,F154/E154))</f>
        <v/>
      </c>
      <c r="H154" s="23" t="str">
        <f aca="false">IF(G154="","",IF(D154="g","o quilo",IF(D154="ml","o litro","a unidade")))</f>
        <v/>
      </c>
      <c r="I154" s="9"/>
      <c r="J154" s="41"/>
    </row>
    <row r="155" customFormat="false" ht="21" hidden="false" customHeight="true" outlineLevel="0" collapsed="false">
      <c r="B155" s="9"/>
      <c r="C155" s="42"/>
      <c r="D155" s="42"/>
      <c r="E155" s="42"/>
      <c r="F155" s="43"/>
      <c r="G155" s="27" t="str">
        <f aca="false">IF(OR(B155="",E155="",F155="",N(E155)=0),"",IF(OR(D155="g",D155="ml"),F155/E155*1000,F155/E155))</f>
        <v/>
      </c>
      <c r="H155" s="23" t="str">
        <f aca="false">IF(G155="","",IF(D155="g","o quilo",IF(D155="ml","o litro","a unidade")))</f>
        <v/>
      </c>
      <c r="I155" s="9"/>
      <c r="J155" s="41"/>
    </row>
    <row r="156" customFormat="false" ht="21" hidden="false" customHeight="true" outlineLevel="0" collapsed="false">
      <c r="B156" s="9"/>
      <c r="C156" s="42"/>
      <c r="D156" s="42"/>
      <c r="E156" s="42"/>
      <c r="F156" s="43"/>
      <c r="G156" s="27" t="str">
        <f aca="false">IF(OR(B156="",E156="",F156="",N(E156)=0),"",IF(OR(D156="g",D156="ml"),F156/E156*1000,F156/E156))</f>
        <v/>
      </c>
      <c r="H156" s="23" t="str">
        <f aca="false">IF(G156="","",IF(D156="g","o quilo",IF(D156="ml","o litro","a unidade")))</f>
        <v/>
      </c>
      <c r="I156" s="9"/>
      <c r="J156" s="41"/>
    </row>
    <row r="157" customFormat="false" ht="21" hidden="false" customHeight="true" outlineLevel="0" collapsed="false">
      <c r="B157" s="9"/>
      <c r="C157" s="42"/>
      <c r="D157" s="42"/>
      <c r="E157" s="42"/>
      <c r="F157" s="43"/>
      <c r="G157" s="27" t="str">
        <f aca="false">IF(OR(B157="",E157="",F157="",N(E157)=0),"",IF(OR(D157="g",D157="ml"),F157/E157*1000,F157/E157))</f>
        <v/>
      </c>
      <c r="H157" s="23" t="str">
        <f aca="false">IF(G157="","",IF(D157="g","o quilo",IF(D157="ml","o litro","a unidade")))</f>
        <v/>
      </c>
      <c r="I157" s="9"/>
      <c r="J157" s="41"/>
    </row>
    <row r="158" customFormat="false" ht="21" hidden="false" customHeight="true" outlineLevel="0" collapsed="false">
      <c r="B158" s="9"/>
      <c r="C158" s="42"/>
      <c r="D158" s="42"/>
      <c r="E158" s="42"/>
      <c r="F158" s="43"/>
      <c r="G158" s="27" t="str">
        <f aca="false">IF(OR(B158="",E158="",F158="",N(E158)=0),"",IF(OR(D158="g",D158="ml"),F158/E158*1000,F158/E158))</f>
        <v/>
      </c>
      <c r="H158" s="23" t="str">
        <f aca="false">IF(G158="","",IF(D158="g","o quilo",IF(D158="ml","o litro","a unidade")))</f>
        <v/>
      </c>
      <c r="I158" s="9"/>
      <c r="J158" s="41"/>
    </row>
    <row r="159" customFormat="false" ht="21" hidden="false" customHeight="true" outlineLevel="0" collapsed="false">
      <c r="B159" s="9"/>
      <c r="C159" s="42"/>
      <c r="D159" s="42"/>
      <c r="E159" s="42"/>
      <c r="F159" s="43"/>
      <c r="G159" s="27" t="str">
        <f aca="false">IF(OR(B159="",E159="",F159="",N(E159)=0),"",IF(OR(D159="g",D159="ml"),F159/E159*1000,F159/E159))</f>
        <v/>
      </c>
      <c r="H159" s="23" t="str">
        <f aca="false">IF(G159="","",IF(D159="g","o quilo",IF(D159="ml","o litro","a unidade")))</f>
        <v/>
      </c>
      <c r="I159" s="9"/>
      <c r="J159" s="41"/>
    </row>
    <row r="160" customFormat="false" ht="21" hidden="false" customHeight="true" outlineLevel="0" collapsed="false">
      <c r="B160" s="9"/>
      <c r="C160" s="42"/>
      <c r="D160" s="42"/>
      <c r="E160" s="42"/>
      <c r="F160" s="43"/>
      <c r="G160" s="27" t="str">
        <f aca="false">IF(OR(B160="",E160="",F160="",N(E160)=0),"",IF(OR(D160="g",D160="ml"),F160/E160*1000,F160/E160))</f>
        <v/>
      </c>
      <c r="H160" s="23" t="str">
        <f aca="false">IF(G160="","",IF(D160="g","o quilo",IF(D160="ml","o litro","a unidade")))</f>
        <v/>
      </c>
      <c r="I160" s="9"/>
      <c r="J160" s="41"/>
    </row>
    <row r="161" customFormat="false" ht="21" hidden="false" customHeight="true" outlineLevel="0" collapsed="false">
      <c r="B161" s="9"/>
      <c r="C161" s="42"/>
      <c r="D161" s="42"/>
      <c r="E161" s="42"/>
      <c r="F161" s="43"/>
      <c r="G161" s="27" t="str">
        <f aca="false">IF(OR(B161="",E161="",F161="",N(E161)=0),"",IF(OR(D161="g",D161="ml"),F161/E161*1000,F161/E161))</f>
        <v/>
      </c>
      <c r="H161" s="23" t="str">
        <f aca="false">IF(G161="","",IF(D161="g","o quilo",IF(D161="ml","o litro","a unidade")))</f>
        <v/>
      </c>
      <c r="I161" s="9"/>
      <c r="J161" s="41"/>
    </row>
    <row r="162" customFormat="false" ht="21" hidden="false" customHeight="true" outlineLevel="0" collapsed="false">
      <c r="B162" s="9"/>
      <c r="C162" s="42"/>
      <c r="D162" s="42"/>
      <c r="E162" s="42"/>
      <c r="F162" s="43"/>
      <c r="G162" s="27" t="str">
        <f aca="false">IF(OR(B162="",E162="",F162="",N(E162)=0),"",IF(OR(D162="g",D162="ml"),F162/E162*1000,F162/E162))</f>
        <v/>
      </c>
      <c r="H162" s="23" t="str">
        <f aca="false">IF(G162="","",IF(D162="g","o quilo",IF(D162="ml","o litro","a unidade")))</f>
        <v/>
      </c>
      <c r="I162" s="9"/>
      <c r="J162" s="41"/>
    </row>
    <row r="163" customFormat="false" ht="21" hidden="false" customHeight="true" outlineLevel="0" collapsed="false">
      <c r="B163" s="9"/>
      <c r="C163" s="42"/>
      <c r="D163" s="42"/>
      <c r="E163" s="42"/>
      <c r="F163" s="43"/>
      <c r="G163" s="27" t="str">
        <f aca="false">IF(OR(B163="",E163="",F163="",N(E163)=0),"",IF(OR(D163="g",D163="ml"),F163/E163*1000,F163/E163))</f>
        <v/>
      </c>
      <c r="H163" s="23" t="str">
        <f aca="false">IF(G163="","",IF(D163="g","o quilo",IF(D163="ml","o litro","a unidade")))</f>
        <v/>
      </c>
      <c r="I163" s="9"/>
      <c r="J163" s="41"/>
    </row>
    <row r="164" customFormat="false" ht="21" hidden="false" customHeight="true" outlineLevel="0" collapsed="false">
      <c r="B164" s="9"/>
      <c r="C164" s="42"/>
      <c r="D164" s="42"/>
      <c r="E164" s="42"/>
      <c r="F164" s="43"/>
      <c r="G164" s="27" t="str">
        <f aca="false">IF(OR(B164="",E164="",F164="",N(E164)=0),"",IF(OR(D164="g",D164="ml"),F164/E164*1000,F164/E164))</f>
        <v/>
      </c>
      <c r="H164" s="23" t="str">
        <f aca="false">IF(G164="","",IF(D164="g","o quilo",IF(D164="ml","o litro","a unidade")))</f>
        <v/>
      </c>
      <c r="I164" s="9"/>
      <c r="J164" s="41"/>
    </row>
    <row r="165" customFormat="false" ht="21" hidden="false" customHeight="true" outlineLevel="0" collapsed="false">
      <c r="B165" s="9"/>
      <c r="C165" s="42"/>
      <c r="D165" s="42"/>
      <c r="E165" s="42"/>
      <c r="F165" s="43"/>
      <c r="G165" s="27" t="str">
        <f aca="false">IF(OR(B165="",E165="",F165="",N(E165)=0),"",IF(OR(D165="g",D165="ml"),F165/E165*1000,F165/E165))</f>
        <v/>
      </c>
      <c r="H165" s="23" t="str">
        <f aca="false">IF(G165="","",IF(D165="g","o quilo",IF(D165="ml","o litro","a unidade")))</f>
        <v/>
      </c>
      <c r="I165" s="9"/>
      <c r="J165" s="41"/>
    </row>
    <row r="166" customFormat="false" ht="21" hidden="false" customHeight="true" outlineLevel="0" collapsed="false">
      <c r="B166" s="9"/>
      <c r="C166" s="42"/>
      <c r="D166" s="42"/>
      <c r="E166" s="42"/>
      <c r="F166" s="43"/>
      <c r="G166" s="27" t="str">
        <f aca="false">IF(OR(B166="",E166="",F166="",N(E166)=0),"",IF(OR(D166="g",D166="ml"),F166/E166*1000,F166/E166))</f>
        <v/>
      </c>
      <c r="H166" s="23" t="str">
        <f aca="false">IF(G166="","",IF(D166="g","o quilo",IF(D166="ml","o litro","a unidade")))</f>
        <v/>
      </c>
      <c r="I166" s="9"/>
      <c r="J166" s="41"/>
    </row>
    <row r="167" customFormat="false" ht="21" hidden="false" customHeight="true" outlineLevel="0" collapsed="false">
      <c r="B167" s="9"/>
      <c r="C167" s="42"/>
      <c r="D167" s="42"/>
      <c r="E167" s="42"/>
      <c r="F167" s="43"/>
      <c r="G167" s="27" t="str">
        <f aca="false">IF(OR(B167="",E167="",F167="",N(E167)=0),"",IF(OR(D167="g",D167="ml"),F167/E167*1000,F167/E167))</f>
        <v/>
      </c>
      <c r="H167" s="23" t="str">
        <f aca="false">IF(G167="","",IF(D167="g","o quilo",IF(D167="ml","o litro","a unidade")))</f>
        <v/>
      </c>
      <c r="I167" s="9"/>
      <c r="J167" s="41"/>
    </row>
    <row r="168" customFormat="false" ht="21" hidden="false" customHeight="true" outlineLevel="0" collapsed="false">
      <c r="B168" s="9"/>
      <c r="C168" s="42"/>
      <c r="D168" s="42"/>
      <c r="E168" s="42"/>
      <c r="F168" s="43"/>
      <c r="G168" s="27" t="str">
        <f aca="false">IF(OR(B168="",E168="",F168="",N(E168)=0),"",IF(OR(D168="g",D168="ml"),F168/E168*1000,F168/E168))</f>
        <v/>
      </c>
      <c r="H168" s="23" t="str">
        <f aca="false">IF(G168="","",IF(D168="g","o quilo",IF(D168="ml","o litro","a unidade")))</f>
        <v/>
      </c>
      <c r="I168" s="9"/>
      <c r="J168" s="41"/>
    </row>
    <row r="169" customFormat="false" ht="21" hidden="false" customHeight="true" outlineLevel="0" collapsed="false">
      <c r="B169" s="9"/>
      <c r="C169" s="42"/>
      <c r="D169" s="42"/>
      <c r="E169" s="42"/>
      <c r="F169" s="43"/>
      <c r="G169" s="27" t="str">
        <f aca="false">IF(OR(B169="",E169="",F169="",N(E169)=0),"",IF(OR(D169="g",D169="ml"),F169/E169*1000,F169/E169))</f>
        <v/>
      </c>
      <c r="H169" s="23" t="str">
        <f aca="false">IF(G169="","",IF(D169="g","o quilo",IF(D169="ml","o litro","a unidade")))</f>
        <v/>
      </c>
      <c r="I169" s="9"/>
      <c r="J169" s="41"/>
    </row>
    <row r="170" customFormat="false" ht="21" hidden="false" customHeight="true" outlineLevel="0" collapsed="false">
      <c r="B170" s="9"/>
      <c r="C170" s="42"/>
      <c r="D170" s="42"/>
      <c r="E170" s="42"/>
      <c r="F170" s="43"/>
      <c r="G170" s="27" t="str">
        <f aca="false">IF(OR(B170="",E170="",F170="",N(E170)=0),"",IF(OR(D170="g",D170="ml"),F170/E170*1000,F170/E170))</f>
        <v/>
      </c>
      <c r="H170" s="23" t="str">
        <f aca="false">IF(G170="","",IF(D170="g","o quilo",IF(D170="ml","o litro","a unidade")))</f>
        <v/>
      </c>
      <c r="I170" s="9"/>
      <c r="J170" s="41"/>
    </row>
    <row r="171" customFormat="false" ht="21" hidden="false" customHeight="true" outlineLevel="0" collapsed="false">
      <c r="B171" s="9"/>
      <c r="C171" s="42"/>
      <c r="D171" s="42"/>
      <c r="E171" s="42"/>
      <c r="F171" s="43"/>
      <c r="G171" s="27" t="str">
        <f aca="false">IF(OR(B171="",E171="",F171="",N(E171)=0),"",IF(OR(D171="g",D171="ml"),F171/E171*1000,F171/E171))</f>
        <v/>
      </c>
      <c r="H171" s="23" t="str">
        <f aca="false">IF(G171="","",IF(D171="g","o quilo",IF(D171="ml","o litro","a unidade")))</f>
        <v/>
      </c>
      <c r="I171" s="9"/>
      <c r="J171" s="41"/>
    </row>
    <row r="172" customFormat="false" ht="21" hidden="false" customHeight="true" outlineLevel="0" collapsed="false">
      <c r="B172" s="9"/>
      <c r="C172" s="42"/>
      <c r="D172" s="42"/>
      <c r="E172" s="42"/>
      <c r="F172" s="43"/>
      <c r="G172" s="27" t="str">
        <f aca="false">IF(OR(B172="",E172="",F172="",N(E172)=0),"",IF(OR(D172="g",D172="ml"),F172/E172*1000,F172/E172))</f>
        <v/>
      </c>
      <c r="H172" s="23" t="str">
        <f aca="false">IF(G172="","",IF(D172="g","o quilo",IF(D172="ml","o litro","a unidade")))</f>
        <v/>
      </c>
      <c r="I172" s="9"/>
      <c r="J172" s="41"/>
    </row>
    <row r="173" customFormat="false" ht="21" hidden="false" customHeight="true" outlineLevel="0" collapsed="false">
      <c r="B173" s="9"/>
      <c r="C173" s="42"/>
      <c r="D173" s="42"/>
      <c r="E173" s="42"/>
      <c r="F173" s="43"/>
      <c r="G173" s="27" t="str">
        <f aca="false">IF(OR(B173="",E173="",F173="",N(E173)=0),"",IF(OR(D173="g",D173="ml"),F173/E173*1000,F173/E173))</f>
        <v/>
      </c>
      <c r="H173" s="23" t="str">
        <f aca="false">IF(G173="","",IF(D173="g","o quilo",IF(D173="ml","o litro","a unidade")))</f>
        <v/>
      </c>
      <c r="I173" s="9"/>
      <c r="J173" s="41"/>
    </row>
    <row r="174" customFormat="false" ht="21" hidden="false" customHeight="true" outlineLevel="0" collapsed="false">
      <c r="B174" s="9"/>
      <c r="C174" s="42"/>
      <c r="D174" s="42"/>
      <c r="E174" s="42"/>
      <c r="F174" s="43"/>
      <c r="G174" s="27" t="str">
        <f aca="false">IF(OR(B174="",E174="",F174="",N(E174)=0),"",IF(OR(D174="g",D174="ml"),F174/E174*1000,F174/E174))</f>
        <v/>
      </c>
      <c r="H174" s="23" t="str">
        <f aca="false">IF(G174="","",IF(D174="g","o quilo",IF(D174="ml","o litro","a unidade")))</f>
        <v/>
      </c>
      <c r="I174" s="9"/>
      <c r="J174" s="41"/>
    </row>
    <row r="175" customFormat="false" ht="21" hidden="false" customHeight="true" outlineLevel="0" collapsed="false">
      <c r="B175" s="9"/>
      <c r="C175" s="42"/>
      <c r="D175" s="42"/>
      <c r="E175" s="42"/>
      <c r="F175" s="43"/>
      <c r="G175" s="27" t="str">
        <f aca="false">IF(OR(B175="",E175="",F175="",N(E175)=0),"",IF(OR(D175="g",D175="ml"),F175/E175*1000,F175/E175))</f>
        <v/>
      </c>
      <c r="H175" s="23" t="str">
        <f aca="false">IF(G175="","",IF(D175="g","o quilo",IF(D175="ml","o litro","a unidade")))</f>
        <v/>
      </c>
      <c r="I175" s="9"/>
      <c r="J175" s="41"/>
    </row>
    <row r="176" customFormat="false" ht="21" hidden="false" customHeight="true" outlineLevel="0" collapsed="false">
      <c r="B176" s="9"/>
      <c r="C176" s="42"/>
      <c r="D176" s="42"/>
      <c r="E176" s="42"/>
      <c r="F176" s="43"/>
      <c r="G176" s="27" t="str">
        <f aca="false">IF(OR(B176="",E176="",F176="",N(E176)=0),"",IF(OR(D176="g",D176="ml"),F176/E176*1000,F176/E176))</f>
        <v/>
      </c>
      <c r="H176" s="23" t="str">
        <f aca="false">IF(G176="","",IF(D176="g","o quilo",IF(D176="ml","o litro","a unidade")))</f>
        <v/>
      </c>
      <c r="I176" s="9"/>
      <c r="J176" s="41"/>
    </row>
    <row r="177" customFormat="false" ht="21" hidden="false" customHeight="true" outlineLevel="0" collapsed="false">
      <c r="B177" s="9"/>
      <c r="C177" s="42"/>
      <c r="D177" s="42"/>
      <c r="E177" s="42"/>
      <c r="F177" s="43"/>
      <c r="G177" s="27" t="str">
        <f aca="false">IF(OR(B177="",E177="",F177="",N(E177)=0),"",IF(OR(D177="g",D177="ml"),F177/E177*1000,F177/E177))</f>
        <v/>
      </c>
      <c r="H177" s="23" t="str">
        <f aca="false">IF(G177="","",IF(D177="g","o quilo",IF(D177="ml","o litro","a unidade")))</f>
        <v/>
      </c>
      <c r="I177" s="9"/>
      <c r="J177" s="41"/>
    </row>
    <row r="178" customFormat="false" ht="21" hidden="false" customHeight="true" outlineLevel="0" collapsed="false">
      <c r="B178" s="9"/>
      <c r="C178" s="42"/>
      <c r="D178" s="42"/>
      <c r="E178" s="42"/>
      <c r="F178" s="43"/>
      <c r="G178" s="27" t="str">
        <f aca="false">IF(OR(B178="",E178="",F178="",N(E178)=0),"",IF(OR(D178="g",D178="ml"),F178/E178*1000,F178/E178))</f>
        <v/>
      </c>
      <c r="H178" s="23" t="str">
        <f aca="false">IF(G178="","",IF(D178="g","o quilo",IF(D178="ml","o litro","a unidade")))</f>
        <v/>
      </c>
      <c r="I178" s="9"/>
      <c r="J178" s="41"/>
    </row>
    <row r="179" customFormat="false" ht="21" hidden="false" customHeight="true" outlineLevel="0" collapsed="false">
      <c r="B179" s="9"/>
      <c r="C179" s="42"/>
      <c r="D179" s="42"/>
      <c r="E179" s="42"/>
      <c r="F179" s="43"/>
      <c r="G179" s="27" t="str">
        <f aca="false">IF(OR(B179="",E179="",F179="",N(E179)=0),"",IF(OR(D179="g",D179="ml"),F179/E179*1000,F179/E179))</f>
        <v/>
      </c>
      <c r="H179" s="23" t="str">
        <f aca="false">IF(G179="","",IF(D179="g","o quilo",IF(D179="ml","o litro","a unidade")))</f>
        <v/>
      </c>
      <c r="I179" s="9"/>
      <c r="J179" s="41"/>
    </row>
    <row r="180" customFormat="false" ht="21" hidden="false" customHeight="true" outlineLevel="0" collapsed="false">
      <c r="B180" s="9"/>
      <c r="C180" s="42"/>
      <c r="D180" s="42"/>
      <c r="E180" s="42"/>
      <c r="F180" s="43"/>
      <c r="G180" s="27" t="str">
        <f aca="false">IF(OR(B180="",E180="",F180="",N(E180)=0),"",IF(OR(D180="g",D180="ml"),F180/E180*1000,F180/E180))</f>
        <v/>
      </c>
      <c r="H180" s="23" t="str">
        <f aca="false">IF(G180="","",IF(D180="g","o quilo",IF(D180="ml","o litro","a unidade")))</f>
        <v/>
      </c>
      <c r="I180" s="9"/>
      <c r="J180" s="41"/>
    </row>
    <row r="181" customFormat="false" ht="21" hidden="false" customHeight="true" outlineLevel="0" collapsed="false">
      <c r="B181" s="9"/>
      <c r="C181" s="42"/>
      <c r="D181" s="42"/>
      <c r="E181" s="42"/>
      <c r="F181" s="43"/>
      <c r="G181" s="27" t="str">
        <f aca="false">IF(OR(B181="",E181="",F181="",N(E181)=0),"",IF(OR(D181="g",D181="ml"),F181/E181*1000,F181/E181))</f>
        <v/>
      </c>
      <c r="H181" s="23" t="str">
        <f aca="false">IF(G181="","",IF(D181="g","o quilo",IF(D181="ml","o litro","a unidade")))</f>
        <v/>
      </c>
      <c r="I181" s="9"/>
      <c r="J181" s="41"/>
    </row>
    <row r="182" customFormat="false" ht="21" hidden="false" customHeight="true" outlineLevel="0" collapsed="false">
      <c r="B182" s="9"/>
      <c r="C182" s="42"/>
      <c r="D182" s="42"/>
      <c r="E182" s="42"/>
      <c r="F182" s="43"/>
      <c r="G182" s="27" t="str">
        <f aca="false">IF(OR(B182="",E182="",F182="",N(E182)=0),"",IF(OR(D182="g",D182="ml"),F182/E182*1000,F182/E182))</f>
        <v/>
      </c>
      <c r="H182" s="23" t="str">
        <f aca="false">IF(G182="","",IF(D182="g","o quilo",IF(D182="ml","o litro","a unidade")))</f>
        <v/>
      </c>
      <c r="I182" s="9"/>
      <c r="J182" s="41"/>
    </row>
    <row r="183" customFormat="false" ht="21" hidden="false" customHeight="true" outlineLevel="0" collapsed="false">
      <c r="B183" s="9"/>
      <c r="C183" s="42"/>
      <c r="D183" s="42"/>
      <c r="E183" s="42"/>
      <c r="F183" s="43"/>
      <c r="G183" s="27" t="str">
        <f aca="false">IF(OR(B183="",E183="",F183="",N(E183)=0),"",IF(OR(D183="g",D183="ml"),F183/E183*1000,F183/E183))</f>
        <v/>
      </c>
      <c r="H183" s="23" t="str">
        <f aca="false">IF(G183="","",IF(D183="g","o quilo",IF(D183="ml","o litro","a unidade")))</f>
        <v/>
      </c>
      <c r="I183" s="9"/>
      <c r="J183" s="41"/>
    </row>
    <row r="184" customFormat="false" ht="21" hidden="false" customHeight="true" outlineLevel="0" collapsed="false">
      <c r="B184" s="9"/>
      <c r="C184" s="42"/>
      <c r="D184" s="42"/>
      <c r="E184" s="42"/>
      <c r="F184" s="43"/>
      <c r="G184" s="27" t="str">
        <f aca="false">IF(OR(B184="",E184="",F184="",N(E184)=0),"",IF(OR(D184="g",D184="ml"),F184/E184*1000,F184/E184))</f>
        <v/>
      </c>
      <c r="H184" s="23" t="str">
        <f aca="false">IF(G184="","",IF(D184="g","o quilo",IF(D184="ml","o litro","a unidade")))</f>
        <v/>
      </c>
      <c r="I184" s="9"/>
      <c r="J184" s="41"/>
    </row>
    <row r="185" customFormat="false" ht="21" hidden="false" customHeight="true" outlineLevel="0" collapsed="false">
      <c r="B185" s="9"/>
      <c r="C185" s="42"/>
      <c r="D185" s="42"/>
      <c r="E185" s="42"/>
      <c r="F185" s="43"/>
      <c r="G185" s="27" t="str">
        <f aca="false">IF(OR(B185="",E185="",F185="",N(E185)=0),"",IF(OR(D185="g",D185="ml"),F185/E185*1000,F185/E185))</f>
        <v/>
      </c>
      <c r="H185" s="23" t="str">
        <f aca="false">IF(G185="","",IF(D185="g","o quilo",IF(D185="ml","o litro","a unidade")))</f>
        <v/>
      </c>
      <c r="I185" s="9"/>
      <c r="J185" s="41"/>
    </row>
    <row r="186" customFormat="false" ht="21" hidden="false" customHeight="true" outlineLevel="0" collapsed="false">
      <c r="B186" s="9"/>
      <c r="C186" s="42"/>
      <c r="D186" s="42"/>
      <c r="E186" s="42"/>
      <c r="F186" s="43"/>
      <c r="G186" s="27" t="str">
        <f aca="false">IF(OR(B186="",E186="",F186="",N(E186)=0),"",IF(OR(D186="g",D186="ml"),F186/E186*1000,F186/E186))</f>
        <v/>
      </c>
      <c r="H186" s="23" t="str">
        <f aca="false">IF(G186="","",IF(D186="g","o quilo",IF(D186="ml","o litro","a unidade")))</f>
        <v/>
      </c>
      <c r="I186" s="9"/>
      <c r="J186" s="41"/>
    </row>
    <row r="187" customFormat="false" ht="21" hidden="false" customHeight="true" outlineLevel="0" collapsed="false">
      <c r="B187" s="9"/>
      <c r="C187" s="42"/>
      <c r="D187" s="42"/>
      <c r="E187" s="42"/>
      <c r="F187" s="43"/>
      <c r="G187" s="27" t="str">
        <f aca="false">IF(OR(B187="",E187="",F187="",N(E187)=0),"",IF(OR(D187="g",D187="ml"),F187/E187*1000,F187/E187))</f>
        <v/>
      </c>
      <c r="H187" s="23" t="str">
        <f aca="false">IF(G187="","",IF(D187="g","o quilo",IF(D187="ml","o litro","a unidade")))</f>
        <v/>
      </c>
      <c r="I187" s="9"/>
      <c r="J187" s="41"/>
    </row>
    <row r="188" customFormat="false" ht="21" hidden="false" customHeight="true" outlineLevel="0" collapsed="false">
      <c r="B188" s="9"/>
      <c r="C188" s="42"/>
      <c r="D188" s="42"/>
      <c r="E188" s="42"/>
      <c r="F188" s="43"/>
      <c r="G188" s="27" t="str">
        <f aca="false">IF(OR(B188="",E188="",F188="",N(E188)=0),"",IF(OR(D188="g",D188="ml"),F188/E188*1000,F188/E188))</f>
        <v/>
      </c>
      <c r="H188" s="23" t="str">
        <f aca="false">IF(G188="","",IF(D188="g","o quilo",IF(D188="ml","o litro","a unidade")))</f>
        <v/>
      </c>
      <c r="I188" s="9"/>
      <c r="J188" s="41"/>
    </row>
    <row r="189" customFormat="false" ht="21" hidden="false" customHeight="true" outlineLevel="0" collapsed="false">
      <c r="B189" s="9"/>
      <c r="C189" s="42"/>
      <c r="D189" s="42"/>
      <c r="E189" s="42"/>
      <c r="F189" s="43"/>
      <c r="G189" s="27" t="str">
        <f aca="false">IF(OR(B189="",E189="",F189="",N(E189)=0),"",IF(OR(D189="g",D189="ml"),F189/E189*1000,F189/E189))</f>
        <v/>
      </c>
      <c r="H189" s="23" t="str">
        <f aca="false">IF(G189="","",IF(D189="g","o quilo",IF(D189="ml","o litro","a unidade")))</f>
        <v/>
      </c>
      <c r="I189" s="9"/>
      <c r="J189" s="41"/>
    </row>
    <row r="190" customFormat="false" ht="21" hidden="false" customHeight="true" outlineLevel="0" collapsed="false">
      <c r="B190" s="9"/>
      <c r="C190" s="42"/>
      <c r="D190" s="42"/>
      <c r="E190" s="42"/>
      <c r="F190" s="43"/>
      <c r="G190" s="27" t="str">
        <f aca="false">IF(OR(B190="",E190="",F190="",N(E190)=0),"",IF(OR(D190="g",D190="ml"),F190/E190*1000,F190/E190))</f>
        <v/>
      </c>
      <c r="H190" s="23" t="str">
        <f aca="false">IF(G190="","",IF(D190="g","o quilo",IF(D190="ml","o litro","a unidade")))</f>
        <v/>
      </c>
      <c r="I190" s="9"/>
      <c r="J190" s="41"/>
    </row>
    <row r="191" customFormat="false" ht="21" hidden="false" customHeight="true" outlineLevel="0" collapsed="false">
      <c r="B191" s="9"/>
      <c r="C191" s="42"/>
      <c r="D191" s="42"/>
      <c r="E191" s="42"/>
      <c r="F191" s="43"/>
      <c r="G191" s="27" t="str">
        <f aca="false">IF(OR(B191="",E191="",F191="",N(E191)=0),"",IF(OR(D191="g",D191="ml"),F191/E191*1000,F191/E191))</f>
        <v/>
      </c>
      <c r="H191" s="23" t="str">
        <f aca="false">IF(G191="","",IF(D191="g","o quilo",IF(D191="ml","o litro","a unidade")))</f>
        <v/>
      </c>
      <c r="I191" s="9"/>
      <c r="J191" s="41"/>
    </row>
    <row r="192" customFormat="false" ht="21" hidden="false" customHeight="true" outlineLevel="0" collapsed="false">
      <c r="B192" s="9"/>
      <c r="C192" s="42"/>
      <c r="D192" s="42"/>
      <c r="E192" s="42"/>
      <c r="F192" s="43"/>
      <c r="G192" s="27" t="str">
        <f aca="false">IF(OR(B192="",E192="",F192="",N(E192)=0),"",IF(OR(D192="g",D192="ml"),F192/E192*1000,F192/E192))</f>
        <v/>
      </c>
      <c r="H192" s="23" t="str">
        <f aca="false">IF(G192="","",IF(D192="g","o quilo",IF(D192="ml","o litro","a unidade")))</f>
        <v/>
      </c>
      <c r="I192" s="9"/>
      <c r="J192" s="41"/>
    </row>
    <row r="193" customFormat="false" ht="21" hidden="false" customHeight="true" outlineLevel="0" collapsed="false">
      <c r="B193" s="9"/>
      <c r="C193" s="42"/>
      <c r="D193" s="42"/>
      <c r="E193" s="42"/>
      <c r="F193" s="43"/>
      <c r="G193" s="27" t="str">
        <f aca="false">IF(OR(B193="",E193="",F193="",N(E193)=0),"",IF(OR(D193="g",D193="ml"),F193/E193*1000,F193/E193))</f>
        <v/>
      </c>
      <c r="H193" s="23" t="str">
        <f aca="false">IF(G193="","",IF(D193="g","o quilo",IF(D193="ml","o litro","a unidade")))</f>
        <v/>
      </c>
      <c r="I193" s="9"/>
      <c r="J193" s="41"/>
    </row>
    <row r="194" customFormat="false" ht="21" hidden="false" customHeight="true" outlineLevel="0" collapsed="false">
      <c r="B194" s="9"/>
      <c r="C194" s="42"/>
      <c r="D194" s="42"/>
      <c r="E194" s="42"/>
      <c r="F194" s="43"/>
      <c r="G194" s="27" t="str">
        <f aca="false">IF(OR(B194="",E194="",F194="",N(E194)=0),"",IF(OR(D194="g",D194="ml"),F194/E194*1000,F194/E194))</f>
        <v/>
      </c>
      <c r="H194" s="23" t="str">
        <f aca="false">IF(G194="","",IF(D194="g","o quilo",IF(D194="ml","o litro","a unidade")))</f>
        <v/>
      </c>
      <c r="I194" s="9"/>
      <c r="J194" s="41"/>
    </row>
    <row r="195" customFormat="false" ht="21" hidden="false" customHeight="true" outlineLevel="0" collapsed="false">
      <c r="B195" s="9"/>
      <c r="C195" s="42"/>
      <c r="D195" s="42"/>
      <c r="E195" s="42"/>
      <c r="F195" s="43"/>
      <c r="G195" s="27" t="str">
        <f aca="false">IF(OR(B195="",E195="",F195="",N(E195)=0),"",IF(OR(D195="g",D195="ml"),F195/E195*1000,F195/E195))</f>
        <v/>
      </c>
      <c r="H195" s="23" t="str">
        <f aca="false">IF(G195="","",IF(D195="g","o quilo",IF(D195="ml","o litro","a unidade")))</f>
        <v/>
      </c>
      <c r="I195" s="9"/>
      <c r="J195" s="41"/>
    </row>
    <row r="196" customFormat="false" ht="21" hidden="false" customHeight="true" outlineLevel="0" collapsed="false">
      <c r="B196" s="9"/>
      <c r="C196" s="42"/>
      <c r="D196" s="42"/>
      <c r="E196" s="42"/>
      <c r="F196" s="43"/>
      <c r="G196" s="27" t="str">
        <f aca="false">IF(OR(B196="",E196="",F196="",N(E196)=0),"",IF(OR(D196="g",D196="ml"),F196/E196*1000,F196/E196))</f>
        <v/>
      </c>
      <c r="H196" s="23" t="str">
        <f aca="false">IF(G196="","",IF(D196="g","o quilo",IF(D196="ml","o litro","a unidade")))</f>
        <v/>
      </c>
      <c r="I196" s="9"/>
      <c r="J196" s="41"/>
    </row>
    <row r="197" customFormat="false" ht="21" hidden="false" customHeight="true" outlineLevel="0" collapsed="false">
      <c r="B197" s="9"/>
      <c r="C197" s="42"/>
      <c r="D197" s="42"/>
      <c r="E197" s="42"/>
      <c r="F197" s="43"/>
      <c r="G197" s="27" t="str">
        <f aca="false">IF(OR(B197="",E197="",F197="",N(E197)=0),"",IF(OR(D197="g",D197="ml"),F197/E197*1000,F197/E197))</f>
        <v/>
      </c>
      <c r="H197" s="23" t="str">
        <f aca="false">IF(G197="","",IF(D197="g","o quilo",IF(D197="ml","o litro","a unidade")))</f>
        <v/>
      </c>
      <c r="I197" s="9"/>
      <c r="J197" s="41"/>
    </row>
    <row r="198" customFormat="false" ht="21" hidden="false" customHeight="true" outlineLevel="0" collapsed="false">
      <c r="B198" s="9"/>
      <c r="C198" s="42"/>
      <c r="D198" s="42"/>
      <c r="E198" s="42"/>
      <c r="F198" s="43"/>
      <c r="G198" s="27" t="str">
        <f aca="false">IF(OR(B198="",E198="",F198="",N(E198)=0),"",IF(OR(D198="g",D198="ml"),F198/E198*1000,F198/E198))</f>
        <v/>
      </c>
      <c r="H198" s="23" t="str">
        <f aca="false">IF(G198="","",IF(D198="g","o quilo",IF(D198="ml","o litro","a unidade")))</f>
        <v/>
      </c>
      <c r="I198" s="9"/>
      <c r="J198" s="41"/>
    </row>
    <row r="199" customFormat="false" ht="21" hidden="false" customHeight="true" outlineLevel="0" collapsed="false">
      <c r="B199" s="9"/>
      <c r="C199" s="42"/>
      <c r="D199" s="42"/>
      <c r="E199" s="42"/>
      <c r="F199" s="43"/>
      <c r="G199" s="27" t="str">
        <f aca="false">IF(OR(B199="",E199="",F199="",N(E199)=0),"",IF(OR(D199="g",D199="ml"),F199/E199*1000,F199/E199))</f>
        <v/>
      </c>
      <c r="H199" s="23" t="str">
        <f aca="false">IF(G199="","",IF(D199="g","o quilo",IF(D199="ml","o litro","a unidade")))</f>
        <v/>
      </c>
      <c r="I199" s="9"/>
      <c r="J199" s="41"/>
    </row>
    <row r="200" customFormat="false" ht="21" hidden="false" customHeight="true" outlineLevel="0" collapsed="false">
      <c r="B200" s="9"/>
      <c r="C200" s="42"/>
      <c r="D200" s="42"/>
      <c r="E200" s="42"/>
      <c r="F200" s="43"/>
      <c r="G200" s="27" t="str">
        <f aca="false">IF(OR(B200="",E200="",F200="",N(E200)=0),"",IF(OR(D200="g",D200="ml"),F200/E200*1000,F200/E200))</f>
        <v/>
      </c>
      <c r="H200" s="23" t="str">
        <f aca="false">IF(G200="","",IF(D200="g","o quilo",IF(D200="ml","o litro","a unidade")))</f>
        <v/>
      </c>
      <c r="I200" s="9"/>
      <c r="J200" s="41"/>
    </row>
    <row r="201" customFormat="false" ht="21" hidden="false" customHeight="true" outlineLevel="0" collapsed="false">
      <c r="B201" s="9"/>
      <c r="C201" s="42"/>
      <c r="D201" s="42"/>
      <c r="E201" s="42"/>
      <c r="F201" s="43"/>
      <c r="G201" s="27" t="str">
        <f aca="false">IF(OR(B201="",E201="",F201="",N(E201)=0),"",IF(OR(D201="g",D201="ml"),F201/E201*1000,F201/E201))</f>
        <v/>
      </c>
      <c r="H201" s="23" t="str">
        <f aca="false">IF(G201="","",IF(D201="g","o quilo",IF(D201="ml","o litro","a unidade")))</f>
        <v/>
      </c>
      <c r="I201" s="9"/>
      <c r="J201" s="41"/>
    </row>
    <row r="202" customFormat="false" ht="21" hidden="false" customHeight="true" outlineLevel="0" collapsed="false">
      <c r="B202" s="9"/>
      <c r="C202" s="42"/>
      <c r="D202" s="42"/>
      <c r="E202" s="42"/>
      <c r="F202" s="43"/>
      <c r="G202" s="27" t="str">
        <f aca="false">IF(OR(B202="",E202="",F202="",N(E202)=0),"",IF(OR(D202="g",D202="ml"),F202/E202*1000,F202/E202))</f>
        <v/>
      </c>
      <c r="H202" s="23" t="str">
        <f aca="false">IF(G202="","",IF(D202="g","o quilo",IF(D202="ml","o litro","a unidade")))</f>
        <v/>
      </c>
      <c r="I202" s="9"/>
      <c r="J202" s="41"/>
    </row>
    <row r="203" customFormat="false" ht="21" hidden="false" customHeight="true" outlineLevel="0" collapsed="false">
      <c r="B203" s="9"/>
      <c r="C203" s="42"/>
      <c r="D203" s="42"/>
      <c r="E203" s="42"/>
      <c r="F203" s="43"/>
      <c r="G203" s="27" t="str">
        <f aca="false">IF(OR(B203="",E203="",F203="",N(E203)=0),"",IF(OR(D203="g",D203="ml"),F203/E203*1000,F203/E203))</f>
        <v/>
      </c>
      <c r="H203" s="23" t="str">
        <f aca="false">IF(G203="","",IF(D203="g","o quilo",IF(D203="ml","o litro","a unidade")))</f>
        <v/>
      </c>
      <c r="I203" s="9"/>
      <c r="J203" s="41"/>
    </row>
    <row r="204" customFormat="false" ht="21" hidden="false" customHeight="true" outlineLevel="0" collapsed="false">
      <c r="B204" s="9"/>
      <c r="C204" s="42"/>
      <c r="D204" s="42"/>
      <c r="E204" s="42"/>
      <c r="F204" s="43"/>
      <c r="G204" s="27" t="str">
        <f aca="false">IF(OR(B204="",E204="",F204="",N(E204)=0),"",IF(OR(D204="g",D204="ml"),F204/E204*1000,F204/E204))</f>
        <v/>
      </c>
      <c r="H204" s="23" t="str">
        <f aca="false">IF(G204="","",IF(D204="g","o quilo",IF(D204="ml","o litro","a unidade")))</f>
        <v/>
      </c>
      <c r="I204" s="9"/>
      <c r="J204" s="41"/>
    </row>
  </sheetData>
  <mergeCells count="3">
    <mergeCell ref="B1:J1"/>
    <mergeCell ref="B2:J2"/>
    <mergeCell ref="G4:H4"/>
  </mergeCells>
  <dataValidations count="2">
    <dataValidation allowBlank="true" errorStyle="stop" operator="between" showDropDown="false" showErrorMessage="false" showInputMessage="false" sqref="C5:C204" type="list">
      <formula1>"Ingrediente,Embalagem,Material,Outro"</formula1>
      <formula2>0</formula2>
    </dataValidation>
    <dataValidation allowBlank="true" errorStyle="stop" operator="between" prompt="g = gramas, ml = mililitros, un = unidades (ovos, potes, peças)" promptTitle="Medida" showDropDown="false" showErrorMessage="false" showInputMessage="true" sqref="D5:D204" type="list">
      <formula1>"g,ml,un"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6573"/>
    <pageSetUpPr fitToPage="true"/>
  </sheetPr>
  <dimension ref="B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39.75" hidden="false" customHeight="true" outlineLevel="0" collapsed="false">
      <c r="B1" s="1" t="s">
        <v>4</v>
      </c>
      <c r="C1" s="1"/>
      <c r="D1" s="1"/>
    </row>
    <row r="2" customFormat="false" ht="36" hidden="false" customHeight="true" outlineLevel="0" collapsed="false">
      <c r="B2" s="2" t="s">
        <v>207</v>
      </c>
      <c r="C2" s="2"/>
      <c r="D2" s="2"/>
    </row>
    <row r="3" customFormat="false" ht="9.75" hidden="false" customHeight="true" outlineLevel="0" collapsed="false"/>
    <row r="4" customFormat="false" ht="27.75" hidden="false" customHeight="true" outlineLevel="0" collapsed="false">
      <c r="B4" s="5" t="s">
        <v>208</v>
      </c>
      <c r="C4" s="5"/>
      <c r="D4" s="5"/>
    </row>
    <row r="5" customFormat="false" ht="43.5" hidden="false" customHeight="true" outlineLevel="0" collapsed="false">
      <c r="B5" s="40" t="s">
        <v>209</v>
      </c>
      <c r="C5" s="40" t="s">
        <v>210</v>
      </c>
      <c r="D5" s="40" t="s">
        <v>112</v>
      </c>
    </row>
    <row r="6" customFormat="false" ht="24" hidden="false" customHeight="true" outlineLevel="0" collapsed="false">
      <c r="B6" s="9" t="s">
        <v>211</v>
      </c>
      <c r="C6" s="43" t="n">
        <v>60</v>
      </c>
      <c r="D6" s="48" t="s">
        <v>212</v>
      </c>
    </row>
    <row r="7" customFormat="false" ht="24" hidden="false" customHeight="true" outlineLevel="0" collapsed="false">
      <c r="B7" s="9" t="s">
        <v>213</v>
      </c>
      <c r="C7" s="43" t="n">
        <v>50</v>
      </c>
      <c r="D7" s="48" t="s">
        <v>214</v>
      </c>
    </row>
    <row r="8" customFormat="false" ht="24" hidden="false" customHeight="true" outlineLevel="0" collapsed="false">
      <c r="B8" s="9" t="s">
        <v>215</v>
      </c>
      <c r="C8" s="43" t="n">
        <v>20</v>
      </c>
      <c r="D8" s="48"/>
    </row>
    <row r="9" customFormat="false" ht="24" hidden="false" customHeight="true" outlineLevel="0" collapsed="false">
      <c r="B9" s="9" t="s">
        <v>216</v>
      </c>
      <c r="C9" s="43" t="n">
        <v>40</v>
      </c>
      <c r="D9" s="48"/>
    </row>
    <row r="10" customFormat="false" ht="24" hidden="false" customHeight="true" outlineLevel="0" collapsed="false">
      <c r="B10" s="9" t="s">
        <v>217</v>
      </c>
      <c r="C10" s="43" t="n">
        <v>82</v>
      </c>
      <c r="D10" s="48" t="s">
        <v>218</v>
      </c>
    </row>
    <row r="11" customFormat="false" ht="24" hidden="false" customHeight="true" outlineLevel="0" collapsed="false">
      <c r="B11" s="9" t="s">
        <v>219</v>
      </c>
      <c r="C11" s="43" t="n">
        <v>100</v>
      </c>
      <c r="D11" s="48" t="s">
        <v>220</v>
      </c>
    </row>
    <row r="12" customFormat="false" ht="24" hidden="false" customHeight="true" outlineLevel="0" collapsed="false">
      <c r="B12" s="9" t="s">
        <v>221</v>
      </c>
      <c r="C12" s="43" t="n">
        <v>30</v>
      </c>
      <c r="D12" s="48" t="s">
        <v>222</v>
      </c>
    </row>
    <row r="13" customFormat="false" ht="24" hidden="false" customHeight="true" outlineLevel="0" collapsed="false">
      <c r="B13" s="9" t="s">
        <v>223</v>
      </c>
      <c r="C13" s="43" t="n">
        <v>25</v>
      </c>
      <c r="D13" s="48"/>
    </row>
    <row r="14" customFormat="false" ht="24" hidden="false" customHeight="true" outlineLevel="0" collapsed="false">
      <c r="B14" s="9" t="s">
        <v>224</v>
      </c>
      <c r="C14" s="43" t="n">
        <v>0</v>
      </c>
      <c r="D14" s="48" t="s">
        <v>225</v>
      </c>
    </row>
    <row r="15" customFormat="false" ht="24" hidden="false" customHeight="true" outlineLevel="0" collapsed="false">
      <c r="B15" s="9" t="s">
        <v>226</v>
      </c>
      <c r="C15" s="43" t="n">
        <v>0</v>
      </c>
      <c r="D15" s="48"/>
    </row>
    <row r="16" customFormat="false" ht="24" hidden="false" customHeight="true" outlineLevel="0" collapsed="false">
      <c r="B16" s="9" t="s">
        <v>227</v>
      </c>
      <c r="C16" s="43" t="n">
        <v>0</v>
      </c>
      <c r="D16" s="48"/>
    </row>
    <row r="17" customFormat="false" ht="24" hidden="false" customHeight="true" outlineLevel="0" collapsed="false">
      <c r="B17" s="9"/>
      <c r="C17" s="43"/>
      <c r="D17" s="48"/>
    </row>
    <row r="18" customFormat="false" ht="24" hidden="false" customHeight="true" outlineLevel="0" collapsed="false">
      <c r="B18" s="9"/>
      <c r="C18" s="43"/>
      <c r="D18" s="48"/>
    </row>
    <row r="19" customFormat="false" ht="24" hidden="false" customHeight="true" outlineLevel="0" collapsed="false">
      <c r="B19" s="9"/>
      <c r="C19" s="43"/>
      <c r="D19" s="48"/>
    </row>
    <row r="20" customFormat="false" ht="24" hidden="false" customHeight="true" outlineLevel="0" collapsed="false">
      <c r="B20" s="9"/>
      <c r="C20" s="43"/>
      <c r="D20" s="48"/>
    </row>
    <row r="21" customFormat="false" ht="24" hidden="false" customHeight="true" outlineLevel="0" collapsed="false">
      <c r="B21" s="29" t="s">
        <v>228</v>
      </c>
      <c r="C21" s="30" t="n">
        <f aca="false">SUM(C6:C20)</f>
        <v>407</v>
      </c>
      <c r="D21" s="31" t="s">
        <v>229</v>
      </c>
    </row>
    <row r="23" customFormat="false" ht="27.75" hidden="false" customHeight="true" outlineLevel="0" collapsed="false">
      <c r="B23" s="5" t="s">
        <v>230</v>
      </c>
      <c r="C23" s="5"/>
      <c r="D23" s="5"/>
    </row>
    <row r="24" customFormat="false" ht="24" hidden="false" customHeight="true" outlineLevel="0" collapsed="false">
      <c r="B24" s="11" t="s">
        <v>231</v>
      </c>
      <c r="C24" s="43" t="n">
        <v>1500</v>
      </c>
      <c r="D24" s="23" t="s">
        <v>232</v>
      </c>
    </row>
    <row r="26" customFormat="false" ht="27.75" hidden="false" customHeight="true" outlineLevel="0" collapsed="false">
      <c r="B26" s="5" t="s">
        <v>233</v>
      </c>
      <c r="C26" s="5"/>
      <c r="D26" s="5"/>
    </row>
    <row r="27" customFormat="false" ht="24" hidden="false" customHeight="true" outlineLevel="0" collapsed="false">
      <c r="B27" s="11" t="s">
        <v>234</v>
      </c>
      <c r="C27" s="42" t="n">
        <v>22</v>
      </c>
      <c r="D27" s="23" t="s">
        <v>235</v>
      </c>
    </row>
    <row r="28" customFormat="false" ht="24" hidden="false" customHeight="true" outlineLevel="0" collapsed="false">
      <c r="B28" s="11" t="s">
        <v>236</v>
      </c>
      <c r="C28" s="42" t="n">
        <v>5</v>
      </c>
      <c r="D28" s="23" t="s">
        <v>237</v>
      </c>
    </row>
    <row r="29" customFormat="false" ht="24" hidden="false" customHeight="true" outlineLevel="0" collapsed="false">
      <c r="B29" s="8" t="s">
        <v>238</v>
      </c>
      <c r="C29" s="39" t="n">
        <f aca="false">C27*C28</f>
        <v>110</v>
      </c>
      <c r="D29" s="23"/>
    </row>
    <row r="30" customFormat="false" ht="24" hidden="false" customHeight="true" outlineLevel="0" collapsed="false">
      <c r="B30" s="29" t="s">
        <v>239</v>
      </c>
      <c r="C30" s="30" t="n">
        <f aca="false">IF(C29&gt;0,(C21+C24)/C29,0)</f>
        <v>17.3363636363636</v>
      </c>
      <c r="D30" s="31" t="s">
        <v>240</v>
      </c>
    </row>
    <row r="32" customFormat="false" ht="27.75" hidden="false" customHeight="true" outlineLevel="0" collapsed="false">
      <c r="B32" s="5" t="s">
        <v>241</v>
      </c>
      <c r="C32" s="5"/>
      <c r="D32" s="5"/>
    </row>
    <row r="33" customFormat="false" ht="24" hidden="false" customHeight="true" outlineLevel="0" collapsed="false">
      <c r="B33" s="11" t="s">
        <v>242</v>
      </c>
      <c r="C33" s="49" t="n">
        <v>0.03</v>
      </c>
      <c r="D33" s="23" t="s">
        <v>243</v>
      </c>
    </row>
    <row r="34" customFormat="false" ht="24" hidden="false" customHeight="true" outlineLevel="0" collapsed="false">
      <c r="B34" s="11" t="s">
        <v>244</v>
      </c>
      <c r="C34" s="49" t="n">
        <v>0.05</v>
      </c>
      <c r="D34" s="23" t="s">
        <v>245</v>
      </c>
    </row>
    <row r="35" customFormat="false" ht="24" hidden="false" customHeight="true" outlineLevel="0" collapsed="false">
      <c r="B35" s="11" t="s">
        <v>246</v>
      </c>
      <c r="C35" s="49" t="n">
        <v>0.15</v>
      </c>
      <c r="D35" s="23" t="s">
        <v>247</v>
      </c>
    </row>
    <row r="37" customFormat="false" ht="27.75" hidden="false" customHeight="true" outlineLevel="0" collapsed="false">
      <c r="B37" s="5" t="s">
        <v>248</v>
      </c>
      <c r="C37" s="5"/>
      <c r="D37" s="5"/>
    </row>
    <row r="38" customFormat="false" ht="24" hidden="false" customHeight="true" outlineLevel="0" collapsed="false">
      <c r="B38" s="29" t="s">
        <v>249</v>
      </c>
      <c r="C38" s="30" t="n">
        <f aca="false">C21+C24</f>
        <v>1907</v>
      </c>
      <c r="D38" s="12"/>
    </row>
    <row r="39" customFormat="false" ht="24" hidden="false" customHeight="true" outlineLevel="0" collapsed="false">
      <c r="B39" s="29" t="s">
        <v>250</v>
      </c>
      <c r="C39" s="30" t="n">
        <f aca="false">MetaVendas</f>
        <v>3069.83328319394</v>
      </c>
      <c r="D39" s="31" t="s">
        <v>251</v>
      </c>
    </row>
  </sheetData>
  <mergeCells count="7">
    <mergeCell ref="B1:D1"/>
    <mergeCell ref="B2:D2"/>
    <mergeCell ref="B4:D4"/>
    <mergeCell ref="B23:D23"/>
    <mergeCell ref="B26:D26"/>
    <mergeCell ref="B32:D32"/>
    <mergeCell ref="B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2026-10-30T23:35:50Z</dcterms:created>
  <dc:creator>openpyxl</dc:creator>
  <dc:description/>
  <dc:language>en-US</dc:language>
  <cp:lastModifiedBy/>
  <dcterms:modified xsi:type="dcterms:W3CDTF">2026-10-30T23:35:57Z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